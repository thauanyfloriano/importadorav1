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d.docs.live.net/4ce8e7bf29f23c72/Área de Trabalho/IMPORTADORA/"/>
    </mc:Choice>
  </mc:AlternateContent>
  <xr:revisionPtr revIDLastSave="44" documentId="13_ncr:1_{7289F90C-2AD1-4408-948F-636E52AA84AF}" xr6:coauthVersionLast="47" xr6:coauthVersionMax="47" xr10:uidLastSave="{7F915529-95CA-4364-BD5E-8E1A0729B55F}"/>
  <bookViews>
    <workbookView xWindow="20370" yWindow="-120" windowWidth="29040" windowHeight="15720" xr2:uid="{00000000-000D-0000-FFFF-FFFF00000000}"/>
  </bookViews>
  <sheets>
    <sheet name="Master Modelo" sheetId="5" r:id="rId1"/>
    <sheet name="Produtos" sheetId="1" r:id="rId2"/>
    <sheet name="Entrada e Saida" sheetId="2" r:id="rId3"/>
    <sheet name="Custo Resumido" sheetId="4" r:id="rId4"/>
    <sheet name="Siscex" sheetId="6" r:id="rId5"/>
  </sheets>
  <definedNames>
    <definedName name="_xlnm._FilterDatabase" localSheetId="0" hidden="1">'Master Modelo'!$A$1:$L$19</definedName>
    <definedName name="_xlnm.Print_Area" localSheetId="3">'Custo Resumido'!$A$1:$M$9</definedName>
    <definedName name="_xlnm.Print_Area" localSheetId="2">'Entrada e Saida'!$B$1:$L$87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20" i="6" l="1"/>
  <c r="A20" i="6"/>
  <c r="D19" i="6"/>
  <c r="A19" i="6"/>
  <c r="D18" i="6"/>
  <c r="A18" i="6"/>
  <c r="D17" i="6"/>
  <c r="A17" i="6"/>
  <c r="D16" i="6"/>
  <c r="A16" i="6"/>
  <c r="D15" i="6"/>
  <c r="A15" i="6"/>
  <c r="D14" i="6"/>
  <c r="A14" i="6"/>
  <c r="D13" i="6"/>
  <c r="A13" i="6"/>
  <c r="D12" i="6"/>
  <c r="A12" i="6"/>
  <c r="D11" i="6"/>
  <c r="A11" i="6"/>
  <c r="D10" i="6"/>
  <c r="A10" i="6"/>
  <c r="D9" i="6"/>
  <c r="A9" i="6"/>
  <c r="D8" i="6"/>
  <c r="A8" i="6"/>
  <c r="D7" i="6"/>
  <c r="A7" i="6"/>
  <c r="D6" i="6"/>
  <c r="A6" i="6"/>
  <c r="D5" i="6"/>
  <c r="A5" i="6"/>
  <c r="D4" i="6"/>
  <c r="A4" i="6"/>
  <c r="D3" i="6"/>
  <c r="A3" i="6"/>
  <c r="L18" i="5" l="1"/>
  <c r="E17" i="1"/>
  <c r="L19" i="5"/>
  <c r="L14" i="5"/>
  <c r="L13" i="5"/>
  <c r="L12" i="5"/>
  <c r="L10" i="5"/>
  <c r="E9" i="1"/>
  <c r="L8" i="5"/>
  <c r="L7" i="5"/>
  <c r="L6" i="5"/>
  <c r="L16" i="5"/>
  <c r="L3" i="5"/>
  <c r="L2" i="5"/>
  <c r="L15" i="5"/>
  <c r="L11" i="5"/>
  <c r="L5" i="5"/>
  <c r="L4" i="5"/>
  <c r="C2" i="1"/>
  <c r="B2" i="6" s="1"/>
  <c r="C3" i="1"/>
  <c r="B3" i="6" s="1"/>
  <c r="C4" i="1"/>
  <c r="B4" i="6" s="1"/>
  <c r="C5" i="1"/>
  <c r="B5" i="6" s="1"/>
  <c r="C6" i="1"/>
  <c r="B6" i="6" s="1"/>
  <c r="C7" i="1"/>
  <c r="B7" i="6" s="1"/>
  <c r="C8" i="1"/>
  <c r="B8" i="6" s="1"/>
  <c r="C9" i="1"/>
  <c r="B9" i="6" s="1"/>
  <c r="C10" i="1"/>
  <c r="B10" i="6" s="1"/>
  <c r="C11" i="1"/>
  <c r="B11" i="6" s="1"/>
  <c r="C12" i="1"/>
  <c r="B12" i="6" s="1"/>
  <c r="C13" i="1"/>
  <c r="B13" i="6" s="1"/>
  <c r="C14" i="1"/>
  <c r="B14" i="6" s="1"/>
  <c r="C15" i="1"/>
  <c r="B15" i="6" s="1"/>
  <c r="C16" i="1"/>
  <c r="B16" i="6" s="1"/>
  <c r="C17" i="1"/>
  <c r="B17" i="6" s="1"/>
  <c r="C18" i="1"/>
  <c r="B18" i="6" s="1"/>
  <c r="C19" i="1"/>
  <c r="B19" i="6" s="1"/>
  <c r="C20" i="1"/>
  <c r="B20" i="6" s="1"/>
  <c r="C21" i="1"/>
  <c r="B21" i="6" s="1"/>
  <c r="C22" i="1"/>
  <c r="B22" i="6" s="1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B2" i="1"/>
  <c r="C2" i="6" s="1"/>
  <c r="F3" i="1"/>
  <c r="P3" i="1" s="1"/>
  <c r="F3" i="6" s="1"/>
  <c r="F4" i="1"/>
  <c r="P4" i="1" s="1"/>
  <c r="F4" i="6" s="1"/>
  <c r="F5" i="1"/>
  <c r="F6" i="1"/>
  <c r="P6" i="1" s="1"/>
  <c r="F6" i="6" s="1"/>
  <c r="F7" i="1"/>
  <c r="P7" i="1" s="1"/>
  <c r="F7" i="6" s="1"/>
  <c r="F8" i="1"/>
  <c r="P8" i="1" s="1"/>
  <c r="F8" i="6" s="1"/>
  <c r="F9" i="1"/>
  <c r="P9" i="1" s="1"/>
  <c r="F9" i="6" s="1"/>
  <c r="F10" i="1"/>
  <c r="F11" i="1"/>
  <c r="P11" i="1" s="1"/>
  <c r="F11" i="6" s="1"/>
  <c r="F12" i="1"/>
  <c r="P12" i="1" s="1"/>
  <c r="F12" i="6" s="1"/>
  <c r="F13" i="1"/>
  <c r="P13" i="1" s="1"/>
  <c r="F13" i="6" s="1"/>
  <c r="F14" i="1"/>
  <c r="P14" i="1" s="1"/>
  <c r="F14" i="6" s="1"/>
  <c r="F15" i="1"/>
  <c r="P15" i="1" s="1"/>
  <c r="F15" i="6" s="1"/>
  <c r="F16" i="1"/>
  <c r="P16" i="1" s="1"/>
  <c r="F16" i="6" s="1"/>
  <c r="F17" i="1"/>
  <c r="P17" i="1" s="1"/>
  <c r="F17" i="6" s="1"/>
  <c r="F18" i="1"/>
  <c r="P18" i="1" s="1"/>
  <c r="F18" i="6" s="1"/>
  <c r="F19" i="1"/>
  <c r="P19" i="1" s="1"/>
  <c r="F19" i="6" s="1"/>
  <c r="F20" i="1"/>
  <c r="P20" i="1" s="1"/>
  <c r="F20" i="6" s="1"/>
  <c r="F21" i="1"/>
  <c r="P21" i="1" s="1"/>
  <c r="F21" i="6" s="1"/>
  <c r="F22" i="1"/>
  <c r="F23" i="1"/>
  <c r="P23" i="1" s="1"/>
  <c r="F23" i="6" s="1"/>
  <c r="F24" i="1"/>
  <c r="P24" i="1" s="1"/>
  <c r="F24" i="6" s="1"/>
  <c r="F25" i="1"/>
  <c r="P25" i="1" s="1"/>
  <c r="F25" i="6" s="1"/>
  <c r="F26" i="1"/>
  <c r="P26" i="1" s="1"/>
  <c r="F26" i="6" s="1"/>
  <c r="F27" i="1"/>
  <c r="P27" i="1" s="1"/>
  <c r="F27" i="6" s="1"/>
  <c r="F28" i="1"/>
  <c r="P28" i="1" s="1"/>
  <c r="F29" i="1"/>
  <c r="F30" i="1"/>
  <c r="F31" i="1"/>
  <c r="F32" i="1"/>
  <c r="P32" i="1" s="1"/>
  <c r="F32" i="6" s="1"/>
  <c r="F33" i="1"/>
  <c r="P33" i="1" s="1"/>
  <c r="F33" i="6" s="1"/>
  <c r="F34" i="1"/>
  <c r="P34" i="1" s="1"/>
  <c r="F35" i="1"/>
  <c r="P35" i="1" s="1"/>
  <c r="F36" i="1"/>
  <c r="P36" i="1" s="1"/>
  <c r="F37" i="1"/>
  <c r="P37" i="1" s="1"/>
  <c r="F37" i="6" s="1"/>
  <c r="F38" i="1"/>
  <c r="F39" i="1"/>
  <c r="F40" i="1"/>
  <c r="P40" i="1" s="1"/>
  <c r="F40" i="6" s="1"/>
  <c r="F41" i="1"/>
  <c r="P41" i="1" s="1"/>
  <c r="F41" i="6" s="1"/>
  <c r="F42" i="1"/>
  <c r="P42" i="1" s="1"/>
  <c r="F42" i="6" s="1"/>
  <c r="F43" i="1"/>
  <c r="P43" i="1" s="1"/>
  <c r="F44" i="1"/>
  <c r="P44" i="1" s="1"/>
  <c r="F45" i="1"/>
  <c r="F46" i="1"/>
  <c r="F47" i="1"/>
  <c r="P47" i="1" s="1"/>
  <c r="F48" i="1"/>
  <c r="P48" i="1" s="1"/>
  <c r="F49" i="1"/>
  <c r="P49" i="1" s="1"/>
  <c r="F50" i="1"/>
  <c r="P50" i="1" s="1"/>
  <c r="F51" i="1"/>
  <c r="P51" i="1" s="1"/>
  <c r="F52" i="1"/>
  <c r="P52" i="1" s="1"/>
  <c r="F53" i="1"/>
  <c r="P53" i="1" s="1"/>
  <c r="F54" i="1"/>
  <c r="F55" i="1"/>
  <c r="P55" i="1" s="1"/>
  <c r="F56" i="1"/>
  <c r="P56" i="1" s="1"/>
  <c r="F57" i="1"/>
  <c r="P57" i="1" s="1"/>
  <c r="F58" i="1"/>
  <c r="P58" i="1" s="1"/>
  <c r="F59" i="1"/>
  <c r="P59" i="1" s="1"/>
  <c r="F60" i="1"/>
  <c r="P60" i="1" s="1"/>
  <c r="F61" i="1"/>
  <c r="P61" i="1" s="1"/>
  <c r="F62" i="1"/>
  <c r="F63" i="1"/>
  <c r="P63" i="1" s="1"/>
  <c r="F64" i="1"/>
  <c r="P64" i="1" s="1"/>
  <c r="F65" i="1"/>
  <c r="P65" i="1" s="1"/>
  <c r="F66" i="1"/>
  <c r="P66" i="1" s="1"/>
  <c r="F67" i="1"/>
  <c r="P67" i="1" s="1"/>
  <c r="F68" i="1"/>
  <c r="P68" i="1" s="1"/>
  <c r="F69" i="1"/>
  <c r="P69" i="1" s="1"/>
  <c r="F70" i="1"/>
  <c r="P70" i="1" s="1"/>
  <c r="F71" i="1"/>
  <c r="F72" i="1"/>
  <c r="P72" i="1" s="1"/>
  <c r="F73" i="1"/>
  <c r="P73" i="1" s="1"/>
  <c r="F74" i="1"/>
  <c r="P74" i="1" s="1"/>
  <c r="F75" i="1"/>
  <c r="F76" i="1"/>
  <c r="P76" i="1" s="1"/>
  <c r="F77" i="1"/>
  <c r="F78" i="1"/>
  <c r="P78" i="1" s="1"/>
  <c r="F79" i="1"/>
  <c r="P79" i="1" s="1"/>
  <c r="F80" i="1"/>
  <c r="P80" i="1" s="1"/>
  <c r="F81" i="1"/>
  <c r="P81" i="1" s="1"/>
  <c r="F82" i="1"/>
  <c r="P82" i="1" s="1"/>
  <c r="F83" i="1"/>
  <c r="P83" i="1" s="1"/>
  <c r="F84" i="1"/>
  <c r="P84" i="1" s="1"/>
  <c r="F85" i="1"/>
  <c r="P85" i="1" s="1"/>
  <c r="F86" i="1"/>
  <c r="P86" i="1" s="1"/>
  <c r="F87" i="1"/>
  <c r="P87" i="1" s="1"/>
  <c r="F88" i="1"/>
  <c r="P88" i="1" s="1"/>
  <c r="F89" i="1"/>
  <c r="P89" i="1" s="1"/>
  <c r="F90" i="1"/>
  <c r="P90" i="1" s="1"/>
  <c r="F91" i="1"/>
  <c r="P91" i="1" s="1"/>
  <c r="F92" i="1"/>
  <c r="P92" i="1" s="1"/>
  <c r="F93" i="1"/>
  <c r="P93" i="1" s="1"/>
  <c r="F94" i="1"/>
  <c r="P94" i="1" s="1"/>
  <c r="F95" i="1"/>
  <c r="P95" i="1" s="1"/>
  <c r="F96" i="1"/>
  <c r="P96" i="1" s="1"/>
  <c r="F97" i="1"/>
  <c r="P97" i="1" s="1"/>
  <c r="F98" i="1"/>
  <c r="P98" i="1" s="1"/>
  <c r="F99" i="1"/>
  <c r="P99" i="1" s="1"/>
  <c r="F100" i="1"/>
  <c r="P100" i="1" s="1"/>
  <c r="F101" i="1"/>
  <c r="P101" i="1" s="1"/>
  <c r="F102" i="1"/>
  <c r="P102" i="1" s="1"/>
  <c r="F103" i="1"/>
  <c r="P103" i="1" s="1"/>
  <c r="F104" i="1"/>
  <c r="P104" i="1" s="1"/>
  <c r="F105" i="1"/>
  <c r="P105" i="1" s="1"/>
  <c r="F106" i="1"/>
  <c r="P106" i="1" s="1"/>
  <c r="F107" i="1"/>
  <c r="P107" i="1" s="1"/>
  <c r="F108" i="1"/>
  <c r="P108" i="1" s="1"/>
  <c r="F109" i="1"/>
  <c r="P109" i="1" s="1"/>
  <c r="F110" i="1"/>
  <c r="P110" i="1" s="1"/>
  <c r="F111" i="1"/>
  <c r="P111" i="1" s="1"/>
  <c r="F112" i="1"/>
  <c r="P112" i="1" s="1"/>
  <c r="F113" i="1"/>
  <c r="P113" i="1" s="1"/>
  <c r="F114" i="1"/>
  <c r="F115" i="1"/>
  <c r="P115" i="1" s="1"/>
  <c r="F116" i="1"/>
  <c r="P116" i="1" s="1"/>
  <c r="F117" i="1"/>
  <c r="P117" i="1" s="1"/>
  <c r="F118" i="1"/>
  <c r="F119" i="1"/>
  <c r="P119" i="1" s="1"/>
  <c r="F120" i="1"/>
  <c r="P120" i="1" s="1"/>
  <c r="F121" i="1"/>
  <c r="P121" i="1" s="1"/>
  <c r="F122" i="1"/>
  <c r="F123" i="1"/>
  <c r="P123" i="1" s="1"/>
  <c r="F124" i="1"/>
  <c r="P124" i="1" s="1"/>
  <c r="F125" i="1"/>
  <c r="P125" i="1" s="1"/>
  <c r="F126" i="1"/>
  <c r="F127" i="1"/>
  <c r="P127" i="1" s="1"/>
  <c r="F128" i="1"/>
  <c r="P128" i="1" s="1"/>
  <c r="F129" i="1"/>
  <c r="P129" i="1" s="1"/>
  <c r="F130" i="1"/>
  <c r="P130" i="1" s="1"/>
  <c r="F131" i="1"/>
  <c r="P131" i="1" s="1"/>
  <c r="F132" i="1"/>
  <c r="P132" i="1" s="1"/>
  <c r="F133" i="1"/>
  <c r="P133" i="1" s="1"/>
  <c r="F134" i="1"/>
  <c r="F135" i="1"/>
  <c r="P135" i="1" s="1"/>
  <c r="F136" i="1"/>
  <c r="P136" i="1" s="1"/>
  <c r="F137" i="1"/>
  <c r="P137" i="1" s="1"/>
  <c r="F138" i="1"/>
  <c r="P138" i="1" s="1"/>
  <c r="F139" i="1"/>
  <c r="P139" i="1" s="1"/>
  <c r="F140" i="1"/>
  <c r="P140" i="1" s="1"/>
  <c r="F141" i="1"/>
  <c r="P141" i="1" s="1"/>
  <c r="F142" i="1"/>
  <c r="P142" i="1" s="1"/>
  <c r="F143" i="1"/>
  <c r="P143" i="1" s="1"/>
  <c r="F144" i="1"/>
  <c r="P144" i="1" s="1"/>
  <c r="F145" i="1"/>
  <c r="P145" i="1" s="1"/>
  <c r="F146" i="1"/>
  <c r="F147" i="1"/>
  <c r="P147" i="1" s="1"/>
  <c r="F148" i="1"/>
  <c r="P148" i="1" s="1"/>
  <c r="F149" i="1"/>
  <c r="P149" i="1" s="1"/>
  <c r="F150" i="1"/>
  <c r="P150" i="1" s="1"/>
  <c r="F151" i="1"/>
  <c r="P151" i="1" s="1"/>
  <c r="F152" i="1"/>
  <c r="P152" i="1" s="1"/>
  <c r="F153" i="1"/>
  <c r="P153" i="1" s="1"/>
  <c r="F154" i="1"/>
  <c r="P154" i="1" s="1"/>
  <c r="F155" i="1"/>
  <c r="P155" i="1" s="1"/>
  <c r="F156" i="1"/>
  <c r="P156" i="1" s="1"/>
  <c r="F157" i="1"/>
  <c r="P157" i="1" s="1"/>
  <c r="F158" i="1"/>
  <c r="F159" i="1"/>
  <c r="P159" i="1" s="1"/>
  <c r="F160" i="1"/>
  <c r="P160" i="1" s="1"/>
  <c r="F161" i="1"/>
  <c r="P161" i="1" s="1"/>
  <c r="F162" i="1"/>
  <c r="P162" i="1" s="1"/>
  <c r="F163" i="1"/>
  <c r="P163" i="1" s="1"/>
  <c r="F164" i="1"/>
  <c r="P164" i="1" s="1"/>
  <c r="F165" i="1"/>
  <c r="P165" i="1" s="1"/>
  <c r="F166" i="1"/>
  <c r="F167" i="1"/>
  <c r="P167" i="1" s="1"/>
  <c r="F168" i="1"/>
  <c r="P168" i="1" s="1"/>
  <c r="F169" i="1"/>
  <c r="P169" i="1" s="1"/>
  <c r="F170" i="1"/>
  <c r="F171" i="1"/>
  <c r="P171" i="1" s="1"/>
  <c r="F172" i="1"/>
  <c r="P172" i="1" s="1"/>
  <c r="F173" i="1"/>
  <c r="P173" i="1" s="1"/>
  <c r="F174" i="1"/>
  <c r="P174" i="1" s="1"/>
  <c r="F175" i="1"/>
  <c r="P175" i="1" s="1"/>
  <c r="F176" i="1"/>
  <c r="P176" i="1" s="1"/>
  <c r="F177" i="1"/>
  <c r="P177" i="1" s="1"/>
  <c r="F178" i="1"/>
  <c r="P178" i="1" s="1"/>
  <c r="F179" i="1"/>
  <c r="P179" i="1" s="1"/>
  <c r="F180" i="1"/>
  <c r="P180" i="1" s="1"/>
  <c r="F181" i="1"/>
  <c r="P181" i="1" s="1"/>
  <c r="F182" i="1"/>
  <c r="F183" i="1"/>
  <c r="P183" i="1" s="1"/>
  <c r="F184" i="1"/>
  <c r="P184" i="1" s="1"/>
  <c r="F185" i="1"/>
  <c r="P185" i="1" s="1"/>
  <c r="F186" i="1"/>
  <c r="F187" i="1"/>
  <c r="P187" i="1" s="1"/>
  <c r="F188" i="1"/>
  <c r="P188" i="1" s="1"/>
  <c r="F189" i="1"/>
  <c r="P189" i="1" s="1"/>
  <c r="F190" i="1"/>
  <c r="F191" i="1"/>
  <c r="P191" i="1" s="1"/>
  <c r="F192" i="1"/>
  <c r="P192" i="1" s="1"/>
  <c r="F193" i="1"/>
  <c r="P193" i="1" s="1"/>
  <c r="F194" i="1"/>
  <c r="F195" i="1"/>
  <c r="P195" i="1" s="1"/>
  <c r="F196" i="1"/>
  <c r="P196" i="1" s="1"/>
  <c r="F197" i="1"/>
  <c r="P197" i="1" s="1"/>
  <c r="F198" i="1"/>
  <c r="F199" i="1"/>
  <c r="P199" i="1" s="1"/>
  <c r="F200" i="1"/>
  <c r="P200" i="1" s="1"/>
  <c r="F201" i="1"/>
  <c r="F202" i="1"/>
  <c r="F203" i="1"/>
  <c r="F204" i="1"/>
  <c r="P204" i="1" s="1"/>
  <c r="F205" i="1"/>
  <c r="P205" i="1" s="1"/>
  <c r="F206" i="1"/>
  <c r="F207" i="1"/>
  <c r="P207" i="1" s="1"/>
  <c r="F208" i="1"/>
  <c r="P208" i="1" s="1"/>
  <c r="F209" i="1"/>
  <c r="P209" i="1" s="1"/>
  <c r="F210" i="1"/>
  <c r="P210" i="1" s="1"/>
  <c r="F211" i="1"/>
  <c r="P211" i="1" s="1"/>
  <c r="F212" i="1"/>
  <c r="P212" i="1" s="1"/>
  <c r="F213" i="1"/>
  <c r="P213" i="1" s="1"/>
  <c r="F214" i="1"/>
  <c r="F215" i="1"/>
  <c r="P215" i="1" s="1"/>
  <c r="F216" i="1"/>
  <c r="F217" i="1"/>
  <c r="F218" i="1"/>
  <c r="F219" i="1"/>
  <c r="P219" i="1" s="1"/>
  <c r="F220" i="1"/>
  <c r="P220" i="1" s="1"/>
  <c r="F221" i="1"/>
  <c r="P221" i="1" s="1"/>
  <c r="F222" i="1"/>
  <c r="F223" i="1"/>
  <c r="F224" i="1"/>
  <c r="P224" i="1" s="1"/>
  <c r="F225" i="1"/>
  <c r="P225" i="1" s="1"/>
  <c r="F226" i="1"/>
  <c r="F227" i="1"/>
  <c r="F228" i="1"/>
  <c r="P228" i="1" s="1"/>
  <c r="F229" i="1"/>
  <c r="P229" i="1" s="1"/>
  <c r="F230" i="1"/>
  <c r="F231" i="1"/>
  <c r="F232" i="1"/>
  <c r="P232" i="1" s="1"/>
  <c r="F233" i="1"/>
  <c r="F234" i="1"/>
  <c r="F235" i="1"/>
  <c r="P235" i="1" s="1"/>
  <c r="F236" i="1"/>
  <c r="P236" i="1" s="1"/>
  <c r="F237" i="1"/>
  <c r="P237" i="1" s="1"/>
  <c r="F238" i="1"/>
  <c r="F239" i="1"/>
  <c r="P239" i="1" s="1"/>
  <c r="F240" i="1"/>
  <c r="P240" i="1" s="1"/>
  <c r="F241" i="1"/>
  <c r="F242" i="1"/>
  <c r="F243" i="1"/>
  <c r="F244" i="1"/>
  <c r="P244" i="1" s="1"/>
  <c r="F245" i="1"/>
  <c r="F246" i="1"/>
  <c r="F247" i="1"/>
  <c r="F248" i="1"/>
  <c r="F249" i="1"/>
  <c r="P249" i="1" s="1"/>
  <c r="F250" i="1"/>
  <c r="F251" i="1"/>
  <c r="P251" i="1" s="1"/>
  <c r="F252" i="1"/>
  <c r="P252" i="1" s="1"/>
  <c r="F253" i="1"/>
  <c r="P253" i="1" s="1"/>
  <c r="F254" i="1"/>
  <c r="F255" i="1"/>
  <c r="F256" i="1"/>
  <c r="P256" i="1" s="1"/>
  <c r="F257" i="1"/>
  <c r="F258" i="1"/>
  <c r="F259" i="1"/>
  <c r="F260" i="1"/>
  <c r="P260" i="1" s="1"/>
  <c r="F261" i="1"/>
  <c r="P261" i="1" s="1"/>
  <c r="F262" i="1"/>
  <c r="F263" i="1"/>
  <c r="P263" i="1" s="1"/>
  <c r="F264" i="1"/>
  <c r="P264" i="1" s="1"/>
  <c r="F265" i="1"/>
  <c r="F266" i="1"/>
  <c r="P266" i="1" s="1"/>
  <c r="F267" i="1"/>
  <c r="P267" i="1" s="1"/>
  <c r="F268" i="1"/>
  <c r="P268" i="1" s="1"/>
  <c r="F269" i="1"/>
  <c r="F270" i="1"/>
  <c r="F271" i="1"/>
  <c r="P271" i="1" s="1"/>
  <c r="F272" i="1"/>
  <c r="P272" i="1" s="1"/>
  <c r="F273" i="1"/>
  <c r="P273" i="1" s="1"/>
  <c r="F274" i="1"/>
  <c r="F275" i="1"/>
  <c r="P275" i="1" s="1"/>
  <c r="F276" i="1"/>
  <c r="P276" i="1" s="1"/>
  <c r="F277" i="1"/>
  <c r="P277" i="1" s="1"/>
  <c r="F278" i="1"/>
  <c r="F279" i="1"/>
  <c r="F280" i="1"/>
  <c r="P280" i="1" s="1"/>
  <c r="F281" i="1"/>
  <c r="P281" i="1" s="1"/>
  <c r="F282" i="1"/>
  <c r="F283" i="1"/>
  <c r="P283" i="1" s="1"/>
  <c r="F284" i="1"/>
  <c r="P284" i="1" s="1"/>
  <c r="F285" i="1"/>
  <c r="P285" i="1" s="1"/>
  <c r="F286" i="1"/>
  <c r="F287" i="1"/>
  <c r="F288" i="1"/>
  <c r="P288" i="1" s="1"/>
  <c r="F289" i="1"/>
  <c r="P289" i="1" s="1"/>
  <c r="F290" i="1"/>
  <c r="F291" i="1"/>
  <c r="P291" i="1" s="1"/>
  <c r="F292" i="1"/>
  <c r="P292" i="1" s="1"/>
  <c r="F293" i="1"/>
  <c r="P293" i="1" s="1"/>
  <c r="F294" i="1"/>
  <c r="F295" i="1"/>
  <c r="F296" i="1"/>
  <c r="P296" i="1" s="1"/>
  <c r="F297" i="1"/>
  <c r="P297" i="1" s="1"/>
  <c r="F298" i="1"/>
  <c r="F299" i="1"/>
  <c r="P299" i="1" s="1"/>
  <c r="F300" i="1"/>
  <c r="P300" i="1" s="1"/>
  <c r="F301" i="1"/>
  <c r="P301" i="1" s="1"/>
  <c r="F302" i="1"/>
  <c r="F303" i="1"/>
  <c r="P303" i="1" s="1"/>
  <c r="F304" i="1"/>
  <c r="P304" i="1" s="1"/>
  <c r="F305" i="1"/>
  <c r="P305" i="1" s="1"/>
  <c r="F306" i="1"/>
  <c r="F307" i="1"/>
  <c r="P307" i="1" s="1"/>
  <c r="F308" i="1"/>
  <c r="P308" i="1" s="1"/>
  <c r="F309" i="1"/>
  <c r="P309" i="1" s="1"/>
  <c r="F310" i="1"/>
  <c r="P310" i="1" s="1"/>
  <c r="F311" i="1"/>
  <c r="P311" i="1" s="1"/>
  <c r="F312" i="1"/>
  <c r="P312" i="1" s="1"/>
  <c r="F313" i="1"/>
  <c r="P313" i="1" s="1"/>
  <c r="F314" i="1"/>
  <c r="F315" i="1"/>
  <c r="F316" i="1"/>
  <c r="P316" i="1" s="1"/>
  <c r="F317" i="1"/>
  <c r="P317" i="1" s="1"/>
  <c r="F318" i="1"/>
  <c r="F319" i="1"/>
  <c r="P319" i="1" s="1"/>
  <c r="F320" i="1"/>
  <c r="P320" i="1" s="1"/>
  <c r="F321" i="1"/>
  <c r="P321" i="1" s="1"/>
  <c r="F322" i="1"/>
  <c r="F323" i="1"/>
  <c r="F324" i="1"/>
  <c r="P324" i="1" s="1"/>
  <c r="F325" i="1"/>
  <c r="F326" i="1"/>
  <c r="F327" i="1"/>
  <c r="P327" i="1" s="1"/>
  <c r="F328" i="1"/>
  <c r="P328" i="1" s="1"/>
  <c r="F329" i="1"/>
  <c r="P329" i="1" s="1"/>
  <c r="F330" i="1"/>
  <c r="F331" i="1"/>
  <c r="F332" i="1"/>
  <c r="P332" i="1" s="1"/>
  <c r="F333" i="1"/>
  <c r="P333" i="1" s="1"/>
  <c r="F334" i="1"/>
  <c r="F335" i="1"/>
  <c r="P335" i="1" s="1"/>
  <c r="F336" i="1"/>
  <c r="P336" i="1" s="1"/>
  <c r="F337" i="1"/>
  <c r="P337" i="1" s="1"/>
  <c r="F338" i="1"/>
  <c r="F339" i="1"/>
  <c r="P339" i="1" s="1"/>
  <c r="F340" i="1"/>
  <c r="P340" i="1" s="1"/>
  <c r="F341" i="1"/>
  <c r="P341" i="1" s="1"/>
  <c r="F342" i="1"/>
  <c r="P342" i="1" s="1"/>
  <c r="F343" i="1"/>
  <c r="F344" i="1"/>
  <c r="P344" i="1" s="1"/>
  <c r="F345" i="1"/>
  <c r="P345" i="1" s="1"/>
  <c r="F346" i="1"/>
  <c r="F347" i="1"/>
  <c r="P347" i="1" s="1"/>
  <c r="F348" i="1"/>
  <c r="P348" i="1" s="1"/>
  <c r="F349" i="1"/>
  <c r="P349" i="1" s="1"/>
  <c r="F350" i="1"/>
  <c r="F351" i="1"/>
  <c r="P351" i="1" s="1"/>
  <c r="F352" i="1"/>
  <c r="P352" i="1" s="1"/>
  <c r="F353" i="1"/>
  <c r="P353" i="1" s="1"/>
  <c r="F354" i="1"/>
  <c r="F355" i="1"/>
  <c r="P355" i="1" s="1"/>
  <c r="F356" i="1"/>
  <c r="P356" i="1" s="1"/>
  <c r="F357" i="1"/>
  <c r="P357" i="1" s="1"/>
  <c r="F358" i="1"/>
  <c r="F359" i="1"/>
  <c r="P359" i="1" s="1"/>
  <c r="F360" i="1"/>
  <c r="P360" i="1" s="1"/>
  <c r="F361" i="1"/>
  <c r="P361" i="1" s="1"/>
  <c r="F362" i="1"/>
  <c r="F363" i="1"/>
  <c r="P363" i="1" s="1"/>
  <c r="F364" i="1"/>
  <c r="P364" i="1" s="1"/>
  <c r="F365" i="1"/>
  <c r="P365" i="1" s="1"/>
  <c r="F366" i="1"/>
  <c r="P366" i="1" s="1"/>
  <c r="F367" i="1"/>
  <c r="P367" i="1" s="1"/>
  <c r="F368" i="1"/>
  <c r="P368" i="1" s="1"/>
  <c r="F369" i="1"/>
  <c r="P369" i="1" s="1"/>
  <c r="F370" i="1"/>
  <c r="F371" i="1"/>
  <c r="P371" i="1" s="1"/>
  <c r="F372" i="1"/>
  <c r="P372" i="1" s="1"/>
  <c r="F373" i="1"/>
  <c r="P373" i="1" s="1"/>
  <c r="F374" i="1"/>
  <c r="F375" i="1"/>
  <c r="P375" i="1" s="1"/>
  <c r="F376" i="1"/>
  <c r="P376" i="1" s="1"/>
  <c r="F377" i="1"/>
  <c r="P377" i="1" s="1"/>
  <c r="F378" i="1"/>
  <c r="F379" i="1"/>
  <c r="P379" i="1" s="1"/>
  <c r="F380" i="1"/>
  <c r="F381" i="1"/>
  <c r="P381" i="1" s="1"/>
  <c r="F382" i="1"/>
  <c r="F383" i="1"/>
  <c r="F384" i="1"/>
  <c r="P384" i="1" s="1"/>
  <c r="F385" i="1"/>
  <c r="P385" i="1" s="1"/>
  <c r="F386" i="1"/>
  <c r="P386" i="1" s="1"/>
  <c r="F387" i="1"/>
  <c r="P387" i="1" s="1"/>
  <c r="F388" i="1"/>
  <c r="P388" i="1" s="1"/>
  <c r="F389" i="1"/>
  <c r="P389" i="1" s="1"/>
  <c r="F390" i="1"/>
  <c r="F391" i="1"/>
  <c r="P391" i="1" s="1"/>
  <c r="F392" i="1"/>
  <c r="P392" i="1" s="1"/>
  <c r="F393" i="1"/>
  <c r="P393" i="1" s="1"/>
  <c r="F394" i="1"/>
  <c r="F395" i="1"/>
  <c r="P395" i="1" s="1"/>
  <c r="F396" i="1"/>
  <c r="F397" i="1"/>
  <c r="P397" i="1" s="1"/>
  <c r="F398" i="1"/>
  <c r="P398" i="1" s="1"/>
  <c r="F399" i="1"/>
  <c r="P399" i="1" s="1"/>
  <c r="F400" i="1"/>
  <c r="F401" i="1"/>
  <c r="P401" i="1" s="1"/>
  <c r="F402" i="1"/>
  <c r="F403" i="1"/>
  <c r="P403" i="1" s="1"/>
  <c r="F404" i="1"/>
  <c r="P404" i="1" s="1"/>
  <c r="F405" i="1"/>
  <c r="P405" i="1" s="1"/>
  <c r="F406" i="1"/>
  <c r="P406" i="1" s="1"/>
  <c r="F407" i="1"/>
  <c r="F408" i="1"/>
  <c r="P408" i="1" s="1"/>
  <c r="F409" i="1"/>
  <c r="P409" i="1" s="1"/>
  <c r="F410" i="1"/>
  <c r="F411" i="1"/>
  <c r="P411" i="1" s="1"/>
  <c r="F412" i="1"/>
  <c r="F413" i="1"/>
  <c r="P413" i="1" s="1"/>
  <c r="F414" i="1"/>
  <c r="F415" i="1"/>
  <c r="P415" i="1" s="1"/>
  <c r="F416" i="1"/>
  <c r="P416" i="1" s="1"/>
  <c r="F417" i="1"/>
  <c r="P417" i="1" s="1"/>
  <c r="F418" i="1"/>
  <c r="F419" i="1"/>
  <c r="P419" i="1" s="1"/>
  <c r="F420" i="1"/>
  <c r="P420" i="1" s="1"/>
  <c r="F421" i="1"/>
  <c r="P421" i="1" s="1"/>
  <c r="F422" i="1"/>
  <c r="F423" i="1"/>
  <c r="P423" i="1" s="1"/>
  <c r="F424" i="1"/>
  <c r="P424" i="1" s="1"/>
  <c r="F425" i="1"/>
  <c r="P425" i="1" s="1"/>
  <c r="F426" i="1"/>
  <c r="F427" i="1"/>
  <c r="P427" i="1" s="1"/>
  <c r="F428" i="1"/>
  <c r="P428" i="1" s="1"/>
  <c r="F429" i="1"/>
  <c r="P429" i="1" s="1"/>
  <c r="F430" i="1"/>
  <c r="F431" i="1"/>
  <c r="F432" i="1"/>
  <c r="P432" i="1" s="1"/>
  <c r="F433" i="1"/>
  <c r="P433" i="1" s="1"/>
  <c r="F434" i="1"/>
  <c r="F435" i="1"/>
  <c r="P435" i="1" s="1"/>
  <c r="F436" i="1"/>
  <c r="P436" i="1" s="1"/>
  <c r="F437" i="1"/>
  <c r="P437" i="1" s="1"/>
  <c r="F438" i="1"/>
  <c r="F439" i="1"/>
  <c r="P439" i="1" s="1"/>
  <c r="F440" i="1"/>
  <c r="F441" i="1"/>
  <c r="P441" i="1" s="1"/>
  <c r="F442" i="1"/>
  <c r="F443" i="1"/>
  <c r="P443" i="1" s="1"/>
  <c r="F444" i="1"/>
  <c r="P444" i="1" s="1"/>
  <c r="F445" i="1"/>
  <c r="P445" i="1" s="1"/>
  <c r="F446" i="1"/>
  <c r="F447" i="1"/>
  <c r="F448" i="1"/>
  <c r="P448" i="1" s="1"/>
  <c r="F449" i="1"/>
  <c r="P449" i="1" s="1"/>
  <c r="F450" i="1"/>
  <c r="F451" i="1"/>
  <c r="P451" i="1" s="1"/>
  <c r="F452" i="1"/>
  <c r="P452" i="1" s="1"/>
  <c r="F453" i="1"/>
  <c r="P453" i="1" s="1"/>
  <c r="F454" i="1"/>
  <c r="F455" i="1"/>
  <c r="P455" i="1" s="1"/>
  <c r="F456" i="1"/>
  <c r="P456" i="1" s="1"/>
  <c r="F457" i="1"/>
  <c r="P457" i="1" s="1"/>
  <c r="F458" i="1"/>
  <c r="F459" i="1"/>
  <c r="P459" i="1" s="1"/>
  <c r="F460" i="1"/>
  <c r="P460" i="1" s="1"/>
  <c r="F461" i="1"/>
  <c r="P461" i="1" s="1"/>
  <c r="F462" i="1"/>
  <c r="F463" i="1"/>
  <c r="F464" i="1"/>
  <c r="P464" i="1" s="1"/>
  <c r="F465" i="1"/>
  <c r="P465" i="1" s="1"/>
  <c r="F466" i="1"/>
  <c r="F467" i="1"/>
  <c r="P467" i="1" s="1"/>
  <c r="F468" i="1"/>
  <c r="P468" i="1" s="1"/>
  <c r="F469" i="1"/>
  <c r="P469" i="1" s="1"/>
  <c r="F470" i="1"/>
  <c r="F471" i="1"/>
  <c r="P471" i="1" s="1"/>
  <c r="F472" i="1"/>
  <c r="P472" i="1" s="1"/>
  <c r="F473" i="1"/>
  <c r="P473" i="1" s="1"/>
  <c r="F474" i="1"/>
  <c r="F475" i="1"/>
  <c r="P475" i="1" s="1"/>
  <c r="F476" i="1"/>
  <c r="P476" i="1" s="1"/>
  <c r="F477" i="1"/>
  <c r="P477" i="1" s="1"/>
  <c r="F478" i="1"/>
  <c r="F479" i="1"/>
  <c r="P479" i="1" s="1"/>
  <c r="F480" i="1"/>
  <c r="P480" i="1" s="1"/>
  <c r="F481" i="1"/>
  <c r="P481" i="1" s="1"/>
  <c r="F482" i="1"/>
  <c r="F483" i="1"/>
  <c r="P483" i="1" s="1"/>
  <c r="F484" i="1"/>
  <c r="P484" i="1" s="1"/>
  <c r="F485" i="1"/>
  <c r="P485" i="1" s="1"/>
  <c r="F486" i="1"/>
  <c r="F487" i="1"/>
  <c r="P487" i="1" s="1"/>
  <c r="F488" i="1"/>
  <c r="P488" i="1" s="1"/>
  <c r="F489" i="1"/>
  <c r="P489" i="1" s="1"/>
  <c r="F490" i="1"/>
  <c r="F491" i="1"/>
  <c r="P491" i="1" s="1"/>
  <c r="F492" i="1"/>
  <c r="P492" i="1" s="1"/>
  <c r="F493" i="1"/>
  <c r="P493" i="1" s="1"/>
  <c r="F494" i="1"/>
  <c r="F495" i="1"/>
  <c r="P495" i="1" s="1"/>
  <c r="F496" i="1"/>
  <c r="P496" i="1" s="1"/>
  <c r="F497" i="1"/>
  <c r="P497" i="1" s="1"/>
  <c r="F498" i="1"/>
  <c r="P498" i="1" s="1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E3" i="1"/>
  <c r="G3" i="6" s="1"/>
  <c r="E2" i="1"/>
  <c r="AJ2" i="1" s="1"/>
  <c r="A2" i="6"/>
  <c r="D2" i="6"/>
  <c r="C96" i="1"/>
  <c r="B96" i="1"/>
  <c r="C96" i="4" s="1"/>
  <c r="C95" i="1"/>
  <c r="B95" i="1"/>
  <c r="C95" i="4" s="1"/>
  <c r="C94" i="1"/>
  <c r="B94" i="1"/>
  <c r="C94" i="4" s="1"/>
  <c r="C93" i="1"/>
  <c r="B93" i="1"/>
  <c r="C93" i="4" s="1"/>
  <c r="C92" i="1"/>
  <c r="B92" i="1"/>
  <c r="C92" i="4" s="1"/>
  <c r="C91" i="1"/>
  <c r="B91" i="1"/>
  <c r="C91" i="4" s="1"/>
  <c r="C90" i="1"/>
  <c r="B90" i="1"/>
  <c r="C90" i="4" s="1"/>
  <c r="C89" i="1"/>
  <c r="B89" i="1"/>
  <c r="C89" i="4" s="1"/>
  <c r="C88" i="1"/>
  <c r="B88" i="1"/>
  <c r="C88" i="4" s="1"/>
  <c r="C87" i="1"/>
  <c r="B87" i="1"/>
  <c r="C87" i="4" s="1"/>
  <c r="C86" i="1"/>
  <c r="B86" i="1"/>
  <c r="C86" i="4" s="1"/>
  <c r="C85" i="1"/>
  <c r="B85" i="1"/>
  <c r="C85" i="4" s="1"/>
  <c r="C84" i="1"/>
  <c r="B84" i="1"/>
  <c r="C84" i="4" s="1"/>
  <c r="C83" i="1"/>
  <c r="B83" i="1"/>
  <c r="C83" i="4" s="1"/>
  <c r="C82" i="1"/>
  <c r="B82" i="1"/>
  <c r="C82" i="4" s="1"/>
  <c r="C81" i="1"/>
  <c r="B81" i="1"/>
  <c r="C81" i="4" s="1"/>
  <c r="C80" i="1"/>
  <c r="B80" i="1"/>
  <c r="C80" i="4" s="1"/>
  <c r="C79" i="1"/>
  <c r="B79" i="1"/>
  <c r="C79" i="4" s="1"/>
  <c r="C78" i="1"/>
  <c r="B78" i="1"/>
  <c r="C78" i="4" s="1"/>
  <c r="C77" i="1"/>
  <c r="B77" i="1"/>
  <c r="C77" i="4" s="1"/>
  <c r="C76" i="1"/>
  <c r="B76" i="1"/>
  <c r="C76" i="4" s="1"/>
  <c r="C75" i="1"/>
  <c r="B75" i="1"/>
  <c r="C75" i="4" s="1"/>
  <c r="C74" i="1"/>
  <c r="B74" i="1"/>
  <c r="C74" i="4" s="1"/>
  <c r="C73" i="1"/>
  <c r="B73" i="1"/>
  <c r="C73" i="4" s="1"/>
  <c r="C72" i="1"/>
  <c r="B72" i="1"/>
  <c r="C72" i="4" s="1"/>
  <c r="C71" i="1"/>
  <c r="B71" i="1"/>
  <c r="C71" i="4" s="1"/>
  <c r="C70" i="1"/>
  <c r="B70" i="1"/>
  <c r="C70" i="4" s="1"/>
  <c r="C69" i="1"/>
  <c r="B69" i="1"/>
  <c r="C69" i="4" s="1"/>
  <c r="C68" i="1"/>
  <c r="B68" i="1"/>
  <c r="C68" i="4" s="1"/>
  <c r="C67" i="1"/>
  <c r="B67" i="1"/>
  <c r="C67" i="4" s="1"/>
  <c r="C66" i="1"/>
  <c r="B66" i="1"/>
  <c r="C66" i="4" s="1"/>
  <c r="C65" i="1"/>
  <c r="B65" i="1"/>
  <c r="C65" i="4" s="1"/>
  <c r="C64" i="1"/>
  <c r="B64" i="1"/>
  <c r="C64" i="4" s="1"/>
  <c r="C63" i="1"/>
  <c r="B63" i="1"/>
  <c r="C63" i="4" s="1"/>
  <c r="C62" i="1"/>
  <c r="B62" i="1"/>
  <c r="C62" i="4" s="1"/>
  <c r="C61" i="1"/>
  <c r="B61" i="1"/>
  <c r="C61" i="4" s="1"/>
  <c r="C60" i="1"/>
  <c r="B60" i="1"/>
  <c r="C60" i="4" s="1"/>
  <c r="C59" i="1"/>
  <c r="B59" i="1"/>
  <c r="C59" i="4" s="1"/>
  <c r="C58" i="1"/>
  <c r="B58" i="1"/>
  <c r="C58" i="4" s="1"/>
  <c r="C57" i="1"/>
  <c r="B57" i="1"/>
  <c r="C57" i="4" s="1"/>
  <c r="C56" i="1"/>
  <c r="B56" i="1"/>
  <c r="C56" i="4" s="1"/>
  <c r="C55" i="1"/>
  <c r="B55" i="1"/>
  <c r="C55" i="4" s="1"/>
  <c r="C54" i="1"/>
  <c r="B54" i="1"/>
  <c r="C54" i="4" s="1"/>
  <c r="C53" i="1"/>
  <c r="B53" i="1"/>
  <c r="C53" i="4" s="1"/>
  <c r="C52" i="1"/>
  <c r="B52" i="1"/>
  <c r="C52" i="4" s="1"/>
  <c r="C51" i="1"/>
  <c r="B51" i="1"/>
  <c r="C51" i="4" s="1"/>
  <c r="C50" i="1"/>
  <c r="B50" i="1"/>
  <c r="C50" i="4" s="1"/>
  <c r="C49" i="1"/>
  <c r="B49" i="1"/>
  <c r="C49" i="4" s="1"/>
  <c r="C48" i="1"/>
  <c r="B48" i="1"/>
  <c r="C48" i="4" s="1"/>
  <c r="C47" i="1"/>
  <c r="B47" i="1"/>
  <c r="C47" i="4" s="1"/>
  <c r="C46" i="1"/>
  <c r="B46" i="1"/>
  <c r="C46" i="4" s="1"/>
  <c r="C45" i="1"/>
  <c r="B45" i="1"/>
  <c r="C45" i="4" s="1"/>
  <c r="C44" i="1"/>
  <c r="B44" i="1"/>
  <c r="C44" i="4" s="1"/>
  <c r="C43" i="1"/>
  <c r="B43" i="1"/>
  <c r="C43" i="4" s="1"/>
  <c r="C42" i="1"/>
  <c r="B42" i="6" s="1"/>
  <c r="B42" i="1"/>
  <c r="C42" i="6" s="1"/>
  <c r="C41" i="1"/>
  <c r="B41" i="6" s="1"/>
  <c r="B41" i="1"/>
  <c r="C41" i="6" s="1"/>
  <c r="C40" i="1"/>
  <c r="B40" i="6" s="1"/>
  <c r="B40" i="1"/>
  <c r="C40" i="4" s="1"/>
  <c r="C39" i="1"/>
  <c r="B39" i="6" s="1"/>
  <c r="B39" i="1"/>
  <c r="C39" i="4" s="1"/>
  <c r="C38" i="1"/>
  <c r="B38" i="6" s="1"/>
  <c r="B38" i="1"/>
  <c r="C38" i="4" s="1"/>
  <c r="C37" i="1"/>
  <c r="B37" i="6" s="1"/>
  <c r="B37" i="1"/>
  <c r="C37" i="4" s="1"/>
  <c r="C36" i="1"/>
  <c r="B36" i="6" s="1"/>
  <c r="B36" i="1"/>
  <c r="C36" i="4" s="1"/>
  <c r="C35" i="1"/>
  <c r="B35" i="6" s="1"/>
  <c r="B35" i="1"/>
  <c r="C35" i="4" s="1"/>
  <c r="C34" i="1"/>
  <c r="B34" i="6" s="1"/>
  <c r="B34" i="1"/>
  <c r="C33" i="1"/>
  <c r="B33" i="6" s="1"/>
  <c r="B33" i="1"/>
  <c r="C33" i="4" s="1"/>
  <c r="C32" i="1"/>
  <c r="B32" i="6" s="1"/>
  <c r="B32" i="1"/>
  <c r="C32" i="6" s="1"/>
  <c r="C31" i="1"/>
  <c r="B31" i="6" s="1"/>
  <c r="B31" i="1"/>
  <c r="C31" i="6" s="1"/>
  <c r="C30" i="1"/>
  <c r="B30" i="6" s="1"/>
  <c r="B30" i="1"/>
  <c r="C29" i="1"/>
  <c r="B29" i="6" s="1"/>
  <c r="B29" i="1"/>
  <c r="C29" i="4" s="1"/>
  <c r="C28" i="1"/>
  <c r="B28" i="6" s="1"/>
  <c r="B28" i="1"/>
  <c r="C28" i="4" s="1"/>
  <c r="C27" i="1"/>
  <c r="B27" i="6" s="1"/>
  <c r="B27" i="1"/>
  <c r="C27" i="4" s="1"/>
  <c r="C26" i="1"/>
  <c r="B26" i="6" s="1"/>
  <c r="B26" i="1"/>
  <c r="C25" i="1"/>
  <c r="B25" i="6" s="1"/>
  <c r="B25" i="1"/>
  <c r="C25" i="4" s="1"/>
  <c r="C24" i="1"/>
  <c r="B24" i="6" s="1"/>
  <c r="B24" i="1"/>
  <c r="C24" i="6" s="1"/>
  <c r="C23" i="1"/>
  <c r="B23" i="6" s="1"/>
  <c r="B23" i="1"/>
  <c r="C23" i="6" s="1"/>
  <c r="B22" i="1"/>
  <c r="C22" i="4" s="1"/>
  <c r="B21" i="1"/>
  <c r="C21" i="4" s="1"/>
  <c r="B20" i="1"/>
  <c r="B19" i="1"/>
  <c r="C19" i="6" s="1"/>
  <c r="B18" i="1"/>
  <c r="B17" i="1"/>
  <c r="B16" i="1"/>
  <c r="B15" i="1"/>
  <c r="C15" i="6" s="1"/>
  <c r="B14" i="1"/>
  <c r="C14" i="6" s="1"/>
  <c r="B13" i="1"/>
  <c r="B12" i="1"/>
  <c r="C12" i="6" s="1"/>
  <c r="B11" i="1"/>
  <c r="C11" i="6" s="1"/>
  <c r="B10" i="1"/>
  <c r="B9" i="1"/>
  <c r="C9" i="6" s="1"/>
  <c r="B8" i="1"/>
  <c r="G2" i="1"/>
  <c r="Q2" i="1" s="1"/>
  <c r="G3" i="1"/>
  <c r="Q3" i="1" s="1"/>
  <c r="G4" i="1"/>
  <c r="Q4" i="1" s="1"/>
  <c r="G5" i="1"/>
  <c r="Q5" i="1" s="1"/>
  <c r="G6" i="1"/>
  <c r="Q6" i="1" s="1"/>
  <c r="G7" i="1"/>
  <c r="Q7" i="1" s="1"/>
  <c r="G8" i="1"/>
  <c r="Q8" i="1" s="1"/>
  <c r="G9" i="1"/>
  <c r="Q9" i="1" s="1"/>
  <c r="G10" i="1"/>
  <c r="Q10" i="1" s="1"/>
  <c r="G11" i="1"/>
  <c r="Q11" i="1" s="1"/>
  <c r="G12" i="1"/>
  <c r="Q12" i="1" s="1"/>
  <c r="G13" i="1"/>
  <c r="Q13" i="1" s="1"/>
  <c r="G14" i="1"/>
  <c r="Q14" i="1" s="1"/>
  <c r="G15" i="1"/>
  <c r="Q15" i="1" s="1"/>
  <c r="G16" i="1"/>
  <c r="Q16" i="1" s="1"/>
  <c r="G17" i="1"/>
  <c r="Q17" i="1" s="1"/>
  <c r="G18" i="1"/>
  <c r="Q18" i="1" s="1"/>
  <c r="G19" i="1"/>
  <c r="Q19" i="1" s="1"/>
  <c r="G20" i="1"/>
  <c r="Q20" i="1" s="1"/>
  <c r="G21" i="1"/>
  <c r="Q21" i="1" s="1"/>
  <c r="G22" i="1"/>
  <c r="Q22" i="1" s="1"/>
  <c r="G23" i="1"/>
  <c r="Q23" i="1" s="1"/>
  <c r="G24" i="1"/>
  <c r="Q24" i="1" s="1"/>
  <c r="G25" i="1"/>
  <c r="Q25" i="1" s="1"/>
  <c r="G26" i="1"/>
  <c r="Q26" i="1" s="1"/>
  <c r="G27" i="1"/>
  <c r="Q27" i="1" s="1"/>
  <c r="G28" i="1"/>
  <c r="Q28" i="1" s="1"/>
  <c r="G29" i="1"/>
  <c r="Q29" i="1" s="1"/>
  <c r="G30" i="1"/>
  <c r="Q30" i="1" s="1"/>
  <c r="G31" i="1"/>
  <c r="Q31" i="1" s="1"/>
  <c r="G32" i="1"/>
  <c r="Q32" i="1" s="1"/>
  <c r="G33" i="1"/>
  <c r="Q33" i="1" s="1"/>
  <c r="G34" i="1"/>
  <c r="Q34" i="1" s="1"/>
  <c r="G35" i="1"/>
  <c r="Q35" i="1" s="1"/>
  <c r="G36" i="1"/>
  <c r="Q36" i="1" s="1"/>
  <c r="G37" i="1"/>
  <c r="Q37" i="1" s="1"/>
  <c r="G38" i="1"/>
  <c r="Q38" i="1" s="1"/>
  <c r="G39" i="1"/>
  <c r="Q39" i="1" s="1"/>
  <c r="G40" i="1"/>
  <c r="Q40" i="1" s="1"/>
  <c r="G41" i="1"/>
  <c r="Q41" i="1" s="1"/>
  <c r="G42" i="1"/>
  <c r="Q42" i="1" s="1"/>
  <c r="G43" i="1"/>
  <c r="Q43" i="1" s="1"/>
  <c r="G44" i="1"/>
  <c r="Q44" i="1" s="1"/>
  <c r="G45" i="1"/>
  <c r="Q45" i="1" s="1"/>
  <c r="G46" i="1"/>
  <c r="Q46" i="1" s="1"/>
  <c r="G47" i="1"/>
  <c r="Q47" i="1" s="1"/>
  <c r="G48" i="1"/>
  <c r="Q48" i="1" s="1"/>
  <c r="G49" i="1"/>
  <c r="Q49" i="1" s="1"/>
  <c r="G50" i="1"/>
  <c r="Q50" i="1" s="1"/>
  <c r="G51" i="1"/>
  <c r="Q51" i="1" s="1"/>
  <c r="G52" i="1"/>
  <c r="Q52" i="1" s="1"/>
  <c r="G53" i="1"/>
  <c r="Q53" i="1" s="1"/>
  <c r="G54" i="1"/>
  <c r="Q54" i="1" s="1"/>
  <c r="G55" i="1"/>
  <c r="Q55" i="1" s="1"/>
  <c r="G56" i="1"/>
  <c r="Q56" i="1" s="1"/>
  <c r="G57" i="1"/>
  <c r="Q57" i="1" s="1"/>
  <c r="G58" i="1"/>
  <c r="Q58" i="1" s="1"/>
  <c r="G59" i="1"/>
  <c r="Q59" i="1" s="1"/>
  <c r="G60" i="1"/>
  <c r="Q60" i="1" s="1"/>
  <c r="G61" i="1"/>
  <c r="Q61" i="1" s="1"/>
  <c r="G62" i="1"/>
  <c r="Q62" i="1" s="1"/>
  <c r="G63" i="1"/>
  <c r="Q63" i="1" s="1"/>
  <c r="G64" i="1"/>
  <c r="Q64" i="1" s="1"/>
  <c r="G65" i="1"/>
  <c r="Q65" i="1" s="1"/>
  <c r="G66" i="1"/>
  <c r="Q66" i="1" s="1"/>
  <c r="G67" i="1"/>
  <c r="Q67" i="1" s="1"/>
  <c r="G68" i="1"/>
  <c r="Q68" i="1" s="1"/>
  <c r="G69" i="1"/>
  <c r="Q69" i="1" s="1"/>
  <c r="G70" i="1"/>
  <c r="Q70" i="1" s="1"/>
  <c r="G71" i="1"/>
  <c r="Q71" i="1" s="1"/>
  <c r="G72" i="1"/>
  <c r="Q72" i="1" s="1"/>
  <c r="G73" i="1"/>
  <c r="Q73" i="1" s="1"/>
  <c r="G74" i="1"/>
  <c r="Q74" i="1" s="1"/>
  <c r="G75" i="1"/>
  <c r="Q75" i="1" s="1"/>
  <c r="G76" i="1"/>
  <c r="Q76" i="1" s="1"/>
  <c r="G77" i="1"/>
  <c r="Q77" i="1" s="1"/>
  <c r="G78" i="1"/>
  <c r="Q78" i="1" s="1"/>
  <c r="G79" i="1"/>
  <c r="Q79" i="1" s="1"/>
  <c r="G80" i="1"/>
  <c r="Q80" i="1" s="1"/>
  <c r="G81" i="1"/>
  <c r="Q81" i="1" s="1"/>
  <c r="G82" i="1"/>
  <c r="Q82" i="1" s="1"/>
  <c r="G83" i="1"/>
  <c r="Q83" i="1" s="1"/>
  <c r="G84" i="1"/>
  <c r="Q84" i="1" s="1"/>
  <c r="G85" i="1"/>
  <c r="Q85" i="1" s="1"/>
  <c r="G86" i="1"/>
  <c r="Q86" i="1" s="1"/>
  <c r="G87" i="1"/>
  <c r="Q87" i="1" s="1"/>
  <c r="G88" i="1"/>
  <c r="Q88" i="1" s="1"/>
  <c r="G89" i="1"/>
  <c r="Q89" i="1" s="1"/>
  <c r="G90" i="1"/>
  <c r="Q90" i="1" s="1"/>
  <c r="G91" i="1"/>
  <c r="Q91" i="1" s="1"/>
  <c r="G92" i="1"/>
  <c r="Q92" i="1" s="1"/>
  <c r="G93" i="1"/>
  <c r="Q93" i="1" s="1"/>
  <c r="G94" i="1"/>
  <c r="Q94" i="1" s="1"/>
  <c r="G95" i="1"/>
  <c r="Q95" i="1" s="1"/>
  <c r="G96" i="1"/>
  <c r="Q96" i="1" s="1"/>
  <c r="G97" i="1"/>
  <c r="Q97" i="1" s="1"/>
  <c r="G98" i="1"/>
  <c r="Q98" i="1" s="1"/>
  <c r="G99" i="1"/>
  <c r="Q99" i="1" s="1"/>
  <c r="G100" i="1"/>
  <c r="Q100" i="1" s="1"/>
  <c r="G101" i="1"/>
  <c r="Q101" i="1" s="1"/>
  <c r="G102" i="1"/>
  <c r="Q102" i="1" s="1"/>
  <c r="G103" i="1"/>
  <c r="Q103" i="1" s="1"/>
  <c r="G104" i="1"/>
  <c r="Q104" i="1" s="1"/>
  <c r="G105" i="1"/>
  <c r="Q105" i="1" s="1"/>
  <c r="G106" i="1"/>
  <c r="Q106" i="1" s="1"/>
  <c r="G107" i="1"/>
  <c r="Q107" i="1" s="1"/>
  <c r="G108" i="1"/>
  <c r="Q108" i="1" s="1"/>
  <c r="G109" i="1"/>
  <c r="Q109" i="1" s="1"/>
  <c r="G110" i="1"/>
  <c r="Q110" i="1" s="1"/>
  <c r="G111" i="1"/>
  <c r="Q111" i="1" s="1"/>
  <c r="G112" i="1"/>
  <c r="Q112" i="1" s="1"/>
  <c r="G113" i="1"/>
  <c r="Q113" i="1" s="1"/>
  <c r="G114" i="1"/>
  <c r="Q114" i="1" s="1"/>
  <c r="G115" i="1"/>
  <c r="Q115" i="1" s="1"/>
  <c r="G116" i="1"/>
  <c r="Q116" i="1" s="1"/>
  <c r="G117" i="1"/>
  <c r="Q117" i="1" s="1"/>
  <c r="G118" i="1"/>
  <c r="Q118" i="1" s="1"/>
  <c r="G119" i="1"/>
  <c r="Q119" i="1" s="1"/>
  <c r="G120" i="1"/>
  <c r="Q120" i="1" s="1"/>
  <c r="G121" i="1"/>
  <c r="Q121" i="1" s="1"/>
  <c r="G122" i="1"/>
  <c r="Q122" i="1" s="1"/>
  <c r="G123" i="1"/>
  <c r="Q123" i="1" s="1"/>
  <c r="G124" i="1"/>
  <c r="Q124" i="1" s="1"/>
  <c r="G125" i="1"/>
  <c r="Q125" i="1" s="1"/>
  <c r="G126" i="1"/>
  <c r="Q126" i="1" s="1"/>
  <c r="G127" i="1"/>
  <c r="Q127" i="1" s="1"/>
  <c r="G128" i="1"/>
  <c r="Q128" i="1" s="1"/>
  <c r="G129" i="1"/>
  <c r="Q129" i="1" s="1"/>
  <c r="G130" i="1"/>
  <c r="Q130" i="1" s="1"/>
  <c r="G131" i="1"/>
  <c r="Q131" i="1" s="1"/>
  <c r="G132" i="1"/>
  <c r="Q132" i="1" s="1"/>
  <c r="G133" i="1"/>
  <c r="Q133" i="1" s="1"/>
  <c r="G134" i="1"/>
  <c r="Q134" i="1" s="1"/>
  <c r="G135" i="1"/>
  <c r="Q135" i="1" s="1"/>
  <c r="G136" i="1"/>
  <c r="Q136" i="1" s="1"/>
  <c r="G137" i="1"/>
  <c r="Q137" i="1" s="1"/>
  <c r="G138" i="1"/>
  <c r="Q138" i="1" s="1"/>
  <c r="G139" i="1"/>
  <c r="Q139" i="1" s="1"/>
  <c r="G140" i="1"/>
  <c r="Q140" i="1" s="1"/>
  <c r="G141" i="1"/>
  <c r="Q141" i="1" s="1"/>
  <c r="G142" i="1"/>
  <c r="Q142" i="1" s="1"/>
  <c r="G143" i="1"/>
  <c r="Q143" i="1" s="1"/>
  <c r="G144" i="1"/>
  <c r="Q144" i="1" s="1"/>
  <c r="G145" i="1"/>
  <c r="Q145" i="1" s="1"/>
  <c r="G146" i="1"/>
  <c r="Q146" i="1" s="1"/>
  <c r="G147" i="1"/>
  <c r="Q147" i="1" s="1"/>
  <c r="G148" i="1"/>
  <c r="Q148" i="1" s="1"/>
  <c r="G149" i="1"/>
  <c r="Q149" i="1" s="1"/>
  <c r="G150" i="1"/>
  <c r="Q150" i="1" s="1"/>
  <c r="G151" i="1"/>
  <c r="Q151" i="1" s="1"/>
  <c r="G152" i="1"/>
  <c r="Q152" i="1" s="1"/>
  <c r="G153" i="1"/>
  <c r="Q153" i="1" s="1"/>
  <c r="G154" i="1"/>
  <c r="Q154" i="1" s="1"/>
  <c r="G155" i="1"/>
  <c r="Q155" i="1" s="1"/>
  <c r="G156" i="1"/>
  <c r="Q156" i="1" s="1"/>
  <c r="G157" i="1"/>
  <c r="Q157" i="1" s="1"/>
  <c r="G158" i="1"/>
  <c r="Q158" i="1" s="1"/>
  <c r="G159" i="1"/>
  <c r="Q159" i="1" s="1"/>
  <c r="G160" i="1"/>
  <c r="Q160" i="1" s="1"/>
  <c r="G161" i="1"/>
  <c r="Q161" i="1" s="1"/>
  <c r="G162" i="1"/>
  <c r="Q162" i="1" s="1"/>
  <c r="G163" i="1"/>
  <c r="Q163" i="1" s="1"/>
  <c r="G164" i="1"/>
  <c r="Q164" i="1" s="1"/>
  <c r="G165" i="1"/>
  <c r="Q165" i="1" s="1"/>
  <c r="G166" i="1"/>
  <c r="Q166" i="1" s="1"/>
  <c r="G167" i="1"/>
  <c r="Q167" i="1" s="1"/>
  <c r="G168" i="1"/>
  <c r="Q168" i="1" s="1"/>
  <c r="G169" i="1"/>
  <c r="Q169" i="1" s="1"/>
  <c r="G170" i="1"/>
  <c r="Q170" i="1" s="1"/>
  <c r="G171" i="1"/>
  <c r="Q171" i="1" s="1"/>
  <c r="G172" i="1"/>
  <c r="Q172" i="1" s="1"/>
  <c r="G173" i="1"/>
  <c r="Q173" i="1" s="1"/>
  <c r="G174" i="1"/>
  <c r="Q174" i="1" s="1"/>
  <c r="G175" i="1"/>
  <c r="Q175" i="1" s="1"/>
  <c r="G176" i="1"/>
  <c r="Q176" i="1" s="1"/>
  <c r="G177" i="1"/>
  <c r="Q177" i="1" s="1"/>
  <c r="G178" i="1"/>
  <c r="Q178" i="1" s="1"/>
  <c r="G179" i="1"/>
  <c r="Q179" i="1" s="1"/>
  <c r="G180" i="1"/>
  <c r="Q180" i="1" s="1"/>
  <c r="G181" i="1"/>
  <c r="Q181" i="1" s="1"/>
  <c r="G182" i="1"/>
  <c r="Q182" i="1" s="1"/>
  <c r="G183" i="1"/>
  <c r="Q183" i="1" s="1"/>
  <c r="G184" i="1"/>
  <c r="Q184" i="1" s="1"/>
  <c r="G185" i="1"/>
  <c r="Q185" i="1" s="1"/>
  <c r="G186" i="1"/>
  <c r="Q186" i="1" s="1"/>
  <c r="G187" i="1"/>
  <c r="Q187" i="1" s="1"/>
  <c r="G188" i="1"/>
  <c r="Q188" i="1" s="1"/>
  <c r="G189" i="1"/>
  <c r="Q189" i="1" s="1"/>
  <c r="G190" i="1"/>
  <c r="Q190" i="1" s="1"/>
  <c r="G191" i="1"/>
  <c r="Q191" i="1" s="1"/>
  <c r="G192" i="1"/>
  <c r="Q192" i="1" s="1"/>
  <c r="G193" i="1"/>
  <c r="Q193" i="1" s="1"/>
  <c r="G194" i="1"/>
  <c r="Q194" i="1" s="1"/>
  <c r="G195" i="1"/>
  <c r="Q195" i="1" s="1"/>
  <c r="G196" i="1"/>
  <c r="Q196" i="1" s="1"/>
  <c r="G197" i="1"/>
  <c r="Q197" i="1" s="1"/>
  <c r="G198" i="1"/>
  <c r="Q198" i="1" s="1"/>
  <c r="G199" i="1"/>
  <c r="Q199" i="1" s="1"/>
  <c r="G200" i="1"/>
  <c r="Q200" i="1" s="1"/>
  <c r="G201" i="1"/>
  <c r="Q201" i="1" s="1"/>
  <c r="G202" i="1"/>
  <c r="Q202" i="1" s="1"/>
  <c r="G203" i="1"/>
  <c r="Q203" i="1" s="1"/>
  <c r="G204" i="1"/>
  <c r="Q204" i="1" s="1"/>
  <c r="G205" i="1"/>
  <c r="Q205" i="1" s="1"/>
  <c r="G206" i="1"/>
  <c r="Q206" i="1" s="1"/>
  <c r="G207" i="1"/>
  <c r="Q207" i="1" s="1"/>
  <c r="G208" i="1"/>
  <c r="Q208" i="1" s="1"/>
  <c r="G209" i="1"/>
  <c r="Q209" i="1" s="1"/>
  <c r="G210" i="1"/>
  <c r="Q210" i="1" s="1"/>
  <c r="G211" i="1"/>
  <c r="Q211" i="1" s="1"/>
  <c r="G212" i="1"/>
  <c r="Q212" i="1" s="1"/>
  <c r="G213" i="1"/>
  <c r="Q213" i="1" s="1"/>
  <c r="G214" i="1"/>
  <c r="Q214" i="1" s="1"/>
  <c r="G215" i="1"/>
  <c r="Q215" i="1" s="1"/>
  <c r="G216" i="1"/>
  <c r="Q216" i="1" s="1"/>
  <c r="G217" i="1"/>
  <c r="Q217" i="1" s="1"/>
  <c r="G218" i="1"/>
  <c r="Q218" i="1" s="1"/>
  <c r="G219" i="1"/>
  <c r="Q219" i="1" s="1"/>
  <c r="G220" i="1"/>
  <c r="Q220" i="1" s="1"/>
  <c r="G221" i="1"/>
  <c r="Q221" i="1" s="1"/>
  <c r="G222" i="1"/>
  <c r="Q222" i="1" s="1"/>
  <c r="G223" i="1"/>
  <c r="Q223" i="1" s="1"/>
  <c r="G224" i="1"/>
  <c r="Q224" i="1" s="1"/>
  <c r="G225" i="1"/>
  <c r="Q225" i="1" s="1"/>
  <c r="G226" i="1"/>
  <c r="Q226" i="1" s="1"/>
  <c r="G227" i="1"/>
  <c r="Q227" i="1" s="1"/>
  <c r="G228" i="1"/>
  <c r="Q228" i="1" s="1"/>
  <c r="G229" i="1"/>
  <c r="Q229" i="1" s="1"/>
  <c r="G230" i="1"/>
  <c r="Q230" i="1" s="1"/>
  <c r="G231" i="1"/>
  <c r="Q231" i="1" s="1"/>
  <c r="G232" i="1"/>
  <c r="Q232" i="1" s="1"/>
  <c r="G233" i="1"/>
  <c r="Q233" i="1" s="1"/>
  <c r="G234" i="1"/>
  <c r="Q234" i="1" s="1"/>
  <c r="G235" i="1"/>
  <c r="Q235" i="1" s="1"/>
  <c r="G236" i="1"/>
  <c r="Q236" i="1" s="1"/>
  <c r="G237" i="1"/>
  <c r="Q237" i="1" s="1"/>
  <c r="G238" i="1"/>
  <c r="Q238" i="1" s="1"/>
  <c r="G239" i="1"/>
  <c r="Q239" i="1" s="1"/>
  <c r="G240" i="1"/>
  <c r="Q240" i="1" s="1"/>
  <c r="G241" i="1"/>
  <c r="Q241" i="1" s="1"/>
  <c r="G242" i="1"/>
  <c r="Q242" i="1" s="1"/>
  <c r="G243" i="1"/>
  <c r="Q243" i="1" s="1"/>
  <c r="G244" i="1"/>
  <c r="Q244" i="1" s="1"/>
  <c r="G245" i="1"/>
  <c r="Q245" i="1" s="1"/>
  <c r="G246" i="1"/>
  <c r="Q246" i="1" s="1"/>
  <c r="G247" i="1"/>
  <c r="Q247" i="1" s="1"/>
  <c r="G248" i="1"/>
  <c r="Q248" i="1" s="1"/>
  <c r="G249" i="1"/>
  <c r="Q249" i="1" s="1"/>
  <c r="G250" i="1"/>
  <c r="Q250" i="1" s="1"/>
  <c r="G251" i="1"/>
  <c r="Q251" i="1" s="1"/>
  <c r="G252" i="1"/>
  <c r="Q252" i="1" s="1"/>
  <c r="G253" i="1"/>
  <c r="Q253" i="1" s="1"/>
  <c r="G254" i="1"/>
  <c r="Q254" i="1" s="1"/>
  <c r="G255" i="1"/>
  <c r="Q255" i="1" s="1"/>
  <c r="G256" i="1"/>
  <c r="Q256" i="1" s="1"/>
  <c r="G257" i="1"/>
  <c r="Q257" i="1" s="1"/>
  <c r="G258" i="1"/>
  <c r="Q258" i="1" s="1"/>
  <c r="G259" i="1"/>
  <c r="Q259" i="1" s="1"/>
  <c r="G260" i="1"/>
  <c r="Q260" i="1" s="1"/>
  <c r="G261" i="1"/>
  <c r="Q261" i="1" s="1"/>
  <c r="G262" i="1"/>
  <c r="Q262" i="1" s="1"/>
  <c r="G263" i="1"/>
  <c r="Q263" i="1" s="1"/>
  <c r="G264" i="1"/>
  <c r="Q264" i="1" s="1"/>
  <c r="G265" i="1"/>
  <c r="Q265" i="1" s="1"/>
  <c r="G266" i="1"/>
  <c r="Q266" i="1" s="1"/>
  <c r="G267" i="1"/>
  <c r="Q267" i="1" s="1"/>
  <c r="G268" i="1"/>
  <c r="Q268" i="1" s="1"/>
  <c r="G269" i="1"/>
  <c r="Q269" i="1" s="1"/>
  <c r="G270" i="1"/>
  <c r="Q270" i="1" s="1"/>
  <c r="G271" i="1"/>
  <c r="Q271" i="1" s="1"/>
  <c r="G272" i="1"/>
  <c r="Q272" i="1" s="1"/>
  <c r="G273" i="1"/>
  <c r="Q273" i="1" s="1"/>
  <c r="G274" i="1"/>
  <c r="Q274" i="1" s="1"/>
  <c r="G275" i="1"/>
  <c r="Q275" i="1" s="1"/>
  <c r="G276" i="1"/>
  <c r="Q276" i="1" s="1"/>
  <c r="G277" i="1"/>
  <c r="Q277" i="1" s="1"/>
  <c r="G278" i="1"/>
  <c r="Q278" i="1" s="1"/>
  <c r="G279" i="1"/>
  <c r="Q279" i="1" s="1"/>
  <c r="G280" i="1"/>
  <c r="Q280" i="1" s="1"/>
  <c r="G281" i="1"/>
  <c r="Q281" i="1" s="1"/>
  <c r="G282" i="1"/>
  <c r="Q282" i="1" s="1"/>
  <c r="G283" i="1"/>
  <c r="Q283" i="1" s="1"/>
  <c r="G284" i="1"/>
  <c r="Q284" i="1" s="1"/>
  <c r="G285" i="1"/>
  <c r="Q285" i="1" s="1"/>
  <c r="G286" i="1"/>
  <c r="Q286" i="1" s="1"/>
  <c r="G287" i="1"/>
  <c r="Q287" i="1" s="1"/>
  <c r="G288" i="1"/>
  <c r="Q288" i="1" s="1"/>
  <c r="G289" i="1"/>
  <c r="Q289" i="1" s="1"/>
  <c r="G290" i="1"/>
  <c r="Q290" i="1" s="1"/>
  <c r="G291" i="1"/>
  <c r="Q291" i="1" s="1"/>
  <c r="G292" i="1"/>
  <c r="Q292" i="1" s="1"/>
  <c r="G293" i="1"/>
  <c r="Q293" i="1" s="1"/>
  <c r="G294" i="1"/>
  <c r="Q294" i="1" s="1"/>
  <c r="G295" i="1"/>
  <c r="Q295" i="1" s="1"/>
  <c r="G296" i="1"/>
  <c r="Q296" i="1" s="1"/>
  <c r="G297" i="1"/>
  <c r="Q297" i="1" s="1"/>
  <c r="G298" i="1"/>
  <c r="Q298" i="1" s="1"/>
  <c r="G299" i="1"/>
  <c r="Q299" i="1" s="1"/>
  <c r="G300" i="1"/>
  <c r="Q300" i="1" s="1"/>
  <c r="G301" i="1"/>
  <c r="Q301" i="1" s="1"/>
  <c r="G302" i="1"/>
  <c r="Q302" i="1" s="1"/>
  <c r="G303" i="1"/>
  <c r="Q303" i="1" s="1"/>
  <c r="G304" i="1"/>
  <c r="Q304" i="1" s="1"/>
  <c r="G305" i="1"/>
  <c r="Q305" i="1" s="1"/>
  <c r="G306" i="1"/>
  <c r="Q306" i="1" s="1"/>
  <c r="G307" i="1"/>
  <c r="Q307" i="1" s="1"/>
  <c r="G308" i="1"/>
  <c r="Q308" i="1" s="1"/>
  <c r="G309" i="1"/>
  <c r="Q309" i="1" s="1"/>
  <c r="G310" i="1"/>
  <c r="Q310" i="1" s="1"/>
  <c r="G311" i="1"/>
  <c r="Q311" i="1" s="1"/>
  <c r="G312" i="1"/>
  <c r="Q312" i="1" s="1"/>
  <c r="G313" i="1"/>
  <c r="Q313" i="1" s="1"/>
  <c r="G314" i="1"/>
  <c r="Q314" i="1" s="1"/>
  <c r="G315" i="1"/>
  <c r="Q315" i="1" s="1"/>
  <c r="G316" i="1"/>
  <c r="Q316" i="1" s="1"/>
  <c r="G317" i="1"/>
  <c r="Q317" i="1" s="1"/>
  <c r="G318" i="1"/>
  <c r="Q318" i="1" s="1"/>
  <c r="G319" i="1"/>
  <c r="Q319" i="1" s="1"/>
  <c r="G320" i="1"/>
  <c r="Q320" i="1" s="1"/>
  <c r="G321" i="1"/>
  <c r="Q321" i="1" s="1"/>
  <c r="G322" i="1"/>
  <c r="Q322" i="1" s="1"/>
  <c r="G323" i="1"/>
  <c r="Q323" i="1" s="1"/>
  <c r="G324" i="1"/>
  <c r="Q324" i="1" s="1"/>
  <c r="G325" i="1"/>
  <c r="Q325" i="1" s="1"/>
  <c r="G326" i="1"/>
  <c r="Q326" i="1" s="1"/>
  <c r="G327" i="1"/>
  <c r="Q327" i="1" s="1"/>
  <c r="G328" i="1"/>
  <c r="Q328" i="1" s="1"/>
  <c r="G329" i="1"/>
  <c r="Q329" i="1" s="1"/>
  <c r="G330" i="1"/>
  <c r="Q330" i="1" s="1"/>
  <c r="G331" i="1"/>
  <c r="Q331" i="1" s="1"/>
  <c r="G332" i="1"/>
  <c r="Q332" i="1" s="1"/>
  <c r="G333" i="1"/>
  <c r="Q333" i="1" s="1"/>
  <c r="G334" i="1"/>
  <c r="Q334" i="1" s="1"/>
  <c r="G335" i="1"/>
  <c r="Q335" i="1" s="1"/>
  <c r="G336" i="1"/>
  <c r="Q336" i="1" s="1"/>
  <c r="G337" i="1"/>
  <c r="Q337" i="1" s="1"/>
  <c r="G338" i="1"/>
  <c r="Q338" i="1" s="1"/>
  <c r="G339" i="1"/>
  <c r="Q339" i="1" s="1"/>
  <c r="G340" i="1"/>
  <c r="Q340" i="1" s="1"/>
  <c r="G341" i="1"/>
  <c r="Q341" i="1" s="1"/>
  <c r="G342" i="1"/>
  <c r="Q342" i="1" s="1"/>
  <c r="G343" i="1"/>
  <c r="Q343" i="1" s="1"/>
  <c r="G344" i="1"/>
  <c r="Q344" i="1" s="1"/>
  <c r="G345" i="1"/>
  <c r="Q345" i="1" s="1"/>
  <c r="G346" i="1"/>
  <c r="Q346" i="1" s="1"/>
  <c r="G347" i="1"/>
  <c r="Q347" i="1" s="1"/>
  <c r="G348" i="1"/>
  <c r="Q348" i="1" s="1"/>
  <c r="G349" i="1"/>
  <c r="Q349" i="1" s="1"/>
  <c r="G350" i="1"/>
  <c r="Q350" i="1" s="1"/>
  <c r="G351" i="1"/>
  <c r="Q351" i="1" s="1"/>
  <c r="G352" i="1"/>
  <c r="Q352" i="1" s="1"/>
  <c r="G353" i="1"/>
  <c r="Q353" i="1" s="1"/>
  <c r="G354" i="1"/>
  <c r="Q354" i="1" s="1"/>
  <c r="G355" i="1"/>
  <c r="Q355" i="1" s="1"/>
  <c r="G356" i="1"/>
  <c r="Q356" i="1" s="1"/>
  <c r="G357" i="1"/>
  <c r="Q357" i="1" s="1"/>
  <c r="G358" i="1"/>
  <c r="Q358" i="1" s="1"/>
  <c r="G359" i="1"/>
  <c r="Q359" i="1" s="1"/>
  <c r="G360" i="1"/>
  <c r="Q360" i="1" s="1"/>
  <c r="G361" i="1"/>
  <c r="Q361" i="1" s="1"/>
  <c r="G362" i="1"/>
  <c r="Q362" i="1" s="1"/>
  <c r="G363" i="1"/>
  <c r="Q363" i="1" s="1"/>
  <c r="G364" i="1"/>
  <c r="Q364" i="1" s="1"/>
  <c r="G365" i="1"/>
  <c r="Q365" i="1" s="1"/>
  <c r="G366" i="1"/>
  <c r="Q366" i="1" s="1"/>
  <c r="G367" i="1"/>
  <c r="Q367" i="1" s="1"/>
  <c r="G368" i="1"/>
  <c r="Q368" i="1" s="1"/>
  <c r="G369" i="1"/>
  <c r="Q369" i="1" s="1"/>
  <c r="G370" i="1"/>
  <c r="Q370" i="1" s="1"/>
  <c r="G371" i="1"/>
  <c r="Q371" i="1" s="1"/>
  <c r="G372" i="1"/>
  <c r="Q372" i="1" s="1"/>
  <c r="G373" i="1"/>
  <c r="Q373" i="1" s="1"/>
  <c r="G374" i="1"/>
  <c r="Q374" i="1" s="1"/>
  <c r="G375" i="1"/>
  <c r="Q375" i="1" s="1"/>
  <c r="G376" i="1"/>
  <c r="Q376" i="1" s="1"/>
  <c r="G377" i="1"/>
  <c r="Q377" i="1" s="1"/>
  <c r="G378" i="1"/>
  <c r="Q378" i="1" s="1"/>
  <c r="G379" i="1"/>
  <c r="Q379" i="1" s="1"/>
  <c r="G380" i="1"/>
  <c r="Q380" i="1" s="1"/>
  <c r="G381" i="1"/>
  <c r="Q381" i="1" s="1"/>
  <c r="G382" i="1"/>
  <c r="Q382" i="1" s="1"/>
  <c r="G383" i="1"/>
  <c r="Q383" i="1" s="1"/>
  <c r="G384" i="1"/>
  <c r="Q384" i="1" s="1"/>
  <c r="G385" i="1"/>
  <c r="Q385" i="1" s="1"/>
  <c r="G386" i="1"/>
  <c r="Q386" i="1" s="1"/>
  <c r="G387" i="1"/>
  <c r="Q387" i="1" s="1"/>
  <c r="G388" i="1"/>
  <c r="Q388" i="1" s="1"/>
  <c r="G389" i="1"/>
  <c r="Q389" i="1" s="1"/>
  <c r="G390" i="1"/>
  <c r="Q390" i="1" s="1"/>
  <c r="G391" i="1"/>
  <c r="Q391" i="1" s="1"/>
  <c r="G392" i="1"/>
  <c r="Q392" i="1" s="1"/>
  <c r="G393" i="1"/>
  <c r="Q393" i="1" s="1"/>
  <c r="G394" i="1"/>
  <c r="Q394" i="1" s="1"/>
  <c r="G395" i="1"/>
  <c r="Q395" i="1" s="1"/>
  <c r="G396" i="1"/>
  <c r="Q396" i="1" s="1"/>
  <c r="G397" i="1"/>
  <c r="Q397" i="1" s="1"/>
  <c r="G398" i="1"/>
  <c r="Q398" i="1" s="1"/>
  <c r="G399" i="1"/>
  <c r="Q399" i="1" s="1"/>
  <c r="G400" i="1"/>
  <c r="Q400" i="1" s="1"/>
  <c r="G401" i="1"/>
  <c r="Q401" i="1" s="1"/>
  <c r="G402" i="1"/>
  <c r="Q402" i="1" s="1"/>
  <c r="G403" i="1"/>
  <c r="Q403" i="1" s="1"/>
  <c r="G404" i="1"/>
  <c r="Q404" i="1" s="1"/>
  <c r="G405" i="1"/>
  <c r="Q405" i="1" s="1"/>
  <c r="G406" i="1"/>
  <c r="Q406" i="1" s="1"/>
  <c r="G407" i="1"/>
  <c r="Q407" i="1" s="1"/>
  <c r="G408" i="1"/>
  <c r="Q408" i="1" s="1"/>
  <c r="G409" i="1"/>
  <c r="Q409" i="1" s="1"/>
  <c r="G410" i="1"/>
  <c r="Q410" i="1" s="1"/>
  <c r="G411" i="1"/>
  <c r="Q411" i="1" s="1"/>
  <c r="G412" i="1"/>
  <c r="Q412" i="1" s="1"/>
  <c r="G413" i="1"/>
  <c r="Q413" i="1" s="1"/>
  <c r="G414" i="1"/>
  <c r="Q414" i="1" s="1"/>
  <c r="G415" i="1"/>
  <c r="Q415" i="1" s="1"/>
  <c r="G416" i="1"/>
  <c r="Q416" i="1" s="1"/>
  <c r="G417" i="1"/>
  <c r="Q417" i="1" s="1"/>
  <c r="G418" i="1"/>
  <c r="Q418" i="1" s="1"/>
  <c r="G419" i="1"/>
  <c r="Q419" i="1" s="1"/>
  <c r="G420" i="1"/>
  <c r="Q420" i="1" s="1"/>
  <c r="G421" i="1"/>
  <c r="Q421" i="1" s="1"/>
  <c r="G422" i="1"/>
  <c r="Q422" i="1" s="1"/>
  <c r="G423" i="1"/>
  <c r="Q423" i="1" s="1"/>
  <c r="G424" i="1"/>
  <c r="Q424" i="1" s="1"/>
  <c r="G425" i="1"/>
  <c r="Q425" i="1" s="1"/>
  <c r="G426" i="1"/>
  <c r="Q426" i="1" s="1"/>
  <c r="G427" i="1"/>
  <c r="Q427" i="1" s="1"/>
  <c r="G428" i="1"/>
  <c r="Q428" i="1" s="1"/>
  <c r="G429" i="1"/>
  <c r="Q429" i="1" s="1"/>
  <c r="G430" i="1"/>
  <c r="Q430" i="1" s="1"/>
  <c r="G431" i="1"/>
  <c r="Q431" i="1" s="1"/>
  <c r="G432" i="1"/>
  <c r="Q432" i="1" s="1"/>
  <c r="G433" i="1"/>
  <c r="Q433" i="1" s="1"/>
  <c r="G434" i="1"/>
  <c r="Q434" i="1" s="1"/>
  <c r="G435" i="1"/>
  <c r="Q435" i="1" s="1"/>
  <c r="G436" i="1"/>
  <c r="Q436" i="1" s="1"/>
  <c r="G437" i="1"/>
  <c r="Q437" i="1" s="1"/>
  <c r="G438" i="1"/>
  <c r="Q438" i="1" s="1"/>
  <c r="G439" i="1"/>
  <c r="Q439" i="1" s="1"/>
  <c r="G440" i="1"/>
  <c r="Q440" i="1" s="1"/>
  <c r="G441" i="1"/>
  <c r="Q441" i="1" s="1"/>
  <c r="G442" i="1"/>
  <c r="Q442" i="1" s="1"/>
  <c r="G443" i="1"/>
  <c r="Q443" i="1" s="1"/>
  <c r="G444" i="1"/>
  <c r="Q444" i="1" s="1"/>
  <c r="G445" i="1"/>
  <c r="Q445" i="1" s="1"/>
  <c r="G446" i="1"/>
  <c r="Q446" i="1" s="1"/>
  <c r="G447" i="1"/>
  <c r="Q447" i="1" s="1"/>
  <c r="G448" i="1"/>
  <c r="Q448" i="1" s="1"/>
  <c r="G449" i="1"/>
  <c r="Q449" i="1" s="1"/>
  <c r="G450" i="1"/>
  <c r="Q450" i="1" s="1"/>
  <c r="G451" i="1"/>
  <c r="Q451" i="1" s="1"/>
  <c r="G452" i="1"/>
  <c r="Q452" i="1" s="1"/>
  <c r="G453" i="1"/>
  <c r="Q453" i="1" s="1"/>
  <c r="G454" i="1"/>
  <c r="Q454" i="1" s="1"/>
  <c r="G455" i="1"/>
  <c r="Q455" i="1" s="1"/>
  <c r="G456" i="1"/>
  <c r="Q456" i="1" s="1"/>
  <c r="G457" i="1"/>
  <c r="Q457" i="1" s="1"/>
  <c r="G458" i="1"/>
  <c r="Q458" i="1" s="1"/>
  <c r="G459" i="1"/>
  <c r="Q459" i="1" s="1"/>
  <c r="G460" i="1"/>
  <c r="Q460" i="1" s="1"/>
  <c r="G461" i="1"/>
  <c r="Q461" i="1" s="1"/>
  <c r="G462" i="1"/>
  <c r="Q462" i="1" s="1"/>
  <c r="G463" i="1"/>
  <c r="Q463" i="1" s="1"/>
  <c r="G464" i="1"/>
  <c r="Q464" i="1" s="1"/>
  <c r="G465" i="1"/>
  <c r="Q465" i="1" s="1"/>
  <c r="G466" i="1"/>
  <c r="Q466" i="1" s="1"/>
  <c r="G467" i="1"/>
  <c r="Q467" i="1" s="1"/>
  <c r="G468" i="1"/>
  <c r="Q468" i="1" s="1"/>
  <c r="G469" i="1"/>
  <c r="Q469" i="1" s="1"/>
  <c r="G470" i="1"/>
  <c r="Q470" i="1" s="1"/>
  <c r="G471" i="1"/>
  <c r="Q471" i="1" s="1"/>
  <c r="G472" i="1"/>
  <c r="Q472" i="1" s="1"/>
  <c r="G473" i="1"/>
  <c r="Q473" i="1" s="1"/>
  <c r="G474" i="1"/>
  <c r="Q474" i="1" s="1"/>
  <c r="G475" i="1"/>
  <c r="Q475" i="1" s="1"/>
  <c r="G476" i="1"/>
  <c r="Q476" i="1" s="1"/>
  <c r="G477" i="1"/>
  <c r="Q477" i="1" s="1"/>
  <c r="G478" i="1"/>
  <c r="Q478" i="1" s="1"/>
  <c r="G479" i="1"/>
  <c r="Q479" i="1" s="1"/>
  <c r="G480" i="1"/>
  <c r="Q480" i="1" s="1"/>
  <c r="G481" i="1"/>
  <c r="Q481" i="1" s="1"/>
  <c r="G482" i="1"/>
  <c r="Q482" i="1" s="1"/>
  <c r="G483" i="1"/>
  <c r="Q483" i="1" s="1"/>
  <c r="G484" i="1"/>
  <c r="Q484" i="1" s="1"/>
  <c r="G485" i="1"/>
  <c r="Q485" i="1" s="1"/>
  <c r="G486" i="1"/>
  <c r="Q486" i="1" s="1"/>
  <c r="G487" i="1"/>
  <c r="Q487" i="1" s="1"/>
  <c r="G488" i="1"/>
  <c r="Q488" i="1" s="1"/>
  <c r="G489" i="1"/>
  <c r="Q489" i="1" s="1"/>
  <c r="G490" i="1"/>
  <c r="Q490" i="1" s="1"/>
  <c r="G491" i="1"/>
  <c r="Q491" i="1" s="1"/>
  <c r="G492" i="1"/>
  <c r="Q492" i="1" s="1"/>
  <c r="G493" i="1"/>
  <c r="Q493" i="1" s="1"/>
  <c r="G494" i="1"/>
  <c r="Q494" i="1" s="1"/>
  <c r="G495" i="1"/>
  <c r="Q495" i="1" s="1"/>
  <c r="G496" i="1"/>
  <c r="Q496" i="1" s="1"/>
  <c r="G497" i="1"/>
  <c r="Q497" i="1" s="1"/>
  <c r="G498" i="1"/>
  <c r="Q498" i="1" s="1"/>
  <c r="F2" i="1"/>
  <c r="P2" i="1" s="1"/>
  <c r="F2" i="6" s="1"/>
  <c r="P29" i="1"/>
  <c r="F29" i="6" s="1"/>
  <c r="P45" i="1"/>
  <c r="P77" i="1"/>
  <c r="I2" i="1"/>
  <c r="J2" i="1"/>
  <c r="K2" i="1"/>
  <c r="M2" i="1"/>
  <c r="L2" i="1"/>
  <c r="B3" i="1"/>
  <c r="C3" i="6" s="1"/>
  <c r="B4" i="1"/>
  <c r="B5" i="1"/>
  <c r="B6" i="1"/>
  <c r="C6" i="6" s="1"/>
  <c r="B7" i="1"/>
  <c r="C7" i="6" s="1"/>
  <c r="BL3" i="1"/>
  <c r="H3" i="4" s="1"/>
  <c r="BL4" i="1"/>
  <c r="H4" i="4" s="1"/>
  <c r="BL5" i="1"/>
  <c r="BL6" i="1"/>
  <c r="H6" i="4" s="1"/>
  <c r="BL7" i="1"/>
  <c r="H7" i="4" s="1"/>
  <c r="BL8" i="1"/>
  <c r="H8" i="4" s="1"/>
  <c r="BL9" i="1"/>
  <c r="H9" i="4" s="1"/>
  <c r="BL10" i="1"/>
  <c r="H10" i="4" s="1"/>
  <c r="BL11" i="1"/>
  <c r="H11" i="4" s="1"/>
  <c r="BL12" i="1"/>
  <c r="H12" i="4" s="1"/>
  <c r="BL13" i="1"/>
  <c r="H13" i="4" s="1"/>
  <c r="BL14" i="1"/>
  <c r="H14" i="4" s="1"/>
  <c r="BL15" i="1"/>
  <c r="H15" i="4" s="1"/>
  <c r="BL16" i="1"/>
  <c r="H16" i="4" s="1"/>
  <c r="BL17" i="1"/>
  <c r="H17" i="4" s="1"/>
  <c r="BL18" i="1"/>
  <c r="H18" i="4" s="1"/>
  <c r="BL19" i="1"/>
  <c r="H19" i="4" s="1"/>
  <c r="BL20" i="1"/>
  <c r="H20" i="4" s="1"/>
  <c r="BL21" i="1"/>
  <c r="H21" i="4" s="1"/>
  <c r="BL22" i="1"/>
  <c r="H22" i="4" s="1"/>
  <c r="BL23" i="1"/>
  <c r="H23" i="4" s="1"/>
  <c r="BL24" i="1"/>
  <c r="H24" i="4" s="1"/>
  <c r="BL25" i="1"/>
  <c r="H25" i="4" s="1"/>
  <c r="BL26" i="1"/>
  <c r="H26" i="4" s="1"/>
  <c r="BL27" i="1"/>
  <c r="H27" i="4" s="1"/>
  <c r="BL28" i="1"/>
  <c r="H28" i="4" s="1"/>
  <c r="BL29" i="1"/>
  <c r="H29" i="4" s="1"/>
  <c r="BL30" i="1"/>
  <c r="H30" i="4" s="1"/>
  <c r="BL31" i="1"/>
  <c r="H31" i="4" s="1"/>
  <c r="BL32" i="1"/>
  <c r="H32" i="4" s="1"/>
  <c r="BL33" i="1"/>
  <c r="H33" i="4" s="1"/>
  <c r="BL34" i="1"/>
  <c r="H34" i="4" s="1"/>
  <c r="BL35" i="1"/>
  <c r="H35" i="4" s="1"/>
  <c r="BL36" i="1"/>
  <c r="H36" i="4" s="1"/>
  <c r="BL37" i="1"/>
  <c r="H37" i="4" s="1"/>
  <c r="BL38" i="1"/>
  <c r="H38" i="4" s="1"/>
  <c r="BL39" i="1"/>
  <c r="H39" i="4" s="1"/>
  <c r="BL40" i="1"/>
  <c r="H40" i="4" s="1"/>
  <c r="BL41" i="1"/>
  <c r="H41" i="4" s="1"/>
  <c r="BL42" i="1"/>
  <c r="H42" i="4" s="1"/>
  <c r="BL43" i="1"/>
  <c r="H43" i="4" s="1"/>
  <c r="BL44" i="1"/>
  <c r="H44" i="4" s="1"/>
  <c r="BL45" i="1"/>
  <c r="H45" i="4" s="1"/>
  <c r="BL46" i="1"/>
  <c r="H46" i="4" s="1"/>
  <c r="BL47" i="1"/>
  <c r="H47" i="4" s="1"/>
  <c r="BL48" i="1"/>
  <c r="H48" i="4" s="1"/>
  <c r="BL49" i="1"/>
  <c r="H49" i="4" s="1"/>
  <c r="BL50" i="1"/>
  <c r="H50" i="4" s="1"/>
  <c r="BL51" i="1"/>
  <c r="H51" i="4" s="1"/>
  <c r="BL52" i="1"/>
  <c r="H52" i="4" s="1"/>
  <c r="BL53" i="1"/>
  <c r="H53" i="4" s="1"/>
  <c r="BL54" i="1"/>
  <c r="H54" i="4" s="1"/>
  <c r="BL55" i="1"/>
  <c r="H55" i="4" s="1"/>
  <c r="BL56" i="1"/>
  <c r="H56" i="4" s="1"/>
  <c r="BL57" i="1"/>
  <c r="H57" i="4" s="1"/>
  <c r="BL58" i="1"/>
  <c r="H58" i="4" s="1"/>
  <c r="BL59" i="1"/>
  <c r="H59" i="4" s="1"/>
  <c r="BL60" i="1"/>
  <c r="H60" i="4" s="1"/>
  <c r="BL61" i="1"/>
  <c r="H61" i="4" s="1"/>
  <c r="BL62" i="1"/>
  <c r="H62" i="4" s="1"/>
  <c r="BL63" i="1"/>
  <c r="H63" i="4" s="1"/>
  <c r="BL64" i="1"/>
  <c r="H64" i="4" s="1"/>
  <c r="BL65" i="1"/>
  <c r="H65" i="4" s="1"/>
  <c r="BL66" i="1"/>
  <c r="H66" i="4" s="1"/>
  <c r="BL67" i="1"/>
  <c r="H67" i="4" s="1"/>
  <c r="BL68" i="1"/>
  <c r="H68" i="4" s="1"/>
  <c r="BL69" i="1"/>
  <c r="H69" i="4" s="1"/>
  <c r="BL70" i="1"/>
  <c r="H70" i="4" s="1"/>
  <c r="BL71" i="1"/>
  <c r="H71" i="4" s="1"/>
  <c r="BL72" i="1"/>
  <c r="H72" i="4" s="1"/>
  <c r="BL73" i="1"/>
  <c r="H73" i="4" s="1"/>
  <c r="BL74" i="1"/>
  <c r="H74" i="4" s="1"/>
  <c r="BL75" i="1"/>
  <c r="H75" i="4" s="1"/>
  <c r="BL76" i="1"/>
  <c r="H76" i="4" s="1"/>
  <c r="BL77" i="1"/>
  <c r="H77" i="4" s="1"/>
  <c r="BL78" i="1"/>
  <c r="H78" i="4" s="1"/>
  <c r="BL79" i="1"/>
  <c r="H79" i="4" s="1"/>
  <c r="BL80" i="1"/>
  <c r="H80" i="4" s="1"/>
  <c r="BL81" i="1"/>
  <c r="H81" i="4" s="1"/>
  <c r="BL82" i="1"/>
  <c r="H82" i="4" s="1"/>
  <c r="BL83" i="1"/>
  <c r="H83" i="4" s="1"/>
  <c r="BL84" i="1"/>
  <c r="H84" i="4" s="1"/>
  <c r="BL85" i="1"/>
  <c r="H85" i="4" s="1"/>
  <c r="BL86" i="1"/>
  <c r="H86" i="4" s="1"/>
  <c r="BL87" i="1"/>
  <c r="H87" i="4" s="1"/>
  <c r="BL88" i="1"/>
  <c r="H88" i="4" s="1"/>
  <c r="BL89" i="1"/>
  <c r="H89" i="4" s="1"/>
  <c r="BL90" i="1"/>
  <c r="H90" i="4" s="1"/>
  <c r="BL91" i="1"/>
  <c r="H91" i="4" s="1"/>
  <c r="BL92" i="1"/>
  <c r="H92" i="4" s="1"/>
  <c r="BL93" i="1"/>
  <c r="H93" i="4" s="1"/>
  <c r="BL94" i="1"/>
  <c r="H94" i="4" s="1"/>
  <c r="BL95" i="1"/>
  <c r="H95" i="4" s="1"/>
  <c r="BL96" i="1"/>
  <c r="H96" i="4" s="1"/>
  <c r="BL97" i="1"/>
  <c r="H97" i="4" s="1"/>
  <c r="BL98" i="1"/>
  <c r="H98" i="4" s="1"/>
  <c r="BL99" i="1"/>
  <c r="H99" i="4" s="1"/>
  <c r="BL100" i="1"/>
  <c r="H100" i="4" s="1"/>
  <c r="BL101" i="1"/>
  <c r="H101" i="4" s="1"/>
  <c r="BL102" i="1"/>
  <c r="H102" i="4" s="1"/>
  <c r="BL103" i="1"/>
  <c r="H103" i="4" s="1"/>
  <c r="BL104" i="1"/>
  <c r="H104" i="4" s="1"/>
  <c r="BL105" i="1"/>
  <c r="H105" i="4" s="1"/>
  <c r="BL106" i="1"/>
  <c r="H106" i="4" s="1"/>
  <c r="BL107" i="1"/>
  <c r="H107" i="4" s="1"/>
  <c r="BL108" i="1"/>
  <c r="H108" i="4" s="1"/>
  <c r="BL109" i="1"/>
  <c r="H109" i="4" s="1"/>
  <c r="BL110" i="1"/>
  <c r="H110" i="4" s="1"/>
  <c r="BL111" i="1"/>
  <c r="H111" i="4" s="1"/>
  <c r="BL112" i="1"/>
  <c r="H112" i="4" s="1"/>
  <c r="BL113" i="1"/>
  <c r="H113" i="4" s="1"/>
  <c r="BL114" i="1"/>
  <c r="H114" i="4" s="1"/>
  <c r="BL115" i="1"/>
  <c r="H115" i="4" s="1"/>
  <c r="BL116" i="1"/>
  <c r="H116" i="4" s="1"/>
  <c r="BL117" i="1"/>
  <c r="H117" i="4" s="1"/>
  <c r="BL118" i="1"/>
  <c r="H118" i="4" s="1"/>
  <c r="BL119" i="1"/>
  <c r="H119" i="4" s="1"/>
  <c r="BL120" i="1"/>
  <c r="H120" i="4" s="1"/>
  <c r="BL121" i="1"/>
  <c r="H121" i="4" s="1"/>
  <c r="BL122" i="1"/>
  <c r="H122" i="4" s="1"/>
  <c r="BL123" i="1"/>
  <c r="H123" i="4" s="1"/>
  <c r="BL124" i="1"/>
  <c r="H124" i="4" s="1"/>
  <c r="BL125" i="1"/>
  <c r="H125" i="4" s="1"/>
  <c r="BL126" i="1"/>
  <c r="H126" i="4" s="1"/>
  <c r="BL127" i="1"/>
  <c r="H127" i="4" s="1"/>
  <c r="BL128" i="1"/>
  <c r="H128" i="4" s="1"/>
  <c r="BL129" i="1"/>
  <c r="H129" i="4" s="1"/>
  <c r="BL130" i="1"/>
  <c r="H130" i="4" s="1"/>
  <c r="BL131" i="1"/>
  <c r="H131" i="4" s="1"/>
  <c r="BL132" i="1"/>
  <c r="H132" i="4" s="1"/>
  <c r="BL133" i="1"/>
  <c r="H133" i="4" s="1"/>
  <c r="BL134" i="1"/>
  <c r="H134" i="4" s="1"/>
  <c r="BL135" i="1"/>
  <c r="H135" i="4" s="1"/>
  <c r="BL136" i="1"/>
  <c r="H136" i="4" s="1"/>
  <c r="BL137" i="1"/>
  <c r="H137" i="4" s="1"/>
  <c r="BL138" i="1"/>
  <c r="H138" i="4" s="1"/>
  <c r="BL139" i="1"/>
  <c r="H139" i="4" s="1"/>
  <c r="BL140" i="1"/>
  <c r="H140" i="4" s="1"/>
  <c r="BL141" i="1"/>
  <c r="H141" i="4" s="1"/>
  <c r="BL142" i="1"/>
  <c r="H142" i="4" s="1"/>
  <c r="BL143" i="1"/>
  <c r="H143" i="4" s="1"/>
  <c r="BL144" i="1"/>
  <c r="H144" i="4" s="1"/>
  <c r="BL145" i="1"/>
  <c r="H145" i="4" s="1"/>
  <c r="BL146" i="1"/>
  <c r="H146" i="4" s="1"/>
  <c r="BL147" i="1"/>
  <c r="H147" i="4" s="1"/>
  <c r="BL148" i="1"/>
  <c r="H148" i="4" s="1"/>
  <c r="BL149" i="1"/>
  <c r="H149" i="4" s="1"/>
  <c r="BL150" i="1"/>
  <c r="H150" i="4" s="1"/>
  <c r="BL151" i="1"/>
  <c r="H151" i="4" s="1"/>
  <c r="BL152" i="1"/>
  <c r="H152" i="4" s="1"/>
  <c r="BL153" i="1"/>
  <c r="H153" i="4" s="1"/>
  <c r="BL154" i="1"/>
  <c r="H154" i="4" s="1"/>
  <c r="BL155" i="1"/>
  <c r="H155" i="4" s="1"/>
  <c r="BL156" i="1"/>
  <c r="H156" i="4" s="1"/>
  <c r="BL157" i="1"/>
  <c r="H157" i="4" s="1"/>
  <c r="BL158" i="1"/>
  <c r="H158" i="4" s="1"/>
  <c r="BL159" i="1"/>
  <c r="H159" i="4" s="1"/>
  <c r="BL160" i="1"/>
  <c r="H160" i="4" s="1"/>
  <c r="BL161" i="1"/>
  <c r="H161" i="4" s="1"/>
  <c r="BL162" i="1"/>
  <c r="H162" i="4" s="1"/>
  <c r="BL163" i="1"/>
  <c r="H163" i="4" s="1"/>
  <c r="BL164" i="1"/>
  <c r="H164" i="4" s="1"/>
  <c r="BL165" i="1"/>
  <c r="H165" i="4" s="1"/>
  <c r="BL166" i="1"/>
  <c r="H166" i="4" s="1"/>
  <c r="BL167" i="1"/>
  <c r="H167" i="4" s="1"/>
  <c r="BL168" i="1"/>
  <c r="H168" i="4" s="1"/>
  <c r="BL169" i="1"/>
  <c r="H169" i="4" s="1"/>
  <c r="BL170" i="1"/>
  <c r="H170" i="4" s="1"/>
  <c r="BL171" i="1"/>
  <c r="H171" i="4" s="1"/>
  <c r="BL172" i="1"/>
  <c r="H172" i="4" s="1"/>
  <c r="BL173" i="1"/>
  <c r="H173" i="4" s="1"/>
  <c r="BL174" i="1"/>
  <c r="H174" i="4" s="1"/>
  <c r="BL175" i="1"/>
  <c r="H175" i="4" s="1"/>
  <c r="BL176" i="1"/>
  <c r="H176" i="4" s="1"/>
  <c r="BL177" i="1"/>
  <c r="H177" i="4" s="1"/>
  <c r="BL178" i="1"/>
  <c r="H178" i="4" s="1"/>
  <c r="BL179" i="1"/>
  <c r="H179" i="4" s="1"/>
  <c r="BL180" i="1"/>
  <c r="H180" i="4" s="1"/>
  <c r="BL181" i="1"/>
  <c r="H181" i="4" s="1"/>
  <c r="BL182" i="1"/>
  <c r="H182" i="4" s="1"/>
  <c r="BL183" i="1"/>
  <c r="H183" i="4" s="1"/>
  <c r="BL184" i="1"/>
  <c r="H184" i="4" s="1"/>
  <c r="BL185" i="1"/>
  <c r="H185" i="4" s="1"/>
  <c r="BL186" i="1"/>
  <c r="H186" i="4" s="1"/>
  <c r="BL187" i="1"/>
  <c r="H187" i="4" s="1"/>
  <c r="BL188" i="1"/>
  <c r="H188" i="4" s="1"/>
  <c r="BL189" i="1"/>
  <c r="H189" i="4" s="1"/>
  <c r="BL190" i="1"/>
  <c r="H190" i="4" s="1"/>
  <c r="BL191" i="1"/>
  <c r="H191" i="4" s="1"/>
  <c r="BL192" i="1"/>
  <c r="H192" i="4" s="1"/>
  <c r="BL193" i="1"/>
  <c r="H193" i="4" s="1"/>
  <c r="BL194" i="1"/>
  <c r="H194" i="4" s="1"/>
  <c r="BL195" i="1"/>
  <c r="H195" i="4" s="1"/>
  <c r="BL196" i="1"/>
  <c r="H196" i="4" s="1"/>
  <c r="BL197" i="1"/>
  <c r="H197" i="4" s="1"/>
  <c r="BL198" i="1"/>
  <c r="H198" i="4" s="1"/>
  <c r="BL199" i="1"/>
  <c r="H199" i="4" s="1"/>
  <c r="BL200" i="1"/>
  <c r="H200" i="4" s="1"/>
  <c r="BL201" i="1"/>
  <c r="H201" i="4" s="1"/>
  <c r="BL202" i="1"/>
  <c r="H202" i="4" s="1"/>
  <c r="BL203" i="1"/>
  <c r="H203" i="4" s="1"/>
  <c r="BL204" i="1"/>
  <c r="H204" i="4" s="1"/>
  <c r="BL205" i="1"/>
  <c r="H205" i="4" s="1"/>
  <c r="BL206" i="1"/>
  <c r="H206" i="4" s="1"/>
  <c r="BL207" i="1"/>
  <c r="H207" i="4" s="1"/>
  <c r="BL208" i="1"/>
  <c r="H208" i="4" s="1"/>
  <c r="BL209" i="1"/>
  <c r="H209" i="4" s="1"/>
  <c r="BL210" i="1"/>
  <c r="H210" i="4" s="1"/>
  <c r="BL211" i="1"/>
  <c r="H211" i="4" s="1"/>
  <c r="BL212" i="1"/>
  <c r="H212" i="4" s="1"/>
  <c r="BL213" i="1"/>
  <c r="H213" i="4" s="1"/>
  <c r="BL214" i="1"/>
  <c r="H214" i="4" s="1"/>
  <c r="BL215" i="1"/>
  <c r="H215" i="4" s="1"/>
  <c r="BL216" i="1"/>
  <c r="H216" i="4" s="1"/>
  <c r="BL217" i="1"/>
  <c r="H217" i="4" s="1"/>
  <c r="BL218" i="1"/>
  <c r="H218" i="4" s="1"/>
  <c r="BL219" i="1"/>
  <c r="H219" i="4" s="1"/>
  <c r="BL220" i="1"/>
  <c r="H220" i="4" s="1"/>
  <c r="BL221" i="1"/>
  <c r="H221" i="4" s="1"/>
  <c r="BL222" i="1"/>
  <c r="H222" i="4" s="1"/>
  <c r="BL223" i="1"/>
  <c r="H223" i="4" s="1"/>
  <c r="BL224" i="1"/>
  <c r="H224" i="4" s="1"/>
  <c r="BL225" i="1"/>
  <c r="H225" i="4" s="1"/>
  <c r="BL226" i="1"/>
  <c r="H226" i="4" s="1"/>
  <c r="BL227" i="1"/>
  <c r="H227" i="4" s="1"/>
  <c r="BL228" i="1"/>
  <c r="H228" i="4" s="1"/>
  <c r="BL229" i="1"/>
  <c r="H229" i="4" s="1"/>
  <c r="BL230" i="1"/>
  <c r="H230" i="4" s="1"/>
  <c r="BL231" i="1"/>
  <c r="H231" i="4" s="1"/>
  <c r="BL232" i="1"/>
  <c r="H232" i="4" s="1"/>
  <c r="BL233" i="1"/>
  <c r="H233" i="4" s="1"/>
  <c r="BL234" i="1"/>
  <c r="H234" i="4" s="1"/>
  <c r="BL235" i="1"/>
  <c r="H235" i="4" s="1"/>
  <c r="BL236" i="1"/>
  <c r="H236" i="4" s="1"/>
  <c r="BL237" i="1"/>
  <c r="H237" i="4" s="1"/>
  <c r="BL238" i="1"/>
  <c r="H238" i="4" s="1"/>
  <c r="BL239" i="1"/>
  <c r="H239" i="4" s="1"/>
  <c r="BL240" i="1"/>
  <c r="H240" i="4" s="1"/>
  <c r="BL241" i="1"/>
  <c r="H241" i="4" s="1"/>
  <c r="BL242" i="1"/>
  <c r="H242" i="4" s="1"/>
  <c r="BL243" i="1"/>
  <c r="H243" i="4" s="1"/>
  <c r="BL244" i="1"/>
  <c r="H244" i="4" s="1"/>
  <c r="BL245" i="1"/>
  <c r="H245" i="4" s="1"/>
  <c r="BL246" i="1"/>
  <c r="H246" i="4" s="1"/>
  <c r="BL247" i="1"/>
  <c r="H247" i="4" s="1"/>
  <c r="BL248" i="1"/>
  <c r="H248" i="4" s="1"/>
  <c r="BL249" i="1"/>
  <c r="H249" i="4" s="1"/>
  <c r="BL250" i="1"/>
  <c r="H250" i="4" s="1"/>
  <c r="BL251" i="1"/>
  <c r="H251" i="4" s="1"/>
  <c r="BL252" i="1"/>
  <c r="H252" i="4" s="1"/>
  <c r="BL253" i="1"/>
  <c r="H253" i="4" s="1"/>
  <c r="BL254" i="1"/>
  <c r="H254" i="4" s="1"/>
  <c r="BL255" i="1"/>
  <c r="H255" i="4" s="1"/>
  <c r="BL256" i="1"/>
  <c r="H256" i="4" s="1"/>
  <c r="BL257" i="1"/>
  <c r="H257" i="4" s="1"/>
  <c r="BL258" i="1"/>
  <c r="H258" i="4" s="1"/>
  <c r="BL259" i="1"/>
  <c r="H259" i="4" s="1"/>
  <c r="BL260" i="1"/>
  <c r="H260" i="4" s="1"/>
  <c r="BL261" i="1"/>
  <c r="H261" i="4" s="1"/>
  <c r="BL262" i="1"/>
  <c r="H262" i="4" s="1"/>
  <c r="BL263" i="1"/>
  <c r="H263" i="4" s="1"/>
  <c r="BL264" i="1"/>
  <c r="H264" i="4" s="1"/>
  <c r="BL265" i="1"/>
  <c r="H265" i="4" s="1"/>
  <c r="BL266" i="1"/>
  <c r="H266" i="4" s="1"/>
  <c r="BL267" i="1"/>
  <c r="H267" i="4" s="1"/>
  <c r="BL268" i="1"/>
  <c r="H268" i="4" s="1"/>
  <c r="BL269" i="1"/>
  <c r="H269" i="4" s="1"/>
  <c r="BL270" i="1"/>
  <c r="H270" i="4" s="1"/>
  <c r="BL271" i="1"/>
  <c r="H271" i="4" s="1"/>
  <c r="BL272" i="1"/>
  <c r="H272" i="4" s="1"/>
  <c r="BL273" i="1"/>
  <c r="H273" i="4" s="1"/>
  <c r="BL274" i="1"/>
  <c r="H274" i="4" s="1"/>
  <c r="BL275" i="1"/>
  <c r="H275" i="4" s="1"/>
  <c r="BL276" i="1"/>
  <c r="H276" i="4" s="1"/>
  <c r="BL277" i="1"/>
  <c r="H277" i="4" s="1"/>
  <c r="BL278" i="1"/>
  <c r="H278" i="4" s="1"/>
  <c r="BL279" i="1"/>
  <c r="H279" i="4" s="1"/>
  <c r="BL280" i="1"/>
  <c r="H280" i="4" s="1"/>
  <c r="BL281" i="1"/>
  <c r="H281" i="4" s="1"/>
  <c r="BL282" i="1"/>
  <c r="H282" i="4" s="1"/>
  <c r="BL283" i="1"/>
  <c r="H283" i="4" s="1"/>
  <c r="BL284" i="1"/>
  <c r="H284" i="4" s="1"/>
  <c r="BL285" i="1"/>
  <c r="H285" i="4" s="1"/>
  <c r="BL286" i="1"/>
  <c r="H286" i="4" s="1"/>
  <c r="BL287" i="1"/>
  <c r="H287" i="4" s="1"/>
  <c r="BL288" i="1"/>
  <c r="H288" i="4" s="1"/>
  <c r="BL289" i="1"/>
  <c r="H289" i="4" s="1"/>
  <c r="BL290" i="1"/>
  <c r="H290" i="4" s="1"/>
  <c r="BL291" i="1"/>
  <c r="H291" i="4" s="1"/>
  <c r="BL292" i="1"/>
  <c r="H292" i="4" s="1"/>
  <c r="BL293" i="1"/>
  <c r="H293" i="4" s="1"/>
  <c r="BL294" i="1"/>
  <c r="H294" i="4" s="1"/>
  <c r="BL295" i="1"/>
  <c r="H295" i="4" s="1"/>
  <c r="BL296" i="1"/>
  <c r="H296" i="4" s="1"/>
  <c r="BL297" i="1"/>
  <c r="H297" i="4" s="1"/>
  <c r="BL298" i="1"/>
  <c r="H298" i="4" s="1"/>
  <c r="BL299" i="1"/>
  <c r="H299" i="4" s="1"/>
  <c r="BL300" i="1"/>
  <c r="H300" i="4" s="1"/>
  <c r="BL301" i="1"/>
  <c r="H301" i="4" s="1"/>
  <c r="BL302" i="1"/>
  <c r="H302" i="4" s="1"/>
  <c r="BL303" i="1"/>
  <c r="H303" i="4" s="1"/>
  <c r="BL304" i="1"/>
  <c r="H304" i="4" s="1"/>
  <c r="BL305" i="1"/>
  <c r="H305" i="4" s="1"/>
  <c r="BL306" i="1"/>
  <c r="H306" i="4" s="1"/>
  <c r="BL307" i="1"/>
  <c r="H307" i="4" s="1"/>
  <c r="BL308" i="1"/>
  <c r="H308" i="4" s="1"/>
  <c r="BL309" i="1"/>
  <c r="H309" i="4" s="1"/>
  <c r="BL310" i="1"/>
  <c r="H310" i="4" s="1"/>
  <c r="BL311" i="1"/>
  <c r="H311" i="4" s="1"/>
  <c r="BL312" i="1"/>
  <c r="H312" i="4" s="1"/>
  <c r="BL313" i="1"/>
  <c r="H313" i="4" s="1"/>
  <c r="BL314" i="1"/>
  <c r="H314" i="4" s="1"/>
  <c r="BL315" i="1"/>
  <c r="H315" i="4" s="1"/>
  <c r="BL316" i="1"/>
  <c r="H316" i="4" s="1"/>
  <c r="BL317" i="1"/>
  <c r="H317" i="4" s="1"/>
  <c r="BL318" i="1"/>
  <c r="H318" i="4" s="1"/>
  <c r="BL319" i="1"/>
  <c r="H319" i="4" s="1"/>
  <c r="BL320" i="1"/>
  <c r="H320" i="4" s="1"/>
  <c r="BL321" i="1"/>
  <c r="H321" i="4" s="1"/>
  <c r="BL322" i="1"/>
  <c r="H322" i="4" s="1"/>
  <c r="BL323" i="1"/>
  <c r="H323" i="4" s="1"/>
  <c r="BL324" i="1"/>
  <c r="H324" i="4" s="1"/>
  <c r="BL325" i="1"/>
  <c r="H325" i="4" s="1"/>
  <c r="BL326" i="1"/>
  <c r="H326" i="4" s="1"/>
  <c r="BL327" i="1"/>
  <c r="H327" i="4" s="1"/>
  <c r="BL328" i="1"/>
  <c r="H328" i="4" s="1"/>
  <c r="BL329" i="1"/>
  <c r="H329" i="4" s="1"/>
  <c r="BL330" i="1"/>
  <c r="H330" i="4" s="1"/>
  <c r="BL331" i="1"/>
  <c r="H331" i="4" s="1"/>
  <c r="BL332" i="1"/>
  <c r="H332" i="4" s="1"/>
  <c r="BL333" i="1"/>
  <c r="H333" i="4" s="1"/>
  <c r="BL334" i="1"/>
  <c r="H334" i="4" s="1"/>
  <c r="BL335" i="1"/>
  <c r="H335" i="4" s="1"/>
  <c r="BL336" i="1"/>
  <c r="H336" i="4" s="1"/>
  <c r="BL337" i="1"/>
  <c r="H337" i="4" s="1"/>
  <c r="BL338" i="1"/>
  <c r="H338" i="4" s="1"/>
  <c r="BL339" i="1"/>
  <c r="H339" i="4" s="1"/>
  <c r="BL340" i="1"/>
  <c r="H340" i="4" s="1"/>
  <c r="BL341" i="1"/>
  <c r="H341" i="4" s="1"/>
  <c r="BL342" i="1"/>
  <c r="H342" i="4" s="1"/>
  <c r="BL343" i="1"/>
  <c r="H343" i="4" s="1"/>
  <c r="BL344" i="1"/>
  <c r="H344" i="4" s="1"/>
  <c r="BL345" i="1"/>
  <c r="H345" i="4" s="1"/>
  <c r="BL346" i="1"/>
  <c r="H346" i="4" s="1"/>
  <c r="BL347" i="1"/>
  <c r="H347" i="4" s="1"/>
  <c r="BL348" i="1"/>
  <c r="H348" i="4" s="1"/>
  <c r="BL349" i="1"/>
  <c r="H349" i="4" s="1"/>
  <c r="BL350" i="1"/>
  <c r="H350" i="4" s="1"/>
  <c r="BL351" i="1"/>
  <c r="H351" i="4" s="1"/>
  <c r="BL352" i="1"/>
  <c r="H352" i="4" s="1"/>
  <c r="BL353" i="1"/>
  <c r="H353" i="4" s="1"/>
  <c r="BL354" i="1"/>
  <c r="H354" i="4" s="1"/>
  <c r="BL355" i="1"/>
  <c r="H355" i="4" s="1"/>
  <c r="BL356" i="1"/>
  <c r="H356" i="4" s="1"/>
  <c r="BL357" i="1"/>
  <c r="H357" i="4" s="1"/>
  <c r="BL358" i="1"/>
  <c r="H358" i="4" s="1"/>
  <c r="BL359" i="1"/>
  <c r="H359" i="4" s="1"/>
  <c r="BL360" i="1"/>
  <c r="H360" i="4" s="1"/>
  <c r="BL361" i="1"/>
  <c r="H361" i="4" s="1"/>
  <c r="BL362" i="1"/>
  <c r="H362" i="4" s="1"/>
  <c r="BL363" i="1"/>
  <c r="H363" i="4" s="1"/>
  <c r="BL364" i="1"/>
  <c r="H364" i="4" s="1"/>
  <c r="BL365" i="1"/>
  <c r="H365" i="4" s="1"/>
  <c r="BL366" i="1"/>
  <c r="H366" i="4" s="1"/>
  <c r="BL367" i="1"/>
  <c r="H367" i="4" s="1"/>
  <c r="BL368" i="1"/>
  <c r="H368" i="4" s="1"/>
  <c r="BL369" i="1"/>
  <c r="H369" i="4" s="1"/>
  <c r="BL370" i="1"/>
  <c r="H370" i="4" s="1"/>
  <c r="BL371" i="1"/>
  <c r="H371" i="4" s="1"/>
  <c r="BL372" i="1"/>
  <c r="H372" i="4" s="1"/>
  <c r="BL373" i="1"/>
  <c r="H373" i="4" s="1"/>
  <c r="BL374" i="1"/>
  <c r="H374" i="4" s="1"/>
  <c r="BL375" i="1"/>
  <c r="H375" i="4" s="1"/>
  <c r="BL376" i="1"/>
  <c r="H376" i="4" s="1"/>
  <c r="BL377" i="1"/>
  <c r="H377" i="4" s="1"/>
  <c r="BL378" i="1"/>
  <c r="H378" i="4" s="1"/>
  <c r="BL379" i="1"/>
  <c r="H379" i="4" s="1"/>
  <c r="BL380" i="1"/>
  <c r="H380" i="4" s="1"/>
  <c r="BL381" i="1"/>
  <c r="H381" i="4" s="1"/>
  <c r="BL382" i="1"/>
  <c r="H382" i="4" s="1"/>
  <c r="BL383" i="1"/>
  <c r="H383" i="4" s="1"/>
  <c r="BL384" i="1"/>
  <c r="H384" i="4" s="1"/>
  <c r="BL385" i="1"/>
  <c r="H385" i="4" s="1"/>
  <c r="BL386" i="1"/>
  <c r="H386" i="4" s="1"/>
  <c r="BL387" i="1"/>
  <c r="H387" i="4" s="1"/>
  <c r="BL388" i="1"/>
  <c r="H388" i="4" s="1"/>
  <c r="BL389" i="1"/>
  <c r="H389" i="4" s="1"/>
  <c r="BL390" i="1"/>
  <c r="H390" i="4" s="1"/>
  <c r="BL391" i="1"/>
  <c r="H391" i="4" s="1"/>
  <c r="BL392" i="1"/>
  <c r="H392" i="4" s="1"/>
  <c r="BL393" i="1"/>
  <c r="H393" i="4" s="1"/>
  <c r="BL394" i="1"/>
  <c r="H394" i="4" s="1"/>
  <c r="BL395" i="1"/>
  <c r="H395" i="4" s="1"/>
  <c r="BL396" i="1"/>
  <c r="H396" i="4" s="1"/>
  <c r="BL397" i="1"/>
  <c r="H397" i="4" s="1"/>
  <c r="BL398" i="1"/>
  <c r="H398" i="4" s="1"/>
  <c r="BL399" i="1"/>
  <c r="H399" i="4" s="1"/>
  <c r="BL400" i="1"/>
  <c r="H400" i="4" s="1"/>
  <c r="BL401" i="1"/>
  <c r="H401" i="4" s="1"/>
  <c r="BL402" i="1"/>
  <c r="H402" i="4" s="1"/>
  <c r="BL403" i="1"/>
  <c r="H403" i="4" s="1"/>
  <c r="BL404" i="1"/>
  <c r="H404" i="4" s="1"/>
  <c r="BL405" i="1"/>
  <c r="H405" i="4" s="1"/>
  <c r="BL406" i="1"/>
  <c r="H406" i="4" s="1"/>
  <c r="BL407" i="1"/>
  <c r="H407" i="4" s="1"/>
  <c r="BL408" i="1"/>
  <c r="H408" i="4" s="1"/>
  <c r="BL409" i="1"/>
  <c r="H409" i="4" s="1"/>
  <c r="BL410" i="1"/>
  <c r="H410" i="4" s="1"/>
  <c r="BL411" i="1"/>
  <c r="H411" i="4" s="1"/>
  <c r="BL412" i="1"/>
  <c r="H412" i="4" s="1"/>
  <c r="BL413" i="1"/>
  <c r="H413" i="4" s="1"/>
  <c r="BL414" i="1"/>
  <c r="H414" i="4" s="1"/>
  <c r="BL415" i="1"/>
  <c r="H415" i="4" s="1"/>
  <c r="BL416" i="1"/>
  <c r="H416" i="4" s="1"/>
  <c r="BL417" i="1"/>
  <c r="H417" i="4" s="1"/>
  <c r="BL418" i="1"/>
  <c r="H418" i="4" s="1"/>
  <c r="BL419" i="1"/>
  <c r="H419" i="4" s="1"/>
  <c r="BL420" i="1"/>
  <c r="H420" i="4" s="1"/>
  <c r="BL421" i="1"/>
  <c r="H421" i="4" s="1"/>
  <c r="BL422" i="1"/>
  <c r="H422" i="4" s="1"/>
  <c r="BL423" i="1"/>
  <c r="H423" i="4" s="1"/>
  <c r="BL424" i="1"/>
  <c r="H424" i="4" s="1"/>
  <c r="BL425" i="1"/>
  <c r="H425" i="4" s="1"/>
  <c r="BL426" i="1"/>
  <c r="H426" i="4" s="1"/>
  <c r="BL427" i="1"/>
  <c r="H427" i="4" s="1"/>
  <c r="BL428" i="1"/>
  <c r="H428" i="4" s="1"/>
  <c r="BL429" i="1"/>
  <c r="H429" i="4" s="1"/>
  <c r="BL430" i="1"/>
  <c r="H430" i="4" s="1"/>
  <c r="BL431" i="1"/>
  <c r="H431" i="4" s="1"/>
  <c r="BL432" i="1"/>
  <c r="H432" i="4" s="1"/>
  <c r="BL433" i="1"/>
  <c r="H433" i="4" s="1"/>
  <c r="BL434" i="1"/>
  <c r="H434" i="4" s="1"/>
  <c r="BL435" i="1"/>
  <c r="H435" i="4" s="1"/>
  <c r="BL436" i="1"/>
  <c r="H436" i="4" s="1"/>
  <c r="BL437" i="1"/>
  <c r="H437" i="4" s="1"/>
  <c r="BL438" i="1"/>
  <c r="H438" i="4" s="1"/>
  <c r="BL439" i="1"/>
  <c r="H439" i="4" s="1"/>
  <c r="BL440" i="1"/>
  <c r="H440" i="4" s="1"/>
  <c r="BL441" i="1"/>
  <c r="H441" i="4" s="1"/>
  <c r="BL442" i="1"/>
  <c r="H442" i="4" s="1"/>
  <c r="BL443" i="1"/>
  <c r="H443" i="4" s="1"/>
  <c r="BL444" i="1"/>
  <c r="H444" i="4" s="1"/>
  <c r="BL445" i="1"/>
  <c r="H445" i="4" s="1"/>
  <c r="BL446" i="1"/>
  <c r="H446" i="4" s="1"/>
  <c r="BL447" i="1"/>
  <c r="H447" i="4" s="1"/>
  <c r="BL448" i="1"/>
  <c r="H448" i="4" s="1"/>
  <c r="BL449" i="1"/>
  <c r="H449" i="4" s="1"/>
  <c r="BL450" i="1"/>
  <c r="H450" i="4" s="1"/>
  <c r="BL451" i="1"/>
  <c r="H451" i="4" s="1"/>
  <c r="BL452" i="1"/>
  <c r="H452" i="4" s="1"/>
  <c r="BL453" i="1"/>
  <c r="H453" i="4" s="1"/>
  <c r="BL454" i="1"/>
  <c r="H454" i="4" s="1"/>
  <c r="BL455" i="1"/>
  <c r="H455" i="4" s="1"/>
  <c r="BL456" i="1"/>
  <c r="H456" i="4" s="1"/>
  <c r="BL457" i="1"/>
  <c r="H457" i="4" s="1"/>
  <c r="BL458" i="1"/>
  <c r="H458" i="4" s="1"/>
  <c r="BL459" i="1"/>
  <c r="H459" i="4" s="1"/>
  <c r="BL460" i="1"/>
  <c r="H460" i="4" s="1"/>
  <c r="BL461" i="1"/>
  <c r="H461" i="4" s="1"/>
  <c r="BL462" i="1"/>
  <c r="H462" i="4" s="1"/>
  <c r="BL463" i="1"/>
  <c r="H463" i="4" s="1"/>
  <c r="BL464" i="1"/>
  <c r="H464" i="4" s="1"/>
  <c r="BL465" i="1"/>
  <c r="H465" i="4" s="1"/>
  <c r="BL466" i="1"/>
  <c r="H466" i="4" s="1"/>
  <c r="BL467" i="1"/>
  <c r="H467" i="4" s="1"/>
  <c r="BL468" i="1"/>
  <c r="H468" i="4" s="1"/>
  <c r="BL469" i="1"/>
  <c r="H469" i="4" s="1"/>
  <c r="BL470" i="1"/>
  <c r="H470" i="4" s="1"/>
  <c r="BL471" i="1"/>
  <c r="H471" i="4" s="1"/>
  <c r="BL472" i="1"/>
  <c r="H472" i="4" s="1"/>
  <c r="BL473" i="1"/>
  <c r="H473" i="4" s="1"/>
  <c r="BL474" i="1"/>
  <c r="H474" i="4" s="1"/>
  <c r="BL475" i="1"/>
  <c r="H475" i="4" s="1"/>
  <c r="BL476" i="1"/>
  <c r="H476" i="4" s="1"/>
  <c r="BL477" i="1"/>
  <c r="H477" i="4" s="1"/>
  <c r="BL478" i="1"/>
  <c r="H478" i="4" s="1"/>
  <c r="BL479" i="1"/>
  <c r="H479" i="4" s="1"/>
  <c r="BL480" i="1"/>
  <c r="H480" i="4" s="1"/>
  <c r="BL481" i="1"/>
  <c r="H481" i="4" s="1"/>
  <c r="BL482" i="1"/>
  <c r="H482" i="4" s="1"/>
  <c r="BL483" i="1"/>
  <c r="H483" i="4" s="1"/>
  <c r="BL484" i="1"/>
  <c r="H484" i="4" s="1"/>
  <c r="BL485" i="1"/>
  <c r="H485" i="4" s="1"/>
  <c r="BL486" i="1"/>
  <c r="H486" i="4" s="1"/>
  <c r="BL487" i="1"/>
  <c r="H487" i="4" s="1"/>
  <c r="BL488" i="1"/>
  <c r="H488" i="4" s="1"/>
  <c r="BL489" i="1"/>
  <c r="H489" i="4" s="1"/>
  <c r="BL490" i="1"/>
  <c r="H490" i="4" s="1"/>
  <c r="BL491" i="1"/>
  <c r="H491" i="4" s="1"/>
  <c r="BL492" i="1"/>
  <c r="H492" i="4" s="1"/>
  <c r="BL493" i="1"/>
  <c r="H493" i="4" s="1"/>
  <c r="BL494" i="1"/>
  <c r="H494" i="4" s="1"/>
  <c r="BL495" i="1"/>
  <c r="H495" i="4" s="1"/>
  <c r="BL496" i="1"/>
  <c r="H496" i="4" s="1"/>
  <c r="BL497" i="1"/>
  <c r="H497" i="4" s="1"/>
  <c r="BL498" i="1"/>
  <c r="H498" i="4" s="1"/>
  <c r="BL2" i="1"/>
  <c r="H2" i="4" s="1"/>
  <c r="E199" i="1"/>
  <c r="R199" i="1" s="1"/>
  <c r="I199" i="1"/>
  <c r="J199" i="1"/>
  <c r="K199" i="1"/>
  <c r="M199" i="1"/>
  <c r="L199" i="1"/>
  <c r="K42" i="2"/>
  <c r="K43" i="2"/>
  <c r="K44" i="2"/>
  <c r="K45" i="2"/>
  <c r="K46" i="2"/>
  <c r="K47" i="2"/>
  <c r="K48" i="2"/>
  <c r="K49" i="2"/>
  <c r="E200" i="1"/>
  <c r="I200" i="1"/>
  <c r="J200" i="1"/>
  <c r="K200" i="1"/>
  <c r="M200" i="1"/>
  <c r="L200" i="1"/>
  <c r="E201" i="1"/>
  <c r="AJ201" i="1" s="1"/>
  <c r="I201" i="1"/>
  <c r="J201" i="1"/>
  <c r="K201" i="1"/>
  <c r="M201" i="1"/>
  <c r="L201" i="1"/>
  <c r="E202" i="1"/>
  <c r="AJ202" i="1" s="1"/>
  <c r="I202" i="1"/>
  <c r="J202" i="1"/>
  <c r="K202" i="1"/>
  <c r="M202" i="1"/>
  <c r="L202" i="1"/>
  <c r="E203" i="1"/>
  <c r="I203" i="1"/>
  <c r="J203" i="1"/>
  <c r="K203" i="1"/>
  <c r="M203" i="1"/>
  <c r="L203" i="1"/>
  <c r="E204" i="1"/>
  <c r="R204" i="1" s="1"/>
  <c r="I204" i="1"/>
  <c r="J204" i="1"/>
  <c r="K204" i="1"/>
  <c r="M204" i="1"/>
  <c r="L204" i="1"/>
  <c r="E205" i="1"/>
  <c r="I205" i="1"/>
  <c r="J205" i="1"/>
  <c r="K205" i="1"/>
  <c r="M205" i="1"/>
  <c r="L205" i="1"/>
  <c r="E206" i="1"/>
  <c r="I206" i="1"/>
  <c r="J206" i="1"/>
  <c r="K206" i="1"/>
  <c r="M206" i="1"/>
  <c r="L206" i="1"/>
  <c r="E207" i="1"/>
  <c r="R207" i="1" s="1"/>
  <c r="I207" i="1"/>
  <c r="J207" i="1"/>
  <c r="K207" i="1"/>
  <c r="M207" i="1"/>
  <c r="L207" i="1"/>
  <c r="E208" i="1"/>
  <c r="R208" i="1" s="1"/>
  <c r="I208" i="1"/>
  <c r="J208" i="1"/>
  <c r="K208" i="1"/>
  <c r="M208" i="1"/>
  <c r="L208" i="1"/>
  <c r="E209" i="1"/>
  <c r="I209" i="1"/>
  <c r="J209" i="1"/>
  <c r="K209" i="1"/>
  <c r="M209" i="1"/>
  <c r="L209" i="1"/>
  <c r="E210" i="1"/>
  <c r="AJ210" i="1" s="1"/>
  <c r="I210" i="1"/>
  <c r="J210" i="1"/>
  <c r="K210" i="1"/>
  <c r="M210" i="1"/>
  <c r="L210" i="1"/>
  <c r="E211" i="1"/>
  <c r="I211" i="1"/>
  <c r="J211" i="1"/>
  <c r="K211" i="1"/>
  <c r="M211" i="1"/>
  <c r="L211" i="1"/>
  <c r="E212" i="1"/>
  <c r="AJ212" i="1" s="1"/>
  <c r="I212" i="1"/>
  <c r="J212" i="1"/>
  <c r="K212" i="1"/>
  <c r="M212" i="1"/>
  <c r="L212" i="1"/>
  <c r="E213" i="1"/>
  <c r="AJ213" i="1" s="1"/>
  <c r="I213" i="1"/>
  <c r="J213" i="1"/>
  <c r="K213" i="1"/>
  <c r="M213" i="1"/>
  <c r="L213" i="1"/>
  <c r="E214" i="1"/>
  <c r="I214" i="1"/>
  <c r="J214" i="1"/>
  <c r="K214" i="1"/>
  <c r="M214" i="1"/>
  <c r="L214" i="1"/>
  <c r="E215" i="1"/>
  <c r="R215" i="1" s="1"/>
  <c r="I215" i="1"/>
  <c r="J215" i="1"/>
  <c r="K215" i="1"/>
  <c r="M215" i="1"/>
  <c r="L215" i="1"/>
  <c r="E216" i="1"/>
  <c r="AJ216" i="1" s="1"/>
  <c r="I216" i="1"/>
  <c r="J216" i="1"/>
  <c r="K216" i="1"/>
  <c r="M216" i="1"/>
  <c r="L216" i="1"/>
  <c r="E217" i="1"/>
  <c r="I217" i="1"/>
  <c r="J217" i="1"/>
  <c r="K217" i="1"/>
  <c r="M217" i="1"/>
  <c r="L217" i="1"/>
  <c r="E218" i="1"/>
  <c r="AJ218" i="1" s="1"/>
  <c r="I218" i="1"/>
  <c r="J218" i="1"/>
  <c r="K218" i="1"/>
  <c r="M218" i="1"/>
  <c r="L218" i="1"/>
  <c r="E219" i="1"/>
  <c r="I219" i="1"/>
  <c r="J219" i="1"/>
  <c r="K219" i="1"/>
  <c r="M219" i="1"/>
  <c r="L219" i="1"/>
  <c r="E220" i="1"/>
  <c r="R220" i="1" s="1"/>
  <c r="I220" i="1"/>
  <c r="J220" i="1"/>
  <c r="K220" i="1"/>
  <c r="M220" i="1"/>
  <c r="L220" i="1"/>
  <c r="E221" i="1"/>
  <c r="I221" i="1"/>
  <c r="J221" i="1"/>
  <c r="K221" i="1"/>
  <c r="M221" i="1"/>
  <c r="L221" i="1"/>
  <c r="E222" i="1"/>
  <c r="R222" i="1" s="1"/>
  <c r="I222" i="1"/>
  <c r="J222" i="1"/>
  <c r="K222" i="1"/>
  <c r="M222" i="1"/>
  <c r="L222" i="1"/>
  <c r="E223" i="1"/>
  <c r="R223" i="1" s="1"/>
  <c r="I223" i="1"/>
  <c r="J223" i="1"/>
  <c r="K223" i="1"/>
  <c r="M223" i="1"/>
  <c r="L223" i="1"/>
  <c r="E224" i="1"/>
  <c r="AJ224" i="1" s="1"/>
  <c r="I224" i="1"/>
  <c r="J224" i="1"/>
  <c r="K224" i="1"/>
  <c r="M224" i="1"/>
  <c r="L224" i="1"/>
  <c r="E225" i="1"/>
  <c r="I225" i="1"/>
  <c r="J225" i="1"/>
  <c r="K225" i="1"/>
  <c r="M225" i="1"/>
  <c r="L225" i="1"/>
  <c r="E226" i="1"/>
  <c r="R226" i="1" s="1"/>
  <c r="I226" i="1"/>
  <c r="J226" i="1"/>
  <c r="K226" i="1"/>
  <c r="M226" i="1"/>
  <c r="L226" i="1"/>
  <c r="E227" i="1"/>
  <c r="R227" i="1" s="1"/>
  <c r="I227" i="1"/>
  <c r="J227" i="1"/>
  <c r="K227" i="1"/>
  <c r="M227" i="1"/>
  <c r="L227" i="1"/>
  <c r="E228" i="1"/>
  <c r="AJ228" i="1" s="1"/>
  <c r="I228" i="1"/>
  <c r="J228" i="1"/>
  <c r="K228" i="1"/>
  <c r="M228" i="1"/>
  <c r="L228" i="1"/>
  <c r="E229" i="1"/>
  <c r="R229" i="1" s="1"/>
  <c r="I229" i="1"/>
  <c r="J229" i="1"/>
  <c r="K229" i="1"/>
  <c r="M229" i="1"/>
  <c r="L229" i="1"/>
  <c r="E230" i="1"/>
  <c r="AJ230" i="1" s="1"/>
  <c r="I230" i="1"/>
  <c r="J230" i="1"/>
  <c r="K230" i="1"/>
  <c r="M230" i="1"/>
  <c r="L230" i="1"/>
  <c r="E231" i="1"/>
  <c r="AJ231" i="1" s="1"/>
  <c r="I231" i="1"/>
  <c r="J231" i="1"/>
  <c r="K231" i="1"/>
  <c r="M231" i="1"/>
  <c r="L231" i="1"/>
  <c r="E232" i="1"/>
  <c r="I232" i="1"/>
  <c r="J232" i="1"/>
  <c r="K232" i="1"/>
  <c r="M232" i="1"/>
  <c r="L232" i="1"/>
  <c r="E233" i="1"/>
  <c r="R233" i="1" s="1"/>
  <c r="I233" i="1"/>
  <c r="J233" i="1"/>
  <c r="K233" i="1"/>
  <c r="M233" i="1"/>
  <c r="L233" i="1"/>
  <c r="E234" i="1"/>
  <c r="R234" i="1" s="1"/>
  <c r="I234" i="1"/>
  <c r="J234" i="1"/>
  <c r="K234" i="1"/>
  <c r="M234" i="1"/>
  <c r="L234" i="1"/>
  <c r="E235" i="1"/>
  <c r="I235" i="1"/>
  <c r="J235" i="1"/>
  <c r="K235" i="1"/>
  <c r="M235" i="1"/>
  <c r="L235" i="1"/>
  <c r="E236" i="1"/>
  <c r="R236" i="1" s="1"/>
  <c r="I236" i="1"/>
  <c r="J236" i="1"/>
  <c r="K236" i="1"/>
  <c r="M236" i="1"/>
  <c r="L236" i="1"/>
  <c r="E237" i="1"/>
  <c r="I237" i="1"/>
  <c r="J237" i="1"/>
  <c r="K237" i="1"/>
  <c r="M237" i="1"/>
  <c r="L237" i="1"/>
  <c r="E238" i="1"/>
  <c r="AJ238" i="1" s="1"/>
  <c r="I238" i="1"/>
  <c r="J238" i="1"/>
  <c r="K238" i="1"/>
  <c r="M238" i="1"/>
  <c r="L238" i="1"/>
  <c r="E239" i="1"/>
  <c r="R239" i="1" s="1"/>
  <c r="I239" i="1"/>
  <c r="J239" i="1"/>
  <c r="K239" i="1"/>
  <c r="M239" i="1"/>
  <c r="L239" i="1"/>
  <c r="E240" i="1"/>
  <c r="AJ240" i="1" s="1"/>
  <c r="I240" i="1"/>
  <c r="J240" i="1"/>
  <c r="K240" i="1"/>
  <c r="M240" i="1"/>
  <c r="L240" i="1"/>
  <c r="E241" i="1"/>
  <c r="I241" i="1"/>
  <c r="J241" i="1"/>
  <c r="K241" i="1"/>
  <c r="M241" i="1"/>
  <c r="L241" i="1"/>
  <c r="E242" i="1"/>
  <c r="R242" i="1" s="1"/>
  <c r="I242" i="1"/>
  <c r="J242" i="1"/>
  <c r="K242" i="1"/>
  <c r="M242" i="1"/>
  <c r="L242" i="1"/>
  <c r="E243" i="1"/>
  <c r="I243" i="1"/>
  <c r="J243" i="1"/>
  <c r="K243" i="1"/>
  <c r="M243" i="1"/>
  <c r="L243" i="1"/>
  <c r="E244" i="1"/>
  <c r="AJ244" i="1" s="1"/>
  <c r="I244" i="1"/>
  <c r="J244" i="1"/>
  <c r="K244" i="1"/>
  <c r="M244" i="1"/>
  <c r="L244" i="1"/>
  <c r="E245" i="1"/>
  <c r="AJ245" i="1" s="1"/>
  <c r="I245" i="1"/>
  <c r="J245" i="1"/>
  <c r="K245" i="1"/>
  <c r="M245" i="1"/>
  <c r="L245" i="1"/>
  <c r="E246" i="1"/>
  <c r="I246" i="1"/>
  <c r="J246" i="1"/>
  <c r="K246" i="1"/>
  <c r="M246" i="1"/>
  <c r="L246" i="1"/>
  <c r="E247" i="1"/>
  <c r="R247" i="1" s="1"/>
  <c r="I247" i="1"/>
  <c r="J247" i="1"/>
  <c r="K247" i="1"/>
  <c r="M247" i="1"/>
  <c r="L247" i="1"/>
  <c r="E248" i="1"/>
  <c r="I248" i="1"/>
  <c r="J248" i="1"/>
  <c r="K248" i="1"/>
  <c r="M248" i="1"/>
  <c r="L248" i="1"/>
  <c r="E249" i="1"/>
  <c r="I249" i="1"/>
  <c r="J249" i="1"/>
  <c r="K249" i="1"/>
  <c r="M249" i="1"/>
  <c r="L249" i="1"/>
  <c r="E250" i="1"/>
  <c r="AJ250" i="1" s="1"/>
  <c r="I250" i="1"/>
  <c r="J250" i="1"/>
  <c r="K250" i="1"/>
  <c r="M250" i="1"/>
  <c r="L250" i="1"/>
  <c r="E251" i="1"/>
  <c r="AJ251" i="1" s="1"/>
  <c r="I251" i="1"/>
  <c r="J251" i="1"/>
  <c r="K251" i="1"/>
  <c r="M251" i="1"/>
  <c r="L251" i="1"/>
  <c r="E252" i="1"/>
  <c r="R252" i="1" s="1"/>
  <c r="I252" i="1"/>
  <c r="J252" i="1"/>
  <c r="K252" i="1"/>
  <c r="M252" i="1"/>
  <c r="L252" i="1"/>
  <c r="E253" i="1"/>
  <c r="I253" i="1"/>
  <c r="J253" i="1"/>
  <c r="K253" i="1"/>
  <c r="M253" i="1"/>
  <c r="L253" i="1"/>
  <c r="E254" i="1"/>
  <c r="R254" i="1" s="1"/>
  <c r="I254" i="1"/>
  <c r="J254" i="1"/>
  <c r="K254" i="1"/>
  <c r="M254" i="1"/>
  <c r="L254" i="1"/>
  <c r="E255" i="1"/>
  <c r="AJ255" i="1" s="1"/>
  <c r="I255" i="1"/>
  <c r="J255" i="1"/>
  <c r="K255" i="1"/>
  <c r="M255" i="1"/>
  <c r="L255" i="1"/>
  <c r="E256" i="1"/>
  <c r="AJ256" i="1" s="1"/>
  <c r="I256" i="1"/>
  <c r="J256" i="1"/>
  <c r="K256" i="1"/>
  <c r="M256" i="1"/>
  <c r="L256" i="1"/>
  <c r="E257" i="1"/>
  <c r="I257" i="1"/>
  <c r="J257" i="1"/>
  <c r="K257" i="1"/>
  <c r="M257" i="1"/>
  <c r="L257" i="1"/>
  <c r="E258" i="1"/>
  <c r="R258" i="1" s="1"/>
  <c r="I258" i="1"/>
  <c r="J258" i="1"/>
  <c r="K258" i="1"/>
  <c r="M258" i="1"/>
  <c r="L258" i="1"/>
  <c r="E259" i="1"/>
  <c r="I259" i="1"/>
  <c r="J259" i="1"/>
  <c r="K259" i="1"/>
  <c r="M259" i="1"/>
  <c r="L259" i="1"/>
  <c r="E260" i="1"/>
  <c r="AJ260" i="1" s="1"/>
  <c r="I260" i="1"/>
  <c r="J260" i="1"/>
  <c r="K260" i="1"/>
  <c r="M260" i="1"/>
  <c r="L260" i="1"/>
  <c r="E261" i="1"/>
  <c r="AJ261" i="1" s="1"/>
  <c r="I261" i="1"/>
  <c r="J261" i="1"/>
  <c r="K261" i="1"/>
  <c r="M261" i="1"/>
  <c r="L261" i="1"/>
  <c r="E262" i="1"/>
  <c r="R262" i="1" s="1"/>
  <c r="I262" i="1"/>
  <c r="J262" i="1"/>
  <c r="K262" i="1"/>
  <c r="M262" i="1"/>
  <c r="L262" i="1"/>
  <c r="E263" i="1"/>
  <c r="R263" i="1" s="1"/>
  <c r="I263" i="1"/>
  <c r="J263" i="1"/>
  <c r="K263" i="1"/>
  <c r="M263" i="1"/>
  <c r="L263" i="1"/>
  <c r="E264" i="1"/>
  <c r="I264" i="1"/>
  <c r="J264" i="1"/>
  <c r="K264" i="1"/>
  <c r="M264" i="1"/>
  <c r="L264" i="1"/>
  <c r="E265" i="1"/>
  <c r="I265" i="1"/>
  <c r="J265" i="1"/>
  <c r="K265" i="1"/>
  <c r="M265" i="1"/>
  <c r="L265" i="1"/>
  <c r="E266" i="1"/>
  <c r="AJ266" i="1" s="1"/>
  <c r="I266" i="1"/>
  <c r="J266" i="1"/>
  <c r="K266" i="1"/>
  <c r="M266" i="1"/>
  <c r="L266" i="1"/>
  <c r="E267" i="1"/>
  <c r="AJ267" i="1" s="1"/>
  <c r="I267" i="1"/>
  <c r="J267" i="1"/>
  <c r="K267" i="1"/>
  <c r="M267" i="1"/>
  <c r="L267" i="1"/>
  <c r="E268" i="1"/>
  <c r="R268" i="1" s="1"/>
  <c r="I268" i="1"/>
  <c r="J268" i="1"/>
  <c r="K268" i="1"/>
  <c r="M268" i="1"/>
  <c r="L268" i="1"/>
  <c r="E269" i="1"/>
  <c r="I269" i="1"/>
  <c r="J269" i="1"/>
  <c r="K269" i="1"/>
  <c r="M269" i="1"/>
  <c r="L269" i="1"/>
  <c r="E270" i="1"/>
  <c r="AJ270" i="1" s="1"/>
  <c r="I270" i="1"/>
  <c r="J270" i="1"/>
  <c r="K270" i="1"/>
  <c r="M270" i="1"/>
  <c r="L270" i="1"/>
  <c r="E271" i="1"/>
  <c r="R271" i="1" s="1"/>
  <c r="I271" i="1"/>
  <c r="J271" i="1"/>
  <c r="K271" i="1"/>
  <c r="M271" i="1"/>
  <c r="L271" i="1"/>
  <c r="E272" i="1"/>
  <c r="AJ272" i="1" s="1"/>
  <c r="I272" i="1"/>
  <c r="J272" i="1"/>
  <c r="K272" i="1"/>
  <c r="M272" i="1"/>
  <c r="L272" i="1"/>
  <c r="E273" i="1"/>
  <c r="I273" i="1"/>
  <c r="J273" i="1"/>
  <c r="K273" i="1"/>
  <c r="M273" i="1"/>
  <c r="L273" i="1"/>
  <c r="E274" i="1"/>
  <c r="I274" i="1"/>
  <c r="J274" i="1"/>
  <c r="K274" i="1"/>
  <c r="M274" i="1"/>
  <c r="L274" i="1"/>
  <c r="E275" i="1"/>
  <c r="R275" i="1" s="1"/>
  <c r="I275" i="1"/>
  <c r="J275" i="1"/>
  <c r="K275" i="1"/>
  <c r="M275" i="1"/>
  <c r="L275" i="1"/>
  <c r="E276" i="1"/>
  <c r="R276" i="1" s="1"/>
  <c r="I276" i="1"/>
  <c r="J276" i="1"/>
  <c r="K276" i="1"/>
  <c r="M276" i="1"/>
  <c r="L276" i="1"/>
  <c r="E277" i="1"/>
  <c r="I277" i="1"/>
  <c r="J277" i="1"/>
  <c r="K277" i="1"/>
  <c r="M277" i="1"/>
  <c r="L277" i="1"/>
  <c r="E278" i="1"/>
  <c r="R278" i="1" s="1"/>
  <c r="I278" i="1"/>
  <c r="J278" i="1"/>
  <c r="K278" i="1"/>
  <c r="M278" i="1"/>
  <c r="L278" i="1"/>
  <c r="E279" i="1"/>
  <c r="R279" i="1" s="1"/>
  <c r="I279" i="1"/>
  <c r="J279" i="1"/>
  <c r="K279" i="1"/>
  <c r="M279" i="1"/>
  <c r="L279" i="1"/>
  <c r="E280" i="1"/>
  <c r="AJ280" i="1" s="1"/>
  <c r="I280" i="1"/>
  <c r="J280" i="1"/>
  <c r="K280" i="1"/>
  <c r="M280" i="1"/>
  <c r="L280" i="1"/>
  <c r="E281" i="1"/>
  <c r="I281" i="1"/>
  <c r="J281" i="1"/>
  <c r="K281" i="1"/>
  <c r="M281" i="1"/>
  <c r="L281" i="1"/>
  <c r="E282" i="1"/>
  <c r="R282" i="1" s="1"/>
  <c r="I282" i="1"/>
  <c r="J282" i="1"/>
  <c r="K282" i="1"/>
  <c r="M282" i="1"/>
  <c r="L282" i="1"/>
  <c r="E283" i="1"/>
  <c r="I283" i="1"/>
  <c r="J283" i="1"/>
  <c r="K283" i="1"/>
  <c r="M283" i="1"/>
  <c r="L283" i="1"/>
  <c r="E284" i="1"/>
  <c r="AJ284" i="1" s="1"/>
  <c r="I284" i="1"/>
  <c r="J284" i="1"/>
  <c r="K284" i="1"/>
  <c r="M284" i="1"/>
  <c r="L284" i="1"/>
  <c r="E285" i="1"/>
  <c r="I285" i="1"/>
  <c r="J285" i="1"/>
  <c r="K285" i="1"/>
  <c r="M285" i="1"/>
  <c r="L285" i="1"/>
  <c r="E286" i="1"/>
  <c r="R286" i="1" s="1"/>
  <c r="I286" i="1"/>
  <c r="J286" i="1"/>
  <c r="K286" i="1"/>
  <c r="M286" i="1"/>
  <c r="L286" i="1"/>
  <c r="E287" i="1"/>
  <c r="R287" i="1" s="1"/>
  <c r="I287" i="1"/>
  <c r="J287" i="1"/>
  <c r="K287" i="1"/>
  <c r="M287" i="1"/>
  <c r="L287" i="1"/>
  <c r="E288" i="1"/>
  <c r="R288" i="1" s="1"/>
  <c r="I288" i="1"/>
  <c r="J288" i="1"/>
  <c r="K288" i="1"/>
  <c r="M288" i="1"/>
  <c r="L288" i="1"/>
  <c r="E289" i="1"/>
  <c r="R289" i="1" s="1"/>
  <c r="I289" i="1"/>
  <c r="J289" i="1"/>
  <c r="K289" i="1"/>
  <c r="M289" i="1"/>
  <c r="L289" i="1"/>
  <c r="E290" i="1"/>
  <c r="R290" i="1" s="1"/>
  <c r="I290" i="1"/>
  <c r="J290" i="1"/>
  <c r="K290" i="1"/>
  <c r="M290" i="1"/>
  <c r="L290" i="1"/>
  <c r="E291" i="1"/>
  <c r="I291" i="1"/>
  <c r="J291" i="1"/>
  <c r="K291" i="1"/>
  <c r="M291" i="1"/>
  <c r="L291" i="1"/>
  <c r="E292" i="1"/>
  <c r="AJ292" i="1" s="1"/>
  <c r="I292" i="1"/>
  <c r="J292" i="1"/>
  <c r="K292" i="1"/>
  <c r="M292" i="1"/>
  <c r="L292" i="1"/>
  <c r="E293" i="1"/>
  <c r="I293" i="1"/>
  <c r="J293" i="1"/>
  <c r="K293" i="1"/>
  <c r="M293" i="1"/>
  <c r="L293" i="1"/>
  <c r="E294" i="1"/>
  <c r="AJ294" i="1" s="1"/>
  <c r="I294" i="1"/>
  <c r="J294" i="1"/>
  <c r="K294" i="1"/>
  <c r="M294" i="1"/>
  <c r="L294" i="1"/>
  <c r="E295" i="1"/>
  <c r="I295" i="1"/>
  <c r="J295" i="1"/>
  <c r="K295" i="1"/>
  <c r="M295" i="1"/>
  <c r="L295" i="1"/>
  <c r="E296" i="1"/>
  <c r="I296" i="1"/>
  <c r="J296" i="1"/>
  <c r="K296" i="1"/>
  <c r="M296" i="1"/>
  <c r="L296" i="1"/>
  <c r="E297" i="1"/>
  <c r="I297" i="1"/>
  <c r="J297" i="1"/>
  <c r="K297" i="1"/>
  <c r="M297" i="1"/>
  <c r="L297" i="1"/>
  <c r="E298" i="1"/>
  <c r="R298" i="1" s="1"/>
  <c r="I298" i="1"/>
  <c r="J298" i="1"/>
  <c r="K298" i="1"/>
  <c r="M298" i="1"/>
  <c r="L298" i="1"/>
  <c r="E299" i="1"/>
  <c r="I299" i="1"/>
  <c r="J299" i="1"/>
  <c r="K299" i="1"/>
  <c r="M299" i="1"/>
  <c r="L299" i="1"/>
  <c r="E300" i="1"/>
  <c r="AJ300" i="1" s="1"/>
  <c r="I300" i="1"/>
  <c r="J300" i="1"/>
  <c r="K300" i="1"/>
  <c r="M300" i="1"/>
  <c r="L300" i="1"/>
  <c r="E301" i="1"/>
  <c r="I301" i="1"/>
  <c r="J301" i="1"/>
  <c r="K301" i="1"/>
  <c r="M301" i="1"/>
  <c r="L301" i="1"/>
  <c r="E302" i="1"/>
  <c r="AJ302" i="1" s="1"/>
  <c r="I302" i="1"/>
  <c r="J302" i="1"/>
  <c r="K302" i="1"/>
  <c r="M302" i="1"/>
  <c r="L302" i="1"/>
  <c r="E303" i="1"/>
  <c r="AJ303" i="1" s="1"/>
  <c r="I303" i="1"/>
  <c r="J303" i="1"/>
  <c r="K303" i="1"/>
  <c r="M303" i="1"/>
  <c r="L303" i="1"/>
  <c r="E304" i="1"/>
  <c r="AJ304" i="1" s="1"/>
  <c r="I304" i="1"/>
  <c r="J304" i="1"/>
  <c r="K304" i="1"/>
  <c r="M304" i="1"/>
  <c r="L304" i="1"/>
  <c r="E305" i="1"/>
  <c r="I305" i="1"/>
  <c r="J305" i="1"/>
  <c r="K305" i="1"/>
  <c r="M305" i="1"/>
  <c r="L305" i="1"/>
  <c r="E306" i="1"/>
  <c r="R306" i="1" s="1"/>
  <c r="I306" i="1"/>
  <c r="J306" i="1"/>
  <c r="K306" i="1"/>
  <c r="M306" i="1"/>
  <c r="L306" i="1"/>
  <c r="E307" i="1"/>
  <c r="I307" i="1"/>
  <c r="J307" i="1"/>
  <c r="K307" i="1"/>
  <c r="M307" i="1"/>
  <c r="L307" i="1"/>
  <c r="E308" i="1"/>
  <c r="AJ308" i="1" s="1"/>
  <c r="I308" i="1"/>
  <c r="J308" i="1"/>
  <c r="K308" i="1"/>
  <c r="M308" i="1"/>
  <c r="L308" i="1"/>
  <c r="E309" i="1"/>
  <c r="I309" i="1"/>
  <c r="J309" i="1"/>
  <c r="K309" i="1"/>
  <c r="M309" i="1"/>
  <c r="L309" i="1"/>
  <c r="E310" i="1"/>
  <c r="AJ310" i="1" s="1"/>
  <c r="I310" i="1"/>
  <c r="J310" i="1"/>
  <c r="K310" i="1"/>
  <c r="M310" i="1"/>
  <c r="L310" i="1"/>
  <c r="E311" i="1"/>
  <c r="R311" i="1" s="1"/>
  <c r="I311" i="1"/>
  <c r="J311" i="1"/>
  <c r="K311" i="1"/>
  <c r="M311" i="1"/>
  <c r="L311" i="1"/>
  <c r="E312" i="1"/>
  <c r="R312" i="1" s="1"/>
  <c r="I312" i="1"/>
  <c r="J312" i="1"/>
  <c r="K312" i="1"/>
  <c r="M312" i="1"/>
  <c r="L312" i="1"/>
  <c r="E313" i="1"/>
  <c r="R313" i="1" s="1"/>
  <c r="I313" i="1"/>
  <c r="J313" i="1"/>
  <c r="K313" i="1"/>
  <c r="M313" i="1"/>
  <c r="L313" i="1"/>
  <c r="E314" i="1"/>
  <c r="AJ314" i="1" s="1"/>
  <c r="I314" i="1"/>
  <c r="J314" i="1"/>
  <c r="K314" i="1"/>
  <c r="M314" i="1"/>
  <c r="L314" i="1"/>
  <c r="E315" i="1"/>
  <c r="I315" i="1"/>
  <c r="J315" i="1"/>
  <c r="K315" i="1"/>
  <c r="M315" i="1"/>
  <c r="L315" i="1"/>
  <c r="E316" i="1"/>
  <c r="I316" i="1"/>
  <c r="J316" i="1"/>
  <c r="K316" i="1"/>
  <c r="M316" i="1"/>
  <c r="L316" i="1"/>
  <c r="E317" i="1"/>
  <c r="R317" i="1" s="1"/>
  <c r="I317" i="1"/>
  <c r="J317" i="1"/>
  <c r="K317" i="1"/>
  <c r="M317" i="1"/>
  <c r="L317" i="1"/>
  <c r="E318" i="1"/>
  <c r="AJ318" i="1" s="1"/>
  <c r="I318" i="1"/>
  <c r="J318" i="1"/>
  <c r="K318" i="1"/>
  <c r="M318" i="1"/>
  <c r="L318" i="1"/>
  <c r="E319" i="1"/>
  <c r="I319" i="1"/>
  <c r="J319" i="1"/>
  <c r="K319" i="1"/>
  <c r="M319" i="1"/>
  <c r="L319" i="1"/>
  <c r="E320" i="1"/>
  <c r="AJ320" i="1" s="1"/>
  <c r="I320" i="1"/>
  <c r="J320" i="1"/>
  <c r="K320" i="1"/>
  <c r="M320" i="1"/>
  <c r="L320" i="1"/>
  <c r="E321" i="1"/>
  <c r="AJ321" i="1" s="1"/>
  <c r="I321" i="1"/>
  <c r="J321" i="1"/>
  <c r="K321" i="1"/>
  <c r="M321" i="1"/>
  <c r="L321" i="1"/>
  <c r="E322" i="1"/>
  <c r="AJ322" i="1" s="1"/>
  <c r="I322" i="1"/>
  <c r="J322" i="1"/>
  <c r="K322" i="1"/>
  <c r="M322" i="1"/>
  <c r="L322" i="1"/>
  <c r="E323" i="1"/>
  <c r="AJ323" i="1" s="1"/>
  <c r="I323" i="1"/>
  <c r="J323" i="1"/>
  <c r="K323" i="1"/>
  <c r="M323" i="1"/>
  <c r="L323" i="1"/>
  <c r="E324" i="1"/>
  <c r="I324" i="1"/>
  <c r="J324" i="1"/>
  <c r="K324" i="1"/>
  <c r="M324" i="1"/>
  <c r="L324" i="1"/>
  <c r="E325" i="1"/>
  <c r="AJ325" i="1" s="1"/>
  <c r="I325" i="1"/>
  <c r="J325" i="1"/>
  <c r="K325" i="1"/>
  <c r="M325" i="1"/>
  <c r="L325" i="1"/>
  <c r="E326" i="1"/>
  <c r="AJ326" i="1" s="1"/>
  <c r="I326" i="1"/>
  <c r="J326" i="1"/>
  <c r="K326" i="1"/>
  <c r="M326" i="1"/>
  <c r="L326" i="1"/>
  <c r="E327" i="1"/>
  <c r="R327" i="1" s="1"/>
  <c r="I327" i="1"/>
  <c r="J327" i="1"/>
  <c r="K327" i="1"/>
  <c r="M327" i="1"/>
  <c r="L327" i="1"/>
  <c r="E328" i="1"/>
  <c r="R328" i="1" s="1"/>
  <c r="I328" i="1"/>
  <c r="J328" i="1"/>
  <c r="K328" i="1"/>
  <c r="M328" i="1"/>
  <c r="L328" i="1"/>
  <c r="E329" i="1"/>
  <c r="I329" i="1"/>
  <c r="J329" i="1"/>
  <c r="K329" i="1"/>
  <c r="M329" i="1"/>
  <c r="L329" i="1"/>
  <c r="E330" i="1"/>
  <c r="R330" i="1" s="1"/>
  <c r="I330" i="1"/>
  <c r="J330" i="1"/>
  <c r="K330" i="1"/>
  <c r="M330" i="1"/>
  <c r="L330" i="1"/>
  <c r="E331" i="1"/>
  <c r="AJ331" i="1" s="1"/>
  <c r="I331" i="1"/>
  <c r="J331" i="1"/>
  <c r="K331" i="1"/>
  <c r="M331" i="1"/>
  <c r="L331" i="1"/>
  <c r="E332" i="1"/>
  <c r="R332" i="1" s="1"/>
  <c r="I332" i="1"/>
  <c r="J332" i="1"/>
  <c r="K332" i="1"/>
  <c r="M332" i="1"/>
  <c r="L332" i="1"/>
  <c r="E333" i="1"/>
  <c r="R333" i="1" s="1"/>
  <c r="I333" i="1"/>
  <c r="J333" i="1"/>
  <c r="K333" i="1"/>
  <c r="M333" i="1"/>
  <c r="L333" i="1"/>
  <c r="E334" i="1"/>
  <c r="R334" i="1" s="1"/>
  <c r="I334" i="1"/>
  <c r="J334" i="1"/>
  <c r="K334" i="1"/>
  <c r="M334" i="1"/>
  <c r="L334" i="1"/>
  <c r="E335" i="1"/>
  <c r="R335" i="1" s="1"/>
  <c r="I335" i="1"/>
  <c r="J335" i="1"/>
  <c r="K335" i="1"/>
  <c r="M335" i="1"/>
  <c r="L335" i="1"/>
  <c r="E336" i="1"/>
  <c r="AJ336" i="1" s="1"/>
  <c r="I336" i="1"/>
  <c r="J336" i="1"/>
  <c r="K336" i="1"/>
  <c r="M336" i="1"/>
  <c r="L336" i="1"/>
  <c r="E337" i="1"/>
  <c r="R337" i="1" s="1"/>
  <c r="I337" i="1"/>
  <c r="J337" i="1"/>
  <c r="K337" i="1"/>
  <c r="M337" i="1"/>
  <c r="L337" i="1"/>
  <c r="E338" i="1"/>
  <c r="R338" i="1" s="1"/>
  <c r="I338" i="1"/>
  <c r="J338" i="1"/>
  <c r="K338" i="1"/>
  <c r="M338" i="1"/>
  <c r="L338" i="1"/>
  <c r="E339" i="1"/>
  <c r="I339" i="1"/>
  <c r="J339" i="1"/>
  <c r="K339" i="1"/>
  <c r="M339" i="1"/>
  <c r="L339" i="1"/>
  <c r="E340" i="1"/>
  <c r="I340" i="1"/>
  <c r="J340" i="1"/>
  <c r="K340" i="1"/>
  <c r="M340" i="1"/>
  <c r="L340" i="1"/>
  <c r="E341" i="1"/>
  <c r="I341" i="1"/>
  <c r="J341" i="1"/>
  <c r="K341" i="1"/>
  <c r="M341" i="1"/>
  <c r="L341" i="1"/>
  <c r="E342" i="1"/>
  <c r="R342" i="1" s="1"/>
  <c r="I342" i="1"/>
  <c r="J342" i="1"/>
  <c r="K342" i="1"/>
  <c r="M342" i="1"/>
  <c r="L342" i="1"/>
  <c r="E343" i="1"/>
  <c r="I343" i="1"/>
  <c r="J343" i="1"/>
  <c r="K343" i="1"/>
  <c r="M343" i="1"/>
  <c r="L343" i="1"/>
  <c r="E344" i="1"/>
  <c r="R344" i="1" s="1"/>
  <c r="I344" i="1"/>
  <c r="J344" i="1"/>
  <c r="K344" i="1"/>
  <c r="M344" i="1"/>
  <c r="L344" i="1"/>
  <c r="E345" i="1"/>
  <c r="I345" i="1"/>
  <c r="J345" i="1"/>
  <c r="K345" i="1"/>
  <c r="M345" i="1"/>
  <c r="L345" i="1"/>
  <c r="E346" i="1"/>
  <c r="I346" i="1"/>
  <c r="J346" i="1"/>
  <c r="K346" i="1"/>
  <c r="M346" i="1"/>
  <c r="L346" i="1"/>
  <c r="E347" i="1"/>
  <c r="AJ347" i="1" s="1"/>
  <c r="I347" i="1"/>
  <c r="J347" i="1"/>
  <c r="K347" i="1"/>
  <c r="M347" i="1"/>
  <c r="L347" i="1"/>
  <c r="E348" i="1"/>
  <c r="R348" i="1" s="1"/>
  <c r="I348" i="1"/>
  <c r="J348" i="1"/>
  <c r="K348" i="1"/>
  <c r="M348" i="1"/>
  <c r="L348" i="1"/>
  <c r="E349" i="1"/>
  <c r="AJ349" i="1" s="1"/>
  <c r="I349" i="1"/>
  <c r="J349" i="1"/>
  <c r="K349" i="1"/>
  <c r="M349" i="1"/>
  <c r="L349" i="1"/>
  <c r="E350" i="1"/>
  <c r="R350" i="1" s="1"/>
  <c r="I350" i="1"/>
  <c r="J350" i="1"/>
  <c r="K350" i="1"/>
  <c r="M350" i="1"/>
  <c r="L350" i="1"/>
  <c r="B351" i="1"/>
  <c r="C351" i="4" s="1"/>
  <c r="E351" i="1"/>
  <c r="I351" i="1"/>
  <c r="J351" i="1"/>
  <c r="K351" i="1"/>
  <c r="M351" i="1"/>
  <c r="L351" i="1"/>
  <c r="B352" i="1"/>
  <c r="C352" i="4" s="1"/>
  <c r="E352" i="1"/>
  <c r="AJ352" i="1" s="1"/>
  <c r="I352" i="1"/>
  <c r="J352" i="1"/>
  <c r="K352" i="1"/>
  <c r="M352" i="1"/>
  <c r="L352" i="1"/>
  <c r="B353" i="1"/>
  <c r="C353" i="4" s="1"/>
  <c r="E353" i="1"/>
  <c r="AJ353" i="1" s="1"/>
  <c r="I353" i="1"/>
  <c r="J353" i="1"/>
  <c r="K353" i="1"/>
  <c r="M353" i="1"/>
  <c r="L353" i="1"/>
  <c r="B354" i="1"/>
  <c r="C354" i="4" s="1"/>
  <c r="E354" i="1"/>
  <c r="R354" i="1" s="1"/>
  <c r="I354" i="1"/>
  <c r="J354" i="1"/>
  <c r="K354" i="1"/>
  <c r="M354" i="1"/>
  <c r="L354" i="1"/>
  <c r="B355" i="1"/>
  <c r="C355" i="4" s="1"/>
  <c r="E355" i="1"/>
  <c r="I355" i="1"/>
  <c r="J355" i="1"/>
  <c r="K355" i="1"/>
  <c r="M355" i="1"/>
  <c r="L355" i="1"/>
  <c r="B356" i="1"/>
  <c r="C356" i="4" s="1"/>
  <c r="E356" i="1"/>
  <c r="I356" i="1"/>
  <c r="J356" i="1"/>
  <c r="K356" i="1"/>
  <c r="M356" i="1"/>
  <c r="L356" i="1"/>
  <c r="B357" i="1"/>
  <c r="C357" i="4" s="1"/>
  <c r="E357" i="1"/>
  <c r="R357" i="1" s="1"/>
  <c r="I357" i="1"/>
  <c r="J357" i="1"/>
  <c r="K357" i="1"/>
  <c r="M357" i="1"/>
  <c r="L357" i="1"/>
  <c r="B358" i="1"/>
  <c r="C358" i="4" s="1"/>
  <c r="E358" i="1"/>
  <c r="R358" i="1" s="1"/>
  <c r="I358" i="1"/>
  <c r="J358" i="1"/>
  <c r="K358" i="1"/>
  <c r="M358" i="1"/>
  <c r="L358" i="1"/>
  <c r="B359" i="1"/>
  <c r="C359" i="4" s="1"/>
  <c r="E359" i="1"/>
  <c r="R359" i="1" s="1"/>
  <c r="I359" i="1"/>
  <c r="J359" i="1"/>
  <c r="K359" i="1"/>
  <c r="M359" i="1"/>
  <c r="L359" i="1"/>
  <c r="B360" i="1"/>
  <c r="C360" i="4" s="1"/>
  <c r="E360" i="1"/>
  <c r="AJ360" i="1" s="1"/>
  <c r="I360" i="1"/>
  <c r="J360" i="1"/>
  <c r="K360" i="1"/>
  <c r="M360" i="1"/>
  <c r="L360" i="1"/>
  <c r="B361" i="1"/>
  <c r="C361" i="4" s="1"/>
  <c r="E361" i="1"/>
  <c r="I361" i="1"/>
  <c r="J361" i="1"/>
  <c r="K361" i="1"/>
  <c r="M361" i="1"/>
  <c r="L361" i="1"/>
  <c r="B362" i="1"/>
  <c r="C362" i="4" s="1"/>
  <c r="E362" i="1"/>
  <c r="R362" i="1" s="1"/>
  <c r="I362" i="1"/>
  <c r="J362" i="1"/>
  <c r="K362" i="1"/>
  <c r="M362" i="1"/>
  <c r="L362" i="1"/>
  <c r="B363" i="1"/>
  <c r="C363" i="4" s="1"/>
  <c r="E363" i="1"/>
  <c r="I363" i="1"/>
  <c r="J363" i="1"/>
  <c r="K363" i="1"/>
  <c r="M363" i="1"/>
  <c r="L363" i="1"/>
  <c r="B364" i="1"/>
  <c r="C364" i="4" s="1"/>
  <c r="E364" i="1"/>
  <c r="I364" i="1"/>
  <c r="J364" i="1"/>
  <c r="K364" i="1"/>
  <c r="M364" i="1"/>
  <c r="L364" i="1"/>
  <c r="B365" i="1"/>
  <c r="C365" i="4" s="1"/>
  <c r="E365" i="1"/>
  <c r="AJ365" i="1" s="1"/>
  <c r="I365" i="1"/>
  <c r="J365" i="1"/>
  <c r="K365" i="1"/>
  <c r="M365" i="1"/>
  <c r="L365" i="1"/>
  <c r="B366" i="1"/>
  <c r="C366" i="4" s="1"/>
  <c r="E366" i="1"/>
  <c r="I366" i="1"/>
  <c r="J366" i="1"/>
  <c r="K366" i="1"/>
  <c r="M366" i="1"/>
  <c r="L366" i="1"/>
  <c r="B367" i="1"/>
  <c r="C367" i="4" s="1"/>
  <c r="E367" i="1"/>
  <c r="R367" i="1" s="1"/>
  <c r="I367" i="1"/>
  <c r="J367" i="1"/>
  <c r="K367" i="1"/>
  <c r="M367" i="1"/>
  <c r="L367" i="1"/>
  <c r="B368" i="1"/>
  <c r="C368" i="4" s="1"/>
  <c r="E368" i="1"/>
  <c r="R368" i="1" s="1"/>
  <c r="I368" i="1"/>
  <c r="J368" i="1"/>
  <c r="K368" i="1"/>
  <c r="M368" i="1"/>
  <c r="L368" i="1"/>
  <c r="B369" i="1"/>
  <c r="C369" i="4" s="1"/>
  <c r="E369" i="1"/>
  <c r="R369" i="1" s="1"/>
  <c r="I369" i="1"/>
  <c r="J369" i="1"/>
  <c r="K369" i="1"/>
  <c r="M369" i="1"/>
  <c r="L369" i="1"/>
  <c r="B370" i="1"/>
  <c r="C370" i="4" s="1"/>
  <c r="E370" i="1"/>
  <c r="R370" i="1" s="1"/>
  <c r="I370" i="1"/>
  <c r="J370" i="1"/>
  <c r="K370" i="1"/>
  <c r="M370" i="1"/>
  <c r="L370" i="1"/>
  <c r="B371" i="1"/>
  <c r="C371" i="4" s="1"/>
  <c r="E371" i="1"/>
  <c r="I371" i="1"/>
  <c r="J371" i="1"/>
  <c r="K371" i="1"/>
  <c r="M371" i="1"/>
  <c r="L371" i="1"/>
  <c r="B372" i="1"/>
  <c r="C372" i="4" s="1"/>
  <c r="E372" i="1"/>
  <c r="I372" i="1"/>
  <c r="J372" i="1"/>
  <c r="K372" i="1"/>
  <c r="M372" i="1"/>
  <c r="L372" i="1"/>
  <c r="B373" i="1"/>
  <c r="C373" i="4" s="1"/>
  <c r="E373" i="1"/>
  <c r="AJ373" i="1" s="1"/>
  <c r="I373" i="1"/>
  <c r="J373" i="1"/>
  <c r="K373" i="1"/>
  <c r="M373" i="1"/>
  <c r="L373" i="1"/>
  <c r="B374" i="1"/>
  <c r="C374" i="4" s="1"/>
  <c r="E374" i="1"/>
  <c r="AJ374" i="1" s="1"/>
  <c r="I374" i="1"/>
  <c r="J374" i="1"/>
  <c r="K374" i="1"/>
  <c r="M374" i="1"/>
  <c r="L374" i="1"/>
  <c r="B375" i="1"/>
  <c r="C375" i="4" s="1"/>
  <c r="E375" i="1"/>
  <c r="AJ375" i="1" s="1"/>
  <c r="I375" i="1"/>
  <c r="J375" i="1"/>
  <c r="K375" i="1"/>
  <c r="M375" i="1"/>
  <c r="L375" i="1"/>
  <c r="B376" i="1"/>
  <c r="C376" i="4" s="1"/>
  <c r="E376" i="1"/>
  <c r="I376" i="1"/>
  <c r="J376" i="1"/>
  <c r="K376" i="1"/>
  <c r="M376" i="1"/>
  <c r="L376" i="1"/>
  <c r="B377" i="1"/>
  <c r="C377" i="4" s="1"/>
  <c r="E377" i="1"/>
  <c r="AJ377" i="1" s="1"/>
  <c r="I377" i="1"/>
  <c r="J377" i="1"/>
  <c r="K377" i="1"/>
  <c r="M377" i="1"/>
  <c r="L377" i="1"/>
  <c r="B378" i="1"/>
  <c r="C378" i="4" s="1"/>
  <c r="E378" i="1"/>
  <c r="AJ378" i="1" s="1"/>
  <c r="I378" i="1"/>
  <c r="J378" i="1"/>
  <c r="K378" i="1"/>
  <c r="M378" i="1"/>
  <c r="L378" i="1"/>
  <c r="B379" i="1"/>
  <c r="C379" i="4" s="1"/>
  <c r="E379" i="1"/>
  <c r="I379" i="1"/>
  <c r="J379" i="1"/>
  <c r="K379" i="1"/>
  <c r="M379" i="1"/>
  <c r="L379" i="1"/>
  <c r="B380" i="1"/>
  <c r="C380" i="4" s="1"/>
  <c r="E380" i="1"/>
  <c r="I380" i="1"/>
  <c r="J380" i="1"/>
  <c r="K380" i="1"/>
  <c r="M380" i="1"/>
  <c r="L380" i="1"/>
  <c r="B381" i="1"/>
  <c r="C381" i="4" s="1"/>
  <c r="E381" i="1"/>
  <c r="R381" i="1" s="1"/>
  <c r="I381" i="1"/>
  <c r="J381" i="1"/>
  <c r="K381" i="1"/>
  <c r="M381" i="1"/>
  <c r="L381" i="1"/>
  <c r="B382" i="1"/>
  <c r="C382" i="4" s="1"/>
  <c r="E382" i="1"/>
  <c r="I382" i="1"/>
  <c r="J382" i="1"/>
  <c r="K382" i="1"/>
  <c r="M382" i="1"/>
  <c r="L382" i="1"/>
  <c r="B383" i="1"/>
  <c r="C383" i="4" s="1"/>
  <c r="E383" i="1"/>
  <c r="I383" i="1"/>
  <c r="J383" i="1"/>
  <c r="K383" i="1"/>
  <c r="M383" i="1"/>
  <c r="L383" i="1"/>
  <c r="B384" i="1"/>
  <c r="C384" i="4" s="1"/>
  <c r="E384" i="1"/>
  <c r="R384" i="1" s="1"/>
  <c r="I384" i="1"/>
  <c r="J384" i="1"/>
  <c r="K384" i="1"/>
  <c r="M384" i="1"/>
  <c r="L384" i="1"/>
  <c r="B385" i="1"/>
  <c r="C385" i="4" s="1"/>
  <c r="E385" i="1"/>
  <c r="AJ385" i="1" s="1"/>
  <c r="I385" i="1"/>
  <c r="J385" i="1"/>
  <c r="K385" i="1"/>
  <c r="M385" i="1"/>
  <c r="L385" i="1"/>
  <c r="B386" i="1"/>
  <c r="C386" i="4" s="1"/>
  <c r="E386" i="1"/>
  <c r="R386" i="1" s="1"/>
  <c r="I386" i="1"/>
  <c r="J386" i="1"/>
  <c r="K386" i="1"/>
  <c r="M386" i="1"/>
  <c r="L386" i="1"/>
  <c r="B387" i="1"/>
  <c r="C387" i="4" s="1"/>
  <c r="E387" i="1"/>
  <c r="AJ387" i="1" s="1"/>
  <c r="I387" i="1"/>
  <c r="J387" i="1"/>
  <c r="K387" i="1"/>
  <c r="M387" i="1"/>
  <c r="L387" i="1"/>
  <c r="B388" i="1"/>
  <c r="C388" i="4" s="1"/>
  <c r="E388" i="1"/>
  <c r="I388" i="1"/>
  <c r="J388" i="1"/>
  <c r="K388" i="1"/>
  <c r="M388" i="1"/>
  <c r="L388" i="1"/>
  <c r="B389" i="1"/>
  <c r="C389" i="4" s="1"/>
  <c r="E389" i="1"/>
  <c r="R389" i="1" s="1"/>
  <c r="I389" i="1"/>
  <c r="J389" i="1"/>
  <c r="K389" i="1"/>
  <c r="M389" i="1"/>
  <c r="L389" i="1"/>
  <c r="B390" i="1"/>
  <c r="C390" i="4" s="1"/>
  <c r="E390" i="1"/>
  <c r="AJ390" i="1" s="1"/>
  <c r="I390" i="1"/>
  <c r="J390" i="1"/>
  <c r="K390" i="1"/>
  <c r="M390" i="1"/>
  <c r="L390" i="1"/>
  <c r="B391" i="1"/>
  <c r="C391" i="4" s="1"/>
  <c r="E391" i="1"/>
  <c r="AJ391" i="1" s="1"/>
  <c r="I391" i="1"/>
  <c r="J391" i="1"/>
  <c r="K391" i="1"/>
  <c r="M391" i="1"/>
  <c r="L391" i="1"/>
  <c r="B392" i="1"/>
  <c r="C392" i="4" s="1"/>
  <c r="E392" i="1"/>
  <c r="I392" i="1"/>
  <c r="J392" i="1"/>
  <c r="K392" i="1"/>
  <c r="M392" i="1"/>
  <c r="L392" i="1"/>
  <c r="B393" i="1"/>
  <c r="C393" i="4" s="1"/>
  <c r="E393" i="1"/>
  <c r="I393" i="1"/>
  <c r="J393" i="1"/>
  <c r="K393" i="1"/>
  <c r="M393" i="1"/>
  <c r="L393" i="1"/>
  <c r="B394" i="1"/>
  <c r="C394" i="4" s="1"/>
  <c r="E394" i="1"/>
  <c r="AJ394" i="1" s="1"/>
  <c r="I394" i="1"/>
  <c r="J394" i="1"/>
  <c r="K394" i="1"/>
  <c r="M394" i="1"/>
  <c r="L394" i="1"/>
  <c r="B395" i="1"/>
  <c r="C395" i="4" s="1"/>
  <c r="E395" i="1"/>
  <c r="I395" i="1"/>
  <c r="J395" i="1"/>
  <c r="K395" i="1"/>
  <c r="M395" i="1"/>
  <c r="L395" i="1"/>
  <c r="B396" i="1"/>
  <c r="C396" i="4" s="1"/>
  <c r="E396" i="1"/>
  <c r="I396" i="1"/>
  <c r="J396" i="1"/>
  <c r="K396" i="1"/>
  <c r="M396" i="1"/>
  <c r="L396" i="1"/>
  <c r="B397" i="1"/>
  <c r="C397" i="4" s="1"/>
  <c r="E397" i="1"/>
  <c r="AJ397" i="1" s="1"/>
  <c r="I397" i="1"/>
  <c r="J397" i="1"/>
  <c r="K397" i="1"/>
  <c r="M397" i="1"/>
  <c r="L397" i="1"/>
  <c r="B398" i="1"/>
  <c r="C398" i="4" s="1"/>
  <c r="E398" i="1"/>
  <c r="R398" i="1" s="1"/>
  <c r="I398" i="1"/>
  <c r="J398" i="1"/>
  <c r="K398" i="1"/>
  <c r="M398" i="1"/>
  <c r="L398" i="1"/>
  <c r="B399" i="1"/>
  <c r="C399" i="4" s="1"/>
  <c r="E399" i="1"/>
  <c r="R399" i="1" s="1"/>
  <c r="I399" i="1"/>
  <c r="J399" i="1"/>
  <c r="K399" i="1"/>
  <c r="M399" i="1"/>
  <c r="L399" i="1"/>
  <c r="B400" i="1"/>
  <c r="C400" i="4" s="1"/>
  <c r="E400" i="1"/>
  <c r="I400" i="1"/>
  <c r="J400" i="1"/>
  <c r="K400" i="1"/>
  <c r="M400" i="1"/>
  <c r="L400" i="1"/>
  <c r="B401" i="1"/>
  <c r="C401" i="4" s="1"/>
  <c r="E401" i="1"/>
  <c r="AJ401" i="1" s="1"/>
  <c r="I401" i="1"/>
  <c r="J401" i="1"/>
  <c r="K401" i="1"/>
  <c r="M401" i="1"/>
  <c r="L401" i="1"/>
  <c r="B402" i="1"/>
  <c r="C402" i="4" s="1"/>
  <c r="E402" i="1"/>
  <c r="R402" i="1" s="1"/>
  <c r="I402" i="1"/>
  <c r="J402" i="1"/>
  <c r="K402" i="1"/>
  <c r="M402" i="1"/>
  <c r="L402" i="1"/>
  <c r="B403" i="1"/>
  <c r="C403" i="4" s="1"/>
  <c r="E403" i="1"/>
  <c r="I403" i="1"/>
  <c r="J403" i="1"/>
  <c r="K403" i="1"/>
  <c r="M403" i="1"/>
  <c r="L403" i="1"/>
  <c r="B404" i="1"/>
  <c r="C404" i="4" s="1"/>
  <c r="E404" i="1"/>
  <c r="AJ404" i="1" s="1"/>
  <c r="I404" i="1"/>
  <c r="J404" i="1"/>
  <c r="K404" i="1"/>
  <c r="M404" i="1"/>
  <c r="L404" i="1"/>
  <c r="B405" i="1"/>
  <c r="C405" i="4" s="1"/>
  <c r="E405" i="1"/>
  <c r="AJ405" i="1" s="1"/>
  <c r="I405" i="1"/>
  <c r="J405" i="1"/>
  <c r="K405" i="1"/>
  <c r="M405" i="1"/>
  <c r="L405" i="1"/>
  <c r="B406" i="1"/>
  <c r="C406" i="4" s="1"/>
  <c r="E406" i="1"/>
  <c r="I406" i="1"/>
  <c r="J406" i="1"/>
  <c r="K406" i="1"/>
  <c r="M406" i="1"/>
  <c r="L406" i="1"/>
  <c r="B407" i="1"/>
  <c r="C407" i="4" s="1"/>
  <c r="E407" i="1"/>
  <c r="R407" i="1" s="1"/>
  <c r="I407" i="1"/>
  <c r="J407" i="1"/>
  <c r="K407" i="1"/>
  <c r="M407" i="1"/>
  <c r="L407" i="1"/>
  <c r="B408" i="1"/>
  <c r="C408" i="4" s="1"/>
  <c r="E408" i="1"/>
  <c r="I408" i="1"/>
  <c r="J408" i="1"/>
  <c r="K408" i="1"/>
  <c r="M408" i="1"/>
  <c r="L408" i="1"/>
  <c r="B409" i="1"/>
  <c r="C409" i="4" s="1"/>
  <c r="E409" i="1"/>
  <c r="I409" i="1"/>
  <c r="J409" i="1"/>
  <c r="K409" i="1"/>
  <c r="M409" i="1"/>
  <c r="L409" i="1"/>
  <c r="B410" i="1"/>
  <c r="C410" i="4" s="1"/>
  <c r="E410" i="1"/>
  <c r="R410" i="1" s="1"/>
  <c r="I410" i="1"/>
  <c r="J410" i="1"/>
  <c r="K410" i="1"/>
  <c r="M410" i="1"/>
  <c r="L410" i="1"/>
  <c r="B411" i="1"/>
  <c r="C411" i="4" s="1"/>
  <c r="E411" i="1"/>
  <c r="I411" i="1"/>
  <c r="J411" i="1"/>
  <c r="K411" i="1"/>
  <c r="M411" i="1"/>
  <c r="L411" i="1"/>
  <c r="B412" i="1"/>
  <c r="C412" i="4" s="1"/>
  <c r="E412" i="1"/>
  <c r="I412" i="1"/>
  <c r="J412" i="1"/>
  <c r="K412" i="1"/>
  <c r="M412" i="1"/>
  <c r="L412" i="1"/>
  <c r="B413" i="1"/>
  <c r="C413" i="4" s="1"/>
  <c r="E413" i="1"/>
  <c r="AJ413" i="1" s="1"/>
  <c r="I413" i="1"/>
  <c r="J413" i="1"/>
  <c r="K413" i="1"/>
  <c r="M413" i="1"/>
  <c r="L413" i="1"/>
  <c r="B414" i="1"/>
  <c r="C414" i="4" s="1"/>
  <c r="E414" i="1"/>
  <c r="AJ414" i="1" s="1"/>
  <c r="I414" i="1"/>
  <c r="J414" i="1"/>
  <c r="K414" i="1"/>
  <c r="M414" i="1"/>
  <c r="L414" i="1"/>
  <c r="B415" i="1"/>
  <c r="C415" i="4" s="1"/>
  <c r="E415" i="1"/>
  <c r="I415" i="1"/>
  <c r="J415" i="1"/>
  <c r="K415" i="1"/>
  <c r="M415" i="1"/>
  <c r="L415" i="1"/>
  <c r="B416" i="1"/>
  <c r="C416" i="4" s="1"/>
  <c r="E416" i="1"/>
  <c r="R416" i="1" s="1"/>
  <c r="I416" i="1"/>
  <c r="J416" i="1"/>
  <c r="K416" i="1"/>
  <c r="M416" i="1"/>
  <c r="L416" i="1"/>
  <c r="B417" i="1"/>
  <c r="C417" i="4" s="1"/>
  <c r="E417" i="1"/>
  <c r="AJ417" i="1" s="1"/>
  <c r="I417" i="1"/>
  <c r="J417" i="1"/>
  <c r="K417" i="1"/>
  <c r="M417" i="1"/>
  <c r="L417" i="1"/>
  <c r="B418" i="1"/>
  <c r="C418" i="4" s="1"/>
  <c r="E418" i="1"/>
  <c r="R418" i="1" s="1"/>
  <c r="I418" i="1"/>
  <c r="J418" i="1"/>
  <c r="K418" i="1"/>
  <c r="M418" i="1"/>
  <c r="L418" i="1"/>
  <c r="B419" i="1"/>
  <c r="C419" i="4" s="1"/>
  <c r="E419" i="1"/>
  <c r="I419" i="1"/>
  <c r="J419" i="1"/>
  <c r="K419" i="1"/>
  <c r="M419" i="1"/>
  <c r="L419" i="1"/>
  <c r="B420" i="1"/>
  <c r="C420" i="4" s="1"/>
  <c r="E420" i="1"/>
  <c r="AJ420" i="1" s="1"/>
  <c r="I420" i="1"/>
  <c r="J420" i="1"/>
  <c r="K420" i="1"/>
  <c r="M420" i="1"/>
  <c r="L420" i="1"/>
  <c r="B421" i="1"/>
  <c r="C421" i="4" s="1"/>
  <c r="E421" i="1"/>
  <c r="R421" i="1" s="1"/>
  <c r="I421" i="1"/>
  <c r="J421" i="1"/>
  <c r="K421" i="1"/>
  <c r="M421" i="1"/>
  <c r="L421" i="1"/>
  <c r="B422" i="1"/>
  <c r="C422" i="4" s="1"/>
  <c r="E422" i="1"/>
  <c r="AJ422" i="1" s="1"/>
  <c r="I422" i="1"/>
  <c r="J422" i="1"/>
  <c r="K422" i="1"/>
  <c r="M422" i="1"/>
  <c r="L422" i="1"/>
  <c r="B423" i="1"/>
  <c r="C423" i="4" s="1"/>
  <c r="E423" i="1"/>
  <c r="I423" i="1"/>
  <c r="J423" i="1"/>
  <c r="K423" i="1"/>
  <c r="M423" i="1"/>
  <c r="L423" i="1"/>
  <c r="B424" i="1"/>
  <c r="C424" i="4" s="1"/>
  <c r="E424" i="1"/>
  <c r="I424" i="1"/>
  <c r="J424" i="1"/>
  <c r="K424" i="1"/>
  <c r="M424" i="1"/>
  <c r="L424" i="1"/>
  <c r="B425" i="1"/>
  <c r="C425" i="4" s="1"/>
  <c r="E425" i="1"/>
  <c r="AJ425" i="1" s="1"/>
  <c r="I425" i="1"/>
  <c r="J425" i="1"/>
  <c r="K425" i="1"/>
  <c r="M425" i="1"/>
  <c r="L425" i="1"/>
  <c r="B426" i="1"/>
  <c r="C426" i="4" s="1"/>
  <c r="E426" i="1"/>
  <c r="R426" i="1" s="1"/>
  <c r="I426" i="1"/>
  <c r="J426" i="1"/>
  <c r="K426" i="1"/>
  <c r="M426" i="1"/>
  <c r="L426" i="1"/>
  <c r="B427" i="1"/>
  <c r="C427" i="4" s="1"/>
  <c r="E427" i="1"/>
  <c r="I427" i="1"/>
  <c r="J427" i="1"/>
  <c r="K427" i="1"/>
  <c r="M427" i="1"/>
  <c r="L427" i="1"/>
  <c r="B428" i="1"/>
  <c r="C428" i="4" s="1"/>
  <c r="E428" i="1"/>
  <c r="I428" i="1"/>
  <c r="J428" i="1"/>
  <c r="K428" i="1"/>
  <c r="M428" i="1"/>
  <c r="L428" i="1"/>
  <c r="B429" i="1"/>
  <c r="C429" i="4" s="1"/>
  <c r="E429" i="1"/>
  <c r="AJ429" i="1" s="1"/>
  <c r="I429" i="1"/>
  <c r="J429" i="1"/>
  <c r="K429" i="1"/>
  <c r="M429" i="1"/>
  <c r="L429" i="1"/>
  <c r="B430" i="1"/>
  <c r="C430" i="4" s="1"/>
  <c r="E430" i="1"/>
  <c r="AJ430" i="1" s="1"/>
  <c r="I430" i="1"/>
  <c r="J430" i="1"/>
  <c r="K430" i="1"/>
  <c r="M430" i="1"/>
  <c r="L430" i="1"/>
  <c r="B431" i="1"/>
  <c r="C431" i="4" s="1"/>
  <c r="E431" i="1"/>
  <c r="I431" i="1"/>
  <c r="J431" i="1"/>
  <c r="K431" i="1"/>
  <c r="M431" i="1"/>
  <c r="L431" i="1"/>
  <c r="B432" i="1"/>
  <c r="C432" i="4" s="1"/>
  <c r="E432" i="1"/>
  <c r="AJ432" i="1" s="1"/>
  <c r="I432" i="1"/>
  <c r="J432" i="1"/>
  <c r="K432" i="1"/>
  <c r="M432" i="1"/>
  <c r="L432" i="1"/>
  <c r="B433" i="1"/>
  <c r="C433" i="4" s="1"/>
  <c r="E433" i="1"/>
  <c r="I433" i="1"/>
  <c r="J433" i="1"/>
  <c r="K433" i="1"/>
  <c r="M433" i="1"/>
  <c r="L433" i="1"/>
  <c r="B434" i="1"/>
  <c r="C434" i="4" s="1"/>
  <c r="E434" i="1"/>
  <c r="AJ434" i="1" s="1"/>
  <c r="I434" i="1"/>
  <c r="J434" i="1"/>
  <c r="K434" i="1"/>
  <c r="M434" i="1"/>
  <c r="L434" i="1"/>
  <c r="B435" i="1"/>
  <c r="C435" i="4" s="1"/>
  <c r="E435" i="1"/>
  <c r="I435" i="1"/>
  <c r="J435" i="1"/>
  <c r="K435" i="1"/>
  <c r="M435" i="1"/>
  <c r="L435" i="1"/>
  <c r="B436" i="1"/>
  <c r="C436" i="4" s="1"/>
  <c r="E436" i="1"/>
  <c r="AJ436" i="1" s="1"/>
  <c r="I436" i="1"/>
  <c r="J436" i="1"/>
  <c r="K436" i="1"/>
  <c r="M436" i="1"/>
  <c r="L436" i="1"/>
  <c r="B437" i="1"/>
  <c r="C437" i="4" s="1"/>
  <c r="E437" i="1"/>
  <c r="I437" i="1"/>
  <c r="J437" i="1"/>
  <c r="K437" i="1"/>
  <c r="M437" i="1"/>
  <c r="L437" i="1"/>
  <c r="B438" i="1"/>
  <c r="C438" i="4" s="1"/>
  <c r="E438" i="1"/>
  <c r="I438" i="1"/>
  <c r="J438" i="1"/>
  <c r="K438" i="1"/>
  <c r="M438" i="1"/>
  <c r="L438" i="1"/>
  <c r="B439" i="1"/>
  <c r="C439" i="4" s="1"/>
  <c r="E439" i="1"/>
  <c r="R439" i="1" s="1"/>
  <c r="I439" i="1"/>
  <c r="J439" i="1"/>
  <c r="K439" i="1"/>
  <c r="M439" i="1"/>
  <c r="L439" i="1"/>
  <c r="B440" i="1"/>
  <c r="C440" i="4" s="1"/>
  <c r="E440" i="1"/>
  <c r="I440" i="1"/>
  <c r="J440" i="1"/>
  <c r="K440" i="1"/>
  <c r="M440" i="1"/>
  <c r="L440" i="1"/>
  <c r="B441" i="1"/>
  <c r="C441" i="4" s="1"/>
  <c r="E441" i="1"/>
  <c r="R441" i="1" s="1"/>
  <c r="I441" i="1"/>
  <c r="J441" i="1"/>
  <c r="K441" i="1"/>
  <c r="M441" i="1"/>
  <c r="L441" i="1"/>
  <c r="B442" i="1"/>
  <c r="C442" i="4" s="1"/>
  <c r="E442" i="1"/>
  <c r="I442" i="1"/>
  <c r="J442" i="1"/>
  <c r="K442" i="1"/>
  <c r="M442" i="1"/>
  <c r="L442" i="1"/>
  <c r="B443" i="1"/>
  <c r="C443" i="4" s="1"/>
  <c r="E443" i="1"/>
  <c r="I443" i="1"/>
  <c r="J443" i="1"/>
  <c r="K443" i="1"/>
  <c r="M443" i="1"/>
  <c r="L443" i="1"/>
  <c r="B444" i="1"/>
  <c r="C444" i="4" s="1"/>
  <c r="E444" i="1"/>
  <c r="I444" i="1"/>
  <c r="J444" i="1"/>
  <c r="K444" i="1"/>
  <c r="M444" i="1"/>
  <c r="L444" i="1"/>
  <c r="B445" i="1"/>
  <c r="C445" i="4" s="1"/>
  <c r="E445" i="1"/>
  <c r="I445" i="1"/>
  <c r="J445" i="1"/>
  <c r="K445" i="1"/>
  <c r="M445" i="1"/>
  <c r="L445" i="1"/>
  <c r="B446" i="1"/>
  <c r="C446" i="4" s="1"/>
  <c r="E446" i="1"/>
  <c r="AJ446" i="1" s="1"/>
  <c r="I446" i="1"/>
  <c r="J446" i="1"/>
  <c r="K446" i="1"/>
  <c r="M446" i="1"/>
  <c r="L446" i="1"/>
  <c r="B447" i="1"/>
  <c r="C447" i="4" s="1"/>
  <c r="E447" i="1"/>
  <c r="AJ447" i="1" s="1"/>
  <c r="I447" i="1"/>
  <c r="J447" i="1"/>
  <c r="K447" i="1"/>
  <c r="M447" i="1"/>
  <c r="L447" i="1"/>
  <c r="B448" i="1"/>
  <c r="C448" i="4" s="1"/>
  <c r="E448" i="1"/>
  <c r="I448" i="1"/>
  <c r="J448" i="1"/>
  <c r="K448" i="1"/>
  <c r="M448" i="1"/>
  <c r="L448" i="1"/>
  <c r="B449" i="1"/>
  <c r="C449" i="4" s="1"/>
  <c r="E449" i="1"/>
  <c r="AJ449" i="1" s="1"/>
  <c r="I449" i="1"/>
  <c r="J449" i="1"/>
  <c r="K449" i="1"/>
  <c r="M449" i="1"/>
  <c r="L449" i="1"/>
  <c r="B450" i="1"/>
  <c r="C450" i="4" s="1"/>
  <c r="E450" i="1"/>
  <c r="R450" i="1" s="1"/>
  <c r="I450" i="1"/>
  <c r="J450" i="1"/>
  <c r="K450" i="1"/>
  <c r="M450" i="1"/>
  <c r="L450" i="1"/>
  <c r="B451" i="1"/>
  <c r="C451" i="4" s="1"/>
  <c r="E451" i="1"/>
  <c r="I451" i="1"/>
  <c r="J451" i="1"/>
  <c r="K451" i="1"/>
  <c r="M451" i="1"/>
  <c r="L451" i="1"/>
  <c r="B452" i="1"/>
  <c r="C452" i="4" s="1"/>
  <c r="E452" i="1"/>
  <c r="I452" i="1"/>
  <c r="J452" i="1"/>
  <c r="K452" i="1"/>
  <c r="M452" i="1"/>
  <c r="L452" i="1"/>
  <c r="B453" i="1"/>
  <c r="C453" i="4" s="1"/>
  <c r="E453" i="1"/>
  <c r="AJ453" i="1" s="1"/>
  <c r="I453" i="1"/>
  <c r="J453" i="1"/>
  <c r="K453" i="1"/>
  <c r="M453" i="1"/>
  <c r="L453" i="1"/>
  <c r="B454" i="1"/>
  <c r="C454" i="4" s="1"/>
  <c r="E454" i="1"/>
  <c r="I454" i="1"/>
  <c r="J454" i="1"/>
  <c r="K454" i="1"/>
  <c r="M454" i="1"/>
  <c r="L454" i="1"/>
  <c r="B455" i="1"/>
  <c r="C455" i="4" s="1"/>
  <c r="E455" i="1"/>
  <c r="I455" i="1"/>
  <c r="J455" i="1"/>
  <c r="K455" i="1"/>
  <c r="M455" i="1"/>
  <c r="L455" i="1"/>
  <c r="B456" i="1"/>
  <c r="C456" i="4" s="1"/>
  <c r="E456" i="1"/>
  <c r="AJ456" i="1" s="1"/>
  <c r="I456" i="1"/>
  <c r="J456" i="1"/>
  <c r="K456" i="1"/>
  <c r="M456" i="1"/>
  <c r="L456" i="1"/>
  <c r="B457" i="1"/>
  <c r="C457" i="4" s="1"/>
  <c r="E457" i="1"/>
  <c r="AJ457" i="1" s="1"/>
  <c r="I457" i="1"/>
  <c r="J457" i="1"/>
  <c r="K457" i="1"/>
  <c r="M457" i="1"/>
  <c r="L457" i="1"/>
  <c r="B458" i="1"/>
  <c r="C458" i="4" s="1"/>
  <c r="E458" i="1"/>
  <c r="I458" i="1"/>
  <c r="J458" i="1"/>
  <c r="K458" i="1"/>
  <c r="M458" i="1"/>
  <c r="L458" i="1"/>
  <c r="B459" i="1"/>
  <c r="C459" i="4" s="1"/>
  <c r="E459" i="1"/>
  <c r="I459" i="1"/>
  <c r="J459" i="1"/>
  <c r="K459" i="1"/>
  <c r="M459" i="1"/>
  <c r="L459" i="1"/>
  <c r="B460" i="1"/>
  <c r="C460" i="4" s="1"/>
  <c r="E460" i="1"/>
  <c r="I460" i="1"/>
  <c r="J460" i="1"/>
  <c r="K460" i="1"/>
  <c r="M460" i="1"/>
  <c r="L460" i="1"/>
  <c r="B461" i="1"/>
  <c r="C461" i="4" s="1"/>
  <c r="E461" i="1"/>
  <c r="I461" i="1"/>
  <c r="J461" i="1"/>
  <c r="K461" i="1"/>
  <c r="M461" i="1"/>
  <c r="L461" i="1"/>
  <c r="B462" i="1"/>
  <c r="C462" i="4" s="1"/>
  <c r="E462" i="1"/>
  <c r="R462" i="1" s="1"/>
  <c r="I462" i="1"/>
  <c r="J462" i="1"/>
  <c r="K462" i="1"/>
  <c r="M462" i="1"/>
  <c r="L462" i="1"/>
  <c r="B463" i="1"/>
  <c r="C463" i="4" s="1"/>
  <c r="E463" i="1"/>
  <c r="I463" i="1"/>
  <c r="J463" i="1"/>
  <c r="K463" i="1"/>
  <c r="M463" i="1"/>
  <c r="L463" i="1"/>
  <c r="B464" i="1"/>
  <c r="C464" i="4" s="1"/>
  <c r="E464" i="1"/>
  <c r="I464" i="1"/>
  <c r="J464" i="1"/>
  <c r="K464" i="1"/>
  <c r="M464" i="1"/>
  <c r="L464" i="1"/>
  <c r="B465" i="1"/>
  <c r="C465" i="4" s="1"/>
  <c r="E465" i="1"/>
  <c r="AJ465" i="1" s="1"/>
  <c r="I465" i="1"/>
  <c r="J465" i="1"/>
  <c r="K465" i="1"/>
  <c r="M465" i="1"/>
  <c r="L465" i="1"/>
  <c r="B466" i="1"/>
  <c r="C466" i="4" s="1"/>
  <c r="E466" i="1"/>
  <c r="R466" i="1" s="1"/>
  <c r="I466" i="1"/>
  <c r="J466" i="1"/>
  <c r="K466" i="1"/>
  <c r="M466" i="1"/>
  <c r="L466" i="1"/>
  <c r="B467" i="1"/>
  <c r="C467" i="4" s="1"/>
  <c r="E467" i="1"/>
  <c r="AJ467" i="1" s="1"/>
  <c r="I467" i="1"/>
  <c r="J467" i="1"/>
  <c r="K467" i="1"/>
  <c r="M467" i="1"/>
  <c r="L467" i="1"/>
  <c r="B468" i="1"/>
  <c r="C468" i="4" s="1"/>
  <c r="E468" i="1"/>
  <c r="I468" i="1"/>
  <c r="J468" i="1"/>
  <c r="K468" i="1"/>
  <c r="M468" i="1"/>
  <c r="L468" i="1"/>
  <c r="B469" i="1"/>
  <c r="C469" i="4" s="1"/>
  <c r="E469" i="1"/>
  <c r="AJ469" i="1" s="1"/>
  <c r="I469" i="1"/>
  <c r="J469" i="1"/>
  <c r="K469" i="1"/>
  <c r="M469" i="1"/>
  <c r="L469" i="1"/>
  <c r="B470" i="1"/>
  <c r="C470" i="4" s="1"/>
  <c r="E470" i="1"/>
  <c r="R470" i="1" s="1"/>
  <c r="I470" i="1"/>
  <c r="J470" i="1"/>
  <c r="K470" i="1"/>
  <c r="M470" i="1"/>
  <c r="L470" i="1"/>
  <c r="B471" i="1"/>
  <c r="C471" i="4" s="1"/>
  <c r="E471" i="1"/>
  <c r="I471" i="1"/>
  <c r="J471" i="1"/>
  <c r="K471" i="1"/>
  <c r="M471" i="1"/>
  <c r="L471" i="1"/>
  <c r="B472" i="1"/>
  <c r="C472" i="4" s="1"/>
  <c r="E472" i="1"/>
  <c r="I472" i="1"/>
  <c r="J472" i="1"/>
  <c r="K472" i="1"/>
  <c r="M472" i="1"/>
  <c r="L472" i="1"/>
  <c r="B473" i="1"/>
  <c r="C473" i="4" s="1"/>
  <c r="E473" i="1"/>
  <c r="I473" i="1"/>
  <c r="J473" i="1"/>
  <c r="K473" i="1"/>
  <c r="M473" i="1"/>
  <c r="L473" i="1"/>
  <c r="B474" i="1"/>
  <c r="C474" i="4" s="1"/>
  <c r="E474" i="1"/>
  <c r="I474" i="1"/>
  <c r="J474" i="1"/>
  <c r="K474" i="1"/>
  <c r="M474" i="1"/>
  <c r="L474" i="1"/>
  <c r="B475" i="1"/>
  <c r="C475" i="4" s="1"/>
  <c r="E475" i="1"/>
  <c r="R475" i="1" s="1"/>
  <c r="I475" i="1"/>
  <c r="J475" i="1"/>
  <c r="K475" i="1"/>
  <c r="M475" i="1"/>
  <c r="L475" i="1"/>
  <c r="B476" i="1"/>
  <c r="C476" i="4" s="1"/>
  <c r="E476" i="1"/>
  <c r="AJ476" i="1" s="1"/>
  <c r="I476" i="1"/>
  <c r="J476" i="1"/>
  <c r="K476" i="1"/>
  <c r="M476" i="1"/>
  <c r="L476" i="1"/>
  <c r="B477" i="1"/>
  <c r="C477" i="4" s="1"/>
  <c r="E477" i="1"/>
  <c r="R477" i="1" s="1"/>
  <c r="I477" i="1"/>
  <c r="J477" i="1"/>
  <c r="K477" i="1"/>
  <c r="M477" i="1"/>
  <c r="L477" i="1"/>
  <c r="B478" i="1"/>
  <c r="C478" i="4" s="1"/>
  <c r="E478" i="1"/>
  <c r="R478" i="1" s="1"/>
  <c r="I478" i="1"/>
  <c r="J478" i="1"/>
  <c r="K478" i="1"/>
  <c r="M478" i="1"/>
  <c r="L478" i="1"/>
  <c r="B479" i="1"/>
  <c r="C479" i="4" s="1"/>
  <c r="E479" i="1"/>
  <c r="R479" i="1" s="1"/>
  <c r="I479" i="1"/>
  <c r="J479" i="1"/>
  <c r="K479" i="1"/>
  <c r="M479" i="1"/>
  <c r="L479" i="1"/>
  <c r="B480" i="1"/>
  <c r="C480" i="4" s="1"/>
  <c r="E480" i="1"/>
  <c r="I480" i="1"/>
  <c r="J480" i="1"/>
  <c r="K480" i="1"/>
  <c r="M480" i="1"/>
  <c r="L480" i="1"/>
  <c r="B481" i="1"/>
  <c r="C481" i="4" s="1"/>
  <c r="E481" i="1"/>
  <c r="AJ481" i="1" s="1"/>
  <c r="I481" i="1"/>
  <c r="J481" i="1"/>
  <c r="K481" i="1"/>
  <c r="M481" i="1"/>
  <c r="L481" i="1"/>
  <c r="B482" i="1"/>
  <c r="C482" i="4" s="1"/>
  <c r="E482" i="1"/>
  <c r="R482" i="1" s="1"/>
  <c r="I482" i="1"/>
  <c r="J482" i="1"/>
  <c r="K482" i="1"/>
  <c r="M482" i="1"/>
  <c r="L482" i="1"/>
  <c r="B483" i="1"/>
  <c r="C483" i="4" s="1"/>
  <c r="E483" i="1"/>
  <c r="R483" i="1" s="1"/>
  <c r="I483" i="1"/>
  <c r="J483" i="1"/>
  <c r="K483" i="1"/>
  <c r="M483" i="1"/>
  <c r="L483" i="1"/>
  <c r="B484" i="1"/>
  <c r="C484" i="4" s="1"/>
  <c r="E484" i="1"/>
  <c r="I484" i="1"/>
  <c r="J484" i="1"/>
  <c r="K484" i="1"/>
  <c r="M484" i="1"/>
  <c r="L484" i="1"/>
  <c r="B485" i="1"/>
  <c r="C485" i="4" s="1"/>
  <c r="E485" i="1"/>
  <c r="R485" i="1" s="1"/>
  <c r="I485" i="1"/>
  <c r="J485" i="1"/>
  <c r="K485" i="1"/>
  <c r="M485" i="1"/>
  <c r="L485" i="1"/>
  <c r="B486" i="1"/>
  <c r="C486" i="4" s="1"/>
  <c r="E486" i="1"/>
  <c r="AJ486" i="1" s="1"/>
  <c r="I486" i="1"/>
  <c r="J486" i="1"/>
  <c r="K486" i="1"/>
  <c r="M486" i="1"/>
  <c r="L486" i="1"/>
  <c r="B487" i="1"/>
  <c r="C487" i="4" s="1"/>
  <c r="E487" i="1"/>
  <c r="R487" i="1" s="1"/>
  <c r="I487" i="1"/>
  <c r="J487" i="1"/>
  <c r="K487" i="1"/>
  <c r="M487" i="1"/>
  <c r="L487" i="1"/>
  <c r="B488" i="1"/>
  <c r="C488" i="4" s="1"/>
  <c r="E488" i="1"/>
  <c r="I488" i="1"/>
  <c r="J488" i="1"/>
  <c r="K488" i="1"/>
  <c r="M488" i="1"/>
  <c r="L488" i="1"/>
  <c r="B489" i="1"/>
  <c r="C489" i="4" s="1"/>
  <c r="E489" i="1"/>
  <c r="I489" i="1"/>
  <c r="J489" i="1"/>
  <c r="K489" i="1"/>
  <c r="M489" i="1"/>
  <c r="L489" i="1"/>
  <c r="B490" i="1"/>
  <c r="C490" i="4" s="1"/>
  <c r="E490" i="1"/>
  <c r="I490" i="1"/>
  <c r="J490" i="1"/>
  <c r="K490" i="1"/>
  <c r="M490" i="1"/>
  <c r="L490" i="1"/>
  <c r="B491" i="1"/>
  <c r="C491" i="4" s="1"/>
  <c r="E491" i="1"/>
  <c r="AJ491" i="1" s="1"/>
  <c r="I491" i="1"/>
  <c r="J491" i="1"/>
  <c r="K491" i="1"/>
  <c r="M491" i="1"/>
  <c r="L491" i="1"/>
  <c r="B492" i="1"/>
  <c r="C492" i="4" s="1"/>
  <c r="E492" i="1"/>
  <c r="R492" i="1" s="1"/>
  <c r="I492" i="1"/>
  <c r="J492" i="1"/>
  <c r="K492" i="1"/>
  <c r="M492" i="1"/>
  <c r="L492" i="1"/>
  <c r="B493" i="1"/>
  <c r="C493" i="4" s="1"/>
  <c r="E493" i="1"/>
  <c r="I493" i="1"/>
  <c r="J493" i="1"/>
  <c r="K493" i="1"/>
  <c r="M493" i="1"/>
  <c r="L493" i="1"/>
  <c r="B494" i="1"/>
  <c r="C494" i="4" s="1"/>
  <c r="E494" i="1"/>
  <c r="I494" i="1"/>
  <c r="J494" i="1"/>
  <c r="K494" i="1"/>
  <c r="M494" i="1"/>
  <c r="L494" i="1"/>
  <c r="B495" i="1"/>
  <c r="C495" i="4" s="1"/>
  <c r="E495" i="1"/>
  <c r="I495" i="1"/>
  <c r="J495" i="1"/>
  <c r="K495" i="1"/>
  <c r="M495" i="1"/>
  <c r="L495" i="1"/>
  <c r="B496" i="1"/>
  <c r="C496" i="4" s="1"/>
  <c r="E496" i="1"/>
  <c r="I496" i="1"/>
  <c r="J496" i="1"/>
  <c r="K496" i="1"/>
  <c r="M496" i="1"/>
  <c r="L496" i="1"/>
  <c r="B497" i="1"/>
  <c r="C497" i="4" s="1"/>
  <c r="E497" i="1"/>
  <c r="AJ497" i="1" s="1"/>
  <c r="I497" i="1"/>
  <c r="J497" i="1"/>
  <c r="K497" i="1"/>
  <c r="M497" i="1"/>
  <c r="L497" i="1"/>
  <c r="B498" i="1"/>
  <c r="C498" i="4" s="1"/>
  <c r="E498" i="1"/>
  <c r="R498" i="1" s="1"/>
  <c r="I498" i="1"/>
  <c r="J498" i="1"/>
  <c r="K498" i="1"/>
  <c r="M498" i="1"/>
  <c r="L498" i="1"/>
  <c r="G81" i="2"/>
  <c r="G82" i="2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E26" i="1"/>
  <c r="G26" i="6" s="1"/>
  <c r="I26" i="1"/>
  <c r="J26" i="1"/>
  <c r="K26" i="1"/>
  <c r="L26" i="1"/>
  <c r="M26" i="1"/>
  <c r="E27" i="1"/>
  <c r="G27" i="6" s="1"/>
  <c r="I27" i="1"/>
  <c r="J27" i="1"/>
  <c r="K27" i="1"/>
  <c r="L27" i="1"/>
  <c r="M27" i="1"/>
  <c r="E28" i="1"/>
  <c r="G28" i="6" s="1"/>
  <c r="I28" i="1"/>
  <c r="J28" i="1"/>
  <c r="K28" i="1"/>
  <c r="L28" i="1"/>
  <c r="M28" i="1"/>
  <c r="E29" i="1"/>
  <c r="G29" i="6" s="1"/>
  <c r="I29" i="1"/>
  <c r="J29" i="1"/>
  <c r="K29" i="1"/>
  <c r="L29" i="1"/>
  <c r="M29" i="1"/>
  <c r="E30" i="1"/>
  <c r="AJ30" i="1" s="1"/>
  <c r="I30" i="1"/>
  <c r="J30" i="1"/>
  <c r="K30" i="1"/>
  <c r="L30" i="1"/>
  <c r="M30" i="1"/>
  <c r="E31" i="1"/>
  <c r="I31" i="1"/>
  <c r="J31" i="1"/>
  <c r="K31" i="1"/>
  <c r="L31" i="1"/>
  <c r="M31" i="1"/>
  <c r="E32" i="1"/>
  <c r="R32" i="1" s="1"/>
  <c r="I32" i="1"/>
  <c r="J32" i="1"/>
  <c r="K32" i="1"/>
  <c r="L32" i="1"/>
  <c r="M32" i="1"/>
  <c r="E33" i="1"/>
  <c r="I33" i="1"/>
  <c r="J33" i="1"/>
  <c r="K33" i="1"/>
  <c r="L33" i="1"/>
  <c r="M33" i="1"/>
  <c r="E34" i="1"/>
  <c r="R34" i="1" s="1"/>
  <c r="I34" i="1"/>
  <c r="J34" i="1"/>
  <c r="K34" i="1"/>
  <c r="L34" i="1"/>
  <c r="M34" i="1"/>
  <c r="E35" i="1"/>
  <c r="R35" i="1" s="1"/>
  <c r="I35" i="1"/>
  <c r="J35" i="1"/>
  <c r="K35" i="1"/>
  <c r="L35" i="1"/>
  <c r="M35" i="1"/>
  <c r="E36" i="1"/>
  <c r="I36" i="1"/>
  <c r="J36" i="1"/>
  <c r="K36" i="1"/>
  <c r="L36" i="1"/>
  <c r="M36" i="1"/>
  <c r="E37" i="1"/>
  <c r="AJ37" i="1" s="1"/>
  <c r="I37" i="1"/>
  <c r="J37" i="1"/>
  <c r="K37" i="1"/>
  <c r="L37" i="1"/>
  <c r="M37" i="1"/>
  <c r="E38" i="1"/>
  <c r="I38" i="1"/>
  <c r="J38" i="1"/>
  <c r="K38" i="1"/>
  <c r="L38" i="1"/>
  <c r="M38" i="1"/>
  <c r="E39" i="1"/>
  <c r="G39" i="6" s="1"/>
  <c r="I39" i="1"/>
  <c r="J39" i="1"/>
  <c r="K39" i="1"/>
  <c r="L39" i="1"/>
  <c r="M39" i="1"/>
  <c r="E40" i="1"/>
  <c r="R40" i="1" s="1"/>
  <c r="I40" i="1"/>
  <c r="J40" i="1"/>
  <c r="K40" i="1"/>
  <c r="L40" i="1"/>
  <c r="M40" i="1"/>
  <c r="E41" i="1"/>
  <c r="G41" i="6" s="1"/>
  <c r="I41" i="1"/>
  <c r="J41" i="1"/>
  <c r="K41" i="1"/>
  <c r="L41" i="1"/>
  <c r="M41" i="1"/>
  <c r="E42" i="1"/>
  <c r="I42" i="1"/>
  <c r="J42" i="1"/>
  <c r="K42" i="1"/>
  <c r="L42" i="1"/>
  <c r="M42" i="1"/>
  <c r="E43" i="1"/>
  <c r="AJ43" i="1" s="1"/>
  <c r="I43" i="1"/>
  <c r="J43" i="1"/>
  <c r="K43" i="1"/>
  <c r="L43" i="1"/>
  <c r="M43" i="1"/>
  <c r="E44" i="1"/>
  <c r="I44" i="1"/>
  <c r="J44" i="1"/>
  <c r="K44" i="1"/>
  <c r="L44" i="1"/>
  <c r="M44" i="1"/>
  <c r="E45" i="1"/>
  <c r="I45" i="1"/>
  <c r="J45" i="1"/>
  <c r="K45" i="1"/>
  <c r="L45" i="1"/>
  <c r="M45" i="1"/>
  <c r="E46" i="1"/>
  <c r="R46" i="1" s="1"/>
  <c r="I46" i="1"/>
  <c r="J46" i="1"/>
  <c r="K46" i="1"/>
  <c r="L46" i="1"/>
  <c r="M46" i="1"/>
  <c r="E47" i="1"/>
  <c r="AJ47" i="1" s="1"/>
  <c r="I47" i="1"/>
  <c r="J47" i="1"/>
  <c r="K47" i="1"/>
  <c r="L47" i="1"/>
  <c r="M47" i="1"/>
  <c r="E48" i="1"/>
  <c r="R48" i="1" s="1"/>
  <c r="I48" i="1"/>
  <c r="J48" i="1"/>
  <c r="K48" i="1"/>
  <c r="L48" i="1"/>
  <c r="M48" i="1"/>
  <c r="E49" i="1"/>
  <c r="AJ49" i="1" s="1"/>
  <c r="I49" i="1"/>
  <c r="J49" i="1"/>
  <c r="K49" i="1"/>
  <c r="L49" i="1"/>
  <c r="M49" i="1"/>
  <c r="E50" i="1"/>
  <c r="I50" i="1"/>
  <c r="J50" i="1"/>
  <c r="K50" i="1"/>
  <c r="L50" i="1"/>
  <c r="M50" i="1"/>
  <c r="E51" i="1"/>
  <c r="AJ51" i="1" s="1"/>
  <c r="I51" i="1"/>
  <c r="J51" i="1"/>
  <c r="K51" i="1"/>
  <c r="L51" i="1"/>
  <c r="M51" i="1"/>
  <c r="E52" i="1"/>
  <c r="AJ52" i="1" s="1"/>
  <c r="I52" i="1"/>
  <c r="J52" i="1"/>
  <c r="K52" i="1"/>
  <c r="L52" i="1"/>
  <c r="M52" i="1"/>
  <c r="E53" i="1"/>
  <c r="R53" i="1" s="1"/>
  <c r="I53" i="1"/>
  <c r="J53" i="1"/>
  <c r="K53" i="1"/>
  <c r="L53" i="1"/>
  <c r="M53" i="1"/>
  <c r="E54" i="1"/>
  <c r="I54" i="1"/>
  <c r="J54" i="1"/>
  <c r="K54" i="1"/>
  <c r="L54" i="1"/>
  <c r="M54" i="1"/>
  <c r="E55" i="1"/>
  <c r="I55" i="1"/>
  <c r="J55" i="1"/>
  <c r="K55" i="1"/>
  <c r="L55" i="1"/>
  <c r="M55" i="1"/>
  <c r="E56" i="1"/>
  <c r="AJ56" i="1" s="1"/>
  <c r="I56" i="1"/>
  <c r="J56" i="1"/>
  <c r="K56" i="1"/>
  <c r="L56" i="1"/>
  <c r="M56" i="1"/>
  <c r="E57" i="1"/>
  <c r="R57" i="1" s="1"/>
  <c r="I57" i="1"/>
  <c r="J57" i="1"/>
  <c r="K57" i="1"/>
  <c r="L57" i="1"/>
  <c r="M57" i="1"/>
  <c r="E58" i="1"/>
  <c r="R58" i="1" s="1"/>
  <c r="I58" i="1"/>
  <c r="J58" i="1"/>
  <c r="K58" i="1"/>
  <c r="L58" i="1"/>
  <c r="M58" i="1"/>
  <c r="E59" i="1"/>
  <c r="I59" i="1"/>
  <c r="J59" i="1"/>
  <c r="K59" i="1"/>
  <c r="L59" i="1"/>
  <c r="M59" i="1"/>
  <c r="E60" i="1"/>
  <c r="AJ60" i="1" s="1"/>
  <c r="I60" i="1"/>
  <c r="J60" i="1"/>
  <c r="K60" i="1"/>
  <c r="L60" i="1"/>
  <c r="M60" i="1"/>
  <c r="E61" i="1"/>
  <c r="AJ61" i="1" s="1"/>
  <c r="I61" i="1"/>
  <c r="J61" i="1"/>
  <c r="K61" i="1"/>
  <c r="L61" i="1"/>
  <c r="M61" i="1"/>
  <c r="E62" i="1"/>
  <c r="I62" i="1"/>
  <c r="J62" i="1"/>
  <c r="K62" i="1"/>
  <c r="L62" i="1"/>
  <c r="M62" i="1"/>
  <c r="E63" i="1"/>
  <c r="I63" i="1"/>
  <c r="J63" i="1"/>
  <c r="K63" i="1"/>
  <c r="L63" i="1"/>
  <c r="M63" i="1"/>
  <c r="E64" i="1"/>
  <c r="I64" i="1"/>
  <c r="J64" i="1"/>
  <c r="K64" i="1"/>
  <c r="L64" i="1"/>
  <c r="M64" i="1"/>
  <c r="E65" i="1"/>
  <c r="AJ65" i="1" s="1"/>
  <c r="I65" i="1"/>
  <c r="J65" i="1"/>
  <c r="K65" i="1"/>
  <c r="L65" i="1"/>
  <c r="M65" i="1"/>
  <c r="E66" i="1"/>
  <c r="I66" i="1"/>
  <c r="J66" i="1"/>
  <c r="K66" i="1"/>
  <c r="L66" i="1"/>
  <c r="M66" i="1"/>
  <c r="E67" i="1"/>
  <c r="I67" i="1"/>
  <c r="J67" i="1"/>
  <c r="K67" i="1"/>
  <c r="L67" i="1"/>
  <c r="M67" i="1"/>
  <c r="E68" i="1"/>
  <c r="I68" i="1"/>
  <c r="J68" i="1"/>
  <c r="K68" i="1"/>
  <c r="L68" i="1"/>
  <c r="M68" i="1"/>
  <c r="E69" i="1"/>
  <c r="R69" i="1" s="1"/>
  <c r="I69" i="1"/>
  <c r="J69" i="1"/>
  <c r="K69" i="1"/>
  <c r="L69" i="1"/>
  <c r="M69" i="1"/>
  <c r="E70" i="1"/>
  <c r="I70" i="1"/>
  <c r="J70" i="1"/>
  <c r="K70" i="1"/>
  <c r="L70" i="1"/>
  <c r="M70" i="1"/>
  <c r="E71" i="1"/>
  <c r="R71" i="1" s="1"/>
  <c r="I71" i="1"/>
  <c r="J71" i="1"/>
  <c r="K71" i="1"/>
  <c r="L71" i="1"/>
  <c r="M71" i="1"/>
  <c r="E72" i="1"/>
  <c r="I72" i="1"/>
  <c r="J72" i="1"/>
  <c r="K72" i="1"/>
  <c r="L72" i="1"/>
  <c r="M72" i="1"/>
  <c r="E73" i="1"/>
  <c r="I73" i="1"/>
  <c r="J73" i="1"/>
  <c r="K73" i="1"/>
  <c r="L73" i="1"/>
  <c r="M73" i="1"/>
  <c r="E74" i="1"/>
  <c r="I74" i="1"/>
  <c r="J74" i="1"/>
  <c r="K74" i="1"/>
  <c r="L74" i="1"/>
  <c r="M74" i="1"/>
  <c r="E75" i="1"/>
  <c r="R75" i="1" s="1"/>
  <c r="I75" i="1"/>
  <c r="J75" i="1"/>
  <c r="K75" i="1"/>
  <c r="L75" i="1"/>
  <c r="M75" i="1"/>
  <c r="E76" i="1"/>
  <c r="I76" i="1"/>
  <c r="J76" i="1"/>
  <c r="K76" i="1"/>
  <c r="L76" i="1"/>
  <c r="M76" i="1"/>
  <c r="E77" i="1"/>
  <c r="AJ77" i="1" s="1"/>
  <c r="I77" i="1"/>
  <c r="J77" i="1"/>
  <c r="K77" i="1"/>
  <c r="L77" i="1"/>
  <c r="M77" i="1"/>
  <c r="E78" i="1"/>
  <c r="I78" i="1"/>
  <c r="J78" i="1"/>
  <c r="K78" i="1"/>
  <c r="L78" i="1"/>
  <c r="M78" i="1"/>
  <c r="E79" i="1"/>
  <c r="AJ79" i="1" s="1"/>
  <c r="I79" i="1"/>
  <c r="J79" i="1"/>
  <c r="K79" i="1"/>
  <c r="L79" i="1"/>
  <c r="M79" i="1"/>
  <c r="E80" i="1"/>
  <c r="I80" i="1"/>
  <c r="J80" i="1"/>
  <c r="K80" i="1"/>
  <c r="L80" i="1"/>
  <c r="M80" i="1"/>
  <c r="E81" i="1"/>
  <c r="R81" i="1" s="1"/>
  <c r="I81" i="1"/>
  <c r="J81" i="1"/>
  <c r="K81" i="1"/>
  <c r="L81" i="1"/>
  <c r="M81" i="1"/>
  <c r="E82" i="1"/>
  <c r="AJ82" i="1" s="1"/>
  <c r="I82" i="1"/>
  <c r="J82" i="1"/>
  <c r="K82" i="1"/>
  <c r="L82" i="1"/>
  <c r="M82" i="1"/>
  <c r="E83" i="1"/>
  <c r="AJ83" i="1" s="1"/>
  <c r="I83" i="1"/>
  <c r="J83" i="1"/>
  <c r="K83" i="1"/>
  <c r="L83" i="1"/>
  <c r="M83" i="1"/>
  <c r="E84" i="1"/>
  <c r="I84" i="1"/>
  <c r="J84" i="1"/>
  <c r="K84" i="1"/>
  <c r="L84" i="1"/>
  <c r="M84" i="1"/>
  <c r="E85" i="1"/>
  <c r="R85" i="1" s="1"/>
  <c r="I85" i="1"/>
  <c r="J85" i="1"/>
  <c r="K85" i="1"/>
  <c r="L85" i="1"/>
  <c r="M85" i="1"/>
  <c r="E86" i="1"/>
  <c r="I86" i="1"/>
  <c r="J86" i="1"/>
  <c r="K86" i="1"/>
  <c r="L86" i="1"/>
  <c r="M86" i="1"/>
  <c r="E87" i="1"/>
  <c r="I87" i="1"/>
  <c r="J87" i="1"/>
  <c r="K87" i="1"/>
  <c r="L87" i="1"/>
  <c r="M87" i="1"/>
  <c r="E88" i="1"/>
  <c r="I88" i="1"/>
  <c r="J88" i="1"/>
  <c r="K88" i="1"/>
  <c r="L88" i="1"/>
  <c r="M88" i="1"/>
  <c r="E89" i="1"/>
  <c r="R89" i="1" s="1"/>
  <c r="I89" i="1"/>
  <c r="J89" i="1"/>
  <c r="K89" i="1"/>
  <c r="L89" i="1"/>
  <c r="M89" i="1"/>
  <c r="E90" i="1"/>
  <c r="R90" i="1" s="1"/>
  <c r="I90" i="1"/>
  <c r="J90" i="1"/>
  <c r="K90" i="1"/>
  <c r="L90" i="1"/>
  <c r="M90" i="1"/>
  <c r="E91" i="1"/>
  <c r="I91" i="1"/>
  <c r="J91" i="1"/>
  <c r="K91" i="1"/>
  <c r="L91" i="1"/>
  <c r="M91" i="1"/>
  <c r="E92" i="1"/>
  <c r="I92" i="1"/>
  <c r="J92" i="1"/>
  <c r="K92" i="1"/>
  <c r="L92" i="1"/>
  <c r="M92" i="1"/>
  <c r="E93" i="1"/>
  <c r="AJ93" i="1" s="1"/>
  <c r="I93" i="1"/>
  <c r="J93" i="1"/>
  <c r="K93" i="1"/>
  <c r="L93" i="1"/>
  <c r="M93" i="1"/>
  <c r="E94" i="1"/>
  <c r="AJ94" i="1" s="1"/>
  <c r="I94" i="1"/>
  <c r="J94" i="1"/>
  <c r="K94" i="1"/>
  <c r="L94" i="1"/>
  <c r="M94" i="1"/>
  <c r="E95" i="1"/>
  <c r="AJ95" i="1" s="1"/>
  <c r="I95" i="1"/>
  <c r="J95" i="1"/>
  <c r="K95" i="1"/>
  <c r="L95" i="1"/>
  <c r="M95" i="1"/>
  <c r="E96" i="1"/>
  <c r="I96" i="1"/>
  <c r="J96" i="1"/>
  <c r="K96" i="1"/>
  <c r="L96" i="1"/>
  <c r="M96" i="1"/>
  <c r="E97" i="1"/>
  <c r="R97" i="1" s="1"/>
  <c r="I97" i="1"/>
  <c r="J97" i="1"/>
  <c r="K97" i="1"/>
  <c r="L97" i="1"/>
  <c r="M97" i="1"/>
  <c r="E98" i="1"/>
  <c r="I98" i="1"/>
  <c r="J98" i="1"/>
  <c r="K98" i="1"/>
  <c r="L98" i="1"/>
  <c r="M98" i="1"/>
  <c r="E99" i="1"/>
  <c r="AJ99" i="1" s="1"/>
  <c r="I99" i="1"/>
  <c r="J99" i="1"/>
  <c r="K99" i="1"/>
  <c r="L99" i="1"/>
  <c r="M99" i="1"/>
  <c r="E100" i="1"/>
  <c r="I100" i="1"/>
  <c r="J100" i="1"/>
  <c r="K100" i="1"/>
  <c r="L100" i="1"/>
  <c r="M100" i="1"/>
  <c r="E101" i="1"/>
  <c r="AJ101" i="1" s="1"/>
  <c r="I101" i="1"/>
  <c r="J101" i="1"/>
  <c r="K101" i="1"/>
  <c r="L101" i="1"/>
  <c r="M101" i="1"/>
  <c r="E102" i="1"/>
  <c r="I102" i="1"/>
  <c r="J102" i="1"/>
  <c r="K102" i="1"/>
  <c r="L102" i="1"/>
  <c r="M102" i="1"/>
  <c r="E103" i="1"/>
  <c r="AJ103" i="1" s="1"/>
  <c r="I103" i="1"/>
  <c r="J103" i="1"/>
  <c r="K103" i="1"/>
  <c r="L103" i="1"/>
  <c r="M103" i="1"/>
  <c r="E104" i="1"/>
  <c r="I104" i="1"/>
  <c r="J104" i="1"/>
  <c r="K104" i="1"/>
  <c r="L104" i="1"/>
  <c r="M104" i="1"/>
  <c r="E105" i="1"/>
  <c r="AJ105" i="1" s="1"/>
  <c r="I105" i="1"/>
  <c r="J105" i="1"/>
  <c r="K105" i="1"/>
  <c r="L105" i="1"/>
  <c r="M105" i="1"/>
  <c r="E106" i="1"/>
  <c r="AJ106" i="1" s="1"/>
  <c r="I106" i="1"/>
  <c r="J106" i="1"/>
  <c r="K106" i="1"/>
  <c r="L106" i="1"/>
  <c r="M106" i="1"/>
  <c r="E107" i="1"/>
  <c r="AJ107" i="1" s="1"/>
  <c r="I107" i="1"/>
  <c r="J107" i="1"/>
  <c r="K107" i="1"/>
  <c r="L107" i="1"/>
  <c r="M107" i="1"/>
  <c r="E108" i="1"/>
  <c r="AJ108" i="1" s="1"/>
  <c r="I108" i="1"/>
  <c r="J108" i="1"/>
  <c r="K108" i="1"/>
  <c r="L108" i="1"/>
  <c r="M108" i="1"/>
  <c r="E109" i="1"/>
  <c r="I109" i="1"/>
  <c r="J109" i="1"/>
  <c r="K109" i="1"/>
  <c r="L109" i="1"/>
  <c r="M109" i="1"/>
  <c r="E110" i="1"/>
  <c r="I110" i="1"/>
  <c r="J110" i="1"/>
  <c r="K110" i="1"/>
  <c r="L110" i="1"/>
  <c r="M110" i="1"/>
  <c r="E111" i="1"/>
  <c r="I111" i="1"/>
  <c r="J111" i="1"/>
  <c r="K111" i="1"/>
  <c r="L111" i="1"/>
  <c r="M111" i="1"/>
  <c r="E112" i="1"/>
  <c r="AJ112" i="1" s="1"/>
  <c r="I112" i="1"/>
  <c r="J112" i="1"/>
  <c r="K112" i="1"/>
  <c r="L112" i="1"/>
  <c r="M112" i="1"/>
  <c r="E113" i="1"/>
  <c r="I113" i="1"/>
  <c r="J113" i="1"/>
  <c r="K113" i="1"/>
  <c r="L113" i="1"/>
  <c r="M113" i="1"/>
  <c r="E114" i="1"/>
  <c r="R114" i="1" s="1"/>
  <c r="I114" i="1"/>
  <c r="J114" i="1"/>
  <c r="K114" i="1"/>
  <c r="L114" i="1"/>
  <c r="M114" i="1"/>
  <c r="E115" i="1"/>
  <c r="I115" i="1"/>
  <c r="J115" i="1"/>
  <c r="K115" i="1"/>
  <c r="L115" i="1"/>
  <c r="M115" i="1"/>
  <c r="E116" i="1"/>
  <c r="AJ116" i="1" s="1"/>
  <c r="I116" i="1"/>
  <c r="J116" i="1"/>
  <c r="K116" i="1"/>
  <c r="L116" i="1"/>
  <c r="M116" i="1"/>
  <c r="E117" i="1"/>
  <c r="I117" i="1"/>
  <c r="J117" i="1"/>
  <c r="K117" i="1"/>
  <c r="L117" i="1"/>
  <c r="M117" i="1"/>
  <c r="E118" i="1"/>
  <c r="AJ118" i="1" s="1"/>
  <c r="I118" i="1"/>
  <c r="J118" i="1"/>
  <c r="K118" i="1"/>
  <c r="L118" i="1"/>
  <c r="M118" i="1"/>
  <c r="E119" i="1"/>
  <c r="AJ119" i="1" s="1"/>
  <c r="I119" i="1"/>
  <c r="J119" i="1"/>
  <c r="K119" i="1"/>
  <c r="L119" i="1"/>
  <c r="M119" i="1"/>
  <c r="E120" i="1"/>
  <c r="I120" i="1"/>
  <c r="J120" i="1"/>
  <c r="K120" i="1"/>
  <c r="L120" i="1"/>
  <c r="M120" i="1"/>
  <c r="E121" i="1"/>
  <c r="I121" i="1"/>
  <c r="J121" i="1"/>
  <c r="K121" i="1"/>
  <c r="L121" i="1"/>
  <c r="M121" i="1"/>
  <c r="E122" i="1"/>
  <c r="AJ122" i="1" s="1"/>
  <c r="I122" i="1"/>
  <c r="J122" i="1"/>
  <c r="K122" i="1"/>
  <c r="L122" i="1"/>
  <c r="M122" i="1"/>
  <c r="E123" i="1"/>
  <c r="I123" i="1"/>
  <c r="J123" i="1"/>
  <c r="K123" i="1"/>
  <c r="L123" i="1"/>
  <c r="M123" i="1"/>
  <c r="E124" i="1"/>
  <c r="AJ124" i="1" s="1"/>
  <c r="I124" i="1"/>
  <c r="J124" i="1"/>
  <c r="K124" i="1"/>
  <c r="L124" i="1"/>
  <c r="M124" i="1"/>
  <c r="E125" i="1"/>
  <c r="I125" i="1"/>
  <c r="J125" i="1"/>
  <c r="K125" i="1"/>
  <c r="L125" i="1"/>
  <c r="M125" i="1"/>
  <c r="E126" i="1"/>
  <c r="R126" i="1" s="1"/>
  <c r="I126" i="1"/>
  <c r="J126" i="1"/>
  <c r="K126" i="1"/>
  <c r="L126" i="1"/>
  <c r="M126" i="1"/>
  <c r="E127" i="1"/>
  <c r="AJ127" i="1" s="1"/>
  <c r="I127" i="1"/>
  <c r="J127" i="1"/>
  <c r="K127" i="1"/>
  <c r="L127" i="1"/>
  <c r="M127" i="1"/>
  <c r="E128" i="1"/>
  <c r="AJ128" i="1" s="1"/>
  <c r="I128" i="1"/>
  <c r="J128" i="1"/>
  <c r="K128" i="1"/>
  <c r="L128" i="1"/>
  <c r="M128" i="1"/>
  <c r="E129" i="1"/>
  <c r="R129" i="1" s="1"/>
  <c r="I129" i="1"/>
  <c r="J129" i="1"/>
  <c r="K129" i="1"/>
  <c r="L129" i="1"/>
  <c r="M129" i="1"/>
  <c r="E130" i="1"/>
  <c r="AJ130" i="1" s="1"/>
  <c r="I130" i="1"/>
  <c r="J130" i="1"/>
  <c r="K130" i="1"/>
  <c r="L130" i="1"/>
  <c r="M130" i="1"/>
  <c r="E131" i="1"/>
  <c r="R131" i="1" s="1"/>
  <c r="I131" i="1"/>
  <c r="J131" i="1"/>
  <c r="K131" i="1"/>
  <c r="L131" i="1"/>
  <c r="M131" i="1"/>
  <c r="E132" i="1"/>
  <c r="AJ132" i="1" s="1"/>
  <c r="I132" i="1"/>
  <c r="J132" i="1"/>
  <c r="K132" i="1"/>
  <c r="L132" i="1"/>
  <c r="M132" i="1"/>
  <c r="E133" i="1"/>
  <c r="R133" i="1" s="1"/>
  <c r="I133" i="1"/>
  <c r="J133" i="1"/>
  <c r="K133" i="1"/>
  <c r="L133" i="1"/>
  <c r="M133" i="1"/>
  <c r="E134" i="1"/>
  <c r="R134" i="1" s="1"/>
  <c r="I134" i="1"/>
  <c r="J134" i="1"/>
  <c r="K134" i="1"/>
  <c r="L134" i="1"/>
  <c r="M134" i="1"/>
  <c r="E135" i="1"/>
  <c r="R135" i="1" s="1"/>
  <c r="I135" i="1"/>
  <c r="J135" i="1"/>
  <c r="K135" i="1"/>
  <c r="L135" i="1"/>
  <c r="M135" i="1"/>
  <c r="E136" i="1"/>
  <c r="AJ136" i="1" s="1"/>
  <c r="I136" i="1"/>
  <c r="J136" i="1"/>
  <c r="K136" i="1"/>
  <c r="L136" i="1"/>
  <c r="M136" i="1"/>
  <c r="E137" i="1"/>
  <c r="I137" i="1"/>
  <c r="J137" i="1"/>
  <c r="K137" i="1"/>
  <c r="L137" i="1"/>
  <c r="M137" i="1"/>
  <c r="E138" i="1"/>
  <c r="I138" i="1"/>
  <c r="J138" i="1"/>
  <c r="K138" i="1"/>
  <c r="L138" i="1"/>
  <c r="M138" i="1"/>
  <c r="E139" i="1"/>
  <c r="I139" i="1"/>
  <c r="J139" i="1"/>
  <c r="K139" i="1"/>
  <c r="L139" i="1"/>
  <c r="M139" i="1"/>
  <c r="E140" i="1"/>
  <c r="R140" i="1" s="1"/>
  <c r="I140" i="1"/>
  <c r="J140" i="1"/>
  <c r="K140" i="1"/>
  <c r="L140" i="1"/>
  <c r="M140" i="1"/>
  <c r="E141" i="1"/>
  <c r="R141" i="1" s="1"/>
  <c r="I141" i="1"/>
  <c r="J141" i="1"/>
  <c r="K141" i="1"/>
  <c r="L141" i="1"/>
  <c r="M141" i="1"/>
  <c r="E142" i="1"/>
  <c r="AJ142" i="1" s="1"/>
  <c r="I142" i="1"/>
  <c r="J142" i="1"/>
  <c r="K142" i="1"/>
  <c r="L142" i="1"/>
  <c r="M142" i="1"/>
  <c r="E143" i="1"/>
  <c r="I143" i="1"/>
  <c r="J143" i="1"/>
  <c r="K143" i="1"/>
  <c r="L143" i="1"/>
  <c r="M143" i="1"/>
  <c r="E144" i="1"/>
  <c r="R144" i="1" s="1"/>
  <c r="I144" i="1"/>
  <c r="J144" i="1"/>
  <c r="K144" i="1"/>
  <c r="L144" i="1"/>
  <c r="M144" i="1"/>
  <c r="E145" i="1"/>
  <c r="I145" i="1"/>
  <c r="J145" i="1"/>
  <c r="K145" i="1"/>
  <c r="L145" i="1"/>
  <c r="M145" i="1"/>
  <c r="E146" i="1"/>
  <c r="AJ146" i="1" s="1"/>
  <c r="I146" i="1"/>
  <c r="J146" i="1"/>
  <c r="K146" i="1"/>
  <c r="L146" i="1"/>
  <c r="M146" i="1"/>
  <c r="E147" i="1"/>
  <c r="R147" i="1" s="1"/>
  <c r="I147" i="1"/>
  <c r="J147" i="1"/>
  <c r="K147" i="1"/>
  <c r="L147" i="1"/>
  <c r="M147" i="1"/>
  <c r="E148" i="1"/>
  <c r="R148" i="1" s="1"/>
  <c r="I148" i="1"/>
  <c r="J148" i="1"/>
  <c r="K148" i="1"/>
  <c r="L148" i="1"/>
  <c r="M148" i="1"/>
  <c r="E149" i="1"/>
  <c r="I149" i="1"/>
  <c r="J149" i="1"/>
  <c r="K149" i="1"/>
  <c r="L149" i="1"/>
  <c r="M149" i="1"/>
  <c r="E150" i="1"/>
  <c r="I150" i="1"/>
  <c r="J150" i="1"/>
  <c r="K150" i="1"/>
  <c r="L150" i="1"/>
  <c r="M150" i="1"/>
  <c r="E151" i="1"/>
  <c r="I151" i="1"/>
  <c r="J151" i="1"/>
  <c r="K151" i="1"/>
  <c r="L151" i="1"/>
  <c r="M151" i="1"/>
  <c r="E152" i="1"/>
  <c r="R152" i="1" s="1"/>
  <c r="I152" i="1"/>
  <c r="J152" i="1"/>
  <c r="K152" i="1"/>
  <c r="L152" i="1"/>
  <c r="M152" i="1"/>
  <c r="E153" i="1"/>
  <c r="AJ153" i="1" s="1"/>
  <c r="I153" i="1"/>
  <c r="J153" i="1"/>
  <c r="K153" i="1"/>
  <c r="L153" i="1"/>
  <c r="M153" i="1"/>
  <c r="E154" i="1"/>
  <c r="R154" i="1" s="1"/>
  <c r="I154" i="1"/>
  <c r="J154" i="1"/>
  <c r="K154" i="1"/>
  <c r="L154" i="1"/>
  <c r="M154" i="1"/>
  <c r="E155" i="1"/>
  <c r="I155" i="1"/>
  <c r="J155" i="1"/>
  <c r="K155" i="1"/>
  <c r="L155" i="1"/>
  <c r="M155" i="1"/>
  <c r="E156" i="1"/>
  <c r="I156" i="1"/>
  <c r="J156" i="1"/>
  <c r="K156" i="1"/>
  <c r="L156" i="1"/>
  <c r="M156" i="1"/>
  <c r="E157" i="1"/>
  <c r="R157" i="1" s="1"/>
  <c r="I157" i="1"/>
  <c r="J157" i="1"/>
  <c r="K157" i="1"/>
  <c r="L157" i="1"/>
  <c r="M157" i="1"/>
  <c r="E158" i="1"/>
  <c r="I158" i="1"/>
  <c r="J158" i="1"/>
  <c r="K158" i="1"/>
  <c r="L158" i="1"/>
  <c r="M158" i="1"/>
  <c r="E159" i="1"/>
  <c r="AJ159" i="1" s="1"/>
  <c r="I159" i="1"/>
  <c r="J159" i="1"/>
  <c r="K159" i="1"/>
  <c r="L159" i="1"/>
  <c r="M159" i="1"/>
  <c r="E160" i="1"/>
  <c r="R160" i="1" s="1"/>
  <c r="I160" i="1"/>
  <c r="J160" i="1"/>
  <c r="K160" i="1"/>
  <c r="L160" i="1"/>
  <c r="M160" i="1"/>
  <c r="E161" i="1"/>
  <c r="I161" i="1"/>
  <c r="J161" i="1"/>
  <c r="K161" i="1"/>
  <c r="L161" i="1"/>
  <c r="M161" i="1"/>
  <c r="E162" i="1"/>
  <c r="R162" i="1" s="1"/>
  <c r="I162" i="1"/>
  <c r="J162" i="1"/>
  <c r="K162" i="1"/>
  <c r="L162" i="1"/>
  <c r="M162" i="1"/>
  <c r="E163" i="1"/>
  <c r="I163" i="1"/>
  <c r="J163" i="1"/>
  <c r="K163" i="1"/>
  <c r="L163" i="1"/>
  <c r="M163" i="1"/>
  <c r="E164" i="1"/>
  <c r="R164" i="1" s="1"/>
  <c r="I164" i="1"/>
  <c r="J164" i="1"/>
  <c r="K164" i="1"/>
  <c r="L164" i="1"/>
  <c r="M164" i="1"/>
  <c r="E165" i="1"/>
  <c r="AJ165" i="1" s="1"/>
  <c r="I165" i="1"/>
  <c r="J165" i="1"/>
  <c r="K165" i="1"/>
  <c r="L165" i="1"/>
  <c r="M165" i="1"/>
  <c r="E166" i="1"/>
  <c r="R166" i="1" s="1"/>
  <c r="I166" i="1"/>
  <c r="J166" i="1"/>
  <c r="K166" i="1"/>
  <c r="L166" i="1"/>
  <c r="M166" i="1"/>
  <c r="E167" i="1"/>
  <c r="I167" i="1"/>
  <c r="J167" i="1"/>
  <c r="K167" i="1"/>
  <c r="L167" i="1"/>
  <c r="M167" i="1"/>
  <c r="E168" i="1"/>
  <c r="R168" i="1" s="1"/>
  <c r="I168" i="1"/>
  <c r="J168" i="1"/>
  <c r="K168" i="1"/>
  <c r="L168" i="1"/>
  <c r="M168" i="1"/>
  <c r="E169" i="1"/>
  <c r="R169" i="1" s="1"/>
  <c r="I169" i="1"/>
  <c r="J169" i="1"/>
  <c r="K169" i="1"/>
  <c r="L169" i="1"/>
  <c r="M169" i="1"/>
  <c r="E170" i="1"/>
  <c r="R170" i="1" s="1"/>
  <c r="I170" i="1"/>
  <c r="J170" i="1"/>
  <c r="K170" i="1"/>
  <c r="L170" i="1"/>
  <c r="M170" i="1"/>
  <c r="E171" i="1"/>
  <c r="AJ171" i="1" s="1"/>
  <c r="I171" i="1"/>
  <c r="J171" i="1"/>
  <c r="K171" i="1"/>
  <c r="L171" i="1"/>
  <c r="M171" i="1"/>
  <c r="E172" i="1"/>
  <c r="I172" i="1"/>
  <c r="J172" i="1"/>
  <c r="K172" i="1"/>
  <c r="L172" i="1"/>
  <c r="M172" i="1"/>
  <c r="E173" i="1"/>
  <c r="I173" i="1"/>
  <c r="J173" i="1"/>
  <c r="K173" i="1"/>
  <c r="L173" i="1"/>
  <c r="M173" i="1"/>
  <c r="E174" i="1"/>
  <c r="R174" i="1" s="1"/>
  <c r="I174" i="1"/>
  <c r="J174" i="1"/>
  <c r="K174" i="1"/>
  <c r="L174" i="1"/>
  <c r="M174" i="1"/>
  <c r="E175" i="1"/>
  <c r="R175" i="1" s="1"/>
  <c r="I175" i="1"/>
  <c r="J175" i="1"/>
  <c r="K175" i="1"/>
  <c r="L175" i="1"/>
  <c r="M175" i="1"/>
  <c r="E176" i="1"/>
  <c r="R176" i="1" s="1"/>
  <c r="I176" i="1"/>
  <c r="J176" i="1"/>
  <c r="K176" i="1"/>
  <c r="L176" i="1"/>
  <c r="M176" i="1"/>
  <c r="E177" i="1"/>
  <c r="I177" i="1"/>
  <c r="J177" i="1"/>
  <c r="K177" i="1"/>
  <c r="L177" i="1"/>
  <c r="M177" i="1"/>
  <c r="E178" i="1"/>
  <c r="R178" i="1" s="1"/>
  <c r="I178" i="1"/>
  <c r="J178" i="1"/>
  <c r="K178" i="1"/>
  <c r="L178" i="1"/>
  <c r="M178" i="1"/>
  <c r="E179" i="1"/>
  <c r="R179" i="1" s="1"/>
  <c r="I179" i="1"/>
  <c r="J179" i="1"/>
  <c r="K179" i="1"/>
  <c r="L179" i="1"/>
  <c r="M179" i="1"/>
  <c r="E180" i="1"/>
  <c r="R180" i="1" s="1"/>
  <c r="I180" i="1"/>
  <c r="J180" i="1"/>
  <c r="K180" i="1"/>
  <c r="L180" i="1"/>
  <c r="M180" i="1"/>
  <c r="E181" i="1"/>
  <c r="R181" i="1" s="1"/>
  <c r="I181" i="1"/>
  <c r="J181" i="1"/>
  <c r="K181" i="1"/>
  <c r="L181" i="1"/>
  <c r="M181" i="1"/>
  <c r="E182" i="1"/>
  <c r="I182" i="1"/>
  <c r="J182" i="1"/>
  <c r="K182" i="1"/>
  <c r="L182" i="1"/>
  <c r="M182" i="1"/>
  <c r="E183" i="1"/>
  <c r="I183" i="1"/>
  <c r="J183" i="1"/>
  <c r="K183" i="1"/>
  <c r="L183" i="1"/>
  <c r="M183" i="1"/>
  <c r="E184" i="1"/>
  <c r="I184" i="1"/>
  <c r="J184" i="1"/>
  <c r="K184" i="1"/>
  <c r="L184" i="1"/>
  <c r="M184" i="1"/>
  <c r="E185" i="1"/>
  <c r="I185" i="1"/>
  <c r="J185" i="1"/>
  <c r="K185" i="1"/>
  <c r="L185" i="1"/>
  <c r="M185" i="1"/>
  <c r="E186" i="1"/>
  <c r="R186" i="1" s="1"/>
  <c r="I186" i="1"/>
  <c r="J186" i="1"/>
  <c r="K186" i="1"/>
  <c r="L186" i="1"/>
  <c r="M186" i="1"/>
  <c r="E187" i="1"/>
  <c r="I187" i="1"/>
  <c r="J187" i="1"/>
  <c r="K187" i="1"/>
  <c r="L187" i="1"/>
  <c r="M187" i="1"/>
  <c r="E188" i="1"/>
  <c r="I188" i="1"/>
  <c r="J188" i="1"/>
  <c r="K188" i="1"/>
  <c r="L188" i="1"/>
  <c r="M188" i="1"/>
  <c r="E189" i="1"/>
  <c r="I189" i="1"/>
  <c r="J189" i="1"/>
  <c r="K189" i="1"/>
  <c r="L189" i="1"/>
  <c r="M189" i="1"/>
  <c r="E190" i="1"/>
  <c r="AJ190" i="1" s="1"/>
  <c r="I190" i="1"/>
  <c r="J190" i="1"/>
  <c r="K190" i="1"/>
  <c r="L190" i="1"/>
  <c r="M190" i="1"/>
  <c r="E191" i="1"/>
  <c r="I191" i="1"/>
  <c r="J191" i="1"/>
  <c r="K191" i="1"/>
  <c r="L191" i="1"/>
  <c r="M191" i="1"/>
  <c r="E192" i="1"/>
  <c r="I192" i="1"/>
  <c r="J192" i="1"/>
  <c r="K192" i="1"/>
  <c r="L192" i="1"/>
  <c r="M192" i="1"/>
  <c r="E193" i="1"/>
  <c r="R193" i="1" s="1"/>
  <c r="I193" i="1"/>
  <c r="J193" i="1"/>
  <c r="K193" i="1"/>
  <c r="L193" i="1"/>
  <c r="M193" i="1"/>
  <c r="E194" i="1"/>
  <c r="R194" i="1" s="1"/>
  <c r="I194" i="1"/>
  <c r="J194" i="1"/>
  <c r="K194" i="1"/>
  <c r="L194" i="1"/>
  <c r="M194" i="1"/>
  <c r="E195" i="1"/>
  <c r="I195" i="1"/>
  <c r="J195" i="1"/>
  <c r="K195" i="1"/>
  <c r="L195" i="1"/>
  <c r="M195" i="1"/>
  <c r="E196" i="1"/>
  <c r="I196" i="1"/>
  <c r="J196" i="1"/>
  <c r="K196" i="1"/>
  <c r="L196" i="1"/>
  <c r="M196" i="1"/>
  <c r="E197" i="1"/>
  <c r="I197" i="1"/>
  <c r="J197" i="1"/>
  <c r="K197" i="1"/>
  <c r="L197" i="1"/>
  <c r="M197" i="1"/>
  <c r="E198" i="1"/>
  <c r="AJ198" i="1" s="1"/>
  <c r="I198" i="1"/>
  <c r="J198" i="1"/>
  <c r="K198" i="1"/>
  <c r="L198" i="1"/>
  <c r="M198" i="1"/>
  <c r="E21" i="1"/>
  <c r="R21" i="1" s="1"/>
  <c r="I21" i="1"/>
  <c r="J21" i="1"/>
  <c r="K21" i="1"/>
  <c r="L21" i="1"/>
  <c r="M21" i="1"/>
  <c r="E22" i="1"/>
  <c r="AJ22" i="1" s="1"/>
  <c r="I22" i="1"/>
  <c r="J22" i="1"/>
  <c r="K22" i="1"/>
  <c r="L22" i="1"/>
  <c r="M22" i="1"/>
  <c r="E23" i="1"/>
  <c r="R23" i="1" s="1"/>
  <c r="I23" i="1"/>
  <c r="J23" i="1"/>
  <c r="K23" i="1"/>
  <c r="L23" i="1"/>
  <c r="M23" i="1"/>
  <c r="E24" i="1"/>
  <c r="G24" i="6" s="1"/>
  <c r="I24" i="1"/>
  <c r="J24" i="1"/>
  <c r="K24" i="1"/>
  <c r="L24" i="1"/>
  <c r="M24" i="1"/>
  <c r="E25" i="1"/>
  <c r="I25" i="1"/>
  <c r="J25" i="1"/>
  <c r="K25" i="1"/>
  <c r="L25" i="1"/>
  <c r="M25" i="1"/>
  <c r="I3" i="1"/>
  <c r="J3" i="1"/>
  <c r="K3" i="1"/>
  <c r="M3" i="1"/>
  <c r="L3" i="1"/>
  <c r="E4" i="1"/>
  <c r="G4" i="6" s="1"/>
  <c r="I4" i="1"/>
  <c r="J4" i="1"/>
  <c r="K4" i="1"/>
  <c r="M4" i="1"/>
  <c r="L4" i="1"/>
  <c r="E5" i="1"/>
  <c r="I5" i="1"/>
  <c r="J5" i="1"/>
  <c r="K5" i="1"/>
  <c r="M5" i="1"/>
  <c r="L5" i="1"/>
  <c r="AF5" i="1" s="1"/>
  <c r="E6" i="1"/>
  <c r="G6" i="6" s="1"/>
  <c r="I6" i="1"/>
  <c r="J6" i="1"/>
  <c r="K6" i="1"/>
  <c r="M6" i="1"/>
  <c r="L6" i="1"/>
  <c r="E7" i="1"/>
  <c r="G7" i="6" s="1"/>
  <c r="I7" i="1"/>
  <c r="J7" i="1"/>
  <c r="K7" i="1"/>
  <c r="M7" i="1"/>
  <c r="L7" i="1"/>
  <c r="E8" i="1"/>
  <c r="I8" i="1"/>
  <c r="J8" i="1"/>
  <c r="K8" i="1"/>
  <c r="M8" i="1"/>
  <c r="L8" i="1"/>
  <c r="I9" i="1"/>
  <c r="J9" i="1"/>
  <c r="K9" i="1"/>
  <c r="M9" i="1"/>
  <c r="L9" i="1"/>
  <c r="E10" i="1"/>
  <c r="I10" i="1"/>
  <c r="J10" i="1"/>
  <c r="K10" i="1"/>
  <c r="M10" i="1"/>
  <c r="L10" i="1"/>
  <c r="E11" i="1"/>
  <c r="I11" i="1"/>
  <c r="J11" i="1"/>
  <c r="K11" i="1"/>
  <c r="M11" i="1"/>
  <c r="L11" i="1"/>
  <c r="E12" i="1"/>
  <c r="I12" i="1"/>
  <c r="J12" i="1"/>
  <c r="K12" i="1"/>
  <c r="M12" i="1"/>
  <c r="L12" i="1"/>
  <c r="I13" i="1"/>
  <c r="J13" i="1"/>
  <c r="K13" i="1"/>
  <c r="M13" i="1"/>
  <c r="L13" i="1"/>
  <c r="I14" i="1"/>
  <c r="J14" i="1"/>
  <c r="K14" i="1"/>
  <c r="M14" i="1"/>
  <c r="L14" i="1"/>
  <c r="E15" i="1"/>
  <c r="G15" i="6" s="1"/>
  <c r="I15" i="1"/>
  <c r="J15" i="1"/>
  <c r="K15" i="1"/>
  <c r="M15" i="1"/>
  <c r="L15" i="1"/>
  <c r="I16" i="1"/>
  <c r="J16" i="1"/>
  <c r="K16" i="1"/>
  <c r="M16" i="1"/>
  <c r="L16" i="1"/>
  <c r="I17" i="1"/>
  <c r="J17" i="1"/>
  <c r="K17" i="1"/>
  <c r="M17" i="1"/>
  <c r="L17" i="1"/>
  <c r="E18" i="1"/>
  <c r="G18" i="6" s="1"/>
  <c r="I18" i="1"/>
  <c r="J18" i="1"/>
  <c r="K18" i="1"/>
  <c r="M18" i="1"/>
  <c r="L18" i="1"/>
  <c r="E19" i="1"/>
  <c r="G19" i="6" s="1"/>
  <c r="I19" i="1"/>
  <c r="J19" i="1"/>
  <c r="K19" i="1"/>
  <c r="M19" i="1"/>
  <c r="L19" i="1"/>
  <c r="E20" i="1"/>
  <c r="G20" i="6" s="1"/>
  <c r="I20" i="1"/>
  <c r="J20" i="1"/>
  <c r="K20" i="1"/>
  <c r="M20" i="1"/>
  <c r="L20" i="1"/>
  <c r="G63" i="2"/>
  <c r="G64" i="2"/>
  <c r="I21" i="2"/>
  <c r="K21" i="2" s="1"/>
  <c r="K22" i="2"/>
  <c r="K26" i="2"/>
  <c r="M1" i="4"/>
  <c r="J1" i="4"/>
  <c r="BD1" i="1"/>
  <c r="E1" i="4"/>
  <c r="G1" i="4"/>
  <c r="F1" i="4"/>
  <c r="BL1" i="1"/>
  <c r="H1" i="4"/>
  <c r="BM1" i="1"/>
  <c r="I1" i="4"/>
  <c r="K1" i="4"/>
  <c r="L1" i="4"/>
  <c r="A2" i="4"/>
  <c r="P5" i="1"/>
  <c r="F5" i="6" s="1"/>
  <c r="K41" i="2"/>
  <c r="H461" i="1" l="1"/>
  <c r="H341" i="1"/>
  <c r="H329" i="1"/>
  <c r="H305" i="1"/>
  <c r="H269" i="1"/>
  <c r="H437" i="1"/>
  <c r="AF13" i="1"/>
  <c r="H217" i="1"/>
  <c r="H205" i="1"/>
  <c r="H445" i="1"/>
  <c r="H433" i="1"/>
  <c r="H361" i="1"/>
  <c r="H301" i="1"/>
  <c r="AF25" i="1"/>
  <c r="AF193" i="1"/>
  <c r="AF181" i="1"/>
  <c r="AF37" i="1"/>
  <c r="AF349" i="1"/>
  <c r="AF337" i="1"/>
  <c r="AF313" i="1"/>
  <c r="AF301" i="1"/>
  <c r="AF289" i="1"/>
  <c r="AF277" i="1"/>
  <c r="AF253" i="1"/>
  <c r="AF229" i="1"/>
  <c r="AF205" i="1"/>
  <c r="H25" i="1"/>
  <c r="H189" i="1"/>
  <c r="H109" i="1"/>
  <c r="H45" i="1"/>
  <c r="AF493" i="1"/>
  <c r="AF457" i="1"/>
  <c r="AF445" i="1"/>
  <c r="AF433" i="1"/>
  <c r="AF361" i="1"/>
  <c r="AF341" i="1"/>
  <c r="AF333" i="1"/>
  <c r="AF329" i="1"/>
  <c r="AF321" i="1"/>
  <c r="AF317" i="1"/>
  <c r="AF309" i="1"/>
  <c r="AF305" i="1"/>
  <c r="AF293" i="1"/>
  <c r="AF285" i="1"/>
  <c r="AF281" i="1"/>
  <c r="AF273" i="1"/>
  <c r="AF261" i="1"/>
  <c r="AF249" i="1"/>
  <c r="AF237" i="1"/>
  <c r="AF225" i="1"/>
  <c r="AF221" i="1"/>
  <c r="AF209" i="1"/>
  <c r="AF9" i="1"/>
  <c r="AF21" i="1"/>
  <c r="AF197" i="1"/>
  <c r="AF189" i="1"/>
  <c r="AF185" i="1"/>
  <c r="AF177" i="1"/>
  <c r="AF173" i="1"/>
  <c r="AF33" i="1"/>
  <c r="AF461" i="1"/>
  <c r="AF449" i="1"/>
  <c r="AF425" i="1"/>
  <c r="AF413" i="1"/>
  <c r="AF17" i="1"/>
  <c r="AF465" i="1"/>
  <c r="H249" i="1"/>
  <c r="AF417" i="1"/>
  <c r="AF405" i="1"/>
  <c r="H273" i="1"/>
  <c r="H225" i="1"/>
  <c r="AF393" i="1"/>
  <c r="H309" i="1"/>
  <c r="AF369" i="1"/>
  <c r="H285" i="1"/>
  <c r="AF381" i="1"/>
  <c r="R265" i="1"/>
  <c r="AJ265" i="1"/>
  <c r="AF213" i="1"/>
  <c r="H393" i="1"/>
  <c r="H173" i="1"/>
  <c r="AF380" i="1"/>
  <c r="AF396" i="1"/>
  <c r="AF440" i="1"/>
  <c r="H409" i="1"/>
  <c r="AF409" i="1"/>
  <c r="H473" i="1"/>
  <c r="AF473" i="1"/>
  <c r="AF485" i="1"/>
  <c r="H489" i="1"/>
  <c r="H493" i="1"/>
  <c r="P201" i="1"/>
  <c r="AF201" i="1"/>
  <c r="AF217" i="1"/>
  <c r="P217" i="1"/>
  <c r="P233" i="1"/>
  <c r="AF233" i="1"/>
  <c r="AF241" i="1"/>
  <c r="P241" i="1"/>
  <c r="P245" i="1"/>
  <c r="AF245" i="1"/>
  <c r="P257" i="1"/>
  <c r="AF257" i="1"/>
  <c r="AF265" i="1"/>
  <c r="P265" i="1"/>
  <c r="AF269" i="1"/>
  <c r="P269" i="1"/>
  <c r="P325" i="1"/>
  <c r="AF325" i="1"/>
  <c r="AJ206" i="1"/>
  <c r="R206" i="1"/>
  <c r="AJ219" i="1"/>
  <c r="R219" i="1"/>
  <c r="AJ221" i="1"/>
  <c r="R221" i="1"/>
  <c r="R246" i="1"/>
  <c r="AJ246" i="1"/>
  <c r="AJ281" i="1"/>
  <c r="H281" i="1"/>
  <c r="AJ297" i="1"/>
  <c r="R297" i="1"/>
  <c r="R339" i="1"/>
  <c r="AJ339" i="1"/>
  <c r="AJ351" i="1"/>
  <c r="R351" i="1"/>
  <c r="AJ355" i="1"/>
  <c r="R355" i="1"/>
  <c r="R371" i="1"/>
  <c r="AJ371" i="1"/>
  <c r="AJ379" i="1"/>
  <c r="R379" i="1"/>
  <c r="AJ383" i="1"/>
  <c r="R383" i="1"/>
  <c r="R395" i="1"/>
  <c r="AJ395" i="1"/>
  <c r="R403" i="1"/>
  <c r="AJ403" i="1"/>
  <c r="AJ411" i="1"/>
  <c r="R411" i="1"/>
  <c r="R415" i="1"/>
  <c r="AJ415" i="1"/>
  <c r="AJ419" i="1"/>
  <c r="R419" i="1"/>
  <c r="R427" i="1"/>
  <c r="AJ427" i="1"/>
  <c r="AJ431" i="1"/>
  <c r="R431" i="1"/>
  <c r="AJ435" i="1"/>
  <c r="R435" i="1"/>
  <c r="AJ451" i="1"/>
  <c r="R451" i="1"/>
  <c r="R463" i="1"/>
  <c r="AJ463" i="1"/>
  <c r="R224" i="1"/>
  <c r="E14" i="1"/>
  <c r="G14" i="6" s="1"/>
  <c r="P440" i="1"/>
  <c r="AF436" i="1"/>
  <c r="AF452" i="1"/>
  <c r="AF376" i="1"/>
  <c r="H248" i="1"/>
  <c r="H216" i="1"/>
  <c r="P396" i="1"/>
  <c r="AF456" i="1"/>
  <c r="AJ258" i="1"/>
  <c r="H212" i="1"/>
  <c r="AJ226" i="1"/>
  <c r="AJ278" i="1"/>
  <c r="R430" i="1"/>
  <c r="AJ470" i="1"/>
  <c r="AF16" i="1"/>
  <c r="AJ338" i="1"/>
  <c r="R2" i="1"/>
  <c r="R202" i="1"/>
  <c r="R212" i="1"/>
  <c r="R280" i="1"/>
  <c r="H312" i="1"/>
  <c r="AJ478" i="1"/>
  <c r="R210" i="1"/>
  <c r="AF20" i="1"/>
  <c r="AF8" i="1"/>
  <c r="AF4" i="1"/>
  <c r="H488" i="1"/>
  <c r="H468" i="1"/>
  <c r="H464" i="1"/>
  <c r="H444" i="1"/>
  <c r="H440" i="1"/>
  <c r="H432" i="1"/>
  <c r="H272" i="1"/>
  <c r="AJ332" i="1"/>
  <c r="AF432" i="1"/>
  <c r="AF368" i="1"/>
  <c r="P412" i="1"/>
  <c r="AF412" i="1"/>
  <c r="P400" i="1"/>
  <c r="AF400" i="1"/>
  <c r="AF2" i="1"/>
  <c r="R27" i="1"/>
  <c r="P380" i="1"/>
  <c r="P216" i="1"/>
  <c r="AF448" i="1"/>
  <c r="AF476" i="1"/>
  <c r="H320" i="1"/>
  <c r="AJ367" i="1"/>
  <c r="R375" i="1"/>
  <c r="AJ359" i="1"/>
  <c r="R65" i="1"/>
  <c r="AF372" i="1"/>
  <c r="G33" i="6"/>
  <c r="R33" i="1"/>
  <c r="G2" i="6"/>
  <c r="H2" i="1"/>
  <c r="H332" i="1"/>
  <c r="AF488" i="1"/>
  <c r="R387" i="1"/>
  <c r="AJ407" i="1"/>
  <c r="P248" i="1"/>
  <c r="AF428" i="1"/>
  <c r="AF464" i="1"/>
  <c r="H41" i="1"/>
  <c r="AF496" i="1"/>
  <c r="AF492" i="1"/>
  <c r="AF484" i="1"/>
  <c r="AF480" i="1"/>
  <c r="AF472" i="1"/>
  <c r="AF468" i="1"/>
  <c r="AF460" i="1"/>
  <c r="AF444" i="1"/>
  <c r="AF424" i="1"/>
  <c r="AF420" i="1"/>
  <c r="AF416" i="1"/>
  <c r="AF408" i="1"/>
  <c r="AF404" i="1"/>
  <c r="AF392" i="1"/>
  <c r="AF388" i="1"/>
  <c r="AF384" i="1"/>
  <c r="AF364" i="1"/>
  <c r="R363" i="1"/>
  <c r="AJ363" i="1"/>
  <c r="AF360" i="1"/>
  <c r="AF356" i="1"/>
  <c r="AF352" i="1"/>
  <c r="H428" i="1"/>
  <c r="H424" i="1"/>
  <c r="H420" i="1"/>
  <c r="H396" i="1"/>
  <c r="H392" i="1"/>
  <c r="H380" i="1"/>
  <c r="AF12" i="1"/>
  <c r="AF348" i="1"/>
  <c r="AF344" i="1"/>
  <c r="AF340" i="1"/>
  <c r="AF336" i="1"/>
  <c r="AF332" i="1"/>
  <c r="AF328" i="1"/>
  <c r="AF324" i="1"/>
  <c r="AF320" i="1"/>
  <c r="AF316" i="1"/>
  <c r="AF312" i="1"/>
  <c r="AF308" i="1"/>
  <c r="AF304" i="1"/>
  <c r="AF300" i="1"/>
  <c r="AF296" i="1"/>
  <c r="AF292" i="1"/>
  <c r="AF288" i="1"/>
  <c r="AF284" i="1"/>
  <c r="AF280" i="1"/>
  <c r="AF276" i="1"/>
  <c r="AF272" i="1"/>
  <c r="AF268" i="1"/>
  <c r="AF264" i="1"/>
  <c r="AF260" i="1"/>
  <c r="AF256" i="1"/>
  <c r="AF252" i="1"/>
  <c r="AF248" i="1"/>
  <c r="AF244" i="1"/>
  <c r="AF240" i="1"/>
  <c r="AF236" i="1"/>
  <c r="AF232" i="1"/>
  <c r="AF228" i="1"/>
  <c r="AF224" i="1"/>
  <c r="AF220" i="1"/>
  <c r="AF216" i="1"/>
  <c r="AF212" i="1"/>
  <c r="AF208" i="1"/>
  <c r="AF204" i="1"/>
  <c r="AF200" i="1"/>
  <c r="AF24" i="1"/>
  <c r="AF196" i="1"/>
  <c r="H196" i="1"/>
  <c r="AF192" i="1"/>
  <c r="H192" i="1"/>
  <c r="AF188" i="1"/>
  <c r="H188" i="1"/>
  <c r="AF184" i="1"/>
  <c r="AF180" i="1"/>
  <c r="AF176" i="1"/>
  <c r="AF172" i="1"/>
  <c r="H172" i="1"/>
  <c r="AF168" i="1"/>
  <c r="AF164" i="1"/>
  <c r="AF160" i="1"/>
  <c r="AF156" i="1"/>
  <c r="AF152" i="1"/>
  <c r="AF148" i="1"/>
  <c r="AF144" i="1"/>
  <c r="AF140" i="1"/>
  <c r="AF136" i="1"/>
  <c r="AF132" i="1"/>
  <c r="AF128" i="1"/>
  <c r="AF124" i="1"/>
  <c r="AF120" i="1"/>
  <c r="H120" i="1"/>
  <c r="AF116" i="1"/>
  <c r="AF112" i="1"/>
  <c r="AF108" i="1"/>
  <c r="AF104" i="1"/>
  <c r="AF100" i="1"/>
  <c r="AF96" i="1"/>
  <c r="AF92" i="1"/>
  <c r="AF88" i="1"/>
  <c r="AF84" i="1"/>
  <c r="AF80" i="1"/>
  <c r="AF76" i="1"/>
  <c r="AF72" i="1"/>
  <c r="AF68" i="1"/>
  <c r="AF64" i="1"/>
  <c r="AF60" i="1"/>
  <c r="AF56" i="1"/>
  <c r="AF52" i="1"/>
  <c r="AF48" i="1"/>
  <c r="AF44" i="1"/>
  <c r="H44" i="1"/>
  <c r="AF40" i="1"/>
  <c r="AF36" i="1"/>
  <c r="H36" i="1"/>
  <c r="AF32" i="1"/>
  <c r="AF28" i="1"/>
  <c r="H340" i="1"/>
  <c r="H324" i="1"/>
  <c r="H316" i="1"/>
  <c r="H304" i="1"/>
  <c r="H296" i="1"/>
  <c r="H280" i="1"/>
  <c r="H264" i="1"/>
  <c r="H260" i="1"/>
  <c r="H236" i="1"/>
  <c r="H204" i="1"/>
  <c r="H200" i="1"/>
  <c r="R205" i="1"/>
  <c r="R325" i="1"/>
  <c r="R424" i="1"/>
  <c r="H69" i="1"/>
  <c r="R201" i="1"/>
  <c r="AJ247" i="1"/>
  <c r="R281" i="1"/>
  <c r="AJ329" i="1"/>
  <c r="R303" i="1"/>
  <c r="H265" i="1"/>
  <c r="H221" i="1"/>
  <c r="H325" i="1"/>
  <c r="H456" i="1"/>
  <c r="AJ239" i="1"/>
  <c r="AJ225" i="1"/>
  <c r="H333" i="1"/>
  <c r="AJ327" i="1"/>
  <c r="R255" i="1"/>
  <c r="AJ279" i="1"/>
  <c r="AJ416" i="1"/>
  <c r="R269" i="1"/>
  <c r="AJ335" i="1"/>
  <c r="H129" i="1"/>
  <c r="R159" i="1"/>
  <c r="H29" i="1"/>
  <c r="R446" i="1"/>
  <c r="AJ217" i="1"/>
  <c r="R484" i="1"/>
  <c r="H484" i="1"/>
  <c r="H460" i="1"/>
  <c r="R460" i="1"/>
  <c r="AJ460" i="1"/>
  <c r="AJ376" i="1"/>
  <c r="R376" i="1"/>
  <c r="H376" i="1"/>
  <c r="H372" i="1"/>
  <c r="AJ372" i="1"/>
  <c r="AJ364" i="1"/>
  <c r="H364" i="1"/>
  <c r="AJ345" i="1"/>
  <c r="H345" i="1"/>
  <c r="R345" i="1"/>
  <c r="AJ307" i="1"/>
  <c r="R307" i="1"/>
  <c r="R301" i="1"/>
  <c r="AJ301" i="1"/>
  <c r="R283" i="1"/>
  <c r="AJ283" i="1"/>
  <c r="AJ277" i="1"/>
  <c r="H277" i="1"/>
  <c r="AJ259" i="1"/>
  <c r="R259" i="1"/>
  <c r="R257" i="1"/>
  <c r="H257" i="1"/>
  <c r="AJ205" i="1"/>
  <c r="AJ269" i="1"/>
  <c r="AJ333" i="1"/>
  <c r="H321" i="1"/>
  <c r="AJ468" i="1"/>
  <c r="AF263" i="1"/>
  <c r="AJ223" i="1"/>
  <c r="AJ271" i="1"/>
  <c r="H313" i="1"/>
  <c r="H213" i="1"/>
  <c r="AJ227" i="1"/>
  <c r="AJ207" i="1"/>
  <c r="R87" i="1"/>
  <c r="AJ87" i="1"/>
  <c r="R73" i="1"/>
  <c r="AJ73" i="1"/>
  <c r="G37" i="6"/>
  <c r="H37" i="1"/>
  <c r="H496" i="1"/>
  <c r="AJ496" i="1"/>
  <c r="R412" i="1"/>
  <c r="AJ412" i="1"/>
  <c r="H408" i="1"/>
  <c r="AJ408" i="1"/>
  <c r="H400" i="1"/>
  <c r="R400" i="1"/>
  <c r="AJ368" i="1"/>
  <c r="H368" i="1"/>
  <c r="H360" i="1"/>
  <c r="R360" i="1"/>
  <c r="AJ356" i="1"/>
  <c r="R356" i="1"/>
  <c r="R343" i="1"/>
  <c r="AJ343" i="1"/>
  <c r="AJ305" i="1"/>
  <c r="R305" i="1"/>
  <c r="AJ295" i="1"/>
  <c r="R295" i="1"/>
  <c r="R291" i="1"/>
  <c r="AJ291" i="1"/>
  <c r="AJ249" i="1"/>
  <c r="R249" i="1"/>
  <c r="R243" i="1"/>
  <c r="AJ243" i="1"/>
  <c r="R241" i="1"/>
  <c r="AJ241" i="1"/>
  <c r="R237" i="1"/>
  <c r="H237" i="1"/>
  <c r="AJ211" i="1"/>
  <c r="R211" i="1"/>
  <c r="R209" i="1"/>
  <c r="AJ209" i="1"/>
  <c r="H209" i="1"/>
  <c r="AJ203" i="1"/>
  <c r="R203" i="1"/>
  <c r="AJ199" i="1"/>
  <c r="H199" i="1"/>
  <c r="P431" i="1"/>
  <c r="H431" i="1"/>
  <c r="P203" i="1"/>
  <c r="AF203" i="1"/>
  <c r="AJ337" i="1"/>
  <c r="H53" i="1"/>
  <c r="R41" i="1"/>
  <c r="AJ97" i="1"/>
  <c r="R420" i="1"/>
  <c r="R436" i="1"/>
  <c r="R29" i="1"/>
  <c r="AJ257" i="1"/>
  <c r="H289" i="1"/>
  <c r="R329" i="1"/>
  <c r="R364" i="1"/>
  <c r="AJ380" i="1"/>
  <c r="H261" i="1"/>
  <c r="R83" i="1"/>
  <c r="R231" i="1"/>
  <c r="R43" i="1"/>
  <c r="R428" i="1"/>
  <c r="R267" i="1"/>
  <c r="H331" i="1"/>
  <c r="AJ53" i="1"/>
  <c r="R468" i="1"/>
  <c r="AJ424" i="1"/>
  <c r="H436" i="1"/>
  <c r="R39" i="1"/>
  <c r="R245" i="1"/>
  <c r="R261" i="1"/>
  <c r="AJ215" i="1"/>
  <c r="R251" i="1"/>
  <c r="AJ289" i="1"/>
  <c r="AJ313" i="1"/>
  <c r="H349" i="1"/>
  <c r="R352" i="1"/>
  <c r="R380" i="1"/>
  <c r="R408" i="1"/>
  <c r="R77" i="1"/>
  <c r="H233" i="1"/>
  <c r="H245" i="1"/>
  <c r="R456" i="1"/>
  <c r="R496" i="1"/>
  <c r="R213" i="1"/>
  <c r="AJ233" i="1"/>
  <c r="R277" i="1"/>
  <c r="R440" i="1"/>
  <c r="H352" i="1"/>
  <c r="R109" i="1"/>
  <c r="AJ109" i="1"/>
  <c r="G31" i="6"/>
  <c r="R31" i="1"/>
  <c r="H452" i="1"/>
  <c r="AJ452" i="1"/>
  <c r="R253" i="1"/>
  <c r="AJ253" i="1"/>
  <c r="AJ235" i="1"/>
  <c r="R235" i="1"/>
  <c r="P331" i="1"/>
  <c r="AF331" i="1"/>
  <c r="AJ428" i="1"/>
  <c r="R323" i="1"/>
  <c r="R331" i="1"/>
  <c r="AJ129" i="1"/>
  <c r="R321" i="1"/>
  <c r="R432" i="1"/>
  <c r="AJ39" i="1"/>
  <c r="H201" i="1"/>
  <c r="R225" i="1"/>
  <c r="H241" i="1"/>
  <c r="H253" i="1"/>
  <c r="AJ263" i="1"/>
  <c r="R349" i="1"/>
  <c r="H356" i="1"/>
  <c r="R372" i="1"/>
  <c r="AJ400" i="1"/>
  <c r="H412" i="1"/>
  <c r="AJ89" i="1"/>
  <c r="AJ85" i="1"/>
  <c r="AF379" i="1"/>
  <c r="H229" i="1"/>
  <c r="H297" i="1"/>
  <c r="AJ229" i="1"/>
  <c r="R217" i="1"/>
  <c r="AJ237" i="1"/>
  <c r="H416" i="1"/>
  <c r="H490" i="1"/>
  <c r="E16" i="1"/>
  <c r="G16" i="6" s="1"/>
  <c r="H479" i="1"/>
  <c r="H463" i="1"/>
  <c r="H447" i="1"/>
  <c r="H407" i="1"/>
  <c r="H383" i="1"/>
  <c r="H343" i="1"/>
  <c r="AF323" i="1"/>
  <c r="H315" i="1"/>
  <c r="AF307" i="1"/>
  <c r="H295" i="1"/>
  <c r="AF287" i="1"/>
  <c r="AF279" i="1"/>
  <c r="H259" i="1"/>
  <c r="H255" i="1"/>
  <c r="AF247" i="1"/>
  <c r="H243" i="1"/>
  <c r="AF227" i="1"/>
  <c r="H223" i="1"/>
  <c r="AF75" i="1"/>
  <c r="H71" i="1"/>
  <c r="AF39" i="1"/>
  <c r="H31" i="1"/>
  <c r="L9" i="5"/>
  <c r="H423" i="1"/>
  <c r="L17" i="5"/>
  <c r="AJ421" i="1"/>
  <c r="H425" i="1"/>
  <c r="H379" i="1"/>
  <c r="H471" i="1"/>
  <c r="AF199" i="1"/>
  <c r="AJ369" i="1"/>
  <c r="P279" i="1"/>
  <c r="H39" i="1"/>
  <c r="P407" i="1"/>
  <c r="AF343" i="1"/>
  <c r="P447" i="1"/>
  <c r="AF239" i="1"/>
  <c r="P247" i="1"/>
  <c r="H207" i="1"/>
  <c r="H227" i="1"/>
  <c r="E13" i="1"/>
  <c r="G13" i="6" s="1"/>
  <c r="H415" i="1"/>
  <c r="H371" i="1"/>
  <c r="H367" i="1"/>
  <c r="AF315" i="1"/>
  <c r="H67" i="1"/>
  <c r="H291" i="1"/>
  <c r="H387" i="1"/>
  <c r="P287" i="1"/>
  <c r="P463" i="1"/>
  <c r="P323" i="1"/>
  <c r="AF23" i="1"/>
  <c r="AF195" i="1"/>
  <c r="AF191" i="1"/>
  <c r="AF187" i="1"/>
  <c r="AF183" i="1"/>
  <c r="AF179" i="1"/>
  <c r="AF175" i="1"/>
  <c r="AF171" i="1"/>
  <c r="H339" i="1"/>
  <c r="H435" i="1"/>
  <c r="AF255" i="1"/>
  <c r="P31" i="1"/>
  <c r="F31" i="6" s="1"/>
  <c r="AF319" i="1"/>
  <c r="H219" i="1"/>
  <c r="AF291" i="1"/>
  <c r="P315" i="1"/>
  <c r="P343" i="1"/>
  <c r="H455" i="1"/>
  <c r="H107" i="1"/>
  <c r="AF91" i="1"/>
  <c r="AF275" i="1"/>
  <c r="AF259" i="1"/>
  <c r="H443" i="1"/>
  <c r="AJ10" i="1"/>
  <c r="G10" i="6"/>
  <c r="P231" i="1"/>
  <c r="H231" i="1"/>
  <c r="AF231" i="1"/>
  <c r="H323" i="1"/>
  <c r="AJ3" i="1"/>
  <c r="H299" i="1"/>
  <c r="H235" i="1"/>
  <c r="H395" i="1"/>
  <c r="P39" i="1"/>
  <c r="F39" i="6" s="1"/>
  <c r="H403" i="1"/>
  <c r="AF311" i="1"/>
  <c r="H359" i="1"/>
  <c r="AF467" i="1"/>
  <c r="H83" i="1"/>
  <c r="AF207" i="1"/>
  <c r="AF339" i="1"/>
  <c r="H399" i="1"/>
  <c r="AF327" i="1"/>
  <c r="AF211" i="1"/>
  <c r="H247" i="1"/>
  <c r="R12" i="1"/>
  <c r="G12" i="6"/>
  <c r="AJ8" i="1"/>
  <c r="G8" i="6"/>
  <c r="P227" i="1"/>
  <c r="H327" i="1"/>
  <c r="P255" i="1"/>
  <c r="AF223" i="1"/>
  <c r="AF303" i="1"/>
  <c r="H203" i="1"/>
  <c r="H211" i="1"/>
  <c r="H215" i="1"/>
  <c r="AF283" i="1"/>
  <c r="H307" i="1"/>
  <c r="AF335" i="1"/>
  <c r="AF347" i="1"/>
  <c r="P383" i="1"/>
  <c r="P71" i="1"/>
  <c r="H87" i="1"/>
  <c r="AF215" i="1"/>
  <c r="P243" i="1"/>
  <c r="P259" i="1"/>
  <c r="AJ399" i="1"/>
  <c r="R447" i="1"/>
  <c r="P295" i="1"/>
  <c r="R25" i="1"/>
  <c r="H363" i="1"/>
  <c r="H419" i="1"/>
  <c r="P223" i="1"/>
  <c r="H375" i="1"/>
  <c r="H427" i="1"/>
  <c r="H459" i="1"/>
  <c r="P75" i="1"/>
  <c r="H3" i="1"/>
  <c r="AF299" i="1"/>
  <c r="H239" i="1"/>
  <c r="H267" i="1"/>
  <c r="R3" i="1"/>
  <c r="H17" i="1"/>
  <c r="G17" i="6"/>
  <c r="H11" i="1"/>
  <c r="G11" i="6"/>
  <c r="H9" i="1"/>
  <c r="G9" i="6"/>
  <c r="H5" i="1"/>
  <c r="G5" i="6"/>
  <c r="H495" i="1"/>
  <c r="AJ487" i="1"/>
  <c r="H487" i="1"/>
  <c r="R443" i="1"/>
  <c r="AJ443" i="1"/>
  <c r="R423" i="1"/>
  <c r="AJ423" i="1"/>
  <c r="H411" i="1"/>
  <c r="H391" i="1"/>
  <c r="H355" i="1"/>
  <c r="H351" i="1"/>
  <c r="AF295" i="1"/>
  <c r="AF271" i="1"/>
  <c r="AF267" i="1"/>
  <c r="AF251" i="1"/>
  <c r="AF243" i="1"/>
  <c r="AF235" i="1"/>
  <c r="AF219" i="1"/>
  <c r="C4" i="4"/>
  <c r="C4" i="6"/>
  <c r="C13" i="4"/>
  <c r="C13" i="6"/>
  <c r="C17" i="4"/>
  <c r="C17" i="6"/>
  <c r="AF19" i="1"/>
  <c r="AF15" i="1"/>
  <c r="AF11" i="1"/>
  <c r="AF7" i="1"/>
  <c r="AF3" i="1"/>
  <c r="AF495" i="1"/>
  <c r="AF491" i="1"/>
  <c r="AF487" i="1"/>
  <c r="AF483" i="1"/>
  <c r="AF479" i="1"/>
  <c r="AF475" i="1"/>
  <c r="AF471" i="1"/>
  <c r="AF463" i="1"/>
  <c r="AF459" i="1"/>
  <c r="AF455" i="1"/>
  <c r="AF451" i="1"/>
  <c r="AF447" i="1"/>
  <c r="AF443" i="1"/>
  <c r="AF439" i="1"/>
  <c r="AF435" i="1"/>
  <c r="AF431" i="1"/>
  <c r="AF427" i="1"/>
  <c r="AF423" i="1"/>
  <c r="AF419" i="1"/>
  <c r="AF415" i="1"/>
  <c r="AF411" i="1"/>
  <c r="AF407" i="1"/>
  <c r="AF403" i="1"/>
  <c r="AF399" i="1"/>
  <c r="AF395" i="1"/>
  <c r="AF391" i="1"/>
  <c r="AF387" i="1"/>
  <c r="AF383" i="1"/>
  <c r="AF375" i="1"/>
  <c r="AF371" i="1"/>
  <c r="AF367" i="1"/>
  <c r="AF363" i="1"/>
  <c r="AF359" i="1"/>
  <c r="AF355" i="1"/>
  <c r="AF351" i="1"/>
  <c r="C8" i="4"/>
  <c r="C8" i="6"/>
  <c r="C16" i="4"/>
  <c r="C16" i="6"/>
  <c r="C20" i="4"/>
  <c r="C20" i="6"/>
  <c r="AF169" i="1"/>
  <c r="AF167" i="1"/>
  <c r="AF165" i="1"/>
  <c r="AF163" i="1"/>
  <c r="AF161" i="1"/>
  <c r="AF159" i="1"/>
  <c r="AF157" i="1"/>
  <c r="AF155" i="1"/>
  <c r="AF153" i="1"/>
  <c r="AF151" i="1"/>
  <c r="H151" i="1"/>
  <c r="AF149" i="1"/>
  <c r="AF147" i="1"/>
  <c r="AF145" i="1"/>
  <c r="H145" i="1"/>
  <c r="AF143" i="1"/>
  <c r="AF141" i="1"/>
  <c r="AF139" i="1"/>
  <c r="AF137" i="1"/>
  <c r="AF135" i="1"/>
  <c r="AF133" i="1"/>
  <c r="AF131" i="1"/>
  <c r="H131" i="1"/>
  <c r="AF129" i="1"/>
  <c r="AF127" i="1"/>
  <c r="H127" i="1"/>
  <c r="AF125" i="1"/>
  <c r="AF123" i="1"/>
  <c r="AF121" i="1"/>
  <c r="AF119" i="1"/>
  <c r="AF117" i="1"/>
  <c r="AF115" i="1"/>
  <c r="AF111" i="1"/>
  <c r="AF107" i="1"/>
  <c r="AF103" i="1"/>
  <c r="AF99" i="1"/>
  <c r="H99" i="1"/>
  <c r="AF95" i="1"/>
  <c r="H95" i="1"/>
  <c r="H91" i="1"/>
  <c r="AF87" i="1"/>
  <c r="AF83" i="1"/>
  <c r="AF79" i="1"/>
  <c r="AF71" i="1"/>
  <c r="AF67" i="1"/>
  <c r="AF63" i="1"/>
  <c r="AF59" i="1"/>
  <c r="AF55" i="1"/>
  <c r="H55" i="1"/>
  <c r="AF51" i="1"/>
  <c r="AF47" i="1"/>
  <c r="AF43" i="1"/>
  <c r="AF35" i="1"/>
  <c r="AF31" i="1"/>
  <c r="AF27" i="1"/>
  <c r="H335" i="1"/>
  <c r="H287" i="1"/>
  <c r="H283" i="1"/>
  <c r="H279" i="1"/>
  <c r="H271" i="1"/>
  <c r="H263" i="1"/>
  <c r="H251" i="1"/>
  <c r="C5" i="4"/>
  <c r="C5" i="6"/>
  <c r="C10" i="4"/>
  <c r="C10" i="6"/>
  <c r="C18" i="4"/>
  <c r="C18" i="6"/>
  <c r="K51" i="2"/>
  <c r="R82" i="1"/>
  <c r="R28" i="1"/>
  <c r="R26" i="1"/>
  <c r="R486" i="1"/>
  <c r="R422" i="1"/>
  <c r="R414" i="1"/>
  <c r="R434" i="1"/>
  <c r="H198" i="1"/>
  <c r="AJ134" i="1"/>
  <c r="AJ290" i="1"/>
  <c r="AJ362" i="1"/>
  <c r="AJ48" i="1"/>
  <c r="R322" i="1"/>
  <c r="AJ482" i="1"/>
  <c r="H112" i="1"/>
  <c r="R56" i="1"/>
  <c r="R24" i="1"/>
  <c r="AJ418" i="1"/>
  <c r="R230" i="1"/>
  <c r="AJ268" i="1"/>
  <c r="AJ288" i="1"/>
  <c r="R374" i="1"/>
  <c r="H228" i="1"/>
  <c r="AJ252" i="1"/>
  <c r="R266" i="1"/>
  <c r="AJ328" i="1"/>
  <c r="AJ462" i="1"/>
  <c r="H56" i="1"/>
  <c r="AJ152" i="1"/>
  <c r="AJ32" i="1"/>
  <c r="H300" i="1"/>
  <c r="AJ450" i="1"/>
  <c r="AJ170" i="1"/>
  <c r="R250" i="1"/>
  <c r="H152" i="1"/>
  <c r="R216" i="1"/>
  <c r="AJ222" i="1"/>
  <c r="AJ236" i="1"/>
  <c r="AJ242" i="1"/>
  <c r="H244" i="1"/>
  <c r="H268" i="1"/>
  <c r="AJ286" i="1"/>
  <c r="R314" i="1"/>
  <c r="AJ402" i="1"/>
  <c r="AJ46" i="1"/>
  <c r="R238" i="1"/>
  <c r="R270" i="1"/>
  <c r="H328" i="1"/>
  <c r="AJ40" i="1"/>
  <c r="R120" i="1"/>
  <c r="AJ254" i="1"/>
  <c r="AF142" i="1"/>
  <c r="AJ204" i="1"/>
  <c r="R218" i="1"/>
  <c r="H240" i="1"/>
  <c r="R244" i="1"/>
  <c r="H256" i="1"/>
  <c r="R260" i="1"/>
  <c r="H288" i="1"/>
  <c r="R302" i="1"/>
  <c r="AJ306" i="1"/>
  <c r="R316" i="1"/>
  <c r="AJ354" i="1"/>
  <c r="R294" i="1"/>
  <c r="H252" i="1"/>
  <c r="AJ178" i="1"/>
  <c r="AJ234" i="1"/>
  <c r="R300" i="1"/>
  <c r="AJ144" i="1"/>
  <c r="H180" i="1"/>
  <c r="H52" i="1"/>
  <c r="AJ186" i="1"/>
  <c r="R22" i="1"/>
  <c r="R36" i="1"/>
  <c r="AJ154" i="1"/>
  <c r="H136" i="1"/>
  <c r="AJ194" i="1"/>
  <c r="H40" i="1"/>
  <c r="R44" i="1"/>
  <c r="AF345" i="1"/>
  <c r="AF297" i="1"/>
  <c r="AF113" i="1"/>
  <c r="AF109" i="1"/>
  <c r="AF105" i="1"/>
  <c r="AF101" i="1"/>
  <c r="AF97" i="1"/>
  <c r="AF93" i="1"/>
  <c r="AF89" i="1"/>
  <c r="H89" i="1"/>
  <c r="AF85" i="1"/>
  <c r="H85" i="1"/>
  <c r="AF81" i="1"/>
  <c r="AF77" i="1"/>
  <c r="AF73" i="1"/>
  <c r="H73" i="1"/>
  <c r="AF69" i="1"/>
  <c r="AF65" i="1"/>
  <c r="H65" i="1"/>
  <c r="AF61" i="1"/>
  <c r="AF57" i="1"/>
  <c r="H57" i="1"/>
  <c r="AF53" i="1"/>
  <c r="AF49" i="1"/>
  <c r="H49" i="1"/>
  <c r="AF45" i="1"/>
  <c r="AF41" i="1"/>
  <c r="AF29" i="1"/>
  <c r="AF497" i="1"/>
  <c r="AF489" i="1"/>
  <c r="AF481" i="1"/>
  <c r="AF477" i="1"/>
  <c r="AF469" i="1"/>
  <c r="AF453" i="1"/>
  <c r="AF441" i="1"/>
  <c r="AF437" i="1"/>
  <c r="AF429" i="1"/>
  <c r="AF421" i="1"/>
  <c r="AF401" i="1"/>
  <c r="AF397" i="1"/>
  <c r="AF389" i="1"/>
  <c r="AF385" i="1"/>
  <c r="AF377" i="1"/>
  <c r="AF373" i="1"/>
  <c r="AF365" i="1"/>
  <c r="AF357" i="1"/>
  <c r="AF353" i="1"/>
  <c r="H337" i="1"/>
  <c r="H290" i="1"/>
  <c r="H242" i="1"/>
  <c r="H234" i="1"/>
  <c r="AJ393" i="1"/>
  <c r="H401" i="1"/>
  <c r="AJ357" i="1"/>
  <c r="R377" i="1"/>
  <c r="H385" i="1"/>
  <c r="R353" i="1"/>
  <c r="H365" i="1"/>
  <c r="R365" i="1"/>
  <c r="H485" i="1"/>
  <c r="H357" i="1"/>
  <c r="H369" i="1"/>
  <c r="AJ389" i="1"/>
  <c r="AJ409" i="1"/>
  <c r="AJ477" i="1"/>
  <c r="H397" i="1"/>
  <c r="AF362" i="1"/>
  <c r="AF354" i="1"/>
  <c r="AF318" i="1"/>
  <c r="AF314" i="1"/>
  <c r="AF294" i="1"/>
  <c r="AF286" i="1"/>
  <c r="AF206" i="1"/>
  <c r="AF182" i="1"/>
  <c r="H353" i="1"/>
  <c r="R393" i="1"/>
  <c r="AJ361" i="1"/>
  <c r="R385" i="1"/>
  <c r="H389" i="1"/>
  <c r="R401" i="1"/>
  <c r="AJ489" i="1"/>
  <c r="R405" i="1"/>
  <c r="R397" i="1"/>
  <c r="R437" i="1"/>
  <c r="AJ445" i="1"/>
  <c r="R361" i="1"/>
  <c r="AJ381" i="1"/>
  <c r="H405" i="1"/>
  <c r="H381" i="1"/>
  <c r="R433" i="1"/>
  <c r="H377" i="1"/>
  <c r="R373" i="1"/>
  <c r="H373" i="1"/>
  <c r="H497" i="1"/>
  <c r="H18" i="1"/>
  <c r="AF110" i="1"/>
  <c r="AF42" i="1"/>
  <c r="H184" i="1"/>
  <c r="AJ184" i="1"/>
  <c r="R184" i="1"/>
  <c r="AJ156" i="1"/>
  <c r="H156" i="1"/>
  <c r="AF130" i="1"/>
  <c r="H118" i="1"/>
  <c r="AJ62" i="1"/>
  <c r="R62" i="1"/>
  <c r="H54" i="1"/>
  <c r="R42" i="1"/>
  <c r="AJ42" i="1"/>
  <c r="R474" i="1"/>
  <c r="AJ474" i="1"/>
  <c r="AJ410" i="1"/>
  <c r="H410" i="1"/>
  <c r="R406" i="1"/>
  <c r="AJ406" i="1"/>
  <c r="R366" i="1"/>
  <c r="AJ366" i="1"/>
  <c r="AJ348" i="1"/>
  <c r="H348" i="1"/>
  <c r="H310" i="1"/>
  <c r="AJ276" i="1"/>
  <c r="H276" i="1"/>
  <c r="AJ274" i="1"/>
  <c r="R274" i="1"/>
  <c r="R264" i="1"/>
  <c r="AJ264" i="1"/>
  <c r="R248" i="1"/>
  <c r="AJ248" i="1"/>
  <c r="AJ232" i="1"/>
  <c r="R232" i="1"/>
  <c r="H232" i="1"/>
  <c r="AJ220" i="1"/>
  <c r="H220" i="1"/>
  <c r="R214" i="1"/>
  <c r="H214" i="1"/>
  <c r="AJ214" i="1"/>
  <c r="H208" i="1"/>
  <c r="AJ208" i="1"/>
  <c r="R200" i="1"/>
  <c r="AJ200" i="1"/>
  <c r="C7" i="4"/>
  <c r="C3" i="4"/>
  <c r="C14" i="4"/>
  <c r="H26" i="1"/>
  <c r="H142" i="1"/>
  <c r="R182" i="1"/>
  <c r="AJ182" i="1"/>
  <c r="H130" i="1"/>
  <c r="H122" i="1"/>
  <c r="AJ38" i="1"/>
  <c r="G38" i="6"/>
  <c r="G32" i="6"/>
  <c r="H32" i="1"/>
  <c r="G30" i="6"/>
  <c r="H30" i="1"/>
  <c r="AJ494" i="1"/>
  <c r="R494" i="1"/>
  <c r="R490" i="1"/>
  <c r="AJ490" i="1"/>
  <c r="R454" i="1"/>
  <c r="H454" i="1"/>
  <c r="AJ442" i="1"/>
  <c r="R442" i="1"/>
  <c r="AJ438" i="1"/>
  <c r="R438" i="1"/>
  <c r="H426" i="1"/>
  <c r="R272" i="1"/>
  <c r="AJ330" i="1"/>
  <c r="R49" i="1"/>
  <c r="AJ57" i="1"/>
  <c r="R112" i="1"/>
  <c r="AJ131" i="1"/>
  <c r="AJ41" i="1"/>
  <c r="R52" i="1"/>
  <c r="H132" i="1"/>
  <c r="AJ27" i="1"/>
  <c r="H24" i="1"/>
  <c r="AJ26" i="1"/>
  <c r="R122" i="1"/>
  <c r="AJ162" i="1"/>
  <c r="R30" i="1"/>
  <c r="AJ120" i="1"/>
  <c r="AJ164" i="1"/>
  <c r="H48" i="1"/>
  <c r="H28" i="1"/>
  <c r="H164" i="1"/>
  <c r="H178" i="1"/>
  <c r="H224" i="1"/>
  <c r="R240" i="1"/>
  <c r="R256" i="1"/>
  <c r="H308" i="1"/>
  <c r="R320" i="1"/>
  <c r="R394" i="1"/>
  <c r="AJ398" i="1"/>
  <c r="H344" i="1"/>
  <c r="R284" i="1"/>
  <c r="AJ426" i="1"/>
  <c r="H81" i="1"/>
  <c r="AJ31" i="1"/>
  <c r="AJ44" i="1"/>
  <c r="AJ69" i="1"/>
  <c r="AJ81" i="1"/>
  <c r="R93" i="1"/>
  <c r="H284" i="1"/>
  <c r="R142" i="1"/>
  <c r="AJ484" i="1"/>
  <c r="R190" i="1"/>
  <c r="AJ440" i="1"/>
  <c r="AJ498" i="1"/>
  <c r="R54" i="1"/>
  <c r="AJ454" i="1"/>
  <c r="R228" i="1"/>
  <c r="AJ262" i="1"/>
  <c r="R452" i="1"/>
  <c r="AJ71" i="1"/>
  <c r="H144" i="1"/>
  <c r="AJ466" i="1"/>
  <c r="AJ28" i="1"/>
  <c r="AJ180" i="1"/>
  <c r="AJ196" i="1"/>
  <c r="R132" i="1"/>
  <c r="R196" i="1"/>
  <c r="R118" i="1"/>
  <c r="AJ114" i="1"/>
  <c r="R130" i="1"/>
  <c r="R124" i="1"/>
  <c r="R188" i="1"/>
  <c r="H124" i="1"/>
  <c r="R38" i="1"/>
  <c r="AF6" i="1"/>
  <c r="H101" i="1"/>
  <c r="R101" i="1"/>
  <c r="AJ91" i="1"/>
  <c r="R91" i="1"/>
  <c r="R79" i="1"/>
  <c r="H79" i="1"/>
  <c r="AJ75" i="1"/>
  <c r="H75" i="1"/>
  <c r="R63" i="1"/>
  <c r="H63" i="1"/>
  <c r="R51" i="1"/>
  <c r="H51" i="1"/>
  <c r="R47" i="1"/>
  <c r="H47" i="1"/>
  <c r="R45" i="1"/>
  <c r="AJ45" i="1"/>
  <c r="G35" i="6"/>
  <c r="AJ35" i="1"/>
  <c r="AJ33" i="1"/>
  <c r="H33" i="1"/>
  <c r="AJ492" i="1"/>
  <c r="H492" i="1"/>
  <c r="R488" i="1"/>
  <c r="AJ488" i="1"/>
  <c r="R480" i="1"/>
  <c r="AJ480" i="1"/>
  <c r="H480" i="1"/>
  <c r="R476" i="1"/>
  <c r="H476" i="1"/>
  <c r="R472" i="1"/>
  <c r="AJ472" i="1"/>
  <c r="H472" i="1"/>
  <c r="AJ464" i="1"/>
  <c r="R464" i="1"/>
  <c r="R448" i="1"/>
  <c r="AJ448" i="1"/>
  <c r="H448" i="1"/>
  <c r="AJ444" i="1"/>
  <c r="R444" i="1"/>
  <c r="R404" i="1"/>
  <c r="H404" i="1"/>
  <c r="R396" i="1"/>
  <c r="AJ396" i="1"/>
  <c r="R392" i="1"/>
  <c r="AJ392" i="1"/>
  <c r="R388" i="1"/>
  <c r="AJ388" i="1"/>
  <c r="H388" i="1"/>
  <c r="H384" i="1"/>
  <c r="AJ384" i="1"/>
  <c r="R347" i="1"/>
  <c r="H347" i="1"/>
  <c r="AJ341" i="1"/>
  <c r="R341" i="1"/>
  <c r="R319" i="1"/>
  <c r="H319" i="1"/>
  <c r="AJ319" i="1"/>
  <c r="AJ317" i="1"/>
  <c r="H317" i="1"/>
  <c r="AJ315" i="1"/>
  <c r="R315" i="1"/>
  <c r="AJ311" i="1"/>
  <c r="H311" i="1"/>
  <c r="R309" i="1"/>
  <c r="AJ309" i="1"/>
  <c r="H303" i="1"/>
  <c r="AJ287" i="1"/>
  <c r="AJ299" i="1"/>
  <c r="R299" i="1"/>
  <c r="R293" i="1"/>
  <c r="AJ293" i="1"/>
  <c r="H293" i="1"/>
  <c r="R285" i="1"/>
  <c r="AJ285" i="1"/>
  <c r="AJ275" i="1"/>
  <c r="H275" i="1"/>
  <c r="R273" i="1"/>
  <c r="AJ273" i="1"/>
  <c r="R156" i="1"/>
  <c r="R18" i="1"/>
  <c r="R192" i="1"/>
  <c r="R128" i="1"/>
  <c r="AJ126" i="1"/>
  <c r="H116" i="1"/>
  <c r="AJ168" i="1"/>
  <c r="H176" i="1"/>
  <c r="H190" i="1"/>
  <c r="H491" i="1"/>
  <c r="C32" i="4"/>
  <c r="H483" i="1"/>
  <c r="AJ479" i="1"/>
  <c r="AF310" i="1"/>
  <c r="AF38" i="1"/>
  <c r="AJ18" i="1"/>
  <c r="R326" i="1"/>
  <c r="AJ334" i="1"/>
  <c r="AJ433" i="1"/>
  <c r="H413" i="1"/>
  <c r="H417" i="1"/>
  <c r="R425" i="1"/>
  <c r="AJ296" i="1"/>
  <c r="R304" i="1"/>
  <c r="R308" i="1"/>
  <c r="AJ316" i="1"/>
  <c r="R340" i="1"/>
  <c r="R390" i="1"/>
  <c r="AJ344" i="1"/>
  <c r="R409" i="1"/>
  <c r="H12" i="1"/>
  <c r="R481" i="1"/>
  <c r="H481" i="1"/>
  <c r="H453" i="1"/>
  <c r="AJ282" i="1"/>
  <c r="AJ342" i="1"/>
  <c r="AJ473" i="1"/>
  <c r="R489" i="1"/>
  <c r="H292" i="1"/>
  <c r="AJ298" i="1"/>
  <c r="AJ350" i="1"/>
  <c r="R378" i="1"/>
  <c r="AJ20" i="1"/>
  <c r="C28" i="6"/>
  <c r="R429" i="1"/>
  <c r="R413" i="1"/>
  <c r="R417" i="1"/>
  <c r="R20" i="1"/>
  <c r="H465" i="1"/>
  <c r="R296" i="1"/>
  <c r="R310" i="1"/>
  <c r="R318" i="1"/>
  <c r="AJ340" i="1"/>
  <c r="AJ358" i="1"/>
  <c r="AJ370" i="1"/>
  <c r="AJ386" i="1"/>
  <c r="R292" i="1"/>
  <c r="AJ312" i="1"/>
  <c r="R453" i="1"/>
  <c r="R469" i="1"/>
  <c r="H429" i="1"/>
  <c r="H469" i="1"/>
  <c r="R473" i="1"/>
  <c r="AJ437" i="1"/>
  <c r="R445" i="1"/>
  <c r="H421" i="1"/>
  <c r="R465" i="1"/>
  <c r="R497" i="1"/>
  <c r="H477" i="1"/>
  <c r="AJ485" i="1"/>
  <c r="AF246" i="1"/>
  <c r="AF222" i="1"/>
  <c r="C11" i="4"/>
  <c r="C15" i="4"/>
  <c r="AJ382" i="1"/>
  <c r="R382" i="1"/>
  <c r="AJ346" i="1"/>
  <c r="R346" i="1"/>
  <c r="R336" i="1"/>
  <c r="H336" i="1"/>
  <c r="AJ324" i="1"/>
  <c r="R324" i="1"/>
  <c r="H20" i="1"/>
  <c r="R458" i="1"/>
  <c r="AJ458" i="1"/>
  <c r="AJ175" i="1"/>
  <c r="H175" i="1"/>
  <c r="R111" i="1"/>
  <c r="AJ111" i="1"/>
  <c r="H105" i="1"/>
  <c r="R105" i="1"/>
  <c r="AF10" i="1"/>
  <c r="C39" i="6"/>
  <c r="C37" i="6"/>
  <c r="C29" i="6"/>
  <c r="H103" i="1"/>
  <c r="H19" i="1"/>
  <c r="R19" i="1"/>
  <c r="AJ19" i="1"/>
  <c r="AJ17" i="1"/>
  <c r="R11" i="1"/>
  <c r="R9" i="1"/>
  <c r="AJ9" i="1"/>
  <c r="H7" i="1"/>
  <c r="AJ7" i="1"/>
  <c r="AJ5" i="1"/>
  <c r="R5" i="1"/>
  <c r="V74" i="1"/>
  <c r="V367" i="1"/>
  <c r="AF494" i="1"/>
  <c r="P494" i="1"/>
  <c r="H494" i="1"/>
  <c r="P490" i="1"/>
  <c r="AF490" i="1"/>
  <c r="P486" i="1"/>
  <c r="AF486" i="1"/>
  <c r="H486" i="1"/>
  <c r="P482" i="1"/>
  <c r="H482" i="1"/>
  <c r="AF482" i="1"/>
  <c r="H478" i="1"/>
  <c r="P478" i="1"/>
  <c r="AF474" i="1"/>
  <c r="P474" i="1"/>
  <c r="H474" i="1"/>
  <c r="AF470" i="1"/>
  <c r="P470" i="1"/>
  <c r="P466" i="1"/>
  <c r="AF466" i="1"/>
  <c r="H466" i="1"/>
  <c r="AF462" i="1"/>
  <c r="H462" i="1"/>
  <c r="P458" i="1"/>
  <c r="AF458" i="1"/>
  <c r="H458" i="1"/>
  <c r="P454" i="1"/>
  <c r="AF454" i="1"/>
  <c r="H450" i="1"/>
  <c r="P450" i="1"/>
  <c r="AF450" i="1"/>
  <c r="H446" i="1"/>
  <c r="P446" i="1"/>
  <c r="P442" i="1"/>
  <c r="H442" i="1"/>
  <c r="AF442" i="1"/>
  <c r="H438" i="1"/>
  <c r="P438" i="1"/>
  <c r="AF438" i="1"/>
  <c r="H434" i="1"/>
  <c r="P434" i="1"/>
  <c r="H430" i="1"/>
  <c r="P430" i="1"/>
  <c r="P426" i="1"/>
  <c r="AF426" i="1"/>
  <c r="AF422" i="1"/>
  <c r="P422" i="1"/>
  <c r="H422" i="1"/>
  <c r="P418" i="1"/>
  <c r="H418" i="1"/>
  <c r="P414" i="1"/>
  <c r="H414" i="1"/>
  <c r="AF414" i="1"/>
  <c r="P410" i="1"/>
  <c r="AF410" i="1"/>
  <c r="AF406" i="1"/>
  <c r="H406" i="1"/>
  <c r="P402" i="1"/>
  <c r="H402" i="1"/>
  <c r="AF402" i="1"/>
  <c r="H398" i="1"/>
  <c r="AF398" i="1"/>
  <c r="AF394" i="1"/>
  <c r="H394" i="1"/>
  <c r="P394" i="1"/>
  <c r="H390" i="1"/>
  <c r="P390" i="1"/>
  <c r="AF390" i="1"/>
  <c r="H386" i="1"/>
  <c r="AF386" i="1"/>
  <c r="P382" i="1"/>
  <c r="AF382" i="1"/>
  <c r="H382" i="1"/>
  <c r="P378" i="1"/>
  <c r="AF378" i="1"/>
  <c r="H378" i="1"/>
  <c r="P374" i="1"/>
  <c r="H374" i="1"/>
  <c r="AF370" i="1"/>
  <c r="P370" i="1"/>
  <c r="H370" i="1"/>
  <c r="AF366" i="1"/>
  <c r="H366" i="1"/>
  <c r="H362" i="1"/>
  <c r="P362" i="1"/>
  <c r="P358" i="1"/>
  <c r="H358" i="1"/>
  <c r="AF358" i="1"/>
  <c r="H354" i="1"/>
  <c r="P354" i="1"/>
  <c r="P350" i="1"/>
  <c r="AF350" i="1"/>
  <c r="H350" i="1"/>
  <c r="H346" i="1"/>
  <c r="AF346" i="1"/>
  <c r="P346" i="1"/>
  <c r="H342" i="1"/>
  <c r="AF342" i="1"/>
  <c r="AF338" i="1"/>
  <c r="P338" i="1"/>
  <c r="H338" i="1"/>
  <c r="H334" i="1"/>
  <c r="P334" i="1"/>
  <c r="AF334" i="1"/>
  <c r="P330" i="1"/>
  <c r="H330" i="1"/>
  <c r="AF330" i="1"/>
  <c r="P326" i="1"/>
  <c r="H326" i="1"/>
  <c r="AF326" i="1"/>
  <c r="P322" i="1"/>
  <c r="AF322" i="1"/>
  <c r="H322" i="1"/>
  <c r="H318" i="1"/>
  <c r="P318" i="1"/>
  <c r="P314" i="1"/>
  <c r="H314" i="1"/>
  <c r="P306" i="1"/>
  <c r="H306" i="1"/>
  <c r="AF306" i="1"/>
  <c r="AF302" i="1"/>
  <c r="H302" i="1"/>
  <c r="H298" i="1"/>
  <c r="P298" i="1"/>
  <c r="AF298" i="1"/>
  <c r="H294" i="1"/>
  <c r="P294" i="1"/>
  <c r="AF290" i="1"/>
  <c r="P290" i="1"/>
  <c r="P286" i="1"/>
  <c r="H286" i="1"/>
  <c r="AF282" i="1"/>
  <c r="H282" i="1"/>
  <c r="P282" i="1"/>
  <c r="P278" i="1"/>
  <c r="H278" i="1"/>
  <c r="AF278" i="1"/>
  <c r="P274" i="1"/>
  <c r="H274" i="1"/>
  <c r="AF274" i="1"/>
  <c r="P270" i="1"/>
  <c r="AF270" i="1"/>
  <c r="H270" i="1"/>
  <c r="H266" i="1"/>
  <c r="AF266" i="1"/>
  <c r="P262" i="1"/>
  <c r="H262" i="1"/>
  <c r="AF262" i="1"/>
  <c r="AF258" i="1"/>
  <c r="P258" i="1"/>
  <c r="H258" i="1"/>
  <c r="P254" i="1"/>
  <c r="H254" i="1"/>
  <c r="AF254" i="1"/>
  <c r="P250" i="1"/>
  <c r="AF250" i="1"/>
  <c r="H250" i="1"/>
  <c r="P246" i="1"/>
  <c r="H246" i="1"/>
  <c r="P242" i="1"/>
  <c r="AF242" i="1"/>
  <c r="AF238" i="1"/>
  <c r="H238" i="1"/>
  <c r="P238" i="1"/>
  <c r="P234" i="1"/>
  <c r="AF234" i="1"/>
  <c r="P230" i="1"/>
  <c r="AF230" i="1"/>
  <c r="H230" i="1"/>
  <c r="P226" i="1"/>
  <c r="AF226" i="1"/>
  <c r="H226" i="1"/>
  <c r="P222" i="1"/>
  <c r="H222" i="1"/>
  <c r="H218" i="1"/>
  <c r="P218" i="1"/>
  <c r="AF218" i="1"/>
  <c r="P214" i="1"/>
  <c r="AF214" i="1"/>
  <c r="H210" i="1"/>
  <c r="AF210" i="1"/>
  <c r="P206" i="1"/>
  <c r="H206" i="1"/>
  <c r="P202" i="1"/>
  <c r="H202" i="1"/>
  <c r="AF202" i="1"/>
  <c r="P198" i="1"/>
  <c r="AF198" i="1"/>
  <c r="P194" i="1"/>
  <c r="AF194" i="1"/>
  <c r="P190" i="1"/>
  <c r="AF190" i="1"/>
  <c r="P186" i="1"/>
  <c r="H186" i="1"/>
  <c r="AF186" i="1"/>
  <c r="P182" i="1"/>
  <c r="H182" i="1"/>
  <c r="P170" i="1"/>
  <c r="H170" i="1"/>
  <c r="P166" i="1"/>
  <c r="H166" i="1"/>
  <c r="P158" i="1"/>
  <c r="AF158" i="1"/>
  <c r="H158" i="1"/>
  <c r="AF154" i="1"/>
  <c r="H154" i="1"/>
  <c r="P146" i="1"/>
  <c r="AF146" i="1"/>
  <c r="P134" i="1"/>
  <c r="H134" i="1"/>
  <c r="P126" i="1"/>
  <c r="AF126" i="1"/>
  <c r="P122" i="1"/>
  <c r="AF122" i="1"/>
  <c r="P118" i="1"/>
  <c r="AF118" i="1"/>
  <c r="P114" i="1"/>
  <c r="AF114" i="1"/>
  <c r="H114" i="1"/>
  <c r="P62" i="1"/>
  <c r="AF62" i="1"/>
  <c r="H62" i="1"/>
  <c r="H58" i="1"/>
  <c r="AF58" i="1"/>
  <c r="P54" i="1"/>
  <c r="AF54" i="1"/>
  <c r="AF418" i="1"/>
  <c r="P462" i="1"/>
  <c r="AF498" i="1"/>
  <c r="AJ15" i="1"/>
  <c r="H15" i="1"/>
  <c r="R15" i="1"/>
  <c r="H498" i="1"/>
  <c r="AF374" i="1"/>
  <c r="AF434" i="1"/>
  <c r="H470" i="1"/>
  <c r="AJ11" i="1"/>
  <c r="P302" i="1"/>
  <c r="AF446" i="1"/>
  <c r="AF478" i="1"/>
  <c r="AF430" i="1"/>
  <c r="P46" i="1"/>
  <c r="AF46" i="1"/>
  <c r="P30" i="1"/>
  <c r="AF30" i="1"/>
  <c r="P22" i="1"/>
  <c r="AF22" i="1"/>
  <c r="AF18" i="1"/>
  <c r="AF14" i="1"/>
  <c r="AJ195" i="1"/>
  <c r="H195" i="1"/>
  <c r="H139" i="1"/>
  <c r="AJ139" i="1"/>
  <c r="R67" i="1"/>
  <c r="AJ67" i="1"/>
  <c r="R61" i="1"/>
  <c r="H61" i="1"/>
  <c r="R59" i="1"/>
  <c r="AJ59" i="1"/>
  <c r="R55" i="1"/>
  <c r="AJ55" i="1"/>
  <c r="R495" i="1"/>
  <c r="AJ495" i="1"/>
  <c r="AJ471" i="1"/>
  <c r="R471" i="1"/>
  <c r="R467" i="1"/>
  <c r="H467" i="1"/>
  <c r="R459" i="1"/>
  <c r="AJ459" i="1"/>
  <c r="R455" i="1"/>
  <c r="AJ455" i="1"/>
  <c r="AJ439" i="1"/>
  <c r="H439" i="1"/>
  <c r="AF34" i="1"/>
  <c r="AF50" i="1"/>
  <c r="R95" i="1"/>
  <c r="R127" i="1"/>
  <c r="R37" i="1"/>
  <c r="R198" i="1"/>
  <c r="AJ192" i="1"/>
  <c r="H97" i="1"/>
  <c r="H27" i="1"/>
  <c r="H128" i="1"/>
  <c r="H126" i="1"/>
  <c r="AJ29" i="1"/>
  <c r="R116" i="1"/>
  <c r="R136" i="1"/>
  <c r="AJ188" i="1"/>
  <c r="H38" i="1"/>
  <c r="AJ166" i="1"/>
  <c r="H93" i="1"/>
  <c r="H35" i="1"/>
  <c r="H77" i="1"/>
  <c r="H181" i="1"/>
  <c r="H59" i="1"/>
  <c r="H111" i="1"/>
  <c r="AJ58" i="1"/>
  <c r="R103" i="1"/>
  <c r="H475" i="1"/>
  <c r="R107" i="1"/>
  <c r="R99" i="1"/>
  <c r="AJ63" i="1"/>
  <c r="H43" i="1"/>
  <c r="H159" i="1"/>
  <c r="H34" i="1"/>
  <c r="AJ54" i="1"/>
  <c r="AJ475" i="1"/>
  <c r="AJ483" i="1"/>
  <c r="R491" i="1"/>
  <c r="AJ176" i="1"/>
  <c r="H451" i="1"/>
  <c r="G40" i="6"/>
  <c r="P38" i="1"/>
  <c r="P10" i="1"/>
  <c r="F10" i="6" s="1"/>
  <c r="R139" i="1"/>
  <c r="C2" i="4"/>
  <c r="AF26" i="1"/>
  <c r="G22" i="6"/>
  <c r="H22" i="1"/>
  <c r="H194" i="1"/>
  <c r="AF178" i="1"/>
  <c r="AF174" i="1"/>
  <c r="AF170" i="1"/>
  <c r="AF166" i="1"/>
  <c r="AF162" i="1"/>
  <c r="H162" i="1"/>
  <c r="AF150" i="1"/>
  <c r="R146" i="1"/>
  <c r="H146" i="1"/>
  <c r="AF138" i="1"/>
  <c r="AF134" i="1"/>
  <c r="AF106" i="1"/>
  <c r="AF102" i="1"/>
  <c r="AF98" i="1"/>
  <c r="AF94" i="1"/>
  <c r="AF90" i="1"/>
  <c r="AF86" i="1"/>
  <c r="AF82" i="1"/>
  <c r="AF78" i="1"/>
  <c r="AF74" i="1"/>
  <c r="AF70" i="1"/>
  <c r="AF66" i="1"/>
  <c r="R60" i="1"/>
  <c r="H60" i="1"/>
  <c r="R50" i="1"/>
  <c r="H50" i="1"/>
  <c r="AJ50" i="1"/>
  <c r="H46" i="1"/>
  <c r="G42" i="6"/>
  <c r="H42" i="1"/>
  <c r="AJ36" i="1"/>
  <c r="G36" i="6"/>
  <c r="G34" i="6"/>
  <c r="AJ34" i="1"/>
  <c r="R391" i="1"/>
  <c r="C6" i="4"/>
  <c r="R493" i="1"/>
  <c r="AJ493" i="1"/>
  <c r="R461" i="1"/>
  <c r="AJ461" i="1"/>
  <c r="R457" i="1"/>
  <c r="H457" i="1"/>
  <c r="R449" i="1"/>
  <c r="H449" i="1"/>
  <c r="AJ441" i="1"/>
  <c r="H441" i="1"/>
  <c r="C22" i="6"/>
  <c r="H110" i="1"/>
  <c r="R110" i="1"/>
  <c r="H102" i="1"/>
  <c r="AJ102" i="1"/>
  <c r="R98" i="1"/>
  <c r="H98" i="1"/>
  <c r="AJ98" i="1"/>
  <c r="AJ96" i="1"/>
  <c r="R96" i="1"/>
  <c r="H94" i="1"/>
  <c r="R94" i="1"/>
  <c r="AJ92" i="1"/>
  <c r="R92" i="1"/>
  <c r="H92" i="1"/>
  <c r="AJ88" i="1"/>
  <c r="R88" i="1"/>
  <c r="H88" i="1"/>
  <c r="AJ86" i="1"/>
  <c r="R86" i="1"/>
  <c r="R84" i="1"/>
  <c r="H84" i="1"/>
  <c r="R80" i="1"/>
  <c r="AJ80" i="1"/>
  <c r="H80" i="1"/>
  <c r="R78" i="1"/>
  <c r="H78" i="1"/>
  <c r="AJ110" i="1"/>
  <c r="H86" i="1"/>
  <c r="R171" i="1"/>
  <c r="H96" i="1"/>
  <c r="H171" i="1"/>
  <c r="AJ78" i="1"/>
  <c r="R102" i="1"/>
  <c r="G23" i="6"/>
  <c r="H23" i="1"/>
  <c r="G21" i="6"/>
  <c r="H21" i="1"/>
  <c r="AJ21" i="1"/>
  <c r="R197" i="1"/>
  <c r="AJ197" i="1"/>
  <c r="H197" i="1"/>
  <c r="AJ193" i="1"/>
  <c r="H193" i="1"/>
  <c r="AJ191" i="1"/>
  <c r="R191" i="1"/>
  <c r="H191" i="1"/>
  <c r="AJ189" i="1"/>
  <c r="R189" i="1"/>
  <c r="AJ187" i="1"/>
  <c r="R187" i="1"/>
  <c r="R185" i="1"/>
  <c r="H185" i="1"/>
  <c r="H183" i="1"/>
  <c r="R183" i="1"/>
  <c r="H179" i="1"/>
  <c r="AJ179" i="1"/>
  <c r="AJ177" i="1"/>
  <c r="R177" i="1"/>
  <c r="H177" i="1"/>
  <c r="R173" i="1"/>
  <c r="AJ173" i="1"/>
  <c r="AJ169" i="1"/>
  <c r="H169" i="1"/>
  <c r="H167" i="1"/>
  <c r="R167" i="1"/>
  <c r="AJ167" i="1"/>
  <c r="R165" i="1"/>
  <c r="H165" i="1"/>
  <c r="H163" i="1"/>
  <c r="AJ163" i="1"/>
  <c r="R163" i="1"/>
  <c r="R161" i="1"/>
  <c r="H161" i="1"/>
  <c r="AJ161" i="1"/>
  <c r="H157" i="1"/>
  <c r="AJ157" i="1"/>
  <c r="H155" i="1"/>
  <c r="AJ155" i="1"/>
  <c r="R155" i="1"/>
  <c r="H153" i="1"/>
  <c r="R153" i="1"/>
  <c r="AJ149" i="1"/>
  <c r="R149" i="1"/>
  <c r="H149" i="1"/>
  <c r="AJ147" i="1"/>
  <c r="H147" i="1"/>
  <c r="R145" i="1"/>
  <c r="AJ145" i="1"/>
  <c r="R143" i="1"/>
  <c r="AJ143" i="1"/>
  <c r="H143" i="1"/>
  <c r="H141" i="1"/>
  <c r="AJ141" i="1"/>
  <c r="H137" i="1"/>
  <c r="R137" i="1"/>
  <c r="AJ137" i="1"/>
  <c r="AJ135" i="1"/>
  <c r="H135" i="1"/>
  <c r="AJ133" i="1"/>
  <c r="H133" i="1"/>
  <c r="H108" i="1"/>
  <c r="R108" i="1"/>
  <c r="H104" i="1"/>
  <c r="AJ104" i="1"/>
  <c r="R104" i="1"/>
  <c r="H100" i="1"/>
  <c r="AJ100" i="1"/>
  <c r="AJ90" i="1"/>
  <c r="H90" i="1"/>
  <c r="AJ183" i="1"/>
  <c r="R195" i="1"/>
  <c r="H82" i="1"/>
  <c r="AJ181" i="1"/>
  <c r="R100" i="1"/>
  <c r="AJ185" i="1"/>
  <c r="AJ23" i="1"/>
  <c r="R10" i="1"/>
  <c r="H10" i="1"/>
  <c r="H8" i="1"/>
  <c r="R8" i="1"/>
  <c r="H6" i="1"/>
  <c r="R6" i="1"/>
  <c r="R4" i="1"/>
  <c r="H4" i="1"/>
  <c r="AJ4" i="1"/>
  <c r="V324" i="1"/>
  <c r="C24" i="4"/>
  <c r="R76" i="1"/>
  <c r="H76" i="1"/>
  <c r="AJ76" i="1"/>
  <c r="H74" i="1"/>
  <c r="R74" i="1"/>
  <c r="AJ74" i="1"/>
  <c r="R72" i="1"/>
  <c r="H72" i="1"/>
  <c r="AJ72" i="1"/>
  <c r="H70" i="1"/>
  <c r="AJ70" i="1"/>
  <c r="R70" i="1"/>
  <c r="R68" i="1"/>
  <c r="AJ68" i="1"/>
  <c r="H68" i="1"/>
  <c r="R66" i="1"/>
  <c r="AJ66" i="1"/>
  <c r="H66" i="1"/>
  <c r="H64" i="1"/>
  <c r="R64" i="1"/>
  <c r="AJ64" i="1"/>
  <c r="F34" i="6"/>
  <c r="V224" i="1"/>
  <c r="V474" i="1"/>
  <c r="T474" i="1"/>
  <c r="V410" i="1"/>
  <c r="T410" i="1"/>
  <c r="V370" i="1"/>
  <c r="T370" i="1"/>
  <c r="V338" i="1"/>
  <c r="T338" i="1"/>
  <c r="V306" i="1"/>
  <c r="T306" i="1"/>
  <c r="V274" i="1"/>
  <c r="T274" i="1"/>
  <c r="V242" i="1"/>
  <c r="T242" i="1"/>
  <c r="V210" i="1"/>
  <c r="T210" i="1"/>
  <c r="V146" i="1"/>
  <c r="T146" i="1"/>
  <c r="T45" i="1"/>
  <c r="V45" i="1"/>
  <c r="T23" i="1"/>
  <c r="V23" i="1"/>
  <c r="T497" i="1"/>
  <c r="T489" i="1"/>
  <c r="T481" i="1"/>
  <c r="T473" i="1"/>
  <c r="T465" i="1"/>
  <c r="T457" i="1"/>
  <c r="T449" i="1"/>
  <c r="T441" i="1"/>
  <c r="T433" i="1"/>
  <c r="T425" i="1"/>
  <c r="T417" i="1"/>
  <c r="T409" i="1"/>
  <c r="T401" i="1"/>
  <c r="T393" i="1"/>
  <c r="T385" i="1"/>
  <c r="T377" i="1"/>
  <c r="T369" i="1"/>
  <c r="T361" i="1"/>
  <c r="T353" i="1"/>
  <c r="T345" i="1"/>
  <c r="T337" i="1"/>
  <c r="T329" i="1"/>
  <c r="T321" i="1"/>
  <c r="T313" i="1"/>
  <c r="T305" i="1"/>
  <c r="T297" i="1"/>
  <c r="T289" i="1"/>
  <c r="T281" i="1"/>
  <c r="T273" i="1"/>
  <c r="V255" i="1"/>
  <c r="V223" i="1"/>
  <c r="T202" i="1"/>
  <c r="V191" i="1"/>
  <c r="V178" i="1"/>
  <c r="T170" i="1"/>
  <c r="V159" i="1"/>
  <c r="T138" i="1"/>
  <c r="V122" i="1"/>
  <c r="T16" i="1"/>
  <c r="T32" i="1"/>
  <c r="T48" i="1"/>
  <c r="T64" i="1"/>
  <c r="T80" i="1"/>
  <c r="T96" i="1"/>
  <c r="T112" i="1"/>
  <c r="T136" i="1"/>
  <c r="T17" i="1"/>
  <c r="T33" i="1"/>
  <c r="T49" i="1"/>
  <c r="T65" i="1"/>
  <c r="T81" i="1"/>
  <c r="T97" i="1"/>
  <c r="T113" i="1"/>
  <c r="T129" i="1"/>
  <c r="T145" i="1"/>
  <c r="T161" i="1"/>
  <c r="T177" i="1"/>
  <c r="T193" i="1"/>
  <c r="T209" i="1"/>
  <c r="T225" i="1"/>
  <c r="T241" i="1"/>
  <c r="T257" i="1"/>
  <c r="T10" i="1"/>
  <c r="T26" i="1"/>
  <c r="T42" i="1"/>
  <c r="T58" i="1"/>
  <c r="T74" i="1"/>
  <c r="T90" i="1"/>
  <c r="T106" i="1"/>
  <c r="T122" i="1"/>
  <c r="T7" i="1"/>
  <c r="V493" i="1"/>
  <c r="V485" i="1"/>
  <c r="V477" i="1"/>
  <c r="V469" i="1"/>
  <c r="V461" i="1"/>
  <c r="V453" i="1"/>
  <c r="V445" i="1"/>
  <c r="V437" i="1"/>
  <c r="V429" i="1"/>
  <c r="V421" i="1"/>
  <c r="V413" i="1"/>
  <c r="V405" i="1"/>
  <c r="V397" i="1"/>
  <c r="V389" i="1"/>
  <c r="V381" i="1"/>
  <c r="V373" i="1"/>
  <c r="V365" i="1"/>
  <c r="V357" i="1"/>
  <c r="V349" i="1"/>
  <c r="V341" i="1"/>
  <c r="V333" i="1"/>
  <c r="V325" i="1"/>
  <c r="V317" i="1"/>
  <c r="V309" i="1"/>
  <c r="V301" i="1"/>
  <c r="V293" i="1"/>
  <c r="V285" i="1"/>
  <c r="V277" i="1"/>
  <c r="V269" i="1"/>
  <c r="V263" i="1"/>
  <c r="V250" i="1"/>
  <c r="V231" i="1"/>
  <c r="V218" i="1"/>
  <c r="V199" i="1"/>
  <c r="V186" i="1"/>
  <c r="T178" i="1"/>
  <c r="V167" i="1"/>
  <c r="V154" i="1"/>
  <c r="V135" i="1"/>
  <c r="T4" i="1"/>
  <c r="T20" i="1"/>
  <c r="T36" i="1"/>
  <c r="T52" i="1"/>
  <c r="T68" i="1"/>
  <c r="T84" i="1"/>
  <c r="T100" i="1"/>
  <c r="T116" i="1"/>
  <c r="T5" i="1"/>
  <c r="T21" i="1"/>
  <c r="T53" i="1"/>
  <c r="T69" i="1"/>
  <c r="T85" i="1"/>
  <c r="T101" i="1"/>
  <c r="T117" i="1"/>
  <c r="T133" i="1"/>
  <c r="T149" i="1"/>
  <c r="T165" i="1"/>
  <c r="T181" i="1"/>
  <c r="T197" i="1"/>
  <c r="T213" i="1"/>
  <c r="T229" i="1"/>
  <c r="T245" i="1"/>
  <c r="T261" i="1"/>
  <c r="T14" i="1"/>
  <c r="T30" i="1"/>
  <c r="T46" i="1"/>
  <c r="T62" i="1"/>
  <c r="T78" i="1"/>
  <c r="T94" i="1"/>
  <c r="T110" i="1"/>
  <c r="T126" i="1"/>
  <c r="T493" i="1"/>
  <c r="T477" i="1"/>
  <c r="T461" i="1"/>
  <c r="T445" i="1"/>
  <c r="T429" i="1"/>
  <c r="T413" i="1"/>
  <c r="T397" i="1"/>
  <c r="T381" i="1"/>
  <c r="T365" i="1"/>
  <c r="T349" i="1"/>
  <c r="T333" i="1"/>
  <c r="T317" i="1"/>
  <c r="T301" i="1"/>
  <c r="T285" i="1"/>
  <c r="T269" i="1"/>
  <c r="T250" i="1"/>
  <c r="V226" i="1"/>
  <c r="V207" i="1"/>
  <c r="T186" i="1"/>
  <c r="V162" i="1"/>
  <c r="V143" i="1"/>
  <c r="T8" i="1"/>
  <c r="T40" i="1"/>
  <c r="T72" i="1"/>
  <c r="T104" i="1"/>
  <c r="T9" i="1"/>
  <c r="T41" i="1"/>
  <c r="T73" i="1"/>
  <c r="T105" i="1"/>
  <c r="T137" i="1"/>
  <c r="T169" i="1"/>
  <c r="T201" i="1"/>
  <c r="T233" i="1"/>
  <c r="T265" i="1"/>
  <c r="T34" i="1"/>
  <c r="T66" i="1"/>
  <c r="T98" i="1"/>
  <c r="T134" i="1"/>
  <c r="T19" i="1"/>
  <c r="T35" i="1"/>
  <c r="T51" i="1"/>
  <c r="T67" i="1"/>
  <c r="T83" i="1"/>
  <c r="T99" i="1"/>
  <c r="T115" i="1"/>
  <c r="T131" i="1"/>
  <c r="T147" i="1"/>
  <c r="T163" i="1"/>
  <c r="T179" i="1"/>
  <c r="T195" i="1"/>
  <c r="T211" i="1"/>
  <c r="T227" i="1"/>
  <c r="T243" i="1"/>
  <c r="T259" i="1"/>
  <c r="T492" i="1"/>
  <c r="T484" i="1"/>
  <c r="T476" i="1"/>
  <c r="T468" i="1"/>
  <c r="T460" i="1"/>
  <c r="T452" i="1"/>
  <c r="T444" i="1"/>
  <c r="T436" i="1"/>
  <c r="T428" i="1"/>
  <c r="T420" i="1"/>
  <c r="T412" i="1"/>
  <c r="T404" i="1"/>
  <c r="T396" i="1"/>
  <c r="T388" i="1"/>
  <c r="T380" i="1"/>
  <c r="T372" i="1"/>
  <c r="T364" i="1"/>
  <c r="T356" i="1"/>
  <c r="T348" i="1"/>
  <c r="T340" i="1"/>
  <c r="T332" i="1"/>
  <c r="T324" i="1"/>
  <c r="T316" i="1"/>
  <c r="T308" i="1"/>
  <c r="T300" i="1"/>
  <c r="T292" i="1"/>
  <c r="T284" i="1"/>
  <c r="T276" i="1"/>
  <c r="T268" i="1"/>
  <c r="T252" i="1"/>
  <c r="T236" i="1"/>
  <c r="T220" i="1"/>
  <c r="T204" i="1"/>
  <c r="T188" i="1"/>
  <c r="T172" i="1"/>
  <c r="T156" i="1"/>
  <c r="T140" i="1"/>
  <c r="T495" i="1"/>
  <c r="T487" i="1"/>
  <c r="T479" i="1"/>
  <c r="T471" i="1"/>
  <c r="T463" i="1"/>
  <c r="T455" i="1"/>
  <c r="T447" i="1"/>
  <c r="T439" i="1"/>
  <c r="T431" i="1"/>
  <c r="T423" i="1"/>
  <c r="T415" i="1"/>
  <c r="T407" i="1"/>
  <c r="T399" i="1"/>
  <c r="T391" i="1"/>
  <c r="T383" i="1"/>
  <c r="T375" i="1"/>
  <c r="T367" i="1"/>
  <c r="T359" i="1"/>
  <c r="T351" i="1"/>
  <c r="T343" i="1"/>
  <c r="T335" i="1"/>
  <c r="T327" i="1"/>
  <c r="T319" i="1"/>
  <c r="T311" i="1"/>
  <c r="T303" i="1"/>
  <c r="T295" i="1"/>
  <c r="T287" i="1"/>
  <c r="T279" i="1"/>
  <c r="T271" i="1"/>
  <c r="V259" i="1"/>
  <c r="V246" i="1"/>
  <c r="T238" i="1"/>
  <c r="V227" i="1"/>
  <c r="V214" i="1"/>
  <c r="T206" i="1"/>
  <c r="V195" i="1"/>
  <c r="V182" i="1"/>
  <c r="T174" i="1"/>
  <c r="V163" i="1"/>
  <c r="V150" i="1"/>
  <c r="T142" i="1"/>
  <c r="V127" i="1"/>
  <c r="V498" i="1"/>
  <c r="V490" i="1"/>
  <c r="V482" i="1"/>
  <c r="V466" i="1"/>
  <c r="V458" i="1"/>
  <c r="V450" i="1"/>
  <c r="V442" i="1"/>
  <c r="V434" i="1"/>
  <c r="V426" i="1"/>
  <c r="V418" i="1"/>
  <c r="V402" i="1"/>
  <c r="V394" i="1"/>
  <c r="V386" i="1"/>
  <c r="V378" i="1"/>
  <c r="V362" i="1"/>
  <c r="V354" i="1"/>
  <c r="V346" i="1"/>
  <c r="V330" i="1"/>
  <c r="V322" i="1"/>
  <c r="V314" i="1"/>
  <c r="V298" i="1"/>
  <c r="V290" i="1"/>
  <c r="V282" i="1"/>
  <c r="V264" i="1"/>
  <c r="V489" i="1"/>
  <c r="V473" i="1"/>
  <c r="V457" i="1"/>
  <c r="V441" i="1"/>
  <c r="V425" i="1"/>
  <c r="V409" i="1"/>
  <c r="V393" i="1"/>
  <c r="V377" i="1"/>
  <c r="V361" i="1"/>
  <c r="V345" i="1"/>
  <c r="V329" i="1"/>
  <c r="V313" i="1"/>
  <c r="V297" i="1"/>
  <c r="V281" i="1"/>
  <c r="V266" i="1"/>
  <c r="V247" i="1"/>
  <c r="T226" i="1"/>
  <c r="V202" i="1"/>
  <c r="V183" i="1"/>
  <c r="T162" i="1"/>
  <c r="V138" i="1"/>
  <c r="T12" i="1"/>
  <c r="T44" i="1"/>
  <c r="T76" i="1"/>
  <c r="T108" i="1"/>
  <c r="T13" i="1"/>
  <c r="T77" i="1"/>
  <c r="T109" i="1"/>
  <c r="T141" i="1"/>
  <c r="T173" i="1"/>
  <c r="T205" i="1"/>
  <c r="T237" i="1"/>
  <c r="T6" i="1"/>
  <c r="T38" i="1"/>
  <c r="T70" i="1"/>
  <c r="T102" i="1"/>
  <c r="T3" i="1"/>
  <c r="T39" i="1"/>
  <c r="T55" i="1"/>
  <c r="T71" i="1"/>
  <c r="T87" i="1"/>
  <c r="T103" i="1"/>
  <c r="T119" i="1"/>
  <c r="T135" i="1"/>
  <c r="T151" i="1"/>
  <c r="T167" i="1"/>
  <c r="T183" i="1"/>
  <c r="T199" i="1"/>
  <c r="T215" i="1"/>
  <c r="T231" i="1"/>
  <c r="T247" i="1"/>
  <c r="T263" i="1"/>
  <c r="V496" i="1"/>
  <c r="V488" i="1"/>
  <c r="V480" i="1"/>
  <c r="V472" i="1"/>
  <c r="V464" i="1"/>
  <c r="V456" i="1"/>
  <c r="V448" i="1"/>
  <c r="V440" i="1"/>
  <c r="V432" i="1"/>
  <c r="V424" i="1"/>
  <c r="V416" i="1"/>
  <c r="V408" i="1"/>
  <c r="V400" i="1"/>
  <c r="V392" i="1"/>
  <c r="V384" i="1"/>
  <c r="V376" i="1"/>
  <c r="V368" i="1"/>
  <c r="V360" i="1"/>
  <c r="V352" i="1"/>
  <c r="V344" i="1"/>
  <c r="V336" i="1"/>
  <c r="V328" i="1"/>
  <c r="V320" i="1"/>
  <c r="V312" i="1"/>
  <c r="V304" i="1"/>
  <c r="V296" i="1"/>
  <c r="V288" i="1"/>
  <c r="V280" i="1"/>
  <c r="V272" i="1"/>
  <c r="V260" i="1"/>
  <c r="V244" i="1"/>
  <c r="V228" i="1"/>
  <c r="V212" i="1"/>
  <c r="V196" i="1"/>
  <c r="V180" i="1"/>
  <c r="V164" i="1"/>
  <c r="V148" i="1"/>
  <c r="V131" i="1"/>
  <c r="V491" i="1"/>
  <c r="V483" i="1"/>
  <c r="V475" i="1"/>
  <c r="V467" i="1"/>
  <c r="V459" i="1"/>
  <c r="V451" i="1"/>
  <c r="V443" i="1"/>
  <c r="V435" i="1"/>
  <c r="V427" i="1"/>
  <c r="V419" i="1"/>
  <c r="V411" i="1"/>
  <c r="V403" i="1"/>
  <c r="V395" i="1"/>
  <c r="V387" i="1"/>
  <c r="V379" i="1"/>
  <c r="V371" i="1"/>
  <c r="V363" i="1"/>
  <c r="V355" i="1"/>
  <c r="V347" i="1"/>
  <c r="V339" i="1"/>
  <c r="V331" i="1"/>
  <c r="V323" i="1"/>
  <c r="V315" i="1"/>
  <c r="V307" i="1"/>
  <c r="V299" i="1"/>
  <c r="V291" i="1"/>
  <c r="V283" i="1"/>
  <c r="V275" i="1"/>
  <c r="V267" i="1"/>
  <c r="V254" i="1"/>
  <c r="T246" i="1"/>
  <c r="V235" i="1"/>
  <c r="V222" i="1"/>
  <c r="T214" i="1"/>
  <c r="V203" i="1"/>
  <c r="V190" i="1"/>
  <c r="T182" i="1"/>
  <c r="V171" i="1"/>
  <c r="V158" i="1"/>
  <c r="T150" i="1"/>
  <c r="V139" i="1"/>
  <c r="V124" i="1"/>
  <c r="T498" i="1"/>
  <c r="T490" i="1"/>
  <c r="T482" i="1"/>
  <c r="T466" i="1"/>
  <c r="T458" i="1"/>
  <c r="T450" i="1"/>
  <c r="T442" i="1"/>
  <c r="T434" i="1"/>
  <c r="T426" i="1"/>
  <c r="T418" i="1"/>
  <c r="T402" i="1"/>
  <c r="T394" i="1"/>
  <c r="T386" i="1"/>
  <c r="T378" i="1"/>
  <c r="T362" i="1"/>
  <c r="T354" i="1"/>
  <c r="T346" i="1"/>
  <c r="T330" i="1"/>
  <c r="T322" i="1"/>
  <c r="T314" i="1"/>
  <c r="T298" i="1"/>
  <c r="T290" i="1"/>
  <c r="T282" i="1"/>
  <c r="T469" i="1"/>
  <c r="T437" i="1"/>
  <c r="T405" i="1"/>
  <c r="T373" i="1"/>
  <c r="T341" i="1"/>
  <c r="T309" i="1"/>
  <c r="T277" i="1"/>
  <c r="V239" i="1"/>
  <c r="V194" i="1"/>
  <c r="T154" i="1"/>
  <c r="T24" i="1"/>
  <c r="T88" i="1"/>
  <c r="T25" i="1"/>
  <c r="T89" i="1"/>
  <c r="T153" i="1"/>
  <c r="T217" i="1"/>
  <c r="T18" i="1"/>
  <c r="T82" i="1"/>
  <c r="T11" i="1"/>
  <c r="T43" i="1"/>
  <c r="T75" i="1"/>
  <c r="T107" i="1"/>
  <c r="T139" i="1"/>
  <c r="T171" i="1"/>
  <c r="T203" i="1"/>
  <c r="T235" i="1"/>
  <c r="T267" i="1"/>
  <c r="V492" i="1"/>
  <c r="V476" i="1"/>
  <c r="V460" i="1"/>
  <c r="V444" i="1"/>
  <c r="V428" i="1"/>
  <c r="V412" i="1"/>
  <c r="V396" i="1"/>
  <c r="V380" i="1"/>
  <c r="V364" i="1"/>
  <c r="V348" i="1"/>
  <c r="V332" i="1"/>
  <c r="V316" i="1"/>
  <c r="V300" i="1"/>
  <c r="V284" i="1"/>
  <c r="V268" i="1"/>
  <c r="V236" i="1"/>
  <c r="V204" i="1"/>
  <c r="V172" i="1"/>
  <c r="V140" i="1"/>
  <c r="V487" i="1"/>
  <c r="V471" i="1"/>
  <c r="V455" i="1"/>
  <c r="V439" i="1"/>
  <c r="V423" i="1"/>
  <c r="V407" i="1"/>
  <c r="V391" i="1"/>
  <c r="V375" i="1"/>
  <c r="V359" i="1"/>
  <c r="V343" i="1"/>
  <c r="V327" i="1"/>
  <c r="V311" i="1"/>
  <c r="V295" i="1"/>
  <c r="V279" i="1"/>
  <c r="T262" i="1"/>
  <c r="V238" i="1"/>
  <c r="V219" i="1"/>
  <c r="T198" i="1"/>
  <c r="V174" i="1"/>
  <c r="V155" i="1"/>
  <c r="T130" i="1"/>
  <c r="T494" i="1"/>
  <c r="T478" i="1"/>
  <c r="T462" i="1"/>
  <c r="T446" i="1"/>
  <c r="T430" i="1"/>
  <c r="T414" i="1"/>
  <c r="T398" i="1"/>
  <c r="T382" i="1"/>
  <c r="T366" i="1"/>
  <c r="T350" i="1"/>
  <c r="T334" i="1"/>
  <c r="T318" i="1"/>
  <c r="T302" i="1"/>
  <c r="T286" i="1"/>
  <c r="T270" i="1"/>
  <c r="V248" i="1"/>
  <c r="V232" i="1"/>
  <c r="V216" i="1"/>
  <c r="V200" i="1"/>
  <c r="V184" i="1"/>
  <c r="V168" i="1"/>
  <c r="V152" i="1"/>
  <c r="V123" i="1"/>
  <c r="V107" i="1"/>
  <c r="V91" i="1"/>
  <c r="V75" i="1"/>
  <c r="V59" i="1"/>
  <c r="V43" i="1"/>
  <c r="V27" i="1"/>
  <c r="V11" i="1"/>
  <c r="V114" i="1"/>
  <c r="V98" i="1"/>
  <c r="V82" i="1"/>
  <c r="V66" i="1"/>
  <c r="V50" i="1"/>
  <c r="V34" i="1"/>
  <c r="V18" i="1"/>
  <c r="V265" i="1"/>
  <c r="V249" i="1"/>
  <c r="V233" i="1"/>
  <c r="V217" i="1"/>
  <c r="V201" i="1"/>
  <c r="V185" i="1"/>
  <c r="V169" i="1"/>
  <c r="V153" i="1"/>
  <c r="V137" i="1"/>
  <c r="V121" i="1"/>
  <c r="V105" i="1"/>
  <c r="V89" i="1"/>
  <c r="V73" i="1"/>
  <c r="V57" i="1"/>
  <c r="V41" i="1"/>
  <c r="V25" i="1"/>
  <c r="V9" i="1"/>
  <c r="V120" i="1"/>
  <c r="V104" i="1"/>
  <c r="V88" i="1"/>
  <c r="V72" i="1"/>
  <c r="V56" i="1"/>
  <c r="V40" i="1"/>
  <c r="V24" i="1"/>
  <c r="V8" i="1"/>
  <c r="V497" i="1"/>
  <c r="V465" i="1"/>
  <c r="V433" i="1"/>
  <c r="V401" i="1"/>
  <c r="V369" i="1"/>
  <c r="V337" i="1"/>
  <c r="V305" i="1"/>
  <c r="V273" i="1"/>
  <c r="V234" i="1"/>
  <c r="T194" i="1"/>
  <c r="V151" i="1"/>
  <c r="T28" i="1"/>
  <c r="T92" i="1"/>
  <c r="T29" i="1"/>
  <c r="T93" i="1"/>
  <c r="T157" i="1"/>
  <c r="T221" i="1"/>
  <c r="T22" i="1"/>
  <c r="T86" i="1"/>
  <c r="T15" i="1"/>
  <c r="T47" i="1"/>
  <c r="T79" i="1"/>
  <c r="T111" i="1"/>
  <c r="T143" i="1"/>
  <c r="T175" i="1"/>
  <c r="T207" i="1"/>
  <c r="T239" i="1"/>
  <c r="T2" i="1"/>
  <c r="T488" i="1"/>
  <c r="T472" i="1"/>
  <c r="T456" i="1"/>
  <c r="T440" i="1"/>
  <c r="T424" i="1"/>
  <c r="T408" i="1"/>
  <c r="T392" i="1"/>
  <c r="T376" i="1"/>
  <c r="T360" i="1"/>
  <c r="T344" i="1"/>
  <c r="T328" i="1"/>
  <c r="T312" i="1"/>
  <c r="T296" i="1"/>
  <c r="T280" i="1"/>
  <c r="T260" i="1"/>
  <c r="T228" i="1"/>
  <c r="T196" i="1"/>
  <c r="T164" i="1"/>
  <c r="V2" i="1"/>
  <c r="T483" i="1"/>
  <c r="T467" i="1"/>
  <c r="T451" i="1"/>
  <c r="T435" i="1"/>
  <c r="T419" i="1"/>
  <c r="T403" i="1"/>
  <c r="T387" i="1"/>
  <c r="T371" i="1"/>
  <c r="T355" i="1"/>
  <c r="T339" i="1"/>
  <c r="T323" i="1"/>
  <c r="T307" i="1"/>
  <c r="T291" i="1"/>
  <c r="T275" i="1"/>
  <c r="T254" i="1"/>
  <c r="V230" i="1"/>
  <c r="V211" i="1"/>
  <c r="T190" i="1"/>
  <c r="V166" i="1"/>
  <c r="V147" i="1"/>
  <c r="T124" i="1"/>
  <c r="V486" i="1"/>
  <c r="V470" i="1"/>
  <c r="V454" i="1"/>
  <c r="V438" i="1"/>
  <c r="V422" i="1"/>
  <c r="V406" i="1"/>
  <c r="V390" i="1"/>
  <c r="V374" i="1"/>
  <c r="V358" i="1"/>
  <c r="V342" i="1"/>
  <c r="V326" i="1"/>
  <c r="V310" i="1"/>
  <c r="V294" i="1"/>
  <c r="V278" i="1"/>
  <c r="T264" i="1"/>
  <c r="T248" i="1"/>
  <c r="T232" i="1"/>
  <c r="T216" i="1"/>
  <c r="T200" i="1"/>
  <c r="T184" i="1"/>
  <c r="T168" i="1"/>
  <c r="T152" i="1"/>
  <c r="V119" i="1"/>
  <c r="V103" i="1"/>
  <c r="V87" i="1"/>
  <c r="V71" i="1"/>
  <c r="V55" i="1"/>
  <c r="V39" i="1"/>
  <c r="V7" i="1"/>
  <c r="V110" i="1"/>
  <c r="V94" i="1"/>
  <c r="V78" i="1"/>
  <c r="V62" i="1"/>
  <c r="V46" i="1"/>
  <c r="V30" i="1"/>
  <c r="V14" i="1"/>
  <c r="V261" i="1"/>
  <c r="V245" i="1"/>
  <c r="V229" i="1"/>
  <c r="V213" i="1"/>
  <c r="V197" i="1"/>
  <c r="V181" i="1"/>
  <c r="V165" i="1"/>
  <c r="V149" i="1"/>
  <c r="V134" i="1"/>
  <c r="V117" i="1"/>
  <c r="V101" i="1"/>
  <c r="V85" i="1"/>
  <c r="V69" i="1"/>
  <c r="V53" i="1"/>
  <c r="V37" i="1"/>
  <c r="V21" i="1"/>
  <c r="V5" i="1"/>
  <c r="V116" i="1"/>
  <c r="V100" i="1"/>
  <c r="V84" i="1"/>
  <c r="V68" i="1"/>
  <c r="V52" i="1"/>
  <c r="V36" i="1"/>
  <c r="V20" i="1"/>
  <c r="V4" i="1"/>
  <c r="V481" i="1"/>
  <c r="V417" i="1"/>
  <c r="V353" i="1"/>
  <c r="V289" i="1"/>
  <c r="V215" i="1"/>
  <c r="T132" i="1"/>
  <c r="T128" i="1"/>
  <c r="T125" i="1"/>
  <c r="T253" i="1"/>
  <c r="T118" i="1"/>
  <c r="T63" i="1"/>
  <c r="T127" i="1"/>
  <c r="T191" i="1"/>
  <c r="T255" i="1"/>
  <c r="T480" i="1"/>
  <c r="T448" i="1"/>
  <c r="T416" i="1"/>
  <c r="T384" i="1"/>
  <c r="T352" i="1"/>
  <c r="T320" i="1"/>
  <c r="T288" i="1"/>
  <c r="T244" i="1"/>
  <c r="T180" i="1"/>
  <c r="T491" i="1"/>
  <c r="T459" i="1"/>
  <c r="T427" i="1"/>
  <c r="T395" i="1"/>
  <c r="T363" i="1"/>
  <c r="T331" i="1"/>
  <c r="T299" i="1"/>
  <c r="V262" i="1"/>
  <c r="T222" i="1"/>
  <c r="V179" i="1"/>
  <c r="V130" i="1"/>
  <c r="V478" i="1"/>
  <c r="V446" i="1"/>
  <c r="V414" i="1"/>
  <c r="V382" i="1"/>
  <c r="V350" i="1"/>
  <c r="V318" i="1"/>
  <c r="V286" i="1"/>
  <c r="T256" i="1"/>
  <c r="T224" i="1"/>
  <c r="T192" i="1"/>
  <c r="T160" i="1"/>
  <c r="V111" i="1"/>
  <c r="V79" i="1"/>
  <c r="V47" i="1"/>
  <c r="V15" i="1"/>
  <c r="V102" i="1"/>
  <c r="V70" i="1"/>
  <c r="V38" i="1"/>
  <c r="V6" i="1"/>
  <c r="V237" i="1"/>
  <c r="V205" i="1"/>
  <c r="V173" i="1"/>
  <c r="V141" i="1"/>
  <c r="V109" i="1"/>
  <c r="V77" i="1"/>
  <c r="V13" i="1"/>
  <c r="V108" i="1"/>
  <c r="V76" i="1"/>
  <c r="V44" i="1"/>
  <c r="V12" i="1"/>
  <c r="T453" i="1"/>
  <c r="T389" i="1"/>
  <c r="T325" i="1"/>
  <c r="V258" i="1"/>
  <c r="V175" i="1"/>
  <c r="T56" i="1"/>
  <c r="T57" i="1"/>
  <c r="T185" i="1"/>
  <c r="T50" i="1"/>
  <c r="T27" i="1"/>
  <c r="T91" i="1"/>
  <c r="T155" i="1"/>
  <c r="T219" i="1"/>
  <c r="V468" i="1"/>
  <c r="V436" i="1"/>
  <c r="V404" i="1"/>
  <c r="V372" i="1"/>
  <c r="V340" i="1"/>
  <c r="V308" i="1"/>
  <c r="V276" i="1"/>
  <c r="V220" i="1"/>
  <c r="V156" i="1"/>
  <c r="V479" i="1"/>
  <c r="V447" i="1"/>
  <c r="V415" i="1"/>
  <c r="V383" i="1"/>
  <c r="V351" i="1"/>
  <c r="V319" i="1"/>
  <c r="V287" i="1"/>
  <c r="V251" i="1"/>
  <c r="V206" i="1"/>
  <c r="T166" i="1"/>
  <c r="T470" i="1"/>
  <c r="T438" i="1"/>
  <c r="T406" i="1"/>
  <c r="T374" i="1"/>
  <c r="T342" i="1"/>
  <c r="T310" i="1"/>
  <c r="T278" i="1"/>
  <c r="V240" i="1"/>
  <c r="V208" i="1"/>
  <c r="V176" i="1"/>
  <c r="V144" i="1"/>
  <c r="V99" i="1"/>
  <c r="V67" i="1"/>
  <c r="V35" i="1"/>
  <c r="V3" i="1"/>
  <c r="V90" i="1"/>
  <c r="V58" i="1"/>
  <c r="V26" i="1"/>
  <c r="V257" i="1"/>
  <c r="V225" i="1"/>
  <c r="V193" i="1"/>
  <c r="V161" i="1"/>
  <c r="V129" i="1"/>
  <c r="V97" i="1"/>
  <c r="V65" i="1"/>
  <c r="V33" i="1"/>
  <c r="V136" i="1"/>
  <c r="V96" i="1"/>
  <c r="V64" i="1"/>
  <c r="V32" i="1"/>
  <c r="V133" i="1"/>
  <c r="V449" i="1"/>
  <c r="V385" i="1"/>
  <c r="V321" i="1"/>
  <c r="T258" i="1"/>
  <c r="V170" i="1"/>
  <c r="T60" i="1"/>
  <c r="T61" i="1"/>
  <c r="T189" i="1"/>
  <c r="T54" i="1"/>
  <c r="T31" i="1"/>
  <c r="T95" i="1"/>
  <c r="T159" i="1"/>
  <c r="T223" i="1"/>
  <c r="T496" i="1"/>
  <c r="T464" i="1"/>
  <c r="T432" i="1"/>
  <c r="T400" i="1"/>
  <c r="T368" i="1"/>
  <c r="T336" i="1"/>
  <c r="T304" i="1"/>
  <c r="T272" i="1"/>
  <c r="T212" i="1"/>
  <c r="T148" i="1"/>
  <c r="T475" i="1"/>
  <c r="T443" i="1"/>
  <c r="T411" i="1"/>
  <c r="T379" i="1"/>
  <c r="T347" i="1"/>
  <c r="T315" i="1"/>
  <c r="T283" i="1"/>
  <c r="V243" i="1"/>
  <c r="V198" i="1"/>
  <c r="T158" i="1"/>
  <c r="V494" i="1"/>
  <c r="V462" i="1"/>
  <c r="V430" i="1"/>
  <c r="V398" i="1"/>
  <c r="V366" i="1"/>
  <c r="V334" i="1"/>
  <c r="V302" i="1"/>
  <c r="V270" i="1"/>
  <c r="T240" i="1"/>
  <c r="T208" i="1"/>
  <c r="T176" i="1"/>
  <c r="T144" i="1"/>
  <c r="V95" i="1"/>
  <c r="V63" i="1"/>
  <c r="V31" i="1"/>
  <c r="V118" i="1"/>
  <c r="V86" i="1"/>
  <c r="V54" i="1"/>
  <c r="V22" i="1"/>
  <c r="V253" i="1"/>
  <c r="V221" i="1"/>
  <c r="V189" i="1"/>
  <c r="V157" i="1"/>
  <c r="V126" i="1"/>
  <c r="V93" i="1"/>
  <c r="V61" i="1"/>
  <c r="V29" i="1"/>
  <c r="V128" i="1"/>
  <c r="V92" i="1"/>
  <c r="V60" i="1"/>
  <c r="V28" i="1"/>
  <c r="V125" i="1"/>
  <c r="T421" i="1"/>
  <c r="V132" i="1"/>
  <c r="T114" i="1"/>
  <c r="T251" i="1"/>
  <c r="V420" i="1"/>
  <c r="V292" i="1"/>
  <c r="V463" i="1"/>
  <c r="V335" i="1"/>
  <c r="V187" i="1"/>
  <c r="T454" i="1"/>
  <c r="T326" i="1"/>
  <c r="V192" i="1"/>
  <c r="V51" i="1"/>
  <c r="V42" i="1"/>
  <c r="V177" i="1"/>
  <c r="V49" i="1"/>
  <c r="V48" i="1"/>
  <c r="T357" i="1"/>
  <c r="T120" i="1"/>
  <c r="T59" i="1"/>
  <c r="V388" i="1"/>
  <c r="V252" i="1"/>
  <c r="V431" i="1"/>
  <c r="V303" i="1"/>
  <c r="V142" i="1"/>
  <c r="T422" i="1"/>
  <c r="T294" i="1"/>
  <c r="V160" i="1"/>
  <c r="V19" i="1"/>
  <c r="V10" i="1"/>
  <c r="V145" i="1"/>
  <c r="V17" i="1"/>
  <c r="V16" i="1"/>
  <c r="T485" i="1"/>
  <c r="T249" i="1"/>
  <c r="V484" i="1"/>
  <c r="V188" i="1"/>
  <c r="V271" i="1"/>
  <c r="T390" i="1"/>
  <c r="V115" i="1"/>
  <c r="V241" i="1"/>
  <c r="V112" i="1"/>
  <c r="T293" i="1"/>
  <c r="T123" i="1"/>
  <c r="V452" i="1"/>
  <c r="V495" i="1"/>
  <c r="T230" i="1"/>
  <c r="T358" i="1"/>
  <c r="V83" i="1"/>
  <c r="V209" i="1"/>
  <c r="V80" i="1"/>
  <c r="T218" i="1"/>
  <c r="T187" i="1"/>
  <c r="V356" i="1"/>
  <c r="V399" i="1"/>
  <c r="V256" i="1"/>
  <c r="V106" i="1"/>
  <c r="V113" i="1"/>
  <c r="T486" i="1"/>
  <c r="V81" i="1"/>
  <c r="T121" i="1"/>
  <c r="H125" i="1"/>
  <c r="R125" i="1"/>
  <c r="AJ125" i="1"/>
  <c r="H123" i="1"/>
  <c r="AJ123" i="1"/>
  <c r="R123" i="1"/>
  <c r="AJ121" i="1"/>
  <c r="H121" i="1"/>
  <c r="R121" i="1"/>
  <c r="R119" i="1"/>
  <c r="H119" i="1"/>
  <c r="H117" i="1"/>
  <c r="R117" i="1"/>
  <c r="AJ117" i="1"/>
  <c r="AJ115" i="1"/>
  <c r="R115" i="1"/>
  <c r="H115" i="1"/>
  <c r="H113" i="1"/>
  <c r="R113" i="1"/>
  <c r="AJ113" i="1"/>
  <c r="T266" i="1"/>
  <c r="T234" i="1"/>
  <c r="T37" i="1"/>
  <c r="R172" i="1"/>
  <c r="AJ172" i="1"/>
  <c r="AJ160" i="1"/>
  <c r="H160" i="1"/>
  <c r="AJ158" i="1"/>
  <c r="R158" i="1"/>
  <c r="AJ150" i="1"/>
  <c r="R150" i="1"/>
  <c r="H150" i="1"/>
  <c r="AJ148" i="1"/>
  <c r="H148" i="1"/>
  <c r="AJ140" i="1"/>
  <c r="H140" i="1"/>
  <c r="AJ138" i="1"/>
  <c r="H138" i="1"/>
  <c r="R138" i="1"/>
  <c r="AJ12" i="1"/>
  <c r="H10" i="2"/>
  <c r="C12" i="4"/>
  <c r="C38" i="6"/>
  <c r="C42" i="4"/>
  <c r="C35" i="6"/>
  <c r="C41" i="4"/>
  <c r="F36" i="6"/>
  <c r="G25" i="6"/>
  <c r="AJ25" i="1"/>
  <c r="H168" i="1"/>
  <c r="H174" i="1"/>
  <c r="AJ174" i="1"/>
  <c r="R151" i="1"/>
  <c r="AJ151" i="1"/>
  <c r="R106" i="1"/>
  <c r="H106" i="1"/>
  <c r="AJ84" i="1"/>
  <c r="AJ6" i="1"/>
  <c r="R17" i="1"/>
  <c r="C27" i="6"/>
  <c r="C40" i="6"/>
  <c r="C33" i="6"/>
  <c r="C25" i="6"/>
  <c r="C36" i="6"/>
  <c r="F28" i="6"/>
  <c r="F35" i="6"/>
  <c r="H187" i="1"/>
  <c r="AJ24" i="1"/>
  <c r="R7" i="1"/>
  <c r="C30" i="4"/>
  <c r="C30" i="6"/>
  <c r="C9" i="4"/>
  <c r="C19" i="4"/>
  <c r="C26" i="6"/>
  <c r="C26" i="4"/>
  <c r="C34" i="4"/>
  <c r="C34" i="6"/>
  <c r="C21" i="6"/>
  <c r="C23" i="4"/>
  <c r="C31" i="4"/>
  <c r="K27" i="2"/>
  <c r="K30" i="2" s="1"/>
  <c r="H5" i="4"/>
  <c r="K77" i="2"/>
  <c r="Y460" i="1" l="1"/>
  <c r="R14" i="1"/>
  <c r="H14" i="1"/>
  <c r="AJ14" i="1"/>
  <c r="Y367" i="1"/>
  <c r="Y46" i="1"/>
  <c r="Y381" i="1"/>
  <c r="Y362" i="1"/>
  <c r="Y280" i="1"/>
  <c r="Y316" i="1"/>
  <c r="Y252" i="1"/>
  <c r="Z317" i="1"/>
  <c r="Y210" i="1"/>
  <c r="Y170" i="1"/>
  <c r="Y494" i="1"/>
  <c r="Y165" i="1"/>
  <c r="Y404" i="1"/>
  <c r="Y462" i="1"/>
  <c r="Y444" i="1"/>
  <c r="Y273" i="1"/>
  <c r="Y496" i="1"/>
  <c r="Y70" i="1"/>
  <c r="Y341" i="1"/>
  <c r="Y265" i="1"/>
  <c r="Z251" i="1"/>
  <c r="X143" i="1"/>
  <c r="AJ13" i="1"/>
  <c r="H13" i="1"/>
  <c r="Y45" i="1"/>
  <c r="Y411" i="1"/>
  <c r="Y117" i="1"/>
  <c r="Y146" i="1"/>
  <c r="Y119" i="1"/>
  <c r="Y293" i="1"/>
  <c r="Y145" i="1"/>
  <c r="Y63" i="1"/>
  <c r="Z355" i="1"/>
  <c r="Y321" i="1"/>
  <c r="Y173" i="1"/>
  <c r="Y207" i="1"/>
  <c r="Y100" i="1"/>
  <c r="Y416" i="1"/>
  <c r="Y105" i="1"/>
  <c r="Y244" i="1"/>
  <c r="S18" i="1"/>
  <c r="Z289" i="1"/>
  <c r="R13" i="1"/>
  <c r="R16" i="1"/>
  <c r="H16" i="1"/>
  <c r="AJ16" i="1"/>
  <c r="Z185" i="1"/>
  <c r="Y482" i="1"/>
  <c r="Y323" i="1"/>
  <c r="Y271" i="1"/>
  <c r="Y470" i="1"/>
  <c r="Y410" i="1"/>
  <c r="Y476" i="1"/>
  <c r="Y422" i="1"/>
  <c r="Y217" i="1"/>
  <c r="Y445" i="1"/>
  <c r="Y187" i="1"/>
  <c r="Y29" i="1"/>
  <c r="U384" i="1"/>
  <c r="Z176" i="1"/>
  <c r="Y374" i="1"/>
  <c r="X327" i="1"/>
  <c r="Y122" i="1"/>
  <c r="Y186" i="1"/>
  <c r="U234" i="1"/>
  <c r="S234" i="1"/>
  <c r="W234" i="1" s="1"/>
  <c r="Y234" i="1"/>
  <c r="Z290" i="1"/>
  <c r="Z362" i="1"/>
  <c r="X362" i="1"/>
  <c r="Y446" i="1"/>
  <c r="Y478" i="1"/>
  <c r="Y390" i="1"/>
  <c r="Y333" i="1"/>
  <c r="Y197" i="1"/>
  <c r="Y419" i="1"/>
  <c r="Y99" i="1"/>
  <c r="Y142" i="1"/>
  <c r="Y440" i="1"/>
  <c r="Y41" i="1"/>
  <c r="Y477" i="1"/>
  <c r="Y205" i="1"/>
  <c r="Y138" i="1"/>
  <c r="Y485" i="1"/>
  <c r="Y338" i="1"/>
  <c r="Y125" i="1"/>
  <c r="Y429" i="1"/>
  <c r="Y215" i="1"/>
  <c r="Y379" i="1"/>
  <c r="Y488" i="1"/>
  <c r="Y31" i="1"/>
  <c r="Y124" i="1"/>
  <c r="Y68" i="1"/>
  <c r="Y82" i="1"/>
  <c r="Y437" i="1"/>
  <c r="Y305" i="1"/>
  <c r="Y127" i="1"/>
  <c r="Y161" i="1"/>
  <c r="Y227" i="1"/>
  <c r="Y391" i="1"/>
  <c r="Y465" i="1"/>
  <c r="Y57" i="1"/>
  <c r="Y286" i="1"/>
  <c r="Y116" i="1"/>
  <c r="Y88" i="1"/>
  <c r="Y22" i="1"/>
  <c r="Y489" i="1"/>
  <c r="Y153" i="1"/>
  <c r="Y113" i="1"/>
  <c r="Y492" i="1"/>
  <c r="Y195" i="1"/>
  <c r="Y395" i="1"/>
  <c r="Y304" i="1"/>
  <c r="Y329" i="1"/>
  <c r="Y408" i="1"/>
  <c r="AA408" i="1" s="1"/>
  <c r="Y248" i="1"/>
  <c r="Y42" i="1"/>
  <c r="U289" i="1"/>
  <c r="U122" i="1"/>
  <c r="U7" i="1"/>
  <c r="Z242" i="1"/>
  <c r="X463" i="1"/>
  <c r="X156" i="1"/>
  <c r="U448" i="1"/>
  <c r="W448" i="1" s="1"/>
  <c r="X471" i="1"/>
  <c r="F30" i="6"/>
  <c r="AI34" i="1"/>
  <c r="U494" i="1"/>
  <c r="AI259" i="1"/>
  <c r="Z487" i="1"/>
  <c r="X246" i="1"/>
  <c r="X40" i="1"/>
  <c r="Z24" i="1"/>
  <c r="Z98" i="1"/>
  <c r="X278" i="1"/>
  <c r="AA278" i="1" s="1"/>
  <c r="X231" i="1"/>
  <c r="X233" i="1"/>
  <c r="X31" i="1"/>
  <c r="X297" i="1"/>
  <c r="X406" i="1"/>
  <c r="Z347" i="1"/>
  <c r="X78" i="1"/>
  <c r="X44" i="1"/>
  <c r="Z156" i="1"/>
  <c r="Z131" i="1"/>
  <c r="Z237" i="1"/>
  <c r="X359" i="1"/>
  <c r="X33" i="1"/>
  <c r="Z445" i="1"/>
  <c r="Z345" i="1"/>
  <c r="Z59" i="1"/>
  <c r="Z235" i="1"/>
  <c r="AA235" i="1" s="1"/>
  <c r="Z72" i="1"/>
  <c r="X210" i="1"/>
  <c r="X355" i="1"/>
  <c r="Z200" i="1"/>
  <c r="Z438" i="1"/>
  <c r="Z260" i="1"/>
  <c r="X160" i="1"/>
  <c r="X32" i="1"/>
  <c r="X34" i="1"/>
  <c r="AA34" i="1" s="1"/>
  <c r="X268" i="1"/>
  <c r="X104" i="1"/>
  <c r="AA104" i="1" s="1"/>
  <c r="Z76" i="1"/>
  <c r="Z106" i="1"/>
  <c r="Z276" i="1"/>
  <c r="Z126" i="1"/>
  <c r="X238" i="1"/>
  <c r="Z408" i="1"/>
  <c r="X29" i="1"/>
  <c r="Z373" i="1"/>
  <c r="X319" i="1"/>
  <c r="Z135" i="1"/>
  <c r="Z391" i="1"/>
  <c r="Z93" i="1"/>
  <c r="X435" i="1"/>
  <c r="AA435" i="1" s="1"/>
  <c r="U25" i="1"/>
  <c r="X363" i="1"/>
  <c r="Z278" i="1"/>
  <c r="AI179" i="1"/>
  <c r="AI360" i="1"/>
  <c r="Z283" i="1"/>
  <c r="X182" i="1"/>
  <c r="X2" i="1"/>
  <c r="X38" i="1"/>
  <c r="X110" i="1"/>
  <c r="Z296" i="1"/>
  <c r="X309" i="1"/>
  <c r="X361" i="1"/>
  <c r="X447" i="1"/>
  <c r="Z489" i="1"/>
  <c r="X153" i="1"/>
  <c r="X372" i="1"/>
  <c r="X299" i="1"/>
  <c r="X86" i="1"/>
  <c r="Z12" i="1"/>
  <c r="X116" i="1"/>
  <c r="Z152" i="1"/>
  <c r="Z372" i="1"/>
  <c r="X37" i="1"/>
  <c r="X353" i="1"/>
  <c r="X425" i="1"/>
  <c r="Z327" i="1"/>
  <c r="X422" i="1"/>
  <c r="X397" i="1"/>
  <c r="X189" i="1"/>
  <c r="Z91" i="1"/>
  <c r="Z258" i="1"/>
  <c r="Z399" i="1"/>
  <c r="X216" i="1"/>
  <c r="X22" i="1"/>
  <c r="X24" i="1"/>
  <c r="AA24" i="1" s="1"/>
  <c r="Z316" i="1"/>
  <c r="X409" i="1"/>
  <c r="X276" i="1"/>
  <c r="Z44" i="1"/>
  <c r="Z34" i="1"/>
  <c r="X166" i="1"/>
  <c r="Z300" i="1"/>
  <c r="X251" i="1"/>
  <c r="Z188" i="1"/>
  <c r="Z308" i="1"/>
  <c r="Z360" i="1"/>
  <c r="AA360" i="1" s="1"/>
  <c r="X261" i="1"/>
  <c r="X175" i="1"/>
  <c r="Z49" i="1"/>
  <c r="Z321" i="1"/>
  <c r="X323" i="1"/>
  <c r="Z431" i="1"/>
  <c r="X321" i="1"/>
  <c r="Z177" i="1"/>
  <c r="X49" i="1"/>
  <c r="X404" i="1"/>
  <c r="AA404" i="1" s="1"/>
  <c r="Z328" i="1"/>
  <c r="Z210" i="1"/>
  <c r="Z371" i="1"/>
  <c r="X249" i="1"/>
  <c r="Z163" i="1"/>
  <c r="X89" i="1"/>
  <c r="U61" i="1"/>
  <c r="X468" i="1"/>
  <c r="Z484" i="1"/>
  <c r="S126" i="1"/>
  <c r="Z437" i="1"/>
  <c r="U11" i="1"/>
  <c r="W11" i="1" s="1"/>
  <c r="S74" i="1"/>
  <c r="Z411" i="1"/>
  <c r="S214" i="1"/>
  <c r="S142" i="1"/>
  <c r="U457" i="1"/>
  <c r="U461" i="1"/>
  <c r="U223" i="1"/>
  <c r="U207" i="1"/>
  <c r="U412" i="1"/>
  <c r="U407" i="1"/>
  <c r="U333" i="1"/>
  <c r="X459" i="1"/>
  <c r="AA459" i="1" s="1"/>
  <c r="S103" i="1"/>
  <c r="Y6" i="1"/>
  <c r="Y74" i="1"/>
  <c r="Y160" i="1"/>
  <c r="U439" i="1"/>
  <c r="U71" i="1"/>
  <c r="X439" i="1"/>
  <c r="Z80" i="1"/>
  <c r="Z428" i="1"/>
  <c r="Z85" i="1"/>
  <c r="X43" i="1"/>
  <c r="X157" i="1"/>
  <c r="X82" i="1"/>
  <c r="Z288" i="1"/>
  <c r="X65" i="1"/>
  <c r="Z483" i="1"/>
  <c r="Z342" i="1"/>
  <c r="Z410" i="1"/>
  <c r="Z311" i="1"/>
  <c r="X386" i="1"/>
  <c r="Z17" i="1"/>
  <c r="X94" i="1"/>
  <c r="Z422" i="1"/>
  <c r="Z294" i="1"/>
  <c r="Z96" i="1"/>
  <c r="Z121" i="1"/>
  <c r="Z287" i="1"/>
  <c r="X377" i="1"/>
  <c r="Z109" i="1"/>
  <c r="X465" i="1"/>
  <c r="X273" i="1"/>
  <c r="X57" i="1"/>
  <c r="X370" i="1"/>
  <c r="Z226" i="1"/>
  <c r="Z403" i="1"/>
  <c r="Z227" i="1"/>
  <c r="Z113" i="1"/>
  <c r="U90" i="1"/>
  <c r="Z430" i="1"/>
  <c r="Z498" i="1"/>
  <c r="U437" i="1"/>
  <c r="U78" i="1"/>
  <c r="U465" i="1"/>
  <c r="S370" i="1"/>
  <c r="S450" i="1"/>
  <c r="S30" i="1"/>
  <c r="S326" i="1"/>
  <c r="U169" i="1"/>
  <c r="X336" i="1"/>
  <c r="X206" i="1"/>
  <c r="Y120" i="1"/>
  <c r="Y26" i="1"/>
  <c r="Y324" i="1"/>
  <c r="Y242" i="1"/>
  <c r="Y28" i="1"/>
  <c r="Y344" i="1"/>
  <c r="Y384" i="1"/>
  <c r="Y38" i="1"/>
  <c r="Y216" i="1"/>
  <c r="Y72" i="1"/>
  <c r="Y62" i="1"/>
  <c r="Y224" i="1"/>
  <c r="Y240" i="1"/>
  <c r="Y282" i="1"/>
  <c r="Y278" i="1"/>
  <c r="Y65" i="1"/>
  <c r="Y299" i="1"/>
  <c r="Y396" i="1"/>
  <c r="Y415" i="1"/>
  <c r="Y393" i="1"/>
  <c r="Y353" i="1"/>
  <c r="Y276" i="1"/>
  <c r="AA276" i="1" s="1"/>
  <c r="Y84" i="1"/>
  <c r="Y64" i="1"/>
  <c r="Y254" i="1"/>
  <c r="Y204" i="1"/>
  <c r="Y15" i="1"/>
  <c r="Y19" i="1"/>
  <c r="Y436" i="1"/>
  <c r="Y405" i="1"/>
  <c r="Y363" i="1"/>
  <c r="S278" i="1"/>
  <c r="U231" i="1"/>
  <c r="AI61" i="1"/>
  <c r="X314" i="1"/>
  <c r="Z47" i="1"/>
  <c r="Z380" i="1"/>
  <c r="Z333" i="1"/>
  <c r="Z168" i="1"/>
  <c r="Z444" i="1"/>
  <c r="X241" i="1"/>
  <c r="X137" i="1"/>
  <c r="X350" i="1"/>
  <c r="Z459" i="1"/>
  <c r="Z184" i="1"/>
  <c r="X142" i="1"/>
  <c r="X18" i="1"/>
  <c r="AA18" i="1" s="1"/>
  <c r="Z32" i="1"/>
  <c r="X244" i="1"/>
  <c r="Z455" i="1"/>
  <c r="Z199" i="1"/>
  <c r="X395" i="1"/>
  <c r="Z161" i="1"/>
  <c r="X420" i="1"/>
  <c r="Z218" i="1"/>
  <c r="Z301" i="1"/>
  <c r="X121" i="1"/>
  <c r="X477" i="1"/>
  <c r="Z457" i="1"/>
  <c r="U31" i="1"/>
  <c r="X458" i="1"/>
  <c r="X486" i="1"/>
  <c r="S246" i="1"/>
  <c r="U237" i="1"/>
  <c r="S454" i="1"/>
  <c r="U89" i="1"/>
  <c r="U215" i="1"/>
  <c r="Z443" i="1"/>
  <c r="Z225" i="1"/>
  <c r="Y10" i="1"/>
  <c r="Y92" i="1"/>
  <c r="Y309" i="1"/>
  <c r="Y130" i="1"/>
  <c r="Y308" i="1"/>
  <c r="Y386" i="1"/>
  <c r="Y44" i="1"/>
  <c r="Y12" i="1"/>
  <c r="Y34" i="1"/>
  <c r="Y232" i="1"/>
  <c r="Y292" i="1"/>
  <c r="Y314" i="1"/>
  <c r="Y366" i="1"/>
  <c r="Y417" i="1"/>
  <c r="Y428" i="1"/>
  <c r="Y467" i="1"/>
  <c r="Y377" i="1"/>
  <c r="Y239" i="1"/>
  <c r="Y112" i="1"/>
  <c r="Y267" i="1"/>
  <c r="Y190" i="1"/>
  <c r="Y307" i="1"/>
  <c r="Y39" i="1"/>
  <c r="Y491" i="1"/>
  <c r="Y383" i="1"/>
  <c r="Y331" i="1"/>
  <c r="Y211" i="1"/>
  <c r="Y179" i="1"/>
  <c r="Y413" i="1"/>
  <c r="Y457" i="1"/>
  <c r="Y129" i="1"/>
  <c r="Y97" i="1"/>
  <c r="Y334" i="1"/>
  <c r="Y137" i="1"/>
  <c r="Y453" i="1"/>
  <c r="Y486" i="1"/>
  <c r="Y358" i="1"/>
  <c r="Y8" i="1"/>
  <c r="AA8" i="1" s="1"/>
  <c r="Y33" i="1"/>
  <c r="Y346" i="1"/>
  <c r="Y220" i="1"/>
  <c r="Y318" i="1"/>
  <c r="Y59" i="1"/>
  <c r="Y249" i="1"/>
  <c r="Y388" i="1"/>
  <c r="Y456" i="1"/>
  <c r="Y443" i="1"/>
  <c r="Y371" i="1"/>
  <c r="Y327" i="1"/>
  <c r="Y209" i="1"/>
  <c r="Y177" i="1"/>
  <c r="AA177" i="1" s="1"/>
  <c r="Y481" i="1"/>
  <c r="Y311" i="1"/>
  <c r="Y111" i="1"/>
  <c r="Y79" i="1"/>
  <c r="Y261" i="1"/>
  <c r="Y135" i="1"/>
  <c r="Y493" i="1"/>
  <c r="Y427" i="1"/>
  <c r="Y188" i="1"/>
  <c r="Y360" i="1"/>
  <c r="Y230" i="1"/>
  <c r="Y126" i="1"/>
  <c r="Y315" i="1"/>
  <c r="Y326" i="1"/>
  <c r="Y291" i="1"/>
  <c r="Y412" i="1"/>
  <c r="Y423" i="1"/>
  <c r="Y399" i="1"/>
  <c r="Y357" i="1"/>
  <c r="Y233" i="1"/>
  <c r="Y199" i="1"/>
  <c r="Y167" i="1"/>
  <c r="Y448" i="1"/>
  <c r="Y243" i="1"/>
  <c r="AA243" i="1" s="1"/>
  <c r="Y109" i="1"/>
  <c r="Y77" i="1"/>
  <c r="Y313" i="1"/>
  <c r="Y433" i="1"/>
  <c r="Y102" i="1"/>
  <c r="Y172" i="1"/>
  <c r="Y431" i="1"/>
  <c r="Y407" i="1"/>
  <c r="Y441" i="1"/>
  <c r="Y155" i="1"/>
  <c r="Y30" i="1"/>
  <c r="Y298" i="1"/>
  <c r="AA298" i="1" s="1"/>
  <c r="Y480" i="1"/>
  <c r="Y189" i="1"/>
  <c r="Y454" i="1"/>
  <c r="Y52" i="1"/>
  <c r="Y269" i="1"/>
  <c r="Y181" i="1"/>
  <c r="Y147" i="1"/>
  <c r="Y438" i="1"/>
  <c r="Y387" i="1"/>
  <c r="Y13" i="1"/>
  <c r="Y131" i="1"/>
  <c r="Y21" i="1"/>
  <c r="Y123" i="1"/>
  <c r="Y260" i="1"/>
  <c r="Y91" i="1"/>
  <c r="Y157" i="1"/>
  <c r="AI211" i="1"/>
  <c r="AI57" i="1"/>
  <c r="Z51" i="1"/>
  <c r="X286" i="1"/>
  <c r="Z357" i="1"/>
  <c r="Z435" i="1"/>
  <c r="Z164" i="1"/>
  <c r="Z324" i="1"/>
  <c r="Z133" i="1"/>
  <c r="X400" i="1"/>
  <c r="Z63" i="1"/>
  <c r="Z479" i="1"/>
  <c r="Z79" i="1"/>
  <c r="Z182" i="1"/>
  <c r="Z50" i="1"/>
  <c r="X328" i="1"/>
  <c r="X301" i="1"/>
  <c r="Z87" i="1"/>
  <c r="X334" i="1"/>
  <c r="X379" i="1"/>
  <c r="AA379" i="1" s="1"/>
  <c r="Z65" i="1"/>
  <c r="Z493" i="1"/>
  <c r="Z269" i="1"/>
  <c r="X105" i="1"/>
  <c r="U8" i="1"/>
  <c r="Z468" i="1"/>
  <c r="S254" i="1"/>
  <c r="S282" i="1"/>
  <c r="U166" i="1"/>
  <c r="U109" i="1"/>
  <c r="U102" i="1"/>
  <c r="U40" i="1"/>
  <c r="U312" i="1"/>
  <c r="S155" i="1"/>
  <c r="X479" i="1"/>
  <c r="Y66" i="1"/>
  <c r="Y110" i="1"/>
  <c r="Y108" i="1"/>
  <c r="Y140" i="1"/>
  <c r="Y176" i="1"/>
  <c r="Y250" i="1"/>
  <c r="Y320" i="1"/>
  <c r="Y4" i="1"/>
  <c r="Y164" i="1"/>
  <c r="Y378" i="1"/>
  <c r="Y266" i="1"/>
  <c r="Y228" i="1"/>
  <c r="Y342" i="1"/>
  <c r="Y283" i="1"/>
  <c r="Y380" i="1"/>
  <c r="Y451" i="1"/>
  <c r="Y361" i="1"/>
  <c r="Y58" i="1"/>
  <c r="Y202" i="1"/>
  <c r="Y158" i="1"/>
  <c r="Y226" i="1"/>
  <c r="Y166" i="1"/>
  <c r="Y255" i="1"/>
  <c r="Y3" i="1"/>
  <c r="Y471" i="1"/>
  <c r="Y373" i="1"/>
  <c r="Y237" i="1"/>
  <c r="Y203" i="1"/>
  <c r="Y171" i="1"/>
  <c r="Y449" i="1"/>
  <c r="Y435" i="1"/>
  <c r="Y121" i="1"/>
  <c r="Y89" i="1"/>
  <c r="Y297" i="1"/>
  <c r="AA297" i="1" s="1"/>
  <c r="Y241" i="1"/>
  <c r="Y442" i="1"/>
  <c r="Y430" i="1"/>
  <c r="Y128" i="1"/>
  <c r="Y94" i="1"/>
  <c r="Y50" i="1"/>
  <c r="Y258" i="1"/>
  <c r="Y37" i="1"/>
  <c r="Y174" i="1"/>
  <c r="Y51" i="1"/>
  <c r="Y247" i="1"/>
  <c r="Y35" i="1"/>
  <c r="Y348" i="1"/>
  <c r="Y432" i="1"/>
  <c r="Y403" i="1"/>
  <c r="Y359" i="1"/>
  <c r="Y235" i="1"/>
  <c r="Y201" i="1"/>
  <c r="Y169" i="1"/>
  <c r="Y484" i="1"/>
  <c r="Y287" i="1"/>
  <c r="Y103" i="1"/>
  <c r="Y71" i="1"/>
  <c r="Y245" i="1"/>
  <c r="Y303" i="1"/>
  <c r="Y469" i="1"/>
  <c r="Y90" i="1"/>
  <c r="Y264" i="1"/>
  <c r="Y24" i="1"/>
  <c r="Y144" i="1"/>
  <c r="Y354" i="1"/>
  <c r="Y23" i="1"/>
  <c r="AA23" i="1" s="1"/>
  <c r="Y310" i="1"/>
  <c r="Y27" i="1"/>
  <c r="Y479" i="1"/>
  <c r="Y389" i="1"/>
  <c r="Y347" i="1"/>
  <c r="Y225" i="1"/>
  <c r="Y191" i="1"/>
  <c r="Y159" i="1"/>
  <c r="Y319" i="1"/>
  <c r="Y133" i="1"/>
  <c r="Y101" i="1"/>
  <c r="Y67" i="1"/>
  <c r="Y281" i="1"/>
  <c r="Y450" i="1"/>
  <c r="Y136" i="1"/>
  <c r="Y317" i="1"/>
  <c r="Y365" i="1"/>
  <c r="Y115" i="1"/>
  <c r="Y69" i="1"/>
  <c r="Y196" i="1"/>
  <c r="Y426" i="1"/>
  <c r="Y455" i="1"/>
  <c r="Y107" i="1"/>
  <c r="Y80" i="1"/>
  <c r="Y397" i="1"/>
  <c r="Y468" i="1"/>
  <c r="AA468" i="1" s="1"/>
  <c r="Y474" i="1"/>
  <c r="Y466" i="1"/>
  <c r="Y213" i="1"/>
  <c r="Y375" i="1"/>
  <c r="Y139" i="1"/>
  <c r="Y495" i="1"/>
  <c r="Y253" i="1"/>
  <c r="Y246" i="1"/>
  <c r="Y458" i="1"/>
  <c r="U4" i="1"/>
  <c r="Z88" i="1"/>
  <c r="Z239" i="1"/>
  <c r="X274" i="1"/>
  <c r="X11" i="1"/>
  <c r="Z25" i="1"/>
  <c r="X491" i="1"/>
  <c r="X484" i="1"/>
  <c r="S90" i="1"/>
  <c r="U469" i="1"/>
  <c r="U202" i="1"/>
  <c r="U360" i="1"/>
  <c r="Z83" i="1"/>
  <c r="Y98" i="1"/>
  <c r="Y16" i="1"/>
  <c r="Y60" i="1"/>
  <c r="Y7" i="1"/>
  <c r="Y32" i="1"/>
  <c r="Y148" i="1"/>
  <c r="Y212" i="1"/>
  <c r="Y263" i="1"/>
  <c r="Y345" i="1"/>
  <c r="Y392" i="1"/>
  <c r="Y168" i="1"/>
  <c r="Y285" i="1"/>
  <c r="Y447" i="1"/>
  <c r="AI86" i="1"/>
  <c r="X118" i="1"/>
  <c r="X39" i="1"/>
  <c r="Z377" i="1"/>
  <c r="X181" i="1"/>
  <c r="Z92" i="1"/>
  <c r="Z356" i="1"/>
  <c r="Z379" i="1"/>
  <c r="Z71" i="1"/>
  <c r="U17" i="1"/>
  <c r="X8" i="1"/>
  <c r="X272" i="1"/>
  <c r="X320" i="1"/>
  <c r="AA320" i="1" s="1"/>
  <c r="X59" i="1"/>
  <c r="X305" i="1"/>
  <c r="Z344" i="1"/>
  <c r="Z195" i="1"/>
  <c r="X81" i="1"/>
  <c r="U174" i="1"/>
  <c r="U211" i="1"/>
  <c r="U98" i="1"/>
  <c r="U65" i="1"/>
  <c r="S79" i="1"/>
  <c r="Y218" i="1"/>
  <c r="Y200" i="1"/>
  <c r="Y294" i="1"/>
  <c r="Y192" i="1"/>
  <c r="Y156" i="1"/>
  <c r="Y132" i="1"/>
  <c r="Y302" i="1"/>
  <c r="Y364" i="1"/>
  <c r="Y409" i="1"/>
  <c r="Y40" i="1"/>
  <c r="Y238" i="1"/>
  <c r="Y414" i="1"/>
  <c r="Y372" i="1"/>
  <c r="Y351" i="1"/>
  <c r="Y54" i="1"/>
  <c r="Z222" i="1"/>
  <c r="Y222" i="1"/>
  <c r="Z330" i="1"/>
  <c r="X394" i="1"/>
  <c r="Y394" i="1"/>
  <c r="Y418" i="1"/>
  <c r="X482" i="1"/>
  <c r="Y104" i="1"/>
  <c r="Y272" i="1"/>
  <c r="Y180" i="1"/>
  <c r="Y336" i="1"/>
  <c r="Y421" i="1"/>
  <c r="Y221" i="1"/>
  <c r="Y424" i="1"/>
  <c r="Y231" i="1"/>
  <c r="Y214" i="1"/>
  <c r="Y289" i="1"/>
  <c r="Y356" i="1"/>
  <c r="Y2" i="1"/>
  <c r="Y141" i="1"/>
  <c r="Y85" i="1"/>
  <c r="Y259" i="1"/>
  <c r="Y175" i="1"/>
  <c r="Y325" i="1"/>
  <c r="Y439" i="1"/>
  <c r="Y11" i="1"/>
  <c r="Y370" i="1"/>
  <c r="Y330" i="1"/>
  <c r="Y178" i="1"/>
  <c r="Y461" i="1"/>
  <c r="Y143" i="1"/>
  <c r="Y87" i="1"/>
  <c r="Y425" i="1"/>
  <c r="Y185" i="1"/>
  <c r="Y339" i="1"/>
  <c r="Y463" i="1"/>
  <c r="Y420" i="1"/>
  <c r="Y17" i="1"/>
  <c r="Y300" i="1"/>
  <c r="Y56" i="1"/>
  <c r="Y288" i="1"/>
  <c r="Y18" i="1"/>
  <c r="Y498" i="1"/>
  <c r="Y73" i="1"/>
  <c r="Y251" i="1"/>
  <c r="Y473" i="1"/>
  <c r="Y219" i="1"/>
  <c r="Y464" i="1"/>
  <c r="Y322" i="1"/>
  <c r="Y385" i="1"/>
  <c r="Y376" i="1"/>
  <c r="Y78" i="1"/>
  <c r="Y154" i="1"/>
  <c r="Y350" i="1"/>
  <c r="S179" i="1"/>
  <c r="Z458" i="1"/>
  <c r="X73" i="1"/>
  <c r="Z9" i="1"/>
  <c r="X455" i="1"/>
  <c r="X324" i="1"/>
  <c r="AA324" i="1" s="1"/>
  <c r="X258" i="1"/>
  <c r="AA258" i="1" s="1"/>
  <c r="Z138" i="1"/>
  <c r="Z295" i="1"/>
  <c r="S114" i="1"/>
  <c r="Y134" i="1"/>
  <c r="Z134" i="1"/>
  <c r="Z194" i="1"/>
  <c r="Y194" i="1"/>
  <c r="Y270" i="1"/>
  <c r="Z270" i="1"/>
  <c r="Y434" i="1"/>
  <c r="Y277" i="1"/>
  <c r="Y475" i="1"/>
  <c r="Y332" i="1"/>
  <c r="Y256" i="1"/>
  <c r="Y75" i="1"/>
  <c r="Y497" i="1"/>
  <c r="Y343" i="1"/>
  <c r="Y114" i="1"/>
  <c r="Y355" i="1"/>
  <c r="Y9" i="1"/>
  <c r="Y83" i="1"/>
  <c r="Y47" i="1"/>
  <c r="Y398" i="1"/>
  <c r="Y149" i="1"/>
  <c r="Y93" i="1"/>
  <c r="Y295" i="1"/>
  <c r="Y183" i="1"/>
  <c r="Y335" i="1"/>
  <c r="Y459" i="1"/>
  <c r="Y55" i="1"/>
  <c r="Y236" i="1"/>
  <c r="Y118" i="1"/>
  <c r="Y382" i="1"/>
  <c r="AA382" i="1" s="1"/>
  <c r="Y490" i="1"/>
  <c r="Y151" i="1"/>
  <c r="Y95" i="1"/>
  <c r="Y452" i="1"/>
  <c r="Y193" i="1"/>
  <c r="Y349" i="1"/>
  <c r="Y487" i="1"/>
  <c r="Y301" i="1"/>
  <c r="Y275" i="1"/>
  <c r="Y368" i="1"/>
  <c r="Y184" i="1"/>
  <c r="Y150" i="1"/>
  <c r="Y20" i="1"/>
  <c r="Y223" i="1"/>
  <c r="Y81" i="1"/>
  <c r="Y279" i="1"/>
  <c r="Y163" i="1"/>
  <c r="Y229" i="1"/>
  <c r="Y257" i="1"/>
  <c r="Y290" i="1"/>
  <c r="Y472" i="1"/>
  <c r="Y400" i="1"/>
  <c r="Y340" i="1"/>
  <c r="Y268" i="1"/>
  <c r="U130" i="1"/>
  <c r="S94" i="1"/>
  <c r="U275" i="1"/>
  <c r="Z179" i="1"/>
  <c r="Z209" i="1"/>
  <c r="X259" i="1"/>
  <c r="X267" i="1"/>
  <c r="Z18" i="1"/>
  <c r="S359" i="1"/>
  <c r="U318" i="1"/>
  <c r="AI8" i="1"/>
  <c r="S321" i="1"/>
  <c r="S113" i="1"/>
  <c r="U173" i="1"/>
  <c r="X14" i="1"/>
  <c r="U341" i="1"/>
  <c r="S403" i="1"/>
  <c r="U199" i="1"/>
  <c r="AI432" i="1"/>
  <c r="AI283" i="1"/>
  <c r="AI483" i="1"/>
  <c r="U387" i="1"/>
  <c r="S311" i="1"/>
  <c r="U278" i="1"/>
  <c r="W278" i="1" s="1"/>
  <c r="AD278" i="1" s="1"/>
  <c r="AM278" i="1" s="1"/>
  <c r="S82" i="1"/>
  <c r="W82" i="1" s="1"/>
  <c r="AC82" i="1" s="1"/>
  <c r="AL82" i="1" s="1"/>
  <c r="AI444" i="1"/>
  <c r="AI205" i="1"/>
  <c r="AI277" i="1"/>
  <c r="AI48" i="1"/>
  <c r="AI56" i="1"/>
  <c r="AI78" i="1"/>
  <c r="AI72" i="1"/>
  <c r="AI90" i="1"/>
  <c r="AI22" i="1"/>
  <c r="AI389" i="1"/>
  <c r="AI415" i="1"/>
  <c r="AI243" i="1"/>
  <c r="AI378" i="1"/>
  <c r="AI324" i="1"/>
  <c r="AI412" i="1"/>
  <c r="AI441" i="1"/>
  <c r="AI24" i="1"/>
  <c r="AI331" i="1"/>
  <c r="AI100" i="1"/>
  <c r="U317" i="1"/>
  <c r="U72" i="1"/>
  <c r="S245" i="1"/>
  <c r="S136" i="1"/>
  <c r="U379" i="1"/>
  <c r="S365" i="1"/>
  <c r="W365" i="1" s="1"/>
  <c r="AD365" i="1" s="1"/>
  <c r="AM365" i="1" s="1"/>
  <c r="S487" i="1"/>
  <c r="W487" i="1" s="1"/>
  <c r="S374" i="1"/>
  <c r="U441" i="1"/>
  <c r="Z433" i="1"/>
  <c r="X440" i="1"/>
  <c r="S102" i="1"/>
  <c r="AI421" i="1"/>
  <c r="AI75" i="1"/>
  <c r="AI311" i="1"/>
  <c r="AI271" i="1"/>
  <c r="AI256" i="1"/>
  <c r="AI116" i="1"/>
  <c r="AI92" i="1"/>
  <c r="AI68" i="1"/>
  <c r="AI66" i="1"/>
  <c r="AI380" i="1"/>
  <c r="AI190" i="1"/>
  <c r="AI430" i="1"/>
  <c r="AI357" i="1"/>
  <c r="AI170" i="1"/>
  <c r="AI6" i="1"/>
  <c r="AI436" i="1"/>
  <c r="AI140" i="1"/>
  <c r="AI178" i="1"/>
  <c r="U343" i="1"/>
  <c r="S478" i="1"/>
  <c r="S59" i="1"/>
  <c r="S468" i="1"/>
  <c r="S347" i="1"/>
  <c r="S176" i="1"/>
  <c r="U69" i="1"/>
  <c r="S69" i="1"/>
  <c r="W69" i="1" s="1"/>
  <c r="U430" i="1"/>
  <c r="U271" i="1"/>
  <c r="U104" i="1"/>
  <c r="X107" i="1"/>
  <c r="Z247" i="1"/>
  <c r="X5" i="1"/>
  <c r="X385" i="1"/>
  <c r="Z233" i="1"/>
  <c r="U159" i="1"/>
  <c r="AI468" i="1"/>
  <c r="Z385" i="1"/>
  <c r="U335" i="1"/>
  <c r="S276" i="1"/>
  <c r="AI376" i="1"/>
  <c r="AI481" i="1"/>
  <c r="X109" i="1"/>
  <c r="U210" i="1"/>
  <c r="U283" i="1"/>
  <c r="S457" i="1"/>
  <c r="W457" i="1" s="1"/>
  <c r="U73" i="1"/>
  <c r="AI459" i="1"/>
  <c r="AI158" i="1"/>
  <c r="S143" i="1"/>
  <c r="S463" i="1"/>
  <c r="S47" i="1"/>
  <c r="S203" i="1"/>
  <c r="U498" i="1"/>
  <c r="AI124" i="1"/>
  <c r="U206" i="1"/>
  <c r="S419" i="1"/>
  <c r="S427" i="1"/>
  <c r="AI452" i="1"/>
  <c r="AI377" i="1"/>
  <c r="U67" i="1"/>
  <c r="S252" i="1"/>
  <c r="S160" i="1"/>
  <c r="S201" i="1"/>
  <c r="AI228" i="1"/>
  <c r="AI410" i="1"/>
  <c r="AI129" i="1"/>
  <c r="U260" i="1"/>
  <c r="U330" i="1"/>
  <c r="U453" i="1"/>
  <c r="U157" i="1"/>
  <c r="AI108" i="1"/>
  <c r="S11" i="1"/>
  <c r="S320" i="1"/>
  <c r="U147" i="1"/>
  <c r="U263" i="1"/>
  <c r="U134" i="1"/>
  <c r="AI106" i="1"/>
  <c r="S301" i="1"/>
  <c r="U39" i="1"/>
  <c r="U456" i="1"/>
  <c r="S53" i="1"/>
  <c r="AI172" i="1"/>
  <c r="U23" i="1"/>
  <c r="S194" i="1"/>
  <c r="AI193" i="1"/>
  <c r="AI224" i="1"/>
  <c r="AI189" i="1"/>
  <c r="AI394" i="1"/>
  <c r="AI336" i="1"/>
  <c r="AI293" i="1"/>
  <c r="AI143" i="1"/>
  <c r="AI155" i="1"/>
  <c r="AI419" i="1"/>
  <c r="AI456" i="1"/>
  <c r="AI151" i="1"/>
  <c r="AI7" i="1"/>
  <c r="AI113" i="1"/>
  <c r="U141" i="1"/>
  <c r="S469" i="1"/>
  <c r="W469" i="1" s="1"/>
  <c r="U241" i="1"/>
  <c r="S239" i="1"/>
  <c r="S456" i="1"/>
  <c r="S257" i="1"/>
  <c r="W257" i="1" s="1"/>
  <c r="U41" i="1"/>
  <c r="U270" i="1"/>
  <c r="Z146" i="1"/>
  <c r="AI345" i="1"/>
  <c r="AI111" i="1"/>
  <c r="AI39" i="1"/>
  <c r="AI197" i="1"/>
  <c r="AI127" i="1"/>
  <c r="AI156" i="1"/>
  <c r="AI20" i="1"/>
  <c r="AI484" i="1"/>
  <c r="AI265" i="1"/>
  <c r="AI4" i="1"/>
  <c r="AI103" i="1"/>
  <c r="AI273" i="1"/>
  <c r="AI439" i="1"/>
  <c r="AI31" i="1"/>
  <c r="U476" i="1"/>
  <c r="S378" i="1"/>
  <c r="U167" i="1"/>
  <c r="S145" i="1"/>
  <c r="S248" i="1"/>
  <c r="W248" i="1" s="1"/>
  <c r="AB248" i="1" s="1"/>
  <c r="AE248" i="1" s="1"/>
  <c r="AN248" i="1" s="1"/>
  <c r="S401" i="1"/>
  <c r="S223" i="1"/>
  <c r="W223" i="1" s="1"/>
  <c r="U131" i="1"/>
  <c r="X417" i="1"/>
  <c r="Z183" i="1"/>
  <c r="Z125" i="1"/>
  <c r="Z297" i="1"/>
  <c r="Z306" i="1"/>
  <c r="Z358" i="1"/>
  <c r="Z124" i="1"/>
  <c r="Z325" i="1"/>
  <c r="Z46" i="1"/>
  <c r="Z60" i="1"/>
  <c r="X224" i="1"/>
  <c r="Z440" i="1"/>
  <c r="X70" i="1"/>
  <c r="Z250" i="1"/>
  <c r="X114" i="1"/>
  <c r="Z173" i="1"/>
  <c r="X28" i="1"/>
  <c r="Z162" i="1"/>
  <c r="Z148" i="1"/>
  <c r="Z304" i="1"/>
  <c r="Z86" i="1"/>
  <c r="X228" i="1"/>
  <c r="Z420" i="1"/>
  <c r="X140" i="1"/>
  <c r="X318" i="1"/>
  <c r="X168" i="1"/>
  <c r="Z348" i="1"/>
  <c r="X167" i="1"/>
  <c r="Z398" i="1"/>
  <c r="Z412" i="1"/>
  <c r="AI276" i="1"/>
  <c r="U194" i="1"/>
  <c r="AI107" i="1"/>
  <c r="AI42" i="1"/>
  <c r="AI32" i="1"/>
  <c r="AI65" i="1"/>
  <c r="AI153" i="1"/>
  <c r="AI84" i="1"/>
  <c r="AI487" i="1"/>
  <c r="AI407" i="1"/>
  <c r="AI409" i="1"/>
  <c r="AI467" i="1"/>
  <c r="AI164" i="1"/>
  <c r="U488" i="1"/>
  <c r="U295" i="1"/>
  <c r="S420" i="1"/>
  <c r="S275" i="1"/>
  <c r="W275" i="1" s="1"/>
  <c r="U96" i="1"/>
  <c r="U158" i="1"/>
  <c r="AI405" i="1"/>
  <c r="AI96" i="1"/>
  <c r="AI76" i="1"/>
  <c r="AI417" i="1"/>
  <c r="AI374" i="1"/>
  <c r="AI306" i="1"/>
  <c r="AI268" i="1"/>
  <c r="AI478" i="1"/>
  <c r="AI125" i="1"/>
  <c r="AI261" i="1"/>
  <c r="U12" i="1"/>
  <c r="S72" i="1"/>
  <c r="U339" i="1"/>
  <c r="U367" i="1"/>
  <c r="S337" i="1"/>
  <c r="U20" i="1"/>
  <c r="S34" i="1"/>
  <c r="X432" i="1"/>
  <c r="Z129" i="1"/>
  <c r="Z400" i="1"/>
  <c r="Z284" i="1"/>
  <c r="X343" i="1"/>
  <c r="AA343" i="1" s="1"/>
  <c r="X344" i="1"/>
  <c r="X208" i="1"/>
  <c r="X69" i="1"/>
  <c r="Z38" i="1"/>
  <c r="Z406" i="1"/>
  <c r="Z10" i="1"/>
  <c r="Z132" i="1"/>
  <c r="Z318" i="1"/>
  <c r="X88" i="1"/>
  <c r="Z52" i="1"/>
  <c r="X162" i="1"/>
  <c r="AA162" i="1" s="1"/>
  <c r="Z286" i="1"/>
  <c r="Z279" i="1"/>
  <c r="X192" i="1"/>
  <c r="Z312" i="1"/>
  <c r="Z392" i="1"/>
  <c r="Z117" i="1"/>
  <c r="X169" i="1"/>
  <c r="X243" i="1"/>
  <c r="X7" i="1"/>
  <c r="Z375" i="1"/>
  <c r="X177" i="1"/>
  <c r="Z386" i="1"/>
  <c r="Z245" i="1"/>
  <c r="Z415" i="1"/>
  <c r="Z315" i="1"/>
  <c r="X195" i="1"/>
  <c r="X53" i="1"/>
  <c r="Z11" i="1"/>
  <c r="X382" i="1"/>
  <c r="Z228" i="1"/>
  <c r="X483" i="1"/>
  <c r="X325" i="1"/>
  <c r="X221" i="1"/>
  <c r="X294" i="1"/>
  <c r="AA294" i="1" s="1"/>
  <c r="X186" i="1"/>
  <c r="AA186" i="1" s="1"/>
  <c r="X48" i="1"/>
  <c r="Z280" i="1"/>
  <c r="X6" i="1"/>
  <c r="X56" i="1"/>
  <c r="Z246" i="1"/>
  <c r="X96" i="1"/>
  <c r="Z42" i="1"/>
  <c r="Z102" i="1"/>
  <c r="Z143" i="1"/>
  <c r="Z190" i="1"/>
  <c r="Z147" i="1"/>
  <c r="Z244" i="1"/>
  <c r="X27" i="1"/>
  <c r="X280" i="1"/>
  <c r="X312" i="1"/>
  <c r="Z175" i="1"/>
  <c r="Z145" i="1"/>
  <c r="Z141" i="1"/>
  <c r="Z469" i="1"/>
  <c r="X295" i="1"/>
  <c r="Z97" i="1"/>
  <c r="X330" i="1"/>
  <c r="Z249" i="1"/>
  <c r="Z417" i="1"/>
  <c r="Z369" i="1"/>
  <c r="X263" i="1"/>
  <c r="X163" i="1"/>
  <c r="X47" i="1"/>
  <c r="Z5" i="1"/>
  <c r="X376" i="1"/>
  <c r="X436" i="1"/>
  <c r="X333" i="1"/>
  <c r="X213" i="1"/>
  <c r="Z158" i="1"/>
  <c r="Z255" i="1"/>
  <c r="Z217" i="1"/>
  <c r="X291" i="1"/>
  <c r="Z383" i="1"/>
  <c r="X443" i="1"/>
  <c r="X200" i="1"/>
  <c r="Z337" i="1"/>
  <c r="Z28" i="1"/>
  <c r="U100" i="1"/>
  <c r="Z478" i="1"/>
  <c r="Z405" i="1"/>
  <c r="X35" i="1"/>
  <c r="Z174" i="1"/>
  <c r="Z22" i="1"/>
  <c r="X146" i="1"/>
  <c r="X126" i="1"/>
  <c r="X351" i="1"/>
  <c r="Z140" i="1"/>
  <c r="X128" i="1"/>
  <c r="X188" i="1"/>
  <c r="X174" i="1"/>
  <c r="X282" i="1"/>
  <c r="Z390" i="1"/>
  <c r="Z66" i="1"/>
  <c r="X122" i="1"/>
  <c r="X3" i="1"/>
  <c r="Z364" i="1"/>
  <c r="X164" i="1"/>
  <c r="Z55" i="1"/>
  <c r="X256" i="1"/>
  <c r="Z365" i="1"/>
  <c r="Z368" i="1"/>
  <c r="Z274" i="1"/>
  <c r="Z404" i="1"/>
  <c r="X223" i="1"/>
  <c r="X159" i="1"/>
  <c r="X375" i="1"/>
  <c r="Z139" i="1"/>
  <c r="X185" i="1"/>
  <c r="Z205" i="1"/>
  <c r="Z359" i="1"/>
  <c r="Z167" i="1"/>
  <c r="X23" i="1"/>
  <c r="Z259" i="1"/>
  <c r="Z497" i="1"/>
  <c r="Z475" i="1"/>
  <c r="X347" i="1"/>
  <c r="X289" i="1"/>
  <c r="Z193" i="1"/>
  <c r="X141" i="1"/>
  <c r="AA141" i="1" s="1"/>
  <c r="Z41" i="1"/>
  <c r="X428" i="1"/>
  <c r="X378" i="1"/>
  <c r="AI83" i="1"/>
  <c r="S65" i="1"/>
  <c r="U82" i="1"/>
  <c r="AI219" i="1"/>
  <c r="AI263" i="1"/>
  <c r="AI114" i="1"/>
  <c r="AI344" i="1"/>
  <c r="AI138" i="1"/>
  <c r="AI469" i="1"/>
  <c r="AI194" i="1"/>
  <c r="AI43" i="1"/>
  <c r="U417" i="1"/>
  <c r="S389" i="1"/>
  <c r="U112" i="1"/>
  <c r="U87" i="1"/>
  <c r="X77" i="1"/>
  <c r="AI171" i="1"/>
  <c r="AI128" i="1"/>
  <c r="AI319" i="1"/>
  <c r="AI25" i="1"/>
  <c r="AI390" i="1"/>
  <c r="AI280" i="1"/>
  <c r="AI460" i="1"/>
  <c r="AI413" i="1"/>
  <c r="S54" i="1"/>
  <c r="U491" i="1"/>
  <c r="S377" i="1"/>
  <c r="S444" i="1"/>
  <c r="S306" i="1"/>
  <c r="Z8" i="1"/>
  <c r="Z322" i="1"/>
  <c r="X25" i="1"/>
  <c r="Z149" i="1"/>
  <c r="Z181" i="1"/>
  <c r="X190" i="1"/>
  <c r="X68" i="1"/>
  <c r="X20" i="1"/>
  <c r="Z366" i="1"/>
  <c r="X42" i="1"/>
  <c r="X46" i="1"/>
  <c r="Z4" i="1"/>
  <c r="X66" i="1"/>
  <c r="Z26" i="1"/>
  <c r="X284" i="1"/>
  <c r="X178" i="1"/>
  <c r="X222" i="1"/>
  <c r="X288" i="1"/>
  <c r="Z471" i="1"/>
  <c r="X269" i="1"/>
  <c r="AA269" i="1" s="1"/>
  <c r="Z157" i="1"/>
  <c r="Z495" i="1"/>
  <c r="Z215" i="1"/>
  <c r="Z461" i="1"/>
  <c r="X339" i="1"/>
  <c r="X171" i="1"/>
  <c r="Z31" i="1"/>
  <c r="X392" i="1"/>
  <c r="Z216" i="1"/>
  <c r="X365" i="1"/>
  <c r="X257" i="1"/>
  <c r="Z2" i="1"/>
  <c r="Z229" i="1"/>
  <c r="Z154" i="1"/>
  <c r="X260" i="1"/>
  <c r="Z352" i="1"/>
  <c r="Z56" i="1"/>
  <c r="Z186" i="1"/>
  <c r="X248" i="1"/>
  <c r="X342" i="1"/>
  <c r="Z180" i="1"/>
  <c r="Z69" i="1"/>
  <c r="Z127" i="1"/>
  <c r="X199" i="1"/>
  <c r="Z452" i="1"/>
  <c r="X193" i="1"/>
  <c r="X430" i="1"/>
  <c r="Z409" i="1"/>
  <c r="Z307" i="1"/>
  <c r="X147" i="1"/>
  <c r="Z27" i="1"/>
  <c r="X388" i="1"/>
  <c r="Z232" i="1"/>
  <c r="AI237" i="1"/>
  <c r="AI230" i="1"/>
  <c r="AI285" i="1"/>
  <c r="AI93" i="1"/>
  <c r="AI328" i="1"/>
  <c r="AI464" i="1"/>
  <c r="AI296" i="1"/>
  <c r="AI160" i="1"/>
  <c r="S156" i="1"/>
  <c r="S209" i="1"/>
  <c r="S109" i="1"/>
  <c r="W109" i="1" s="1"/>
  <c r="AC109" i="1" s="1"/>
  <c r="AL109" i="1" s="1"/>
  <c r="S106" i="1"/>
  <c r="Z240" i="1"/>
  <c r="AI294" i="1"/>
  <c r="AI163" i="1"/>
  <c r="AI387" i="1"/>
  <c r="AI21" i="1"/>
  <c r="AI198" i="1"/>
  <c r="AI382" i="1"/>
  <c r="AI196" i="1"/>
  <c r="S7" i="1"/>
  <c r="S297" i="1"/>
  <c r="U251" i="1"/>
  <c r="S204" i="1"/>
  <c r="X450" i="1"/>
  <c r="X481" i="1"/>
  <c r="X271" i="1"/>
  <c r="X217" i="1"/>
  <c r="Z99" i="1"/>
  <c r="Z110" i="1"/>
  <c r="X74" i="1"/>
  <c r="AI246" i="1"/>
  <c r="AI71" i="1"/>
  <c r="AI139" i="1"/>
  <c r="AI386" i="1"/>
  <c r="U467" i="1"/>
  <c r="S390" i="1"/>
  <c r="AI73" i="1"/>
  <c r="AI397" i="1"/>
  <c r="AI330" i="1"/>
  <c r="AI146" i="1"/>
  <c r="U313" i="1"/>
  <c r="S435" i="1"/>
  <c r="X408" i="1"/>
  <c r="X134" i="1"/>
  <c r="AI422" i="1"/>
  <c r="AI15" i="1"/>
  <c r="AI14" i="1"/>
  <c r="AI292" i="1"/>
  <c r="S231" i="1"/>
  <c r="U293" i="1"/>
  <c r="Z488" i="1"/>
  <c r="AI23" i="1"/>
  <c r="AI2" i="1"/>
  <c r="AI334" i="1"/>
  <c r="AI339" i="1"/>
  <c r="U421" i="1"/>
  <c r="S344" i="1"/>
  <c r="W344" i="1" s="1"/>
  <c r="AB344" i="1" s="1"/>
  <c r="AE344" i="1" s="1"/>
  <c r="AN344" i="1" s="1"/>
  <c r="Z354" i="1"/>
  <c r="X184" i="1"/>
  <c r="X230" i="1"/>
  <c r="Z89" i="1"/>
  <c r="X207" i="1"/>
  <c r="Z84" i="1"/>
  <c r="X98" i="1"/>
  <c r="X4" i="1"/>
  <c r="Z64" i="1"/>
  <c r="Z120" i="1"/>
  <c r="Z112" i="1"/>
  <c r="Z122" i="1"/>
  <c r="Z159" i="1"/>
  <c r="X304" i="1"/>
  <c r="Z123" i="1"/>
  <c r="Z53" i="1"/>
  <c r="Z273" i="1"/>
  <c r="Z436" i="1"/>
  <c r="Z401" i="1"/>
  <c r="X235" i="1"/>
  <c r="Z21" i="1"/>
  <c r="X360" i="1"/>
  <c r="X389" i="1"/>
  <c r="Z203" i="1"/>
  <c r="X26" i="1"/>
  <c r="X54" i="1"/>
  <c r="X234" i="1"/>
  <c r="X136" i="1"/>
  <c r="X180" i="1"/>
  <c r="Z248" i="1"/>
  <c r="Z128" i="1"/>
  <c r="X198" i="1"/>
  <c r="Z95" i="1"/>
  <c r="Z331" i="1"/>
  <c r="X277" i="1"/>
  <c r="X401" i="1"/>
  <c r="Z73" i="1"/>
  <c r="Z261" i="1"/>
  <c r="X387" i="1"/>
  <c r="X203" i="1"/>
  <c r="Z37" i="1"/>
  <c r="X356" i="1"/>
  <c r="Z212" i="1"/>
  <c r="Z309" i="1"/>
  <c r="Z171" i="1"/>
  <c r="X410" i="1"/>
  <c r="X63" i="1"/>
  <c r="Z281" i="1"/>
  <c r="X383" i="1"/>
  <c r="X467" i="1"/>
  <c r="X252" i="1"/>
  <c r="X279" i="1"/>
  <c r="X60" i="1"/>
  <c r="X438" i="1"/>
  <c r="Z313" i="1"/>
  <c r="S35" i="1"/>
  <c r="X16" i="1"/>
  <c r="X152" i="1"/>
  <c r="X226" i="1"/>
  <c r="Z16" i="1"/>
  <c r="X52" i="1"/>
  <c r="X90" i="1"/>
  <c r="X84" i="1"/>
  <c r="X407" i="1"/>
  <c r="Z78" i="1"/>
  <c r="X194" i="1"/>
  <c r="Z165" i="1"/>
  <c r="Z144" i="1"/>
  <c r="X292" i="1"/>
  <c r="Z172" i="1"/>
  <c r="X332" i="1"/>
  <c r="Z153" i="1"/>
  <c r="X245" i="1"/>
  <c r="AA245" i="1" s="1"/>
  <c r="Z75" i="1"/>
  <c r="X239" i="1"/>
  <c r="Z213" i="1"/>
  <c r="Z463" i="1"/>
  <c r="Z231" i="1"/>
  <c r="Z77" i="1"/>
  <c r="X457" i="1"/>
  <c r="Z243" i="1"/>
  <c r="Z432" i="1"/>
  <c r="Z335" i="1"/>
  <c r="X247" i="1"/>
  <c r="X149" i="1"/>
  <c r="AA149" i="1" s="1"/>
  <c r="Z33" i="1"/>
  <c r="X412" i="1"/>
  <c r="X354" i="1"/>
  <c r="Z234" i="1"/>
  <c r="Z387" i="1"/>
  <c r="Z285" i="1"/>
  <c r="Z211" i="1"/>
  <c r="X129" i="1"/>
  <c r="X97" i="1"/>
  <c r="X348" i="1"/>
  <c r="X445" i="1"/>
  <c r="X452" i="1"/>
  <c r="U21" i="1"/>
  <c r="U56" i="1"/>
  <c r="U152" i="1"/>
  <c r="Z413" i="1"/>
  <c r="U99" i="1"/>
  <c r="X489" i="1"/>
  <c r="U306" i="1"/>
  <c r="X454" i="1"/>
  <c r="S330" i="1"/>
  <c r="U246" i="1"/>
  <c r="U292" i="1"/>
  <c r="S258" i="1"/>
  <c r="U361" i="1"/>
  <c r="U255" i="1"/>
  <c r="U205" i="1"/>
  <c r="U274" i="1"/>
  <c r="U373" i="1"/>
  <c r="S191" i="1"/>
  <c r="U180" i="1"/>
  <c r="S470" i="1"/>
  <c r="S15" i="1"/>
  <c r="Z367" i="1"/>
  <c r="X487" i="1"/>
  <c r="Z130" i="1"/>
  <c r="Y48" i="1"/>
  <c r="Y206" i="1"/>
  <c r="Y274" i="1"/>
  <c r="Y76" i="1"/>
  <c r="Y25" i="1"/>
  <c r="Y284" i="1"/>
  <c r="Y406" i="1"/>
  <c r="Y152" i="1"/>
  <c r="Y262" i="1"/>
  <c r="Y208" i="1"/>
  <c r="Y306" i="1"/>
  <c r="Y352" i="1"/>
  <c r="Y106" i="1"/>
  <c r="Y86" i="1"/>
  <c r="Y14" i="1"/>
  <c r="Y96" i="1"/>
  <c r="Y312" i="1"/>
  <c r="Y36" i="1"/>
  <c r="Y43" i="1"/>
  <c r="Y162" i="1"/>
  <c r="Y296" i="1"/>
  <c r="Y402" i="1"/>
  <c r="Y49" i="1"/>
  <c r="Y5" i="1"/>
  <c r="Y53" i="1"/>
  <c r="Y61" i="1"/>
  <c r="Y328" i="1"/>
  <c r="Y483" i="1"/>
  <c r="Y401" i="1"/>
  <c r="Y369" i="1"/>
  <c r="Y337" i="1"/>
  <c r="Y198" i="1"/>
  <c r="K36" i="2"/>
  <c r="U302" i="1"/>
  <c r="Z62" i="1"/>
  <c r="Z166" i="1"/>
  <c r="Y182" i="1"/>
  <c r="X202" i="1"/>
  <c r="Z202" i="1"/>
  <c r="AI218" i="1"/>
  <c r="S218" i="1"/>
  <c r="Z238" i="1"/>
  <c r="Z254" i="1"/>
  <c r="X298" i="1"/>
  <c r="Z298" i="1"/>
  <c r="X326" i="1"/>
  <c r="Z338" i="1"/>
  <c r="S346" i="1"/>
  <c r="Z346" i="1"/>
  <c r="AI346" i="1"/>
  <c r="Z370" i="1"/>
  <c r="U426" i="1"/>
  <c r="AI426" i="1"/>
  <c r="X426" i="1"/>
  <c r="Z426" i="1"/>
  <c r="AI458" i="1"/>
  <c r="U458" i="1"/>
  <c r="AI490" i="1"/>
  <c r="S490" i="1"/>
  <c r="W490" i="1" s="1"/>
  <c r="Z48" i="1"/>
  <c r="U88" i="1"/>
  <c r="Z394" i="1"/>
  <c r="Z252" i="1"/>
  <c r="X399" i="1"/>
  <c r="X311" i="1"/>
  <c r="Z265" i="1"/>
  <c r="X72" i="1"/>
  <c r="Z108" i="1"/>
  <c r="X357" i="1"/>
  <c r="Z264" i="1"/>
  <c r="Z15" i="1"/>
  <c r="X227" i="1"/>
  <c r="AA227" i="1" s="1"/>
  <c r="Z448" i="1"/>
  <c r="X13" i="1"/>
  <c r="X67" i="1"/>
  <c r="Z191" i="1"/>
  <c r="Z414" i="1"/>
  <c r="X266" i="1"/>
  <c r="Z320" i="1"/>
  <c r="Z82" i="1"/>
  <c r="Z104" i="1"/>
  <c r="Z384" i="1"/>
  <c r="X112" i="1"/>
  <c r="Z277" i="1"/>
  <c r="Z206" i="1"/>
  <c r="X416" i="1"/>
  <c r="Z275" i="1"/>
  <c r="Z453" i="1"/>
  <c r="Z105" i="1"/>
  <c r="Z119" i="1"/>
  <c r="Z397" i="1"/>
  <c r="Z396" i="1"/>
  <c r="X218" i="1"/>
  <c r="AA218" i="1" s="1"/>
  <c r="Z70" i="1"/>
  <c r="Z192" i="1"/>
  <c r="Z334" i="1"/>
  <c r="X366" i="1"/>
  <c r="Z292" i="1"/>
  <c r="X296" i="1"/>
  <c r="X306" i="1"/>
  <c r="X176" i="1"/>
  <c r="S110" i="1"/>
  <c r="AI231" i="1"/>
  <c r="AI431" i="1"/>
  <c r="X102" i="1"/>
  <c r="S340" i="1"/>
  <c r="AI278" i="1"/>
  <c r="AI418" i="1"/>
  <c r="U57" i="1"/>
  <c r="AI241" i="1"/>
  <c r="AI126" i="1"/>
  <c r="S105" i="1"/>
  <c r="AI109" i="1"/>
  <c r="AI95" i="1"/>
  <c r="X345" i="1"/>
  <c r="U46" i="1"/>
  <c r="U190" i="1"/>
  <c r="S318" i="1"/>
  <c r="W318" i="1" s="1"/>
  <c r="AI322" i="1"/>
  <c r="S382" i="1"/>
  <c r="U422" i="1"/>
  <c r="Z454" i="1"/>
  <c r="S466" i="1"/>
  <c r="Z299" i="1"/>
  <c r="S122" i="1"/>
  <c r="S2" i="1"/>
  <c r="U484" i="1"/>
  <c r="U204" i="1"/>
  <c r="S387" i="1"/>
  <c r="U490" i="1"/>
  <c r="S17" i="1"/>
  <c r="W17" i="1" s="1"/>
  <c r="AD17" i="1" s="1"/>
  <c r="AM17" i="1" s="1"/>
  <c r="S200" i="1"/>
  <c r="W200" i="1" s="1"/>
  <c r="S416" i="1"/>
  <c r="S242" i="1"/>
  <c r="U153" i="1"/>
  <c r="AI307" i="1"/>
  <c r="AI253" i="1"/>
  <c r="AI192" i="1"/>
  <c r="AI402" i="1"/>
  <c r="AI320" i="1"/>
  <c r="AI493" i="1"/>
  <c r="AI301" i="1"/>
  <c r="AI110" i="1"/>
  <c r="AI326" i="1"/>
  <c r="AI202" i="1"/>
  <c r="S410" i="1"/>
  <c r="U349" i="1"/>
  <c r="U189" i="1"/>
  <c r="S75" i="1"/>
  <c r="S185" i="1"/>
  <c r="S415" i="1"/>
  <c r="U18" i="1"/>
  <c r="U347" i="1"/>
  <c r="S96" i="1"/>
  <c r="U240" i="1"/>
  <c r="S360" i="1"/>
  <c r="S13" i="1"/>
  <c r="S196" i="1"/>
  <c r="U345" i="1"/>
  <c r="S139" i="1"/>
  <c r="S422" i="1"/>
  <c r="U9" i="1"/>
  <c r="X197" i="1"/>
  <c r="AI348" i="1"/>
  <c r="AI379" i="1"/>
  <c r="AI317" i="1"/>
  <c r="AI79" i="1"/>
  <c r="AI290" i="1"/>
  <c r="AI147" i="1"/>
  <c r="AI381" i="1"/>
  <c r="U22" i="1"/>
  <c r="U366" i="1"/>
  <c r="U395" i="1"/>
  <c r="S232" i="1"/>
  <c r="S49" i="1"/>
  <c r="U92" i="1"/>
  <c r="S397" i="1"/>
  <c r="U257" i="1"/>
  <c r="S165" i="1"/>
  <c r="U303" i="1"/>
  <c r="Z434" i="1"/>
  <c r="Z263" i="1"/>
  <c r="AI232" i="1"/>
  <c r="AI52" i="1"/>
  <c r="AI372" i="1"/>
  <c r="AI316" i="1"/>
  <c r="U428" i="1"/>
  <c r="S363" i="1"/>
  <c r="U220" i="1"/>
  <c r="U369" i="1"/>
  <c r="S295" i="1"/>
  <c r="S42" i="1"/>
  <c r="S482" i="1"/>
  <c r="Z257" i="1"/>
  <c r="X373" i="1"/>
  <c r="U125" i="1"/>
  <c r="U181" i="1"/>
  <c r="U479" i="1"/>
  <c r="S477" i="1"/>
  <c r="S48" i="1"/>
  <c r="S261" i="1"/>
  <c r="W261" i="1" s="1"/>
  <c r="S383" i="1"/>
  <c r="U154" i="1"/>
  <c r="S162" i="1"/>
  <c r="W162" i="1" s="1"/>
  <c r="S354" i="1"/>
  <c r="AI286" i="1"/>
  <c r="AI191" i="1"/>
  <c r="AI247" i="1"/>
  <c r="AI159" i="1"/>
  <c r="AI185" i="1"/>
  <c r="AI234" i="1"/>
  <c r="AI27" i="1"/>
  <c r="AI313" i="1"/>
  <c r="AI89" i="1"/>
  <c r="AI338" i="1"/>
  <c r="U388" i="1"/>
  <c r="U119" i="1"/>
  <c r="U348" i="1"/>
  <c r="S41" i="1"/>
  <c r="S244" i="1"/>
  <c r="S336" i="1"/>
  <c r="S409" i="1"/>
  <c r="U135" i="1"/>
  <c r="U59" i="1"/>
  <c r="S269" i="1"/>
  <c r="U300" i="1"/>
  <c r="U6" i="1"/>
  <c r="S338" i="1"/>
  <c r="U27" i="1"/>
  <c r="Z496" i="1"/>
  <c r="X139" i="1"/>
  <c r="AI475" i="1"/>
  <c r="AI135" i="1"/>
  <c r="AI383" i="1"/>
  <c r="AI289" i="1"/>
  <c r="AI248" i="1"/>
  <c r="AI252" i="1"/>
  <c r="AI308" i="1"/>
  <c r="U404" i="1"/>
  <c r="U55" i="1"/>
  <c r="S95" i="1"/>
  <c r="S437" i="1"/>
  <c r="S496" i="1"/>
  <c r="S345" i="1"/>
  <c r="U229" i="1"/>
  <c r="S229" i="1"/>
  <c r="S164" i="1"/>
  <c r="U464" i="1"/>
  <c r="U106" i="1"/>
  <c r="X398" i="1"/>
  <c r="AI16" i="1"/>
  <c r="AI222" i="1"/>
  <c r="AI244" i="1"/>
  <c r="AI177" i="1"/>
  <c r="AI242" i="1"/>
  <c r="U224" i="1"/>
  <c r="S443" i="1"/>
  <c r="S328" i="1"/>
  <c r="X478" i="1"/>
  <c r="U34" i="1"/>
  <c r="Z68" i="1"/>
  <c r="Z418" i="1"/>
  <c r="X434" i="1"/>
  <c r="S386" i="1"/>
  <c r="S60" i="1"/>
  <c r="S149" i="1"/>
  <c r="U155" i="1"/>
  <c r="S281" i="1"/>
  <c r="S432" i="1"/>
  <c r="S153" i="1"/>
  <c r="S211" i="1"/>
  <c r="W211" i="1" s="1"/>
  <c r="S356" i="1"/>
  <c r="U192" i="1"/>
  <c r="AI465" i="1"/>
  <c r="AI473" i="1"/>
  <c r="AI282" i="1"/>
  <c r="AI494" i="1"/>
  <c r="AI423" i="1"/>
  <c r="AI240" i="1"/>
  <c r="AI134" i="1"/>
  <c r="AI120" i="1"/>
  <c r="AI258" i="1"/>
  <c r="AI399" i="1"/>
  <c r="U460" i="1"/>
  <c r="S462" i="1"/>
  <c r="U418" i="1"/>
  <c r="S480" i="1"/>
  <c r="S120" i="1"/>
  <c r="S293" i="1"/>
  <c r="S367" i="1"/>
  <c r="U450" i="1"/>
  <c r="S493" i="1"/>
  <c r="S243" i="1"/>
  <c r="S481" i="1"/>
  <c r="U288" i="1"/>
  <c r="S426" i="1"/>
  <c r="Z482" i="1"/>
  <c r="S290" i="1"/>
  <c r="X441" i="1"/>
  <c r="AI35" i="1"/>
  <c r="AI28" i="1"/>
  <c r="AI223" i="1"/>
  <c r="AI174" i="1"/>
  <c r="AI429" i="1"/>
  <c r="AI17" i="1"/>
  <c r="AI266" i="1"/>
  <c r="U326" i="1"/>
  <c r="S446" i="1"/>
  <c r="S171" i="1"/>
  <c r="S267" i="1"/>
  <c r="S453" i="1"/>
  <c r="S303" i="1"/>
  <c r="U187" i="1"/>
  <c r="S181" i="1"/>
  <c r="S92" i="1"/>
  <c r="U218" i="1"/>
  <c r="X91" i="1"/>
  <c r="AI115" i="1"/>
  <c r="AI88" i="1"/>
  <c r="AI169" i="1"/>
  <c r="AI359" i="1"/>
  <c r="AI299" i="1"/>
  <c r="S406" i="1"/>
  <c r="S400" i="1"/>
  <c r="S307" i="1"/>
  <c r="S50" i="1"/>
  <c r="U175" i="1"/>
  <c r="U225" i="1"/>
  <c r="S166" i="1"/>
  <c r="K53" i="2"/>
  <c r="AI132" i="1"/>
  <c r="AI403" i="1"/>
  <c r="Z388" i="1"/>
  <c r="X138" i="1"/>
  <c r="Z137" i="1"/>
  <c r="X220" i="1"/>
  <c r="Z197" i="1"/>
  <c r="X371" i="1"/>
  <c r="X380" i="1"/>
  <c r="X275" i="1"/>
  <c r="X236" i="1"/>
  <c r="X209" i="1"/>
  <c r="Z323" i="1"/>
  <c r="Z262" i="1"/>
  <c r="Z115" i="1"/>
  <c r="X488" i="1"/>
  <c r="AA488" i="1" s="1"/>
  <c r="X154" i="1"/>
  <c r="Z45" i="1"/>
  <c r="U179" i="1"/>
  <c r="X237" i="1"/>
  <c r="U282" i="1"/>
  <c r="Z427" i="1"/>
  <c r="S26" i="1"/>
  <c r="U248" i="1"/>
  <c r="S226" i="1"/>
  <c r="U253" i="1"/>
  <c r="U276" i="1"/>
  <c r="W276" i="1" s="1"/>
  <c r="U239" i="1"/>
  <c r="W239" i="1" s="1"/>
  <c r="U480" i="1"/>
  <c r="W480" i="1" s="1"/>
  <c r="S119" i="1"/>
  <c r="S86" i="1"/>
  <c r="U183" i="1"/>
  <c r="U149" i="1"/>
  <c r="U438" i="1"/>
  <c r="S100" i="1"/>
  <c r="S284" i="1"/>
  <c r="S449" i="1"/>
  <c r="U268" i="1"/>
  <c r="Z447" i="1"/>
  <c r="Z467" i="1"/>
  <c r="X45" i="1"/>
  <c r="Z220" i="1"/>
  <c r="X131" i="1"/>
  <c r="X476" i="1"/>
  <c r="Z476" i="1"/>
  <c r="S70" i="1"/>
  <c r="Z421" i="1"/>
  <c r="X498" i="1"/>
  <c r="S174" i="1"/>
  <c r="U70" i="1"/>
  <c r="U214" i="1"/>
  <c r="U178" i="1"/>
  <c r="U497" i="1"/>
  <c r="U424" i="1"/>
  <c r="U146" i="1"/>
  <c r="U405" i="1"/>
  <c r="S375" i="1"/>
  <c r="S398" i="1"/>
  <c r="U425" i="1"/>
  <c r="U191" i="1"/>
  <c r="W191" i="1" s="1"/>
  <c r="U76" i="1"/>
  <c r="U26" i="1"/>
  <c r="U213" i="1"/>
  <c r="S76" i="1"/>
  <c r="S220" i="1"/>
  <c r="W220" i="1" s="1"/>
  <c r="AB220" i="1" s="1"/>
  <c r="AE220" i="1" s="1"/>
  <c r="S327" i="1"/>
  <c r="S455" i="1"/>
  <c r="U236" i="1"/>
  <c r="U431" i="1"/>
  <c r="S61" i="1"/>
  <c r="S205" i="1"/>
  <c r="X172" i="1"/>
  <c r="Z393" i="1"/>
  <c r="Z204" i="1"/>
  <c r="Z241" i="1"/>
  <c r="Z464" i="1"/>
  <c r="S206" i="1"/>
  <c r="AI251" i="1"/>
  <c r="X183" i="1"/>
  <c r="Z340" i="1"/>
  <c r="X250" i="1"/>
  <c r="Z310" i="1"/>
  <c r="Z477" i="1"/>
  <c r="Z19" i="1"/>
  <c r="X132" i="1"/>
  <c r="Z282" i="1"/>
  <c r="Z361" i="1"/>
  <c r="X423" i="1"/>
  <c r="X421" i="1"/>
  <c r="X12" i="1"/>
  <c r="Z151" i="1"/>
  <c r="X390" i="1"/>
  <c r="X437" i="1"/>
  <c r="U184" i="1"/>
  <c r="Z494" i="1"/>
  <c r="U222" i="1"/>
  <c r="U58" i="1"/>
  <c r="U232" i="1"/>
  <c r="U376" i="1"/>
  <c r="U68" i="1"/>
  <c r="S343" i="1"/>
  <c r="U14" i="1"/>
  <c r="U329" i="1"/>
  <c r="U267" i="1"/>
  <c r="S68" i="1"/>
  <c r="S316" i="1"/>
  <c r="U161" i="1"/>
  <c r="Z341" i="1"/>
  <c r="Z343" i="1"/>
  <c r="X384" i="1"/>
  <c r="X229" i="1"/>
  <c r="X485" i="1"/>
  <c r="S322" i="1"/>
  <c r="X442" i="1"/>
  <c r="U138" i="1"/>
  <c r="U198" i="1"/>
  <c r="S414" i="1"/>
  <c r="S115" i="1"/>
  <c r="U342" i="1"/>
  <c r="S67" i="1"/>
  <c r="U496" i="1"/>
  <c r="S199" i="1"/>
  <c r="U30" i="1"/>
  <c r="S189" i="1"/>
  <c r="U117" i="1"/>
  <c r="U414" i="1"/>
  <c r="S108" i="1"/>
  <c r="S268" i="1"/>
  <c r="S433" i="1"/>
  <c r="U279" i="1"/>
  <c r="U495" i="1"/>
  <c r="S157" i="1"/>
  <c r="Z382" i="1"/>
  <c r="Z29" i="1"/>
  <c r="X95" i="1"/>
  <c r="U83" i="1"/>
  <c r="X494" i="1"/>
  <c r="S158" i="1"/>
  <c r="W158" i="1" s="1"/>
  <c r="S198" i="1"/>
  <c r="U264" i="1"/>
  <c r="U344" i="1"/>
  <c r="U143" i="1"/>
  <c r="S424" i="1"/>
  <c r="U212" i="1"/>
  <c r="U43" i="1"/>
  <c r="U454" i="1"/>
  <c r="S228" i="1"/>
  <c r="S460" i="1"/>
  <c r="W460" i="1" s="1"/>
  <c r="AC460" i="1" s="1"/>
  <c r="AL460" i="1" s="1"/>
  <c r="U399" i="1"/>
  <c r="S77" i="1"/>
  <c r="W77" i="1" s="1"/>
  <c r="S253" i="1"/>
  <c r="S349" i="1"/>
  <c r="S440" i="1"/>
  <c r="U80" i="1"/>
  <c r="U261" i="1"/>
  <c r="U434" i="1"/>
  <c r="U371" i="1"/>
  <c r="S192" i="1"/>
  <c r="S388" i="1"/>
  <c r="U273" i="1"/>
  <c r="S161" i="1"/>
  <c r="W161" i="1" s="1"/>
  <c r="S357" i="1"/>
  <c r="W357" i="1" s="1"/>
  <c r="U113" i="1"/>
  <c r="S88" i="1"/>
  <c r="S308" i="1"/>
  <c r="S479" i="1"/>
  <c r="U331" i="1"/>
  <c r="S57" i="1"/>
  <c r="U81" i="1"/>
  <c r="S442" i="1"/>
  <c r="W442" i="1" s="1"/>
  <c r="AD442" i="1" s="1"/>
  <c r="AM442" i="1" s="1"/>
  <c r="S43" i="1"/>
  <c r="S22" i="1"/>
  <c r="W22" i="1" s="1"/>
  <c r="AD22" i="1" s="1"/>
  <c r="AM22" i="1" s="1"/>
  <c r="U440" i="1"/>
  <c r="U321" i="1"/>
  <c r="S494" i="1"/>
  <c r="U413" i="1"/>
  <c r="U162" i="1"/>
  <c r="AI297" i="1"/>
  <c r="AI245" i="1"/>
  <c r="AI351" i="1"/>
  <c r="AI437" i="1"/>
  <c r="AI479" i="1"/>
  <c r="AI433" i="1"/>
  <c r="AI352" i="1"/>
  <c r="AI442" i="1"/>
  <c r="AI195" i="1"/>
  <c r="AI168" i="1"/>
  <c r="AI250" i="1"/>
  <c r="AI203" i="1"/>
  <c r="S324" i="1"/>
  <c r="AI74" i="1"/>
  <c r="X201" i="1"/>
  <c r="X50" i="1"/>
  <c r="AA50" i="1" s="1"/>
  <c r="X322" i="1"/>
  <c r="X64" i="1"/>
  <c r="X253" i="1"/>
  <c r="X187" i="1"/>
  <c r="X315" i="1"/>
  <c r="AA315" i="1" s="1"/>
  <c r="X335" i="1"/>
  <c r="X473" i="1"/>
  <c r="X418" i="1"/>
  <c r="X103" i="1"/>
  <c r="S78" i="1"/>
  <c r="X393" i="1"/>
  <c r="Z169" i="1"/>
  <c r="X87" i="1"/>
  <c r="U45" i="1"/>
  <c r="U148" i="1"/>
  <c r="U262" i="1"/>
  <c r="U332" i="1"/>
  <c r="U226" i="1"/>
  <c r="S3" i="1"/>
  <c r="U297" i="1"/>
  <c r="U265" i="1"/>
  <c r="S364" i="1"/>
  <c r="U203" i="1"/>
  <c r="S36" i="1"/>
  <c r="S241" i="1"/>
  <c r="S471" i="1"/>
  <c r="X214" i="1"/>
  <c r="Z485" i="1"/>
  <c r="Z3" i="1"/>
  <c r="AA3" i="1" s="1"/>
  <c r="Z329" i="1"/>
  <c r="X85" i="1"/>
  <c r="X448" i="1"/>
  <c r="U374" i="1"/>
  <c r="Z419" i="1"/>
  <c r="X470" i="1"/>
  <c r="U37" i="1"/>
  <c r="Z466" i="1"/>
  <c r="S222" i="1"/>
  <c r="W222" i="1" s="1"/>
  <c r="AB222" i="1" s="1"/>
  <c r="AE222" i="1" s="1"/>
  <c r="AN222" i="1" s="1"/>
  <c r="S178" i="1"/>
  <c r="W178" i="1" s="1"/>
  <c r="U489" i="1"/>
  <c r="U250" i="1"/>
  <c r="S163" i="1"/>
  <c r="S342" i="1"/>
  <c r="S486" i="1"/>
  <c r="U84" i="1"/>
  <c r="U452" i="1"/>
  <c r="U75" i="1"/>
  <c r="U350" i="1"/>
  <c r="S44" i="1"/>
  <c r="S247" i="1"/>
  <c r="S412" i="1"/>
  <c r="W412" i="1" s="1"/>
  <c r="U172" i="1"/>
  <c r="U463" i="1"/>
  <c r="S125" i="1"/>
  <c r="S280" i="1"/>
  <c r="X211" i="1"/>
  <c r="X123" i="1"/>
  <c r="Z473" i="1"/>
  <c r="S10" i="1"/>
  <c r="Z450" i="1"/>
  <c r="U42" i="1"/>
  <c r="U433" i="1"/>
  <c r="U477" i="1"/>
  <c r="W477" i="1" s="1"/>
  <c r="S51" i="1"/>
  <c r="W51" i="1" s="1"/>
  <c r="AC51" i="1" s="1"/>
  <c r="AL51" i="1" s="1"/>
  <c r="S210" i="1"/>
  <c r="W210" i="1" s="1"/>
  <c r="U63" i="1"/>
  <c r="U310" i="1"/>
  <c r="U358" i="1"/>
  <c r="S148" i="1"/>
  <c r="S417" i="1"/>
  <c r="U319" i="1"/>
  <c r="S37" i="1"/>
  <c r="Z474" i="1"/>
  <c r="X124" i="1"/>
  <c r="Z58" i="1"/>
  <c r="Z196" i="1"/>
  <c r="X358" i="1"/>
  <c r="X191" i="1"/>
  <c r="Z395" i="1"/>
  <c r="Z114" i="1"/>
  <c r="X446" i="1"/>
  <c r="U114" i="1"/>
  <c r="U280" i="1"/>
  <c r="U291" i="1"/>
  <c r="U390" i="1"/>
  <c r="S353" i="1"/>
  <c r="X113" i="1"/>
  <c r="AA113" i="1" s="1"/>
  <c r="X340" i="1"/>
  <c r="Z481" i="1"/>
  <c r="U195" i="1"/>
  <c r="U324" i="1"/>
  <c r="S151" i="1"/>
  <c r="U244" i="1"/>
  <c r="U186" i="1"/>
  <c r="U320" i="1"/>
  <c r="U160" i="1"/>
  <c r="S140" i="1"/>
  <c r="S476" i="1"/>
  <c r="W476" i="1" s="1"/>
  <c r="S29" i="1"/>
  <c r="X337" i="1"/>
  <c r="X461" i="1"/>
  <c r="U3" i="1"/>
  <c r="U420" i="1"/>
  <c r="U408" i="1"/>
  <c r="S175" i="1"/>
  <c r="U128" i="1"/>
  <c r="S273" i="1"/>
  <c r="U447" i="1"/>
  <c r="S221" i="1"/>
  <c r="W221" i="1" s="1"/>
  <c r="S371" i="1"/>
  <c r="W371" i="1" s="1"/>
  <c r="S483" i="1"/>
  <c r="W483" i="1" s="1"/>
  <c r="U219" i="1"/>
  <c r="U466" i="1"/>
  <c r="S64" i="1"/>
  <c r="S335" i="1"/>
  <c r="U411" i="1"/>
  <c r="S272" i="1"/>
  <c r="S485" i="1"/>
  <c r="S152" i="1"/>
  <c r="S393" i="1"/>
  <c r="S395" i="1"/>
  <c r="S288" i="1"/>
  <c r="W288" i="1" s="1"/>
  <c r="S154" i="1"/>
  <c r="S111" i="1"/>
  <c r="U86" i="1"/>
  <c r="U168" i="1"/>
  <c r="S430" i="1"/>
  <c r="U249" i="1"/>
  <c r="Z40" i="1"/>
  <c r="X19" i="1"/>
  <c r="X317" i="1"/>
  <c r="X449" i="1"/>
  <c r="Z67" i="1"/>
  <c r="X205" i="1"/>
  <c r="X130" i="1"/>
  <c r="X101" i="1"/>
  <c r="X493" i="1"/>
  <c r="S270" i="1"/>
  <c r="U32" i="1"/>
  <c r="S369" i="1"/>
  <c r="U436" i="1"/>
  <c r="U470" i="1"/>
  <c r="S428" i="1"/>
  <c r="Z423" i="1"/>
  <c r="X451" i="1"/>
  <c r="U29" i="1"/>
  <c r="U15" i="1"/>
  <c r="U301" i="1"/>
  <c r="U170" i="1"/>
  <c r="U393" i="1"/>
  <c r="S498" i="1"/>
  <c r="S310" i="1"/>
  <c r="U416" i="1"/>
  <c r="U277" i="1"/>
  <c r="S188" i="1"/>
  <c r="S497" i="1"/>
  <c r="S93" i="1"/>
  <c r="X431" i="1"/>
  <c r="AA431" i="1" s="1"/>
  <c r="X472" i="1"/>
  <c r="U35" i="1"/>
  <c r="W35" i="1" s="1"/>
  <c r="AD35" i="1" s="1"/>
  <c r="AM35" i="1" s="1"/>
  <c r="U126" i="1"/>
  <c r="W126" i="1" s="1"/>
  <c r="AD126" i="1" s="1"/>
  <c r="AM126" i="1" s="1"/>
  <c r="U129" i="1"/>
  <c r="U397" i="1"/>
  <c r="U235" i="1"/>
  <c r="S332" i="1"/>
  <c r="U487" i="1"/>
  <c r="S285" i="1"/>
  <c r="S392" i="1"/>
  <c r="U36" i="1"/>
  <c r="U304" i="1"/>
  <c r="U49" i="1"/>
  <c r="W49" i="1" s="1"/>
  <c r="S128" i="1"/>
  <c r="W128" i="1" s="1"/>
  <c r="S431" i="1"/>
  <c r="S33" i="1"/>
  <c r="S315" i="1"/>
  <c r="U284" i="1"/>
  <c r="S216" i="1"/>
  <c r="S436" i="1"/>
  <c r="S169" i="1"/>
  <c r="S459" i="1"/>
  <c r="S256" i="1"/>
  <c r="U389" i="1"/>
  <c r="U296" i="1"/>
  <c r="S286" i="1"/>
  <c r="S207" i="1"/>
  <c r="W207" i="1" s="1"/>
  <c r="U127" i="1"/>
  <c r="U492" i="1"/>
  <c r="AI411" i="1"/>
  <c r="AI451" i="1"/>
  <c r="AI369" i="1"/>
  <c r="AI355" i="1"/>
  <c r="AI476" i="1"/>
  <c r="AI375" i="1"/>
  <c r="AI87" i="1"/>
  <c r="AI53" i="1"/>
  <c r="AI492" i="1"/>
  <c r="AI455" i="1"/>
  <c r="AI325" i="1"/>
  <c r="AI309" i="1"/>
  <c r="AI472" i="1"/>
  <c r="AI161" i="1"/>
  <c r="AI118" i="1"/>
  <c r="AI373" i="1"/>
  <c r="AI204" i="1"/>
  <c r="AI269" i="1"/>
  <c r="AI332" i="1"/>
  <c r="AI362" i="1"/>
  <c r="AI104" i="1"/>
  <c r="AI137" i="1"/>
  <c r="AI9" i="1"/>
  <c r="AI404" i="1"/>
  <c r="Z107" i="1"/>
  <c r="X10" i="1"/>
  <c r="X413" i="1"/>
  <c r="Z441" i="1"/>
  <c r="U136" i="1"/>
  <c r="S396" i="1"/>
  <c r="S172" i="1"/>
  <c r="X255" i="1"/>
  <c r="X429" i="1"/>
  <c r="U5" i="1"/>
  <c r="U308" i="1"/>
  <c r="S99" i="1"/>
  <c r="U478" i="1"/>
  <c r="U327" i="1"/>
  <c r="X368" i="1"/>
  <c r="S118" i="1"/>
  <c r="U200" i="1"/>
  <c r="S20" i="1"/>
  <c r="S117" i="1"/>
  <c r="S413" i="1"/>
  <c r="W413" i="1" s="1"/>
  <c r="S249" i="1"/>
  <c r="S97" i="1"/>
  <c r="U419" i="1"/>
  <c r="W419" i="1" s="1"/>
  <c r="U427" i="1"/>
  <c r="S9" i="1"/>
  <c r="U228" i="1"/>
  <c r="U401" i="1"/>
  <c r="S6" i="1"/>
  <c r="U398" i="1"/>
  <c r="AI105" i="1"/>
  <c r="AI470" i="1"/>
  <c r="AI288" i="1"/>
  <c r="AI180" i="1"/>
  <c r="AI356" i="1"/>
  <c r="AI447" i="1"/>
  <c r="AI448" i="1"/>
  <c r="AI454" i="1"/>
  <c r="AI152" i="1"/>
  <c r="AI471" i="1"/>
  <c r="AI335" i="1"/>
  <c r="AI67" i="1"/>
  <c r="AI149" i="1"/>
  <c r="AI99" i="1"/>
  <c r="AI117" i="1"/>
  <c r="AI123" i="1"/>
  <c r="AI400" i="1"/>
  <c r="AI3" i="1"/>
  <c r="Z57" i="1"/>
  <c r="Z201" i="1"/>
  <c r="X283" i="1"/>
  <c r="Z449" i="1"/>
  <c r="S130" i="1"/>
  <c r="U227" i="1"/>
  <c r="U19" i="1"/>
  <c r="S266" i="1"/>
  <c r="U115" i="1"/>
  <c r="U493" i="1"/>
  <c r="S19" i="1"/>
  <c r="W19" i="1" s="1"/>
  <c r="U396" i="1"/>
  <c r="U221" i="1"/>
  <c r="U53" i="1"/>
  <c r="U462" i="1"/>
  <c r="S236" i="1"/>
  <c r="S465" i="1"/>
  <c r="U415" i="1"/>
  <c r="S85" i="1"/>
  <c r="S264" i="1"/>
  <c r="W264" i="1" s="1"/>
  <c r="AD264" i="1" s="1"/>
  <c r="AM264" i="1" s="1"/>
  <c r="S355" i="1"/>
  <c r="S445" i="1"/>
  <c r="U91" i="1"/>
  <c r="U272" i="1"/>
  <c r="U442" i="1"/>
  <c r="U403" i="1"/>
  <c r="S208" i="1"/>
  <c r="S399" i="1"/>
  <c r="U315" i="1"/>
  <c r="S177" i="1"/>
  <c r="S368" i="1"/>
  <c r="U156" i="1"/>
  <c r="S104" i="1"/>
  <c r="W104" i="1" s="1"/>
  <c r="S319" i="1"/>
  <c r="W319" i="1" s="1"/>
  <c r="S489" i="1"/>
  <c r="U459" i="1"/>
  <c r="S121" i="1"/>
  <c r="S73" i="1"/>
  <c r="S27" i="1"/>
  <c r="S38" i="1"/>
  <c r="U364" i="1"/>
  <c r="U410" i="1"/>
  <c r="S187" i="1"/>
  <c r="U217" i="1"/>
  <c r="U307" i="1"/>
  <c r="S180" i="1"/>
  <c r="AI477" i="1"/>
  <c r="AI304" i="1"/>
  <c r="AI486" i="1"/>
  <c r="AI11" i="1"/>
  <c r="AI385" i="1"/>
  <c r="X367" i="1"/>
  <c r="Z266" i="1"/>
  <c r="X453" i="1"/>
  <c r="U266" i="1"/>
  <c r="U481" i="1"/>
  <c r="S31" i="1"/>
  <c r="S212" i="1"/>
  <c r="W212" i="1" s="1"/>
  <c r="X155" i="1"/>
  <c r="U259" i="1"/>
  <c r="U290" i="1"/>
  <c r="U445" i="1"/>
  <c r="U233" i="1"/>
  <c r="S12" i="1"/>
  <c r="U391" i="1"/>
  <c r="Z293" i="1"/>
  <c r="U432" i="1"/>
  <c r="W432" i="1" s="1"/>
  <c r="S84" i="1"/>
  <c r="S173" i="1"/>
  <c r="S461" i="1"/>
  <c r="U386" i="1"/>
  <c r="W386" i="1" s="1"/>
  <c r="AC386" i="1" s="1"/>
  <c r="AL386" i="1" s="1"/>
  <c r="S292" i="1"/>
  <c r="S225" i="1"/>
  <c r="S24" i="1"/>
  <c r="S217" i="1"/>
  <c r="S341" i="1"/>
  <c r="U105" i="1"/>
  <c r="S418" i="1"/>
  <c r="U380" i="1"/>
  <c r="U356" i="1"/>
  <c r="W356" i="1" s="1"/>
  <c r="AI142" i="1"/>
  <c r="AI209" i="1"/>
  <c r="AI453" i="1"/>
  <c r="AI270" i="1"/>
  <c r="AI446" i="1"/>
  <c r="AI457" i="1"/>
  <c r="AI213" i="1"/>
  <c r="AI401" i="1"/>
  <c r="AI215" i="1"/>
  <c r="AI295" i="1"/>
  <c r="AI212" i="1"/>
  <c r="AI321" i="1"/>
  <c r="AI342" i="1"/>
  <c r="AI44" i="1"/>
  <c r="AI443" i="1"/>
  <c r="AI121" i="1"/>
  <c r="Z305" i="1"/>
  <c r="Z23" i="1"/>
  <c r="X119" i="1"/>
  <c r="X460" i="1"/>
  <c r="U285" i="1"/>
  <c r="W285" i="1" s="1"/>
  <c r="Z446" i="1"/>
  <c r="U150" i="1"/>
  <c r="U449" i="1"/>
  <c r="U383" i="1"/>
  <c r="U116" i="1"/>
  <c r="S135" i="1"/>
  <c r="U378" i="1"/>
  <c r="U139" i="1"/>
  <c r="S28" i="1"/>
  <c r="S279" i="1"/>
  <c r="W279" i="1" s="1"/>
  <c r="U151" i="1"/>
  <c r="U455" i="1"/>
  <c r="S133" i="1"/>
  <c r="S291" i="1"/>
  <c r="W291" i="1" s="1"/>
  <c r="S376" i="1"/>
  <c r="W376" i="1" s="1"/>
  <c r="S467" i="1"/>
  <c r="U133" i="1"/>
  <c r="U474" i="1"/>
  <c r="S16" i="1"/>
  <c r="S260" i="1"/>
  <c r="S441" i="1"/>
  <c r="U443" i="1"/>
  <c r="S240" i="1"/>
  <c r="S411" i="1"/>
  <c r="U323" i="1"/>
  <c r="S168" i="1"/>
  <c r="S361" i="1"/>
  <c r="S25" i="1"/>
  <c r="S233" i="1"/>
  <c r="W233" i="1" s="1"/>
  <c r="S331" i="1"/>
  <c r="W331" i="1" s="1"/>
  <c r="AB331" i="1" s="1"/>
  <c r="AE331" i="1" s="1"/>
  <c r="AN331" i="1" s="1"/>
  <c r="U252" i="1"/>
  <c r="U97" i="1"/>
  <c r="U357" i="1"/>
  <c r="U328" i="1"/>
  <c r="S183" i="1"/>
  <c r="S274" i="1"/>
  <c r="S107" i="1"/>
  <c r="U95" i="1"/>
  <c r="U409" i="1"/>
  <c r="U286" i="1"/>
  <c r="AI498" i="1"/>
  <c r="AI291" i="1"/>
  <c r="AI323" i="1"/>
  <c r="AI176" i="1"/>
  <c r="AI427" i="1"/>
  <c r="AI474" i="1"/>
  <c r="AI201" i="1"/>
  <c r="AI312" i="1"/>
  <c r="AI363" i="1"/>
  <c r="AI463" i="1"/>
  <c r="AI281" i="1"/>
  <c r="AI445" i="1"/>
  <c r="AI414" i="1"/>
  <c r="AI150" i="1"/>
  <c r="AI186" i="1"/>
  <c r="AI284" i="1"/>
  <c r="AI59" i="1"/>
  <c r="AI236" i="1"/>
  <c r="AI173" i="1"/>
  <c r="AI97" i="1"/>
  <c r="AI101" i="1"/>
  <c r="X313" i="1"/>
  <c r="X381" i="1"/>
  <c r="U93" i="1"/>
  <c r="S150" i="1"/>
  <c r="W150" i="1" s="1"/>
  <c r="U163" i="1"/>
  <c r="U50" i="1"/>
  <c r="S358" i="1"/>
  <c r="U66" i="1"/>
  <c r="S434" i="1"/>
  <c r="U368" i="1"/>
  <c r="S63" i="1"/>
  <c r="U468" i="1"/>
  <c r="U171" i="1"/>
  <c r="S52" i="1"/>
  <c r="S300" i="1"/>
  <c r="W300" i="1" s="1"/>
  <c r="AC300" i="1" s="1"/>
  <c r="AL300" i="1" s="1"/>
  <c r="U193" i="1"/>
  <c r="U471" i="1"/>
  <c r="S141" i="1"/>
  <c r="S296" i="1"/>
  <c r="S381" i="1"/>
  <c r="S472" i="1"/>
  <c r="U144" i="1"/>
  <c r="U322" i="1"/>
  <c r="U482" i="1"/>
  <c r="S32" i="1"/>
  <c r="W32" i="1" s="1"/>
  <c r="S271" i="1"/>
  <c r="W271" i="1" s="1"/>
  <c r="S452" i="1"/>
  <c r="U475" i="1"/>
  <c r="S251" i="1"/>
  <c r="W251" i="1" s="1"/>
  <c r="S421" i="1"/>
  <c r="U355" i="1"/>
  <c r="S184" i="1"/>
  <c r="S372" i="1"/>
  <c r="S89" i="1"/>
  <c r="S277" i="1"/>
  <c r="S373" i="1"/>
  <c r="S137" i="1"/>
  <c r="S235" i="1"/>
  <c r="W235" i="1" s="1"/>
  <c r="AD235" i="1" s="1"/>
  <c r="AM235" i="1" s="1"/>
  <c r="U325" i="1"/>
  <c r="S215" i="1"/>
  <c r="U108" i="1"/>
  <c r="U120" i="1"/>
  <c r="S167" i="1"/>
  <c r="U185" i="1"/>
  <c r="S366" i="1"/>
  <c r="U294" i="1"/>
  <c r="AI267" i="1"/>
  <c r="AI235" i="1"/>
  <c r="AI49" i="1"/>
  <c r="AI45" i="1"/>
  <c r="AI392" i="1"/>
  <c r="AI302" i="1"/>
  <c r="X62" i="1"/>
  <c r="AI62" i="1"/>
  <c r="S62" i="1"/>
  <c r="S182" i="1"/>
  <c r="U182" i="1"/>
  <c r="S202" i="1"/>
  <c r="S238" i="1"/>
  <c r="U242" i="1"/>
  <c r="X242" i="1"/>
  <c r="U254" i="1"/>
  <c r="W254" i="1" s="1"/>
  <c r="AI254" i="1"/>
  <c r="U298" i="1"/>
  <c r="AI298" i="1"/>
  <c r="S298" i="1"/>
  <c r="U314" i="1"/>
  <c r="U338" i="1"/>
  <c r="X346" i="1"/>
  <c r="AI370" i="1"/>
  <c r="S458" i="1"/>
  <c r="Z490" i="1"/>
  <c r="X490" i="1"/>
  <c r="AI438" i="1"/>
  <c r="AI343" i="1"/>
  <c r="AI329" i="1"/>
  <c r="AI210" i="1"/>
  <c r="AI435" i="1"/>
  <c r="AI384" i="1"/>
  <c r="AI165" i="1"/>
  <c r="AI220" i="1"/>
  <c r="AI41" i="1"/>
  <c r="AI214" i="1"/>
  <c r="AI364" i="1"/>
  <c r="AI98" i="1"/>
  <c r="AI119" i="1"/>
  <c r="AI36" i="1"/>
  <c r="AI166" i="1"/>
  <c r="S334" i="1"/>
  <c r="U336" i="1"/>
  <c r="S23" i="1"/>
  <c r="U353" i="1"/>
  <c r="U472" i="1"/>
  <c r="U52" i="1"/>
  <c r="S147" i="1"/>
  <c r="S299" i="1"/>
  <c r="U363" i="1"/>
  <c r="S309" i="1"/>
  <c r="W309" i="1" s="1"/>
  <c r="S329" i="1"/>
  <c r="S56" i="1"/>
  <c r="S464" i="1"/>
  <c r="S193" i="1"/>
  <c r="U188" i="1"/>
  <c r="S313" i="1"/>
  <c r="U435" i="1"/>
  <c r="U402" i="1"/>
  <c r="U197" i="1"/>
  <c r="S451" i="1"/>
  <c r="S339" i="1"/>
  <c r="S197" i="1"/>
  <c r="U423" i="1"/>
  <c r="S439" i="1"/>
  <c r="S116" i="1"/>
  <c r="U85" i="1"/>
  <c r="S46" i="1"/>
  <c r="U28" i="1"/>
  <c r="S91" i="1"/>
  <c r="U51" i="1"/>
  <c r="U142" i="1"/>
  <c r="U77" i="1"/>
  <c r="X496" i="1"/>
  <c r="Z256" i="1"/>
  <c r="X21" i="1"/>
  <c r="AI264" i="1"/>
  <c r="AI226" i="1"/>
  <c r="AI216" i="1"/>
  <c r="AI181" i="1"/>
  <c r="AI353" i="1"/>
  <c r="AI424" i="1"/>
  <c r="AI365" i="1"/>
  <c r="AI207" i="1"/>
  <c r="AI361" i="1"/>
  <c r="AI30" i="1"/>
  <c r="AI225" i="1"/>
  <c r="AI239" i="1"/>
  <c r="AI425" i="1"/>
  <c r="AI485" i="1"/>
  <c r="AI272" i="1"/>
  <c r="U351" i="1"/>
  <c r="U381" i="1"/>
  <c r="U334" i="1"/>
  <c r="U79" i="1"/>
  <c r="S350" i="1"/>
  <c r="U209" i="1"/>
  <c r="S447" i="1"/>
  <c r="W447" i="1" s="1"/>
  <c r="S40" i="1"/>
  <c r="S325" i="1"/>
  <c r="U145" i="1"/>
  <c r="S144" i="1"/>
  <c r="U394" i="1"/>
  <c r="U48" i="1"/>
  <c r="S333" i="1"/>
  <c r="S45" i="1"/>
  <c r="S423" i="1"/>
  <c r="U382" i="1"/>
  <c r="U24" i="1"/>
  <c r="S227" i="1"/>
  <c r="W227" i="1" s="1"/>
  <c r="U485" i="1"/>
  <c r="S58" i="1"/>
  <c r="W58" i="1" s="1"/>
  <c r="Z460" i="1"/>
  <c r="Z198" i="1"/>
  <c r="Z376" i="1"/>
  <c r="AI55" i="1"/>
  <c r="AI227" i="1"/>
  <c r="AI333" i="1"/>
  <c r="AI395" i="1"/>
  <c r="AI450" i="1"/>
  <c r="AI29" i="1"/>
  <c r="AI350" i="1"/>
  <c r="AI217" i="1"/>
  <c r="AI428" i="1"/>
  <c r="S55" i="1"/>
  <c r="S195" i="1"/>
  <c r="S351" i="1"/>
  <c r="U103" i="1"/>
  <c r="U176" i="1"/>
  <c r="U247" i="1"/>
  <c r="U121" i="1"/>
  <c r="S259" i="1"/>
  <c r="U337" i="1"/>
  <c r="U62" i="1"/>
  <c r="X99" i="1"/>
  <c r="AA99" i="1" s="1"/>
  <c r="U64" i="1"/>
  <c r="X466" i="1"/>
  <c r="Z13" i="1"/>
  <c r="Z36" i="1"/>
  <c r="AI175" i="1"/>
  <c r="AI449" i="1"/>
  <c r="AI233" i="1"/>
  <c r="AI91" i="1"/>
  <c r="AI315" i="1"/>
  <c r="AI122" i="1"/>
  <c r="AI200" i="1"/>
  <c r="AI187" i="1"/>
  <c r="AI349" i="1"/>
  <c r="AI13" i="1"/>
  <c r="AI327" i="1"/>
  <c r="AI354" i="1"/>
  <c r="AI491" i="1"/>
  <c r="AI358" i="1"/>
  <c r="AI462" i="1"/>
  <c r="S186" i="1"/>
  <c r="W186" i="1" s="1"/>
  <c r="U38" i="1"/>
  <c r="S87" i="1"/>
  <c r="U340" i="1"/>
  <c r="U372" i="1"/>
  <c r="U164" i="1"/>
  <c r="W164" i="1" s="1"/>
  <c r="S474" i="1"/>
  <c r="H9" i="2"/>
  <c r="N12" i="2" s="1"/>
  <c r="N13" i="2" s="1"/>
  <c r="S448" i="1"/>
  <c r="U124" i="1"/>
  <c r="S287" i="1"/>
  <c r="U483" i="1"/>
  <c r="S379" i="1"/>
  <c r="S129" i="1"/>
  <c r="S495" i="1"/>
  <c r="W495" i="1" s="1"/>
  <c r="S224" i="1"/>
  <c r="U305" i="1"/>
  <c r="U362" i="1"/>
  <c r="U101" i="1"/>
  <c r="S429" i="1"/>
  <c r="S317" i="1"/>
  <c r="S101" i="1"/>
  <c r="U359" i="1"/>
  <c r="S380" i="1"/>
  <c r="U486" i="1"/>
  <c r="U346" i="1"/>
  <c r="U201" i="1"/>
  <c r="S14" i="1"/>
  <c r="U94" i="1"/>
  <c r="U287" i="1"/>
  <c r="Z486" i="1"/>
  <c r="X462" i="1"/>
  <c r="S262" i="1"/>
  <c r="X79" i="1"/>
  <c r="X414" i="1"/>
  <c r="Z349" i="1"/>
  <c r="AI58" i="1"/>
  <c r="AI366" i="1"/>
  <c r="AI26" i="1"/>
  <c r="AI257" i="1"/>
  <c r="AI434" i="1"/>
  <c r="AI249" i="1"/>
  <c r="AI406" i="1"/>
  <c r="AI154" i="1"/>
  <c r="AI466" i="1"/>
  <c r="AI40" i="1"/>
  <c r="AI495" i="1"/>
  <c r="AI162" i="1"/>
  <c r="AI347" i="1"/>
  <c r="AI46" i="1"/>
  <c r="AI393" i="1"/>
  <c r="U444" i="1"/>
  <c r="W444" i="1" s="1"/>
  <c r="AB444" i="1" s="1"/>
  <c r="AE444" i="1" s="1"/>
  <c r="AN444" i="1" s="1"/>
  <c r="S39" i="1"/>
  <c r="S294" i="1"/>
  <c r="U196" i="1"/>
  <c r="U392" i="1"/>
  <c r="S405" i="1"/>
  <c r="S404" i="1"/>
  <c r="U451" i="1"/>
  <c r="S283" i="1"/>
  <c r="S484" i="1"/>
  <c r="S80" i="1"/>
  <c r="U354" i="1"/>
  <c r="S488" i="1"/>
  <c r="S312" i="1"/>
  <c r="S5" i="1"/>
  <c r="S348" i="1"/>
  <c r="U245" i="1"/>
  <c r="U365" i="1"/>
  <c r="S438" i="1"/>
  <c r="S170" i="1"/>
  <c r="X497" i="1"/>
  <c r="X469" i="1"/>
  <c r="X364" i="1"/>
  <c r="AI18" i="1"/>
  <c r="AI10" i="1"/>
  <c r="AI94" i="1"/>
  <c r="AI388" i="1"/>
  <c r="AI47" i="1"/>
  <c r="AI314" i="1"/>
  <c r="AI300" i="1"/>
  <c r="AI51" i="1"/>
  <c r="AI130" i="1"/>
  <c r="AI303" i="1"/>
  <c r="S127" i="1"/>
  <c r="U44" i="1"/>
  <c r="S265" i="1"/>
  <c r="S473" i="1"/>
  <c r="U123" i="1"/>
  <c r="U140" i="1"/>
  <c r="U406" i="1"/>
  <c r="S237" i="1"/>
  <c r="S302" i="1"/>
  <c r="U118" i="1"/>
  <c r="X111" i="1"/>
  <c r="S407" i="1"/>
  <c r="Z442" i="1"/>
  <c r="X145" i="1"/>
  <c r="X285" i="1"/>
  <c r="Z462" i="1"/>
  <c r="Z54" i="1"/>
  <c r="S134" i="1"/>
  <c r="S362" i="1"/>
  <c r="S394" i="1"/>
  <c r="W394" i="1" s="1"/>
  <c r="AD394" i="1" s="1"/>
  <c r="AM394" i="1" s="1"/>
  <c r="U446" i="1"/>
  <c r="AI482" i="1"/>
  <c r="S146" i="1"/>
  <c r="F38" i="6"/>
  <c r="AI38" i="1"/>
  <c r="F22" i="6"/>
  <c r="AI81" i="1"/>
  <c r="AI310" i="1"/>
  <c r="U177" i="1"/>
  <c r="W177" i="1" s="1"/>
  <c r="AI145" i="1"/>
  <c r="S71" i="1"/>
  <c r="U60" i="1"/>
  <c r="U137" i="1"/>
  <c r="S123" i="1"/>
  <c r="AI12" i="1"/>
  <c r="AI337" i="1"/>
  <c r="AI496" i="1"/>
  <c r="AI50" i="1"/>
  <c r="AI274" i="1"/>
  <c r="AI497" i="1"/>
  <c r="U385" i="1"/>
  <c r="U208" i="1"/>
  <c r="X100" i="1"/>
  <c r="X106" i="1"/>
  <c r="X262" i="1"/>
  <c r="Z90" i="1"/>
  <c r="X232" i="1"/>
  <c r="X41" i="1"/>
  <c r="Z111" i="1"/>
  <c r="X17" i="1"/>
  <c r="X369" i="1"/>
  <c r="X36" i="1"/>
  <c r="X150" i="1"/>
  <c r="X144" i="1"/>
  <c r="Z136" i="1"/>
  <c r="X316" i="1"/>
  <c r="Z189" i="1"/>
  <c r="Z207" i="1"/>
  <c r="X225" i="1"/>
  <c r="Z6" i="1"/>
  <c r="X293" i="1"/>
  <c r="X108" i="1"/>
  <c r="Z94" i="1"/>
  <c r="X204" i="1"/>
  <c r="X415" i="1"/>
  <c r="Z332" i="1"/>
  <c r="Z155" i="1"/>
  <c r="Z178" i="1"/>
  <c r="Z116" i="1"/>
  <c r="X338" i="1"/>
  <c r="Z319" i="1"/>
  <c r="Z81" i="1"/>
  <c r="U238" i="1"/>
  <c r="X331" i="1"/>
  <c r="X151" i="1"/>
  <c r="X424" i="1"/>
  <c r="Z326" i="1"/>
  <c r="X405" i="1"/>
  <c r="AA405" i="1" s="1"/>
  <c r="Z219" i="1"/>
  <c r="Z439" i="1"/>
  <c r="X92" i="1"/>
  <c r="Z160" i="1"/>
  <c r="Z314" i="1"/>
  <c r="Z303" i="1"/>
  <c r="Z402" i="1"/>
  <c r="X254" i="1"/>
  <c r="X281" i="1"/>
  <c r="X55" i="1"/>
  <c r="X396" i="1"/>
  <c r="X349" i="1"/>
  <c r="X165" i="1"/>
  <c r="X93" i="1"/>
  <c r="U216" i="1"/>
  <c r="X464" i="1"/>
  <c r="Z492" i="1"/>
  <c r="Z14" i="1"/>
  <c r="X76" i="1"/>
  <c r="X148" i="1"/>
  <c r="Z374" i="1"/>
  <c r="X120" i="1"/>
  <c r="Z221" i="1"/>
  <c r="Z491" i="1"/>
  <c r="X51" i="1"/>
  <c r="Z224" i="1"/>
  <c r="X133" i="1"/>
  <c r="X75" i="1"/>
  <c r="X480" i="1"/>
  <c r="Z480" i="1"/>
  <c r="S98" i="1"/>
  <c r="Z429" i="1"/>
  <c r="U33" i="1"/>
  <c r="Z223" i="1"/>
  <c r="Z142" i="1"/>
  <c r="X290" i="1"/>
  <c r="Z339" i="1"/>
  <c r="Z389" i="1"/>
  <c r="X61" i="1"/>
  <c r="Z101" i="1"/>
  <c r="X310" i="1"/>
  <c r="Z150" i="1"/>
  <c r="Z302" i="1"/>
  <c r="X170" i="1"/>
  <c r="X15" i="1"/>
  <c r="X303" i="1"/>
  <c r="X391" i="1"/>
  <c r="X30" i="1"/>
  <c r="Z272" i="1"/>
  <c r="Z424" i="1"/>
  <c r="Z43" i="1"/>
  <c r="Z336" i="1"/>
  <c r="Z425" i="1"/>
  <c r="Z291" i="1"/>
  <c r="Z61" i="1"/>
  <c r="X402" i="1"/>
  <c r="Z236" i="1"/>
  <c r="Z363" i="1"/>
  <c r="X173" i="1"/>
  <c r="X270" i="1"/>
  <c r="Z381" i="1"/>
  <c r="X308" i="1"/>
  <c r="Z416" i="1"/>
  <c r="Z407" i="1"/>
  <c r="X433" i="1"/>
  <c r="X403" i="1"/>
  <c r="X219" i="1"/>
  <c r="Z35" i="1"/>
  <c r="X374" i="1"/>
  <c r="AA374" i="1" s="1"/>
  <c r="Z208" i="1"/>
  <c r="X307" i="1"/>
  <c r="X125" i="1"/>
  <c r="X83" i="1"/>
  <c r="Z465" i="1"/>
  <c r="X444" i="1"/>
  <c r="Z472" i="1"/>
  <c r="X300" i="1"/>
  <c r="X158" i="1"/>
  <c r="Z268" i="1"/>
  <c r="X9" i="1"/>
  <c r="X80" i="1"/>
  <c r="X161" i="1"/>
  <c r="Z353" i="1"/>
  <c r="Z7" i="1"/>
  <c r="X475" i="1"/>
  <c r="X117" i="1"/>
  <c r="U13" i="1"/>
  <c r="X456" i="1"/>
  <c r="Z456" i="1"/>
  <c r="U243" i="1"/>
  <c r="S314" i="1"/>
  <c r="Z118" i="1"/>
  <c r="S190" i="1"/>
  <c r="Z230" i="1"/>
  <c r="Z350" i="1"/>
  <c r="X474" i="1"/>
  <c r="U2" i="1"/>
  <c r="W2" i="1" s="1"/>
  <c r="S492" i="1"/>
  <c r="S391" i="1"/>
  <c r="S263" i="1"/>
  <c r="S132" i="1"/>
  <c r="S4" i="1"/>
  <c r="U309" i="1"/>
  <c r="U107" i="1"/>
  <c r="S289" i="1"/>
  <c r="W289" i="1" s="1"/>
  <c r="U400" i="1"/>
  <c r="U111" i="1"/>
  <c r="S219" i="1"/>
  <c r="U165" i="1"/>
  <c r="U54" i="1"/>
  <c r="S83" i="1"/>
  <c r="U429" i="1"/>
  <c r="U473" i="1"/>
  <c r="U352" i="1"/>
  <c r="S250" i="1"/>
  <c r="U258" i="1"/>
  <c r="U230" i="1"/>
  <c r="Z470" i="1"/>
  <c r="S230" i="1"/>
  <c r="S66" i="1"/>
  <c r="W66" i="1" s="1"/>
  <c r="X419" i="1"/>
  <c r="X411" i="1"/>
  <c r="X341" i="1"/>
  <c r="Z267" i="1"/>
  <c r="Z351" i="1"/>
  <c r="X287" i="1"/>
  <c r="Z20" i="1"/>
  <c r="X427" i="1"/>
  <c r="X71" i="1"/>
  <c r="X265" i="1"/>
  <c r="X352" i="1"/>
  <c r="X179" i="1"/>
  <c r="Z253" i="1"/>
  <c r="Z103" i="1"/>
  <c r="Z100" i="1"/>
  <c r="X127" i="1"/>
  <c r="Z214" i="1"/>
  <c r="Z39" i="1"/>
  <c r="Z451" i="1"/>
  <c r="X495" i="1"/>
  <c r="X215" i="1"/>
  <c r="X58" i="1"/>
  <c r="X302" i="1"/>
  <c r="X196" i="1"/>
  <c r="Z170" i="1"/>
  <c r="Z378" i="1"/>
  <c r="X264" i="1"/>
  <c r="X329" i="1"/>
  <c r="S305" i="1"/>
  <c r="AI208" i="1"/>
  <c r="AI133" i="1"/>
  <c r="AI229" i="1"/>
  <c r="S124" i="1"/>
  <c r="S8" i="1"/>
  <c r="S384" i="1"/>
  <c r="AI341" i="1"/>
  <c r="X240" i="1"/>
  <c r="X212" i="1"/>
  <c r="U74" i="1"/>
  <c r="AI82" i="1"/>
  <c r="U10" i="1"/>
  <c r="S352" i="1"/>
  <c r="AI182" i="1"/>
  <c r="AI408" i="1"/>
  <c r="AI37" i="1"/>
  <c r="AI80" i="1"/>
  <c r="AI167" i="1"/>
  <c r="AI398" i="1"/>
  <c r="AI85" i="1"/>
  <c r="Z187" i="1"/>
  <c r="X115" i="1"/>
  <c r="S323" i="1"/>
  <c r="S491" i="1"/>
  <c r="AI340" i="1"/>
  <c r="AI33" i="1"/>
  <c r="U316" i="1"/>
  <c r="W316" i="1" s="1"/>
  <c r="AB316" i="1" s="1"/>
  <c r="AE316" i="1" s="1"/>
  <c r="AN316" i="1" s="1"/>
  <c r="X135" i="1"/>
  <c r="U377" i="1"/>
  <c r="AI184" i="1"/>
  <c r="AI19" i="1"/>
  <c r="Z30" i="1"/>
  <c r="Z271" i="1"/>
  <c r="Z74" i="1"/>
  <c r="U110" i="1"/>
  <c r="S213" i="1"/>
  <c r="S131" i="1"/>
  <c r="AI199" i="1"/>
  <c r="AI70" i="1"/>
  <c r="AI396" i="1"/>
  <c r="AI238" i="1"/>
  <c r="AI183" i="1"/>
  <c r="AI489" i="1"/>
  <c r="AI5" i="1"/>
  <c r="U299" i="1"/>
  <c r="S385" i="1"/>
  <c r="U370" i="1"/>
  <c r="U132" i="1"/>
  <c r="AI188" i="1"/>
  <c r="AI112" i="1"/>
  <c r="S408" i="1"/>
  <c r="W408" i="1" s="1"/>
  <c r="AI391" i="1"/>
  <c r="AI440" i="1"/>
  <c r="AA438" i="1"/>
  <c r="AA158" i="1"/>
  <c r="AI64" i="1"/>
  <c r="S402" i="1"/>
  <c r="S81" i="1"/>
  <c r="U47" i="1"/>
  <c r="AI367" i="1"/>
  <c r="AI318" i="1"/>
  <c r="AI416" i="1"/>
  <c r="AI420" i="1"/>
  <c r="U311" i="1"/>
  <c r="S255" i="1"/>
  <c r="AI144" i="1"/>
  <c r="AI275" i="1"/>
  <c r="AI102" i="1"/>
  <c r="AI77" i="1"/>
  <c r="K20" i="2"/>
  <c r="H20" i="2" s="1"/>
  <c r="AI461" i="1"/>
  <c r="AI371" i="1"/>
  <c r="S21" i="1"/>
  <c r="AI157" i="1"/>
  <c r="AI305" i="1"/>
  <c r="AI287" i="1"/>
  <c r="U256" i="1"/>
  <c r="X492" i="1"/>
  <c r="AA492" i="1" s="1"/>
  <c r="AI206" i="1"/>
  <c r="AI262" i="1"/>
  <c r="S425" i="1"/>
  <c r="U281" i="1"/>
  <c r="AI69" i="1"/>
  <c r="AI54" i="1"/>
  <c r="U375" i="1"/>
  <c r="AI488" i="1"/>
  <c r="AI131" i="1"/>
  <c r="AI368" i="1"/>
  <c r="AI260" i="1"/>
  <c r="S304" i="1"/>
  <c r="S159" i="1"/>
  <c r="AI136" i="1"/>
  <c r="AI279" i="1"/>
  <c r="AI148" i="1"/>
  <c r="AI141" i="1"/>
  <c r="AI255" i="1"/>
  <c r="U16" i="1"/>
  <c r="U269" i="1"/>
  <c r="AI63" i="1"/>
  <c r="AI60" i="1"/>
  <c r="AI480" i="1"/>
  <c r="S475" i="1"/>
  <c r="AI221" i="1"/>
  <c r="S112" i="1"/>
  <c r="S138" i="1"/>
  <c r="W185" i="1" l="1"/>
  <c r="AC185" i="1" s="1"/>
  <c r="AL185" i="1" s="1"/>
  <c r="AA163" i="1"/>
  <c r="AA469" i="1"/>
  <c r="W176" i="1"/>
  <c r="AC176" i="1" s="1"/>
  <c r="AL176" i="1" s="1"/>
  <c r="AA457" i="1"/>
  <c r="AA344" i="1"/>
  <c r="W340" i="1"/>
  <c r="AB340" i="1" s="1"/>
  <c r="AA368" i="1"/>
  <c r="W100" i="1"/>
  <c r="AB100" i="1" s="1"/>
  <c r="W122" i="1"/>
  <c r="AB122" i="1" s="1"/>
  <c r="AE122" i="1" s="1"/>
  <c r="AN122" i="1" s="1"/>
  <c r="AA194" i="1"/>
  <c r="W65" i="1"/>
  <c r="AB65" i="1" s="1"/>
  <c r="W343" i="1"/>
  <c r="AD343" i="1" s="1"/>
  <c r="AM343" i="1" s="1"/>
  <c r="AA22" i="1"/>
  <c r="AA124" i="1"/>
  <c r="AA372" i="1"/>
  <c r="AA135" i="1"/>
  <c r="W415" i="1"/>
  <c r="AC415" i="1" s="1"/>
  <c r="AL415" i="1" s="1"/>
  <c r="W107" i="1"/>
  <c r="AB107" i="1" s="1"/>
  <c r="AE107" i="1" s="1"/>
  <c r="AA108" i="1"/>
  <c r="W184" i="1"/>
  <c r="AC184" i="1" s="1"/>
  <c r="AL184" i="1" s="1"/>
  <c r="W153" i="1"/>
  <c r="AB153" i="1" s="1"/>
  <c r="AE153" i="1" s="1"/>
  <c r="AN153" i="1" s="1"/>
  <c r="W110" i="1"/>
  <c r="AD110" i="1" s="1"/>
  <c r="AM110" i="1" s="1"/>
  <c r="W358" i="1"/>
  <c r="AC358" i="1" s="1"/>
  <c r="AL358" i="1" s="1"/>
  <c r="W190" i="1"/>
  <c r="AD190" i="1" s="1"/>
  <c r="AM190" i="1" s="1"/>
  <c r="W201" i="1"/>
  <c r="AB201" i="1" s="1"/>
  <c r="W147" i="1"/>
  <c r="AD147" i="1" s="1"/>
  <c r="AM147" i="1" s="1"/>
  <c r="W98" i="1"/>
  <c r="AB98" i="1" s="1"/>
  <c r="W313" i="1"/>
  <c r="AB313" i="1" s="1"/>
  <c r="W9" i="1"/>
  <c r="AD9" i="1" s="1"/>
  <c r="AM9" i="1" s="1"/>
  <c r="W391" i="1"/>
  <c r="AC391" i="1" s="1"/>
  <c r="AL391" i="1" s="1"/>
  <c r="W317" i="1"/>
  <c r="AC317" i="1" s="1"/>
  <c r="AL317" i="1" s="1"/>
  <c r="W120" i="1"/>
  <c r="AD120" i="1" s="1"/>
  <c r="AM120" i="1" s="1"/>
  <c r="W421" i="1"/>
  <c r="AB421" i="1" s="1"/>
  <c r="W378" i="1"/>
  <c r="AC378" i="1" s="1"/>
  <c r="AL378" i="1" s="1"/>
  <c r="W308" i="1"/>
  <c r="AB308" i="1" s="1"/>
  <c r="W33" i="1"/>
  <c r="AB33" i="1" s="1"/>
  <c r="W393" i="1"/>
  <c r="AB393" i="1" s="1"/>
  <c r="AA191" i="1"/>
  <c r="W125" i="1"/>
  <c r="AB125" i="1" s="1"/>
  <c r="W163" i="1"/>
  <c r="AD163" i="1" s="1"/>
  <c r="AM163" i="1" s="1"/>
  <c r="AA335" i="1"/>
  <c r="W494" i="1"/>
  <c r="AC494" i="1" s="1"/>
  <c r="AL494" i="1" s="1"/>
  <c r="W198" i="1"/>
  <c r="AC198" i="1" s="1"/>
  <c r="AL198" i="1" s="1"/>
  <c r="AA183" i="1"/>
  <c r="W455" i="1"/>
  <c r="AC455" i="1" s="1"/>
  <c r="AL455" i="1" s="1"/>
  <c r="AA131" i="1"/>
  <c r="W86" i="1"/>
  <c r="AC86" i="1" s="1"/>
  <c r="AL86" i="1" s="1"/>
  <c r="W179" i="1"/>
  <c r="AC179" i="1" s="1"/>
  <c r="AL179" i="1" s="1"/>
  <c r="W482" i="1"/>
  <c r="AC482" i="1" s="1"/>
  <c r="AL482" i="1" s="1"/>
  <c r="W88" i="1"/>
  <c r="AC88" i="1" s="1"/>
  <c r="AL88" i="1" s="1"/>
  <c r="AA182" i="1"/>
  <c r="AA48" i="1"/>
  <c r="AA184" i="1"/>
  <c r="W204" i="1"/>
  <c r="AB204" i="1" s="1"/>
  <c r="AE204" i="1" s="1"/>
  <c r="AN204" i="1" s="1"/>
  <c r="W106" i="1"/>
  <c r="AC106" i="1" s="1"/>
  <c r="AL106" i="1" s="1"/>
  <c r="AA232" i="1"/>
  <c r="AA222" i="1"/>
  <c r="W478" i="1"/>
  <c r="AC478" i="1" s="1"/>
  <c r="AL478" i="1" s="1"/>
  <c r="AA32" i="1"/>
  <c r="AA347" i="1"/>
  <c r="AA400" i="1"/>
  <c r="AA77" i="1"/>
  <c r="AA333" i="1"/>
  <c r="AA160" i="1"/>
  <c r="AA175" i="1"/>
  <c r="AA361" i="1"/>
  <c r="AA72" i="1"/>
  <c r="AA65" i="1"/>
  <c r="AA415" i="1"/>
  <c r="AA109" i="1"/>
  <c r="AA95" i="1"/>
  <c r="W214" i="1"/>
  <c r="AC214" i="1" s="1"/>
  <c r="AL214" i="1" s="1"/>
  <c r="W241" i="1"/>
  <c r="AC241" i="1" s="1"/>
  <c r="AL241" i="1" s="1"/>
  <c r="W79" i="1"/>
  <c r="AB79" i="1" s="1"/>
  <c r="AE79" i="1" s="1"/>
  <c r="AN79" i="1" s="1"/>
  <c r="W418" i="1"/>
  <c r="AB418" i="1" s="1"/>
  <c r="AE418" i="1" s="1"/>
  <c r="W435" i="1"/>
  <c r="AC435" i="1" s="1"/>
  <c r="AL435" i="1" s="1"/>
  <c r="W458" i="1"/>
  <c r="AC458" i="1" s="1"/>
  <c r="AL458" i="1" s="1"/>
  <c r="W277" i="1"/>
  <c r="W411" i="1"/>
  <c r="W188" i="1"/>
  <c r="AB188" i="1" s="1"/>
  <c r="W428" i="1"/>
  <c r="AC428" i="1" s="1"/>
  <c r="AL428" i="1" s="1"/>
  <c r="W203" i="1"/>
  <c r="AB203" i="1" s="1"/>
  <c r="AE203" i="1" s="1"/>
  <c r="AN203" i="1" s="1"/>
  <c r="W67" i="1"/>
  <c r="AD67" i="1" s="1"/>
  <c r="AM67" i="1" s="1"/>
  <c r="AA172" i="1"/>
  <c r="W284" i="1"/>
  <c r="AB284" i="1" s="1"/>
  <c r="AE284" i="1" s="1"/>
  <c r="AN284" i="1" s="1"/>
  <c r="W329" i="1"/>
  <c r="AB329" i="1" s="1"/>
  <c r="AA244" i="1"/>
  <c r="AA261" i="1"/>
  <c r="AA247" i="1"/>
  <c r="AA130" i="1"/>
  <c r="AA64" i="1"/>
  <c r="W346" i="1"/>
  <c r="AC346" i="1" s="1"/>
  <c r="AL346" i="1" s="1"/>
  <c r="W166" i="1"/>
  <c r="AD166" i="1" s="1"/>
  <c r="AM166" i="1" s="1"/>
  <c r="W112" i="1"/>
  <c r="AB112" i="1" s="1"/>
  <c r="AE112" i="1" s="1"/>
  <c r="AN112" i="1" s="1"/>
  <c r="W47" i="1"/>
  <c r="AD47" i="1" s="1"/>
  <c r="AM47" i="1" s="1"/>
  <c r="W370" i="1"/>
  <c r="AD370" i="1" s="1"/>
  <c r="AM370" i="1" s="1"/>
  <c r="W263" i="1"/>
  <c r="AD263" i="1" s="1"/>
  <c r="AM263" i="1" s="1"/>
  <c r="W46" i="1"/>
  <c r="AD46" i="1" s="1"/>
  <c r="AM46" i="1" s="1"/>
  <c r="W443" i="1"/>
  <c r="AC443" i="1" s="1"/>
  <c r="AL443" i="1" s="1"/>
  <c r="W493" i="1"/>
  <c r="AD493" i="1" s="1"/>
  <c r="AM493" i="1" s="1"/>
  <c r="W345" i="1"/>
  <c r="AD345" i="1" s="1"/>
  <c r="AM345" i="1" s="1"/>
  <c r="AA306" i="1"/>
  <c r="AA399" i="1"/>
  <c r="AA483" i="1"/>
  <c r="AA413" i="1"/>
  <c r="AA180" i="1"/>
  <c r="W293" i="1"/>
  <c r="AD293" i="1" s="1"/>
  <c r="AM293" i="1" s="1"/>
  <c r="AA199" i="1"/>
  <c r="AA200" i="1"/>
  <c r="AA47" i="1"/>
  <c r="AA53" i="1"/>
  <c r="AA114" i="1"/>
  <c r="AA440" i="1"/>
  <c r="AA267" i="1"/>
  <c r="AA263" i="1"/>
  <c r="W90" i="1"/>
  <c r="AC90" i="1" s="1"/>
  <c r="AL90" i="1" s="1"/>
  <c r="AA359" i="1"/>
  <c r="AA249" i="1"/>
  <c r="AA97" i="1"/>
  <c r="AA12" i="1"/>
  <c r="W454" i="1"/>
  <c r="AD454" i="1" s="1"/>
  <c r="AM454" i="1" s="1"/>
  <c r="AA436" i="1"/>
  <c r="AA422" i="1"/>
  <c r="AA153" i="1"/>
  <c r="AA238" i="1"/>
  <c r="W467" i="1"/>
  <c r="AA255" i="1"/>
  <c r="AA467" i="1"/>
  <c r="W81" i="1"/>
  <c r="AB81" i="1" s="1"/>
  <c r="AE81" i="1" s="1"/>
  <c r="AN81" i="1" s="1"/>
  <c r="W282" i="1"/>
  <c r="AB282" i="1" s="1"/>
  <c r="AE282" i="1" s="1"/>
  <c r="AN282" i="1" s="1"/>
  <c r="W41" i="1"/>
  <c r="AB41" i="1" s="1"/>
  <c r="AE41" i="1" s="1"/>
  <c r="W349" i="1"/>
  <c r="AC349" i="1" s="1"/>
  <c r="AL349" i="1" s="1"/>
  <c r="AA296" i="1"/>
  <c r="AA328" i="1"/>
  <c r="AA354" i="1"/>
  <c r="AA279" i="1"/>
  <c r="AA203" i="1"/>
  <c r="W231" i="1"/>
  <c r="AA471" i="1"/>
  <c r="AA68" i="1"/>
  <c r="AA6" i="1"/>
  <c r="AA195" i="1"/>
  <c r="AA69" i="1"/>
  <c r="AA168" i="1"/>
  <c r="W73" i="1"/>
  <c r="AD73" i="1" s="1"/>
  <c r="AM73" i="1" s="1"/>
  <c r="AA433" i="1"/>
  <c r="AA259" i="1"/>
  <c r="W114" i="1"/>
  <c r="AB114" i="1" s="1"/>
  <c r="AA394" i="1"/>
  <c r="AA484" i="1"/>
  <c r="AA105" i="1"/>
  <c r="AA59" i="1"/>
  <c r="AA395" i="1"/>
  <c r="AA355" i="1"/>
  <c r="W119" i="1"/>
  <c r="AD119" i="1" s="1"/>
  <c r="AM119" i="1" s="1"/>
  <c r="W206" i="1"/>
  <c r="AD206" i="1" s="1"/>
  <c r="AM206" i="1" s="1"/>
  <c r="AA174" i="1"/>
  <c r="AA145" i="1"/>
  <c r="AA87" i="1"/>
  <c r="W192" i="1"/>
  <c r="AD192" i="1" s="1"/>
  <c r="AM192" i="1" s="1"/>
  <c r="AA293" i="1"/>
  <c r="W464" i="1"/>
  <c r="W99" i="1"/>
  <c r="AD99" i="1" s="1"/>
  <c r="AM99" i="1" s="1"/>
  <c r="W430" i="1"/>
  <c r="AC430" i="1" s="1"/>
  <c r="AL430" i="1" s="1"/>
  <c r="W335" i="1"/>
  <c r="AC335" i="1" s="1"/>
  <c r="AL335" i="1" s="1"/>
  <c r="W342" i="1"/>
  <c r="AB342" i="1" s="1"/>
  <c r="AA85" i="1"/>
  <c r="AA237" i="1"/>
  <c r="W181" i="1"/>
  <c r="AC181" i="1" s="1"/>
  <c r="AL181" i="1" s="1"/>
  <c r="W149" i="1"/>
  <c r="AB149" i="1" s="1"/>
  <c r="AE149" i="1" s="1"/>
  <c r="AN149" i="1" s="1"/>
  <c r="AA365" i="1"/>
  <c r="AA428" i="1"/>
  <c r="AA280" i="1"/>
  <c r="W72" i="1"/>
  <c r="W53" i="1"/>
  <c r="W403" i="1"/>
  <c r="AB403" i="1" s="1"/>
  <c r="AA375" i="1"/>
  <c r="AA225" i="1"/>
  <c r="AA91" i="1"/>
  <c r="W246" i="1"/>
  <c r="AB246" i="1" s="1"/>
  <c r="AA362" i="1"/>
  <c r="AA29" i="1"/>
  <c r="AA143" i="1"/>
  <c r="AD490" i="1"/>
  <c r="AM490" i="1" s="1"/>
  <c r="AC490" i="1"/>
  <c r="AL490" i="1" s="1"/>
  <c r="W224" i="1"/>
  <c r="AD224" i="1" s="1"/>
  <c r="AM224" i="1" s="1"/>
  <c r="W270" i="1"/>
  <c r="AD270" i="1" s="1"/>
  <c r="AM270" i="1" s="1"/>
  <c r="AA213" i="1"/>
  <c r="W155" i="1"/>
  <c r="AB155" i="1" s="1"/>
  <c r="AE155" i="1" s="1"/>
  <c r="AN155" i="1" s="1"/>
  <c r="W197" i="1"/>
  <c r="AB197" i="1" s="1"/>
  <c r="AE197" i="1" s="1"/>
  <c r="AN197" i="1" s="1"/>
  <c r="AA5" i="1"/>
  <c r="AA388" i="1"/>
  <c r="AA445" i="1"/>
  <c r="W301" i="1"/>
  <c r="AB301" i="1" s="1"/>
  <c r="AE301" i="1" s="1"/>
  <c r="W133" i="1"/>
  <c r="AC133" i="1" s="1"/>
  <c r="AL133" i="1" s="1"/>
  <c r="AA323" i="1"/>
  <c r="AA147" i="1"/>
  <c r="AA52" i="1"/>
  <c r="AA271" i="1"/>
  <c r="AA411" i="1"/>
  <c r="W347" i="1"/>
  <c r="AC347" i="1" s="1"/>
  <c r="AL347" i="1" s="1"/>
  <c r="AA152" i="1"/>
  <c r="AA66" i="1"/>
  <c r="AA325" i="1"/>
  <c r="W136" i="1"/>
  <c r="AD136" i="1" s="1"/>
  <c r="AM136" i="1" s="1"/>
  <c r="AA142" i="1"/>
  <c r="AA338" i="1"/>
  <c r="AA207" i="1"/>
  <c r="W123" i="1"/>
  <c r="AB123" i="1" s="1"/>
  <c r="W404" i="1"/>
  <c r="AC404" i="1" s="1"/>
  <c r="AL404" i="1" s="1"/>
  <c r="AA79" i="1"/>
  <c r="W23" i="1"/>
  <c r="AB23" i="1" s="1"/>
  <c r="AE23" i="1" s="1"/>
  <c r="AN23" i="1" s="1"/>
  <c r="W240" i="1"/>
  <c r="AD240" i="1" s="1"/>
  <c r="AM240" i="1" s="1"/>
  <c r="W341" i="1"/>
  <c r="AD341" i="1" s="1"/>
  <c r="AM341" i="1" s="1"/>
  <c r="W12" i="1"/>
  <c r="AD12" i="1" s="1"/>
  <c r="AM12" i="1" s="1"/>
  <c r="AA367" i="1"/>
  <c r="W485" i="1"/>
  <c r="AD485" i="1" s="1"/>
  <c r="AM485" i="1" s="1"/>
  <c r="W78" i="1"/>
  <c r="AB78" i="1" s="1"/>
  <c r="AE78" i="1" s="1"/>
  <c r="AN78" i="1" s="1"/>
  <c r="W205" i="1"/>
  <c r="AB205" i="1" s="1"/>
  <c r="AE205" i="1" s="1"/>
  <c r="AN205" i="1" s="1"/>
  <c r="W26" i="1"/>
  <c r="AB26" i="1" s="1"/>
  <c r="AE26" i="1" s="1"/>
  <c r="AN26" i="1" s="1"/>
  <c r="W426" i="1"/>
  <c r="AD426" i="1" s="1"/>
  <c r="AM426" i="1" s="1"/>
  <c r="W59" i="1"/>
  <c r="W363" i="1"/>
  <c r="AB363" i="1" s="1"/>
  <c r="W18" i="1"/>
  <c r="AB18" i="1" s="1"/>
  <c r="AE18" i="1" s="1"/>
  <c r="AN18" i="1" s="1"/>
  <c r="AA454" i="1"/>
  <c r="AA292" i="1"/>
  <c r="AA16" i="1"/>
  <c r="W306" i="1"/>
  <c r="AD306" i="1" s="1"/>
  <c r="AM306" i="1" s="1"/>
  <c r="AA282" i="1"/>
  <c r="AA295" i="1"/>
  <c r="AA432" i="1"/>
  <c r="W245" i="1"/>
  <c r="AC245" i="1" s="1"/>
  <c r="AL245" i="1" s="1"/>
  <c r="AA73" i="1"/>
  <c r="AA37" i="1"/>
  <c r="AA301" i="1"/>
  <c r="AA314" i="1"/>
  <c r="AA121" i="1"/>
  <c r="W326" i="1"/>
  <c r="AC326" i="1" s="1"/>
  <c r="AL326" i="1" s="1"/>
  <c r="AA49" i="1"/>
  <c r="AA251" i="1"/>
  <c r="AA2" i="1"/>
  <c r="AA231" i="1"/>
  <c r="AA273" i="1"/>
  <c r="AA257" i="1"/>
  <c r="W14" i="1"/>
  <c r="AC14" i="1" s="1"/>
  <c r="AL14" i="1" s="1"/>
  <c r="AA154" i="1"/>
  <c r="W367" i="1"/>
  <c r="AA479" i="1"/>
  <c r="W16" i="1"/>
  <c r="AD16" i="1" s="1"/>
  <c r="AM16" i="1" s="1"/>
  <c r="AA15" i="1"/>
  <c r="AA138" i="1"/>
  <c r="AA146" i="1"/>
  <c r="AA241" i="1"/>
  <c r="AA26" i="1"/>
  <c r="AA342" i="1"/>
  <c r="W42" i="1"/>
  <c r="AB42" i="1" s="1"/>
  <c r="AE42" i="1" s="1"/>
  <c r="AN42" i="1" s="1"/>
  <c r="AA322" i="1"/>
  <c r="AA217" i="1"/>
  <c r="W475" i="1"/>
  <c r="AC475" i="1" s="1"/>
  <c r="AL475" i="1" s="1"/>
  <c r="W83" i="1"/>
  <c r="AD83" i="1" s="1"/>
  <c r="AM83" i="1" s="1"/>
  <c r="W380" i="1"/>
  <c r="AD380" i="1" s="1"/>
  <c r="AM380" i="1" s="1"/>
  <c r="W496" i="1"/>
  <c r="AC496" i="1" s="1"/>
  <c r="AL496" i="1" s="1"/>
  <c r="W96" i="1"/>
  <c r="AB96" i="1" s="1"/>
  <c r="W157" i="1"/>
  <c r="AC157" i="1" s="1"/>
  <c r="AL157" i="1" s="1"/>
  <c r="W330" i="1"/>
  <c r="AB330" i="1" s="1"/>
  <c r="AA339" i="1"/>
  <c r="W488" i="1"/>
  <c r="AB488" i="1" s="1"/>
  <c r="AE488" i="1" s="1"/>
  <c r="AN488" i="1" s="1"/>
  <c r="AA310" i="1"/>
  <c r="W159" i="1"/>
  <c r="AC159" i="1" s="1"/>
  <c r="AL159" i="1" s="1"/>
  <c r="W219" i="1"/>
  <c r="AA416" i="1"/>
  <c r="AA116" i="1"/>
  <c r="AA189" i="1"/>
  <c r="AA346" i="1"/>
  <c r="AA119" i="1"/>
  <c r="W27" i="1"/>
  <c r="AC27" i="1" s="1"/>
  <c r="AL27" i="1" s="1"/>
  <c r="AA40" i="1"/>
  <c r="W175" i="1"/>
  <c r="AD175" i="1" s="1"/>
  <c r="AM175" i="1" s="1"/>
  <c r="AA123" i="1"/>
  <c r="W374" i="1"/>
  <c r="AC374" i="1" s="1"/>
  <c r="AL374" i="1" s="1"/>
  <c r="W324" i="1"/>
  <c r="AD324" i="1" s="1"/>
  <c r="AM324" i="1" s="1"/>
  <c r="W115" i="1"/>
  <c r="W61" i="1"/>
  <c r="AA275" i="1"/>
  <c r="AA406" i="1"/>
  <c r="AA4" i="1"/>
  <c r="AA430" i="1"/>
  <c r="AA260" i="1"/>
  <c r="AA46" i="1"/>
  <c r="W34" i="1"/>
  <c r="AB34" i="1" s="1"/>
  <c r="W160" i="1"/>
  <c r="AD160" i="1" s="1"/>
  <c r="AM160" i="1" s="1"/>
  <c r="W463" i="1"/>
  <c r="AD463" i="1" s="1"/>
  <c r="AM463" i="1" s="1"/>
  <c r="AA458" i="1"/>
  <c r="AA286" i="1"/>
  <c r="AA443" i="1"/>
  <c r="AA86" i="1"/>
  <c r="AA156" i="1"/>
  <c r="AA373" i="1"/>
  <c r="AA161" i="1"/>
  <c r="AA288" i="1"/>
  <c r="W138" i="1"/>
  <c r="AB138" i="1" s="1"/>
  <c r="AE138" i="1" s="1"/>
  <c r="AN138" i="1" s="1"/>
  <c r="AA140" i="1"/>
  <c r="W129" i="1"/>
  <c r="AC129" i="1" s="1"/>
  <c r="AL129" i="1" s="1"/>
  <c r="W117" i="1"/>
  <c r="AB117" i="1" s="1"/>
  <c r="AE117" i="1" s="1"/>
  <c r="AN117" i="1" s="1"/>
  <c r="AA229" i="1"/>
  <c r="AA383" i="1"/>
  <c r="AA178" i="1"/>
  <c r="AA11" i="1"/>
  <c r="W187" i="1"/>
  <c r="AD187" i="1" s="1"/>
  <c r="AM187" i="1" s="1"/>
  <c r="W199" i="1"/>
  <c r="AD199" i="1" s="1"/>
  <c r="AM199" i="1" s="1"/>
  <c r="W453" i="1"/>
  <c r="AD453" i="1" s="1"/>
  <c r="AM453" i="1" s="1"/>
  <c r="AA112" i="1"/>
  <c r="AA25" i="1"/>
  <c r="AA122" i="1"/>
  <c r="W456" i="1"/>
  <c r="AB456" i="1" s="1"/>
  <c r="AA60" i="1"/>
  <c r="AA33" i="1"/>
  <c r="W21" i="1"/>
  <c r="AA74" i="1"/>
  <c r="W91" i="1"/>
  <c r="AB91" i="1" s="1"/>
  <c r="W468" i="1"/>
  <c r="AC468" i="1" s="1"/>
  <c r="AL468" i="1" s="1"/>
  <c r="AA226" i="1"/>
  <c r="W7" i="1"/>
  <c r="AD7" i="1" s="1"/>
  <c r="AM7" i="1" s="1"/>
  <c r="AA289" i="1"/>
  <c r="AA110" i="1"/>
  <c r="AA31" i="1"/>
  <c r="W353" i="1"/>
  <c r="AC353" i="1" s="1"/>
  <c r="AL353" i="1" s="1"/>
  <c r="W105" i="1"/>
  <c r="AB105" i="1" s="1"/>
  <c r="AE105" i="1" s="1"/>
  <c r="AN105" i="1" s="1"/>
  <c r="W273" i="1"/>
  <c r="AC273" i="1" s="1"/>
  <c r="AL273" i="1" s="1"/>
  <c r="AA393" i="1"/>
  <c r="AA498" i="1"/>
  <c r="AA102" i="1"/>
  <c r="AA410" i="1"/>
  <c r="AA56" i="1"/>
  <c r="AA129" i="1"/>
  <c r="AA304" i="1"/>
  <c r="W304" i="1"/>
  <c r="AB304" i="1" s="1"/>
  <c r="W384" i="1"/>
  <c r="AA352" i="1"/>
  <c r="W111" i="1"/>
  <c r="AC111" i="1" s="1"/>
  <c r="AL111" i="1" s="1"/>
  <c r="AA439" i="1"/>
  <c r="AA316" i="1"/>
  <c r="W60" i="1"/>
  <c r="AA13" i="1"/>
  <c r="W195" i="1"/>
  <c r="AB195" i="1" s="1"/>
  <c r="W338" i="1"/>
  <c r="AD338" i="1" s="1"/>
  <c r="AM338" i="1" s="1"/>
  <c r="W441" i="1"/>
  <c r="AD441" i="1" s="1"/>
  <c r="AM441" i="1" s="1"/>
  <c r="W151" i="1"/>
  <c r="AB151" i="1" s="1"/>
  <c r="AE151" i="1" s="1"/>
  <c r="AN151" i="1" s="1"/>
  <c r="AA211" i="1"/>
  <c r="AA448" i="1"/>
  <c r="W297" i="1"/>
  <c r="AB297" i="1" s="1"/>
  <c r="AA418" i="1"/>
  <c r="W440" i="1"/>
  <c r="AB440" i="1" s="1"/>
  <c r="W433" i="1"/>
  <c r="W68" i="1"/>
  <c r="AC68" i="1" s="1"/>
  <c r="AL68" i="1" s="1"/>
  <c r="AA437" i="1"/>
  <c r="AA380" i="1"/>
  <c r="W481" i="1"/>
  <c r="AC481" i="1" s="1"/>
  <c r="AL481" i="1" s="1"/>
  <c r="W409" i="1"/>
  <c r="AC409" i="1" s="1"/>
  <c r="AL409" i="1" s="1"/>
  <c r="W479" i="1"/>
  <c r="AC479" i="1" s="1"/>
  <c r="AL479" i="1" s="1"/>
  <c r="AA266" i="1"/>
  <c r="AA284" i="1"/>
  <c r="AA489" i="1"/>
  <c r="AA193" i="1"/>
  <c r="AA42" i="1"/>
  <c r="AA398" i="1"/>
  <c r="W320" i="1"/>
  <c r="W252" i="1"/>
  <c r="AC252" i="1" s="1"/>
  <c r="AL252" i="1" s="1"/>
  <c r="W143" i="1"/>
  <c r="AB143" i="1" s="1"/>
  <c r="AA482" i="1"/>
  <c r="AA246" i="1"/>
  <c r="AA137" i="1"/>
  <c r="AA370" i="1"/>
  <c r="AA166" i="1"/>
  <c r="AA463" i="1"/>
  <c r="AA89" i="1"/>
  <c r="AA44" i="1"/>
  <c r="W461" i="1"/>
  <c r="AA494" i="1"/>
  <c r="W50" i="1"/>
  <c r="AD50" i="1" s="1"/>
  <c r="AM50" i="1" s="1"/>
  <c r="AA126" i="1"/>
  <c r="AA185" i="1"/>
  <c r="AA377" i="1"/>
  <c r="AA17" i="1"/>
  <c r="W259" i="1"/>
  <c r="AB259" i="1" s="1"/>
  <c r="W172" i="1"/>
  <c r="AC172" i="1" s="1"/>
  <c r="AL172" i="1" s="1"/>
  <c r="AA392" i="1"/>
  <c r="AA481" i="1"/>
  <c r="AA242" i="1"/>
  <c r="W168" i="1"/>
  <c r="AA487" i="1"/>
  <c r="AA248" i="1"/>
  <c r="AA228" i="1"/>
  <c r="AA274" i="1"/>
  <c r="AA206" i="1"/>
  <c r="W281" i="1"/>
  <c r="AD281" i="1" s="1"/>
  <c r="AM281" i="1" s="1"/>
  <c r="AA291" i="1"/>
  <c r="W242" i="1"/>
  <c r="AC242" i="1" s="1"/>
  <c r="AL242" i="1" s="1"/>
  <c r="W497" i="1"/>
  <c r="AB497" i="1" s="1"/>
  <c r="W174" i="1"/>
  <c r="AC174" i="1" s="1"/>
  <c r="AL174" i="1" s="1"/>
  <c r="W226" i="1"/>
  <c r="AD226" i="1" s="1"/>
  <c r="AM226" i="1" s="1"/>
  <c r="AA63" i="1"/>
  <c r="W156" i="1"/>
  <c r="AA27" i="1"/>
  <c r="W6" i="1"/>
  <c r="AD6" i="1" s="1"/>
  <c r="AM6" i="1" s="1"/>
  <c r="W57" i="1"/>
  <c r="AD57" i="1" s="1"/>
  <c r="AM57" i="1" s="1"/>
  <c r="AA209" i="1"/>
  <c r="AA88" i="1"/>
  <c r="W321" i="1"/>
  <c r="AD321" i="1" s="1"/>
  <c r="AM321" i="1" s="1"/>
  <c r="AA327" i="1"/>
  <c r="AA477" i="1"/>
  <c r="AA38" i="1"/>
  <c r="AA233" i="1"/>
  <c r="AA272" i="1"/>
  <c r="W55" i="1"/>
  <c r="W56" i="1"/>
  <c r="AD56" i="1" s="1"/>
  <c r="AM56" i="1" s="1"/>
  <c r="W260" i="1"/>
  <c r="AD260" i="1" s="1"/>
  <c r="AM260" i="1" s="1"/>
  <c r="W139" i="1"/>
  <c r="AD139" i="1" s="1"/>
  <c r="AM139" i="1" s="1"/>
  <c r="AA305" i="1"/>
  <c r="W498" i="1"/>
  <c r="AC498" i="1" s="1"/>
  <c r="AL498" i="1" s="1"/>
  <c r="W280" i="1"/>
  <c r="AB280" i="1" s="1"/>
  <c r="W3" i="1"/>
  <c r="AD3" i="1" s="1"/>
  <c r="AM3" i="1" s="1"/>
  <c r="W268" i="1"/>
  <c r="AB268" i="1" s="1"/>
  <c r="AA371" i="1"/>
  <c r="W422" i="1"/>
  <c r="AC422" i="1" s="1"/>
  <c r="AL422" i="1" s="1"/>
  <c r="W75" i="1"/>
  <c r="AC75" i="1" s="1"/>
  <c r="AL75" i="1" s="1"/>
  <c r="AA312" i="1"/>
  <c r="AA356" i="1"/>
  <c r="AA452" i="1"/>
  <c r="AA157" i="1"/>
  <c r="AA128" i="1"/>
  <c r="AA167" i="1"/>
  <c r="W194" i="1"/>
  <c r="AC194" i="1" s="1"/>
  <c r="AL194" i="1" s="1"/>
  <c r="W102" i="1"/>
  <c r="AC102" i="1" s="1"/>
  <c r="AL102" i="1" s="1"/>
  <c r="AA420" i="1"/>
  <c r="AA57" i="1"/>
  <c r="AA386" i="1"/>
  <c r="AA455" i="1"/>
  <c r="AA330" i="1"/>
  <c r="AA188" i="1"/>
  <c r="AA164" i="1"/>
  <c r="AA190" i="1"/>
  <c r="AA134" i="1"/>
  <c r="AA98" i="1"/>
  <c r="AA309" i="1"/>
  <c r="AA84" i="1"/>
  <c r="AA239" i="1"/>
  <c r="AA412" i="1"/>
  <c r="AA348" i="1"/>
  <c r="AA311" i="1"/>
  <c r="AA357" i="1"/>
  <c r="AA397" i="1"/>
  <c r="AA366" i="1"/>
  <c r="AA176" i="1"/>
  <c r="AA345" i="1"/>
  <c r="W387" i="1"/>
  <c r="W360" i="1"/>
  <c r="AB360" i="1" s="1"/>
  <c r="W295" i="1"/>
  <c r="AA139" i="1"/>
  <c r="W437" i="1"/>
  <c r="AD437" i="1" s="1"/>
  <c r="AM437" i="1" s="1"/>
  <c r="AA478" i="1"/>
  <c r="AA434" i="1"/>
  <c r="W450" i="1"/>
  <c r="W303" i="1"/>
  <c r="AD303" i="1" s="1"/>
  <c r="AM303" i="1" s="1"/>
  <c r="AA250" i="1"/>
  <c r="AA132" i="1"/>
  <c r="AA421" i="1"/>
  <c r="AA390" i="1"/>
  <c r="W232" i="1"/>
  <c r="W267" i="1"/>
  <c r="AD267" i="1" s="1"/>
  <c r="AM267" i="1" s="1"/>
  <c r="AA384" i="1"/>
  <c r="W30" i="1"/>
  <c r="AB30" i="1" s="1"/>
  <c r="AE30" i="1" s="1"/>
  <c r="AN30" i="1" s="1"/>
  <c r="W189" i="1"/>
  <c r="AD189" i="1" s="1"/>
  <c r="AM189" i="1" s="1"/>
  <c r="W113" i="1"/>
  <c r="W417" i="1"/>
  <c r="AB417" i="1" s="1"/>
  <c r="AE417" i="1" s="1"/>
  <c r="AN417" i="1" s="1"/>
  <c r="W37" i="1"/>
  <c r="AA358" i="1"/>
  <c r="W390" i="1"/>
  <c r="W244" i="1"/>
  <c r="AA337" i="1"/>
  <c r="AA461" i="1"/>
  <c r="W420" i="1"/>
  <c r="AD420" i="1" s="1"/>
  <c r="AM420" i="1" s="1"/>
  <c r="W152" i="1"/>
  <c r="W395" i="1"/>
  <c r="AD395" i="1" s="1"/>
  <c r="AM395" i="1" s="1"/>
  <c r="W154" i="1"/>
  <c r="AA317" i="1"/>
  <c r="AA205" i="1"/>
  <c r="AA493" i="1"/>
  <c r="W369" i="1"/>
  <c r="W470" i="1"/>
  <c r="AB470" i="1" s="1"/>
  <c r="AE470" i="1" s="1"/>
  <c r="AN470" i="1" s="1"/>
  <c r="W15" i="1"/>
  <c r="W416" i="1"/>
  <c r="AB416" i="1" s="1"/>
  <c r="AE416" i="1" s="1"/>
  <c r="AN416" i="1" s="1"/>
  <c r="W397" i="1"/>
  <c r="W332" i="1"/>
  <c r="W431" i="1"/>
  <c r="AC431" i="1" s="1"/>
  <c r="AL431" i="1" s="1"/>
  <c r="W169" i="1"/>
  <c r="AC169" i="1" s="1"/>
  <c r="AL169" i="1" s="1"/>
  <c r="W389" i="1"/>
  <c r="AB389" i="1" s="1"/>
  <c r="AA107" i="1"/>
  <c r="AA10" i="1"/>
  <c r="W20" i="1"/>
  <c r="W427" i="1"/>
  <c r="W228" i="1"/>
  <c r="W401" i="1"/>
  <c r="AA283" i="1"/>
  <c r="W130" i="1"/>
  <c r="AC130" i="1" s="1"/>
  <c r="AL130" i="1" s="1"/>
  <c r="W462" i="1"/>
  <c r="AB462" i="1" s="1"/>
  <c r="AE462" i="1" s="1"/>
  <c r="AN462" i="1" s="1"/>
  <c r="W465" i="1"/>
  <c r="W399" i="1"/>
  <c r="AC399" i="1" s="1"/>
  <c r="AL399" i="1" s="1"/>
  <c r="W489" i="1"/>
  <c r="AC489" i="1" s="1"/>
  <c r="AL489" i="1" s="1"/>
  <c r="W364" i="1"/>
  <c r="W410" i="1"/>
  <c r="W307" i="1"/>
  <c r="AB307" i="1" s="1"/>
  <c r="AE307" i="1" s="1"/>
  <c r="AN307" i="1" s="1"/>
  <c r="W180" i="1"/>
  <c r="AA453" i="1"/>
  <c r="W31" i="1"/>
  <c r="W290" i="1"/>
  <c r="AC290" i="1" s="1"/>
  <c r="AL290" i="1" s="1"/>
  <c r="W173" i="1"/>
  <c r="AD173" i="1" s="1"/>
  <c r="W292" i="1"/>
  <c r="AC292" i="1" s="1"/>
  <c r="AL292" i="1" s="1"/>
  <c r="W225" i="1"/>
  <c r="AB225" i="1" s="1"/>
  <c r="W449" i="1"/>
  <c r="W383" i="1"/>
  <c r="W135" i="1"/>
  <c r="W336" i="1"/>
  <c r="W361" i="1"/>
  <c r="AC361" i="1" s="1"/>
  <c r="AL361" i="1" s="1"/>
  <c r="W25" i="1"/>
  <c r="AB25" i="1" s="1"/>
  <c r="AE25" i="1" s="1"/>
  <c r="AN25" i="1" s="1"/>
  <c r="W328" i="1"/>
  <c r="AB328" i="1" s="1"/>
  <c r="W183" i="1"/>
  <c r="W274" i="1"/>
  <c r="AD274" i="1" s="1"/>
  <c r="AM274" i="1" s="1"/>
  <c r="W95" i="1"/>
  <c r="AD95" i="1" s="1"/>
  <c r="AM95" i="1" s="1"/>
  <c r="AA313" i="1"/>
  <c r="W93" i="1"/>
  <c r="W434" i="1"/>
  <c r="W63" i="1"/>
  <c r="AC63" i="1" s="1"/>
  <c r="AL63" i="1" s="1"/>
  <c r="W171" i="1"/>
  <c r="W471" i="1"/>
  <c r="W141" i="1"/>
  <c r="W296" i="1"/>
  <c r="W452" i="1"/>
  <c r="W89" i="1"/>
  <c r="AB89" i="1" s="1"/>
  <c r="AE89" i="1" s="1"/>
  <c r="AN89" i="1" s="1"/>
  <c r="W373" i="1"/>
  <c r="W215" i="1"/>
  <c r="AD215" i="1" s="1"/>
  <c r="AM215" i="1" s="1"/>
  <c r="W167" i="1"/>
  <c r="AC167" i="1" s="1"/>
  <c r="AL167" i="1" s="1"/>
  <c r="W366" i="1"/>
  <c r="AD366" i="1" s="1"/>
  <c r="AM366" i="1" s="1"/>
  <c r="AA62" i="1"/>
  <c r="W202" i="1"/>
  <c r="AD202" i="1" s="1"/>
  <c r="AM202" i="1" s="1"/>
  <c r="W339" i="1"/>
  <c r="W439" i="1"/>
  <c r="W116" i="1"/>
  <c r="AC116" i="1" s="1"/>
  <c r="AL116" i="1" s="1"/>
  <c r="W28" i="1"/>
  <c r="AB28" i="1" s="1"/>
  <c r="AE28" i="1" s="1"/>
  <c r="AN28" i="1" s="1"/>
  <c r="W142" i="1"/>
  <c r="AA496" i="1"/>
  <c r="AA256" i="1"/>
  <c r="AA21" i="1"/>
  <c r="W350" i="1"/>
  <c r="AC350" i="1" s="1"/>
  <c r="AL350" i="1" s="1"/>
  <c r="W209" i="1"/>
  <c r="AC209" i="1" s="1"/>
  <c r="AL209" i="1" s="1"/>
  <c r="W40" i="1"/>
  <c r="AB40" i="1" s="1"/>
  <c r="W145" i="1"/>
  <c r="W144" i="1"/>
  <c r="AD144" i="1" s="1"/>
  <c r="AM144" i="1" s="1"/>
  <c r="W48" i="1"/>
  <c r="W333" i="1"/>
  <c r="AD333" i="1" s="1"/>
  <c r="AM333" i="1" s="1"/>
  <c r="W45" i="1"/>
  <c r="AB45" i="1" s="1"/>
  <c r="W382" i="1"/>
  <c r="AA198" i="1"/>
  <c r="W103" i="1"/>
  <c r="W337" i="1"/>
  <c r="AC337" i="1" s="1"/>
  <c r="AL337" i="1" s="1"/>
  <c r="AA466" i="1"/>
  <c r="W87" i="1"/>
  <c r="AB87" i="1" s="1"/>
  <c r="AE87" i="1" s="1"/>
  <c r="AN87" i="1" s="1"/>
  <c r="W379" i="1"/>
  <c r="W359" i="1"/>
  <c r="AB359" i="1" s="1"/>
  <c r="AE359" i="1" s="1"/>
  <c r="AN359" i="1" s="1"/>
  <c r="W94" i="1"/>
  <c r="AA486" i="1"/>
  <c r="W262" i="1"/>
  <c r="AB262" i="1" s="1"/>
  <c r="AE262" i="1" s="1"/>
  <c r="AN262" i="1" s="1"/>
  <c r="W255" i="1"/>
  <c r="AC255" i="1" s="1"/>
  <c r="AL255" i="1" s="1"/>
  <c r="W375" i="1"/>
  <c r="AD375" i="1" s="1"/>
  <c r="AM375" i="1" s="1"/>
  <c r="AA414" i="1"/>
  <c r="W39" i="1"/>
  <c r="AD39" i="1" s="1"/>
  <c r="AM39" i="1" s="1"/>
  <c r="W294" i="1"/>
  <c r="AC294" i="1" s="1"/>
  <c r="AL294" i="1" s="1"/>
  <c r="W196" i="1"/>
  <c r="W392" i="1"/>
  <c r="AC392" i="1" s="1"/>
  <c r="AL392" i="1" s="1"/>
  <c r="W405" i="1"/>
  <c r="W283" i="1"/>
  <c r="W484" i="1"/>
  <c r="W80" i="1"/>
  <c r="AC80" i="1" s="1"/>
  <c r="AL80" i="1" s="1"/>
  <c r="W354" i="1"/>
  <c r="AB354" i="1" s="1"/>
  <c r="AE354" i="1" s="1"/>
  <c r="AN354" i="1" s="1"/>
  <c r="W312" i="1"/>
  <c r="W5" i="1"/>
  <c r="AC5" i="1" s="1"/>
  <c r="AL5" i="1" s="1"/>
  <c r="W348" i="1"/>
  <c r="W438" i="1"/>
  <c r="AD438" i="1" s="1"/>
  <c r="AM438" i="1" s="1"/>
  <c r="AA497" i="1"/>
  <c r="AA364" i="1"/>
  <c r="W127" i="1"/>
  <c r="AD127" i="1" s="1"/>
  <c r="AM127" i="1" s="1"/>
  <c r="W265" i="1"/>
  <c r="AD265" i="1" s="1"/>
  <c r="AM265" i="1" s="1"/>
  <c r="W406" i="1"/>
  <c r="AD406" i="1" s="1"/>
  <c r="AM406" i="1" s="1"/>
  <c r="W237" i="1"/>
  <c r="W302" i="1"/>
  <c r="AC302" i="1" s="1"/>
  <c r="AL302" i="1" s="1"/>
  <c r="W118" i="1"/>
  <c r="AD118" i="1" s="1"/>
  <c r="AM118" i="1" s="1"/>
  <c r="W407" i="1"/>
  <c r="AA285" i="1"/>
  <c r="AA54" i="1"/>
  <c r="W134" i="1"/>
  <c r="W446" i="1"/>
  <c r="W146" i="1"/>
  <c r="W71" i="1"/>
  <c r="AD71" i="1" s="1"/>
  <c r="AM71" i="1" s="1"/>
  <c r="W137" i="1"/>
  <c r="AC137" i="1" s="1"/>
  <c r="AL137" i="1" s="1"/>
  <c r="AA106" i="1"/>
  <c r="AA262" i="1"/>
  <c r="AA90" i="1"/>
  <c r="AA41" i="1"/>
  <c r="AA369" i="1"/>
  <c r="AA144" i="1"/>
  <c r="AA136" i="1"/>
  <c r="AA94" i="1"/>
  <c r="AA204" i="1"/>
  <c r="AA319" i="1"/>
  <c r="AA81" i="1"/>
  <c r="AA331" i="1"/>
  <c r="AA151" i="1"/>
  <c r="AA92" i="1"/>
  <c r="W269" i="1"/>
  <c r="AA254" i="1"/>
  <c r="AA281" i="1"/>
  <c r="AA55" i="1"/>
  <c r="AA396" i="1"/>
  <c r="AA349" i="1"/>
  <c r="AA165" i="1"/>
  <c r="AA93" i="1"/>
  <c r="AA464" i="1"/>
  <c r="AA14" i="1"/>
  <c r="AA76" i="1"/>
  <c r="AA148" i="1"/>
  <c r="AA120" i="1"/>
  <c r="AA221" i="1"/>
  <c r="AA51" i="1"/>
  <c r="AA224" i="1"/>
  <c r="AA133" i="1"/>
  <c r="AA75" i="1"/>
  <c r="AA223" i="1"/>
  <c r="AA290" i="1"/>
  <c r="AA303" i="1"/>
  <c r="AA391" i="1"/>
  <c r="AA43" i="1"/>
  <c r="AA236" i="1"/>
  <c r="AA173" i="1"/>
  <c r="AA270" i="1"/>
  <c r="AA308" i="1"/>
  <c r="AA407" i="1"/>
  <c r="AA403" i="1"/>
  <c r="AA307" i="1"/>
  <c r="AA125" i="1"/>
  <c r="AA83" i="1"/>
  <c r="AA465" i="1"/>
  <c r="AA444" i="1"/>
  <c r="AA472" i="1"/>
  <c r="AA300" i="1"/>
  <c r="AA268" i="1"/>
  <c r="AA9" i="1"/>
  <c r="AA80" i="1"/>
  <c r="AA353" i="1"/>
  <c r="AA7" i="1"/>
  <c r="AA475" i="1"/>
  <c r="AA117" i="1"/>
  <c r="W13" i="1"/>
  <c r="AC13" i="1" s="1"/>
  <c r="AL13" i="1" s="1"/>
  <c r="W243" i="1"/>
  <c r="AD243" i="1" s="1"/>
  <c r="AM243" i="1" s="1"/>
  <c r="AA118" i="1"/>
  <c r="AA350" i="1"/>
  <c r="AA474" i="1"/>
  <c r="W492" i="1"/>
  <c r="W4" i="1"/>
  <c r="AB4" i="1" s="1"/>
  <c r="AE4" i="1" s="1"/>
  <c r="AN4" i="1" s="1"/>
  <c r="W400" i="1"/>
  <c r="AC400" i="1" s="1"/>
  <c r="AL400" i="1" s="1"/>
  <c r="W165" i="1"/>
  <c r="W54" i="1"/>
  <c r="AD54" i="1" s="1"/>
  <c r="AM54" i="1" s="1"/>
  <c r="W429" i="1"/>
  <c r="W250" i="1"/>
  <c r="W258" i="1"/>
  <c r="AD258" i="1" s="1"/>
  <c r="AM258" i="1" s="1"/>
  <c r="AA470" i="1"/>
  <c r="AA419" i="1"/>
  <c r="W402" i="1"/>
  <c r="AB402" i="1" s="1"/>
  <c r="AE402" i="1" s="1"/>
  <c r="AN402" i="1" s="1"/>
  <c r="W311" i="1"/>
  <c r="W425" i="1"/>
  <c r="AA341" i="1"/>
  <c r="AA351" i="1"/>
  <c r="AA287" i="1"/>
  <c r="AA20" i="1"/>
  <c r="AA427" i="1"/>
  <c r="AA71" i="1"/>
  <c r="AA265" i="1"/>
  <c r="AA179" i="1"/>
  <c r="AA253" i="1"/>
  <c r="AA100" i="1"/>
  <c r="AA127" i="1"/>
  <c r="AA214" i="1"/>
  <c r="AA39" i="1"/>
  <c r="AA495" i="1"/>
  <c r="AA215" i="1"/>
  <c r="AA58" i="1"/>
  <c r="AA196" i="1"/>
  <c r="AA378" i="1"/>
  <c r="AA264" i="1"/>
  <c r="AA329" i="1"/>
  <c r="W305" i="1"/>
  <c r="W124" i="1"/>
  <c r="W8" i="1"/>
  <c r="AA240" i="1"/>
  <c r="AA212" i="1"/>
  <c r="W74" i="1"/>
  <c r="AB74" i="1" s="1"/>
  <c r="W10" i="1"/>
  <c r="AC10" i="1" s="1"/>
  <c r="AL10" i="1" s="1"/>
  <c r="AA187" i="1"/>
  <c r="AA115" i="1"/>
  <c r="W323" i="1"/>
  <c r="AB323" i="1" s="1"/>
  <c r="W491" i="1"/>
  <c r="W377" i="1"/>
  <c r="W213" i="1"/>
  <c r="W131" i="1"/>
  <c r="AC11" i="1"/>
  <c r="AL11" i="1" s="1"/>
  <c r="AD11" i="1"/>
  <c r="AM11" i="1" s="1"/>
  <c r="AB11" i="1"/>
  <c r="AC487" i="1"/>
  <c r="AL487" i="1" s="1"/>
  <c r="AB487" i="1"/>
  <c r="AD469" i="1"/>
  <c r="AM469" i="1" s="1"/>
  <c r="AB469" i="1"/>
  <c r="AC469" i="1"/>
  <c r="AL469" i="1" s="1"/>
  <c r="AB275" i="1"/>
  <c r="AE275" i="1" s="1"/>
  <c r="AN275" i="1" s="1"/>
  <c r="AC275" i="1"/>
  <c r="AL275" i="1" s="1"/>
  <c r="AD275" i="1"/>
  <c r="AM275" i="1" s="1"/>
  <c r="AC457" i="1"/>
  <c r="AL457" i="1" s="1"/>
  <c r="AB457" i="1"/>
  <c r="AE457" i="1" s="1"/>
  <c r="AN457" i="1" s="1"/>
  <c r="AD457" i="1"/>
  <c r="AM457" i="1" s="1"/>
  <c r="AC223" i="1"/>
  <c r="AL223" i="1" s="1"/>
  <c r="AB223" i="1"/>
  <c r="AD223" i="1"/>
  <c r="AM223" i="1" s="1"/>
  <c r="AB191" i="1"/>
  <c r="AE191" i="1" s="1"/>
  <c r="AN191" i="1" s="1"/>
  <c r="AC191" i="1"/>
  <c r="AL191" i="1" s="1"/>
  <c r="AD191" i="1"/>
  <c r="AM191" i="1" s="1"/>
  <c r="AD78" i="1"/>
  <c r="AM78" i="1" s="1"/>
  <c r="AD412" i="1"/>
  <c r="AM412" i="1" s="1"/>
  <c r="AC412" i="1"/>
  <c r="AL412" i="1" s="1"/>
  <c r="AB412" i="1"/>
  <c r="AC356" i="1"/>
  <c r="AL356" i="1" s="1"/>
  <c r="AB356" i="1"/>
  <c r="AD356" i="1"/>
  <c r="AM356" i="1" s="1"/>
  <c r="AB260" i="1"/>
  <c r="AC240" i="1"/>
  <c r="AL240" i="1" s="1"/>
  <c r="AB120" i="1"/>
  <c r="AB254" i="1"/>
  <c r="AD254" i="1"/>
  <c r="AM254" i="1" s="1"/>
  <c r="AC254" i="1"/>
  <c r="AL254" i="1" s="1"/>
  <c r="AC495" i="1"/>
  <c r="AL495" i="1" s="1"/>
  <c r="AD495" i="1"/>
  <c r="AM495" i="1" s="1"/>
  <c r="AD487" i="1"/>
  <c r="AM487" i="1" s="1"/>
  <c r="AD316" i="1"/>
  <c r="AM316" i="1" s="1"/>
  <c r="W36" i="1"/>
  <c r="W466" i="1"/>
  <c r="W218" i="1"/>
  <c r="AC316" i="1"/>
  <c r="W473" i="1"/>
  <c r="AB22" i="1"/>
  <c r="AA219" i="1"/>
  <c r="AA426" i="1"/>
  <c r="AA202" i="1"/>
  <c r="AA321" i="1"/>
  <c r="AA252" i="1"/>
  <c r="AA387" i="1"/>
  <c r="AA277" i="1"/>
  <c r="AA234" i="1"/>
  <c r="AA389" i="1"/>
  <c r="AA450" i="1"/>
  <c r="AA171" i="1"/>
  <c r="AA159" i="1"/>
  <c r="AA35" i="1"/>
  <c r="AA376" i="1"/>
  <c r="AA169" i="1"/>
  <c r="AA192" i="1"/>
  <c r="AA318" i="1"/>
  <c r="AA28" i="1"/>
  <c r="AA70" i="1"/>
  <c r="AA417" i="1"/>
  <c r="AA385" i="1"/>
  <c r="AA181" i="1"/>
  <c r="AA334" i="1"/>
  <c r="AA82" i="1"/>
  <c r="AA210" i="1"/>
  <c r="AA401" i="1"/>
  <c r="AA96" i="1"/>
  <c r="AA409" i="1"/>
  <c r="AA216" i="1"/>
  <c r="AA425" i="1"/>
  <c r="AA299" i="1"/>
  <c r="AA447" i="1"/>
  <c r="AA78" i="1"/>
  <c r="AA208" i="1"/>
  <c r="AA363" i="1"/>
  <c r="AA230" i="1"/>
  <c r="AA103" i="1"/>
  <c r="AA336" i="1"/>
  <c r="AA101" i="1"/>
  <c r="AA429" i="1"/>
  <c r="AA491" i="1"/>
  <c r="AA332" i="1"/>
  <c r="AA326" i="1"/>
  <c r="AA441" i="1"/>
  <c r="AA197" i="1"/>
  <c r="AA381" i="1"/>
  <c r="AA67" i="1"/>
  <c r="K24" i="2"/>
  <c r="AD185" i="1"/>
  <c r="AM185" i="1" s="1"/>
  <c r="W451" i="1"/>
  <c r="W62" i="1"/>
  <c r="AA340" i="1"/>
  <c r="W92" i="1"/>
  <c r="W299" i="1"/>
  <c r="AA36" i="1"/>
  <c r="W236" i="1"/>
  <c r="AA19" i="1"/>
  <c r="W388" i="1"/>
  <c r="W253" i="1"/>
  <c r="W424" i="1"/>
  <c r="AB490" i="1"/>
  <c r="AE490" i="1" s="1"/>
  <c r="AN490" i="1" s="1"/>
  <c r="AA424" i="1"/>
  <c r="W368" i="1"/>
  <c r="W436" i="1"/>
  <c r="W121" i="1"/>
  <c r="AD391" i="1"/>
  <c r="AM391" i="1" s="1"/>
  <c r="W314" i="1"/>
  <c r="AA402" i="1"/>
  <c r="W238" i="1"/>
  <c r="AC238" i="1" s="1"/>
  <c r="AL238" i="1" s="1"/>
  <c r="AA111" i="1"/>
  <c r="W287" i="1"/>
  <c r="AD287" i="1" s="1"/>
  <c r="AM287" i="1" s="1"/>
  <c r="W101" i="1"/>
  <c r="AD101" i="1" s="1"/>
  <c r="AM101" i="1" s="1"/>
  <c r="AA170" i="1"/>
  <c r="W325" i="1"/>
  <c r="AA155" i="1"/>
  <c r="W148" i="1"/>
  <c r="AB148" i="1" s="1"/>
  <c r="AE148" i="1" s="1"/>
  <c r="AN148" i="1" s="1"/>
  <c r="W84" i="1"/>
  <c r="AD84" i="1" s="1"/>
  <c r="AM84" i="1" s="1"/>
  <c r="AC222" i="1"/>
  <c r="AL222" i="1" s="1"/>
  <c r="AA30" i="1"/>
  <c r="W230" i="1"/>
  <c r="AD230" i="1" s="1"/>
  <c r="AM230" i="1" s="1"/>
  <c r="AB185" i="1"/>
  <c r="AE185" i="1" s="1"/>
  <c r="AB495" i="1"/>
  <c r="AE495" i="1" s="1"/>
  <c r="AN495" i="1" s="1"/>
  <c r="AD109" i="1"/>
  <c r="AM109" i="1" s="1"/>
  <c r="AB109" i="1"/>
  <c r="AE109" i="1" s="1"/>
  <c r="AD222" i="1"/>
  <c r="AM222" i="1" s="1"/>
  <c r="W423" i="1"/>
  <c r="AB423" i="1" s="1"/>
  <c r="AE423" i="1" s="1"/>
  <c r="AN423" i="1" s="1"/>
  <c r="W310" i="1"/>
  <c r="AD207" i="1"/>
  <c r="AM207" i="1" s="1"/>
  <c r="AB207" i="1"/>
  <c r="AE207" i="1" s="1"/>
  <c r="AN207" i="1" s="1"/>
  <c r="AC207" i="1"/>
  <c r="AL207" i="1" s="1"/>
  <c r="AD164" i="1"/>
  <c r="AM164" i="1" s="1"/>
  <c r="AC164" i="1"/>
  <c r="AL164" i="1" s="1"/>
  <c r="AB164" i="1"/>
  <c r="AE164" i="1" s="1"/>
  <c r="AN164" i="1" s="1"/>
  <c r="W334" i="1"/>
  <c r="AB82" i="1"/>
  <c r="AE82" i="1" s="1"/>
  <c r="AN82" i="1" s="1"/>
  <c r="AD82" i="1"/>
  <c r="AM82" i="1" s="1"/>
  <c r="AB200" i="1"/>
  <c r="AE200" i="1" s="1"/>
  <c r="AD200" i="1"/>
  <c r="AM200" i="1" s="1"/>
  <c r="AC200" i="1"/>
  <c r="AL200" i="1" s="1"/>
  <c r="AB476" i="1"/>
  <c r="AE476" i="1" s="1"/>
  <c r="AN476" i="1" s="1"/>
  <c r="AD476" i="1"/>
  <c r="AM476" i="1" s="1"/>
  <c r="AC162" i="1"/>
  <c r="AL162" i="1" s="1"/>
  <c r="AD162" i="1"/>
  <c r="AM162" i="1" s="1"/>
  <c r="AB386" i="1"/>
  <c r="AE386" i="1" s="1"/>
  <c r="AN386" i="1" s="1"/>
  <c r="AD386" i="1"/>
  <c r="AM386" i="1" s="1"/>
  <c r="W216" i="1"/>
  <c r="AC177" i="1"/>
  <c r="AL177" i="1" s="1"/>
  <c r="AD177" i="1"/>
  <c r="AM177" i="1" s="1"/>
  <c r="AB162" i="1"/>
  <c r="AE162" i="1" s="1"/>
  <c r="AN162" i="1" s="1"/>
  <c r="W385" i="1"/>
  <c r="AB279" i="1"/>
  <c r="AC279" i="1"/>
  <c r="AL279" i="1" s="1"/>
  <c r="AD279" i="1"/>
  <c r="AM279" i="1" s="1"/>
  <c r="AB177" i="1"/>
  <c r="AE177" i="1" s="1"/>
  <c r="AN177" i="1" s="1"/>
  <c r="AC22" i="1"/>
  <c r="AL22" i="1" s="1"/>
  <c r="AB365" i="1"/>
  <c r="AC365" i="1"/>
  <c r="AL365" i="1" s="1"/>
  <c r="W362" i="1"/>
  <c r="W170" i="1"/>
  <c r="W474" i="1"/>
  <c r="W256" i="1"/>
  <c r="AD256" i="1" s="1"/>
  <c r="AM256" i="1" s="1"/>
  <c r="AA302" i="1"/>
  <c r="AA451" i="1"/>
  <c r="W208" i="1"/>
  <c r="W193" i="1"/>
  <c r="W272" i="1"/>
  <c r="AD272" i="1" s="1"/>
  <c r="AM272" i="1" s="1"/>
  <c r="AA45" i="1"/>
  <c r="AD51" i="1"/>
  <c r="AM51" i="1" s="1"/>
  <c r="W43" i="1"/>
  <c r="AB43" i="1" s="1"/>
  <c r="W229" i="1"/>
  <c r="AC229" i="1" s="1"/>
  <c r="AL229" i="1" s="1"/>
  <c r="AB211" i="1"/>
  <c r="AD211" i="1"/>
  <c r="AM211" i="1" s="1"/>
  <c r="AC211" i="1"/>
  <c r="AL211" i="1" s="1"/>
  <c r="AA490" i="1"/>
  <c r="W414" i="1"/>
  <c r="AA446" i="1"/>
  <c r="AA442" i="1"/>
  <c r="AA220" i="1"/>
  <c r="AA456" i="1"/>
  <c r="AA462" i="1"/>
  <c r="AA449" i="1"/>
  <c r="AA473" i="1"/>
  <c r="AA201" i="1"/>
  <c r="AA485" i="1"/>
  <c r="AA423" i="1"/>
  <c r="AA476" i="1"/>
  <c r="AA460" i="1"/>
  <c r="AB432" i="1"/>
  <c r="AE432" i="1" s="1"/>
  <c r="AN432" i="1" s="1"/>
  <c r="AC432" i="1"/>
  <c r="AL432" i="1" s="1"/>
  <c r="AD432" i="1"/>
  <c r="AM432" i="1" s="1"/>
  <c r="AC340" i="1"/>
  <c r="AL340" i="1" s="1"/>
  <c r="AC480" i="1"/>
  <c r="AL480" i="1" s="1"/>
  <c r="AD480" i="1"/>
  <c r="AM480" i="1" s="1"/>
  <c r="AB480" i="1"/>
  <c r="AE480" i="1" s="1"/>
  <c r="AN480" i="1" s="1"/>
  <c r="AB477" i="1"/>
  <c r="AC477" i="1"/>
  <c r="AL477" i="1" s="1"/>
  <c r="AD477" i="1"/>
  <c r="AM477" i="1" s="1"/>
  <c r="AB239" i="1"/>
  <c r="AD239" i="1"/>
  <c r="AM239" i="1" s="1"/>
  <c r="AC239" i="1"/>
  <c r="AL239" i="1" s="1"/>
  <c r="AB419" i="1"/>
  <c r="AE419" i="1" s="1"/>
  <c r="AN419" i="1" s="1"/>
  <c r="AC419" i="1"/>
  <c r="AL419" i="1" s="1"/>
  <c r="AD419" i="1"/>
  <c r="AM419" i="1" s="1"/>
  <c r="AD276" i="1"/>
  <c r="AM276" i="1" s="1"/>
  <c r="AC276" i="1"/>
  <c r="AL276" i="1" s="1"/>
  <c r="AB276" i="1"/>
  <c r="AE276" i="1" s="1"/>
  <c r="AN276" i="1" s="1"/>
  <c r="AC394" i="1"/>
  <c r="AL394" i="1" s="1"/>
  <c r="AB394" i="1"/>
  <c r="AC248" i="1"/>
  <c r="AL248" i="1" s="1"/>
  <c r="AD248" i="1"/>
  <c r="AM248" i="1" s="1"/>
  <c r="AC447" i="1"/>
  <c r="AL447" i="1" s="1"/>
  <c r="AD447" i="1"/>
  <c r="AM447" i="1" s="1"/>
  <c r="AB447" i="1"/>
  <c r="AE447" i="1" s="1"/>
  <c r="AN447" i="1" s="1"/>
  <c r="AB35" i="1"/>
  <c r="AC35" i="1"/>
  <c r="AL35" i="1" s="1"/>
  <c r="W372" i="1"/>
  <c r="W472" i="1"/>
  <c r="AB291" i="1"/>
  <c r="AE291" i="1" s="1"/>
  <c r="AN291" i="1" s="1"/>
  <c r="AD291" i="1"/>
  <c r="AM291" i="1" s="1"/>
  <c r="AC291" i="1"/>
  <c r="AL291" i="1" s="1"/>
  <c r="W85" i="1"/>
  <c r="AD19" i="1"/>
  <c r="AM19" i="1" s="1"/>
  <c r="AC19" i="1"/>
  <c r="AL19" i="1" s="1"/>
  <c r="AB19" i="1"/>
  <c r="W97" i="1"/>
  <c r="W396" i="1"/>
  <c r="W140" i="1"/>
  <c r="W44" i="1"/>
  <c r="W327" i="1"/>
  <c r="W398" i="1"/>
  <c r="W70" i="1"/>
  <c r="AA61" i="1"/>
  <c r="AA150" i="1"/>
  <c r="AB176" i="1"/>
  <c r="AD176" i="1"/>
  <c r="AM176" i="1" s="1"/>
  <c r="W182" i="1"/>
  <c r="W381" i="1"/>
  <c r="W24" i="1"/>
  <c r="W445" i="1"/>
  <c r="W286" i="1"/>
  <c r="W459" i="1"/>
  <c r="W249" i="1"/>
  <c r="W486" i="1"/>
  <c r="AB161" i="1"/>
  <c r="AD161" i="1"/>
  <c r="AM161" i="1" s="1"/>
  <c r="AC161" i="1"/>
  <c r="AL161" i="1" s="1"/>
  <c r="W322" i="1"/>
  <c r="AC220" i="1"/>
  <c r="AL220" i="1" s="1"/>
  <c r="AD220" i="1"/>
  <c r="AM220" i="1" s="1"/>
  <c r="AC58" i="1"/>
  <c r="AL58" i="1" s="1"/>
  <c r="AD58" i="1"/>
  <c r="AM58" i="1" s="1"/>
  <c r="AB58" i="1"/>
  <c r="AE58" i="1" s="1"/>
  <c r="AN58" i="1" s="1"/>
  <c r="W351" i="1"/>
  <c r="AB285" i="1"/>
  <c r="AE285" i="1" s="1"/>
  <c r="AC285" i="1"/>
  <c r="AL285" i="1" s="1"/>
  <c r="AD285" i="1"/>
  <c r="AM285" i="1" s="1"/>
  <c r="W355" i="1"/>
  <c r="W315" i="1"/>
  <c r="W29" i="1"/>
  <c r="W76" i="1"/>
  <c r="AA480" i="1"/>
  <c r="AB186" i="1"/>
  <c r="AC186" i="1"/>
  <c r="AL186" i="1" s="1"/>
  <c r="AD186" i="1"/>
  <c r="AM186" i="1" s="1"/>
  <c r="AB126" i="1"/>
  <c r="AC126" i="1"/>
  <c r="AL126" i="1" s="1"/>
  <c r="W298" i="1"/>
  <c r="AB235" i="1"/>
  <c r="AC235" i="1"/>
  <c r="AL235" i="1" s="1"/>
  <c r="AB271" i="1"/>
  <c r="AC271" i="1"/>
  <c r="AL271" i="1" s="1"/>
  <c r="AD271" i="1"/>
  <c r="AM271" i="1" s="1"/>
  <c r="W52" i="1"/>
  <c r="AD376" i="1"/>
  <c r="AM376" i="1" s="1"/>
  <c r="AC376" i="1"/>
  <c r="AL376" i="1" s="1"/>
  <c r="AB376" i="1"/>
  <c r="AE376" i="1" s="1"/>
  <c r="AN376" i="1" s="1"/>
  <c r="W217" i="1"/>
  <c r="W38" i="1"/>
  <c r="W266" i="1"/>
  <c r="W64" i="1"/>
  <c r="W247" i="1"/>
  <c r="W108" i="1"/>
  <c r="AD289" i="1"/>
  <c r="AM289" i="1" s="1"/>
  <c r="AB289" i="1"/>
  <c r="AE289" i="1" s="1"/>
  <c r="AC289" i="1"/>
  <c r="AL289" i="1" s="1"/>
  <c r="AC408" i="1"/>
  <c r="AL408" i="1" s="1"/>
  <c r="AB408" i="1"/>
  <c r="AE408" i="1" s="1"/>
  <c r="AD408" i="1"/>
  <c r="AM408" i="1" s="1"/>
  <c r="W352" i="1"/>
  <c r="AB300" i="1"/>
  <c r="AE300" i="1" s="1"/>
  <c r="AN300" i="1" s="1"/>
  <c r="W132" i="1"/>
  <c r="AC476" i="1"/>
  <c r="AL476" i="1" s="1"/>
  <c r="AB278" i="1"/>
  <c r="AC278" i="1"/>
  <c r="AL278" i="1" s="1"/>
  <c r="AB264" i="1"/>
  <c r="AC264" i="1"/>
  <c r="AL264" i="1" s="1"/>
  <c r="AC331" i="1"/>
  <c r="AL331" i="1" s="1"/>
  <c r="AD331" i="1"/>
  <c r="AM331" i="1" s="1"/>
  <c r="AC17" i="1"/>
  <c r="AL17" i="1" s="1"/>
  <c r="AB51" i="1"/>
  <c r="AC128" i="1"/>
  <c r="AL128" i="1" s="1"/>
  <c r="AB128" i="1"/>
  <c r="AD128" i="1"/>
  <c r="AM128" i="1" s="1"/>
  <c r="AC256" i="1"/>
  <c r="AL256" i="1" s="1"/>
  <c r="AB49" i="1"/>
  <c r="AD49" i="1"/>
  <c r="AM49" i="1" s="1"/>
  <c r="AC49" i="1"/>
  <c r="AL49" i="1" s="1"/>
  <c r="AB442" i="1"/>
  <c r="AE442" i="1" s="1"/>
  <c r="AN442" i="1" s="1"/>
  <c r="AC442" i="1"/>
  <c r="AL442" i="1" s="1"/>
  <c r="AD300" i="1"/>
  <c r="AM300" i="1" s="1"/>
  <c r="AD233" i="1"/>
  <c r="AM233" i="1" s="1"/>
  <c r="AB233" i="1"/>
  <c r="AC233" i="1"/>
  <c r="AL233" i="1" s="1"/>
  <c r="AD444" i="1"/>
  <c r="AM444" i="1" s="1"/>
  <c r="AC444" i="1"/>
  <c r="AL444" i="1" s="1"/>
  <c r="AB227" i="1"/>
  <c r="AE227" i="1" s="1"/>
  <c r="AC227" i="1"/>
  <c r="AL227" i="1" s="1"/>
  <c r="AD227" i="1"/>
  <c r="AM227" i="1" s="1"/>
  <c r="AB32" i="1"/>
  <c r="AE32" i="1" s="1"/>
  <c r="AC32" i="1"/>
  <c r="AL32" i="1" s="1"/>
  <c r="AD32" i="1"/>
  <c r="AM32" i="1" s="1"/>
  <c r="AB257" i="1"/>
  <c r="AD257" i="1"/>
  <c r="AM257" i="1" s="1"/>
  <c r="AC257" i="1"/>
  <c r="AL257" i="1" s="1"/>
  <c r="AC158" i="1"/>
  <c r="AL158" i="1" s="1"/>
  <c r="AD158" i="1"/>
  <c r="AM158" i="1" s="1"/>
  <c r="AB158" i="1"/>
  <c r="AD221" i="1"/>
  <c r="AM221" i="1" s="1"/>
  <c r="AB221" i="1"/>
  <c r="AC221" i="1"/>
  <c r="AL221" i="1" s="1"/>
  <c r="AB460" i="1"/>
  <c r="AD460" i="1"/>
  <c r="AM460" i="1" s="1"/>
  <c r="AD261" i="1"/>
  <c r="AM261" i="1" s="1"/>
  <c r="AB261" i="1"/>
  <c r="AC261" i="1"/>
  <c r="AL261" i="1" s="1"/>
  <c r="AB371" i="1"/>
  <c r="AE371" i="1" s="1"/>
  <c r="AN371" i="1" s="1"/>
  <c r="AC371" i="1"/>
  <c r="AL371" i="1" s="1"/>
  <c r="AD371" i="1"/>
  <c r="AM371" i="1" s="1"/>
  <c r="AC344" i="1"/>
  <c r="AL344" i="1" s="1"/>
  <c r="AD344" i="1"/>
  <c r="AM344" i="1" s="1"/>
  <c r="AB210" i="1"/>
  <c r="AD210" i="1"/>
  <c r="AM210" i="1" s="1"/>
  <c r="AC210" i="1"/>
  <c r="AL210" i="1" s="1"/>
  <c r="AC125" i="1"/>
  <c r="AL125" i="1" s="1"/>
  <c r="AC448" i="1"/>
  <c r="AL448" i="1" s="1"/>
  <c r="AB448" i="1"/>
  <c r="AD448" i="1"/>
  <c r="AM448" i="1" s="1"/>
  <c r="AB17" i="1"/>
  <c r="AD413" i="1"/>
  <c r="AM413" i="1" s="1"/>
  <c r="AC413" i="1"/>
  <c r="AL413" i="1" s="1"/>
  <c r="AB413" i="1"/>
  <c r="AB2" i="1"/>
  <c r="AC2" i="1"/>
  <c r="AL2" i="1" s="1"/>
  <c r="AD2" i="1"/>
  <c r="AM2" i="1" s="1"/>
  <c r="AB212" i="1"/>
  <c r="AC212" i="1"/>
  <c r="AL212" i="1" s="1"/>
  <c r="AD212" i="1"/>
  <c r="AM212" i="1" s="1"/>
  <c r="AC66" i="1"/>
  <c r="AL66" i="1" s="1"/>
  <c r="AD66" i="1"/>
  <c r="AM66" i="1" s="1"/>
  <c r="AB66" i="1"/>
  <c r="AE66" i="1" s="1"/>
  <c r="AN66" i="1" s="1"/>
  <c r="AB251" i="1"/>
  <c r="AE251" i="1" s="1"/>
  <c r="AN251" i="1" s="1"/>
  <c r="AD251" i="1"/>
  <c r="AM251" i="1" s="1"/>
  <c r="AC251" i="1"/>
  <c r="AL251" i="1" s="1"/>
  <c r="AD104" i="1"/>
  <c r="AM104" i="1" s="1"/>
  <c r="AC104" i="1"/>
  <c r="AL104" i="1" s="1"/>
  <c r="AB104" i="1"/>
  <c r="AC77" i="1"/>
  <c r="AL77" i="1" s="1"/>
  <c r="AB77" i="1"/>
  <c r="AD77" i="1"/>
  <c r="AM77" i="1" s="1"/>
  <c r="AC357" i="1"/>
  <c r="AL357" i="1" s="1"/>
  <c r="AD357" i="1"/>
  <c r="AM357" i="1" s="1"/>
  <c r="AB357" i="1"/>
  <c r="AC178" i="1"/>
  <c r="AL178" i="1" s="1"/>
  <c r="AB178" i="1"/>
  <c r="AD178" i="1"/>
  <c r="AM178" i="1" s="1"/>
  <c r="AD318" i="1"/>
  <c r="AM318" i="1" s="1"/>
  <c r="AB318" i="1"/>
  <c r="AE318" i="1" s="1"/>
  <c r="AN318" i="1" s="1"/>
  <c r="AC318" i="1"/>
  <c r="AL318" i="1" s="1"/>
  <c r="AB69" i="1"/>
  <c r="AC69" i="1"/>
  <c r="AL69" i="1" s="1"/>
  <c r="AD69" i="1"/>
  <c r="AM69" i="1" s="1"/>
  <c r="AD483" i="1"/>
  <c r="AM483" i="1" s="1"/>
  <c r="AC483" i="1"/>
  <c r="AL483" i="1" s="1"/>
  <c r="AB483" i="1"/>
  <c r="AE483" i="1" s="1"/>
  <c r="AN483" i="1" s="1"/>
  <c r="AB319" i="1"/>
  <c r="AE319" i="1" s="1"/>
  <c r="AN319" i="1" s="1"/>
  <c r="AD319" i="1"/>
  <c r="AM319" i="1" s="1"/>
  <c r="AC319" i="1"/>
  <c r="AL319" i="1" s="1"/>
  <c r="AD309" i="1"/>
  <c r="AM309" i="1" s="1"/>
  <c r="AC309" i="1"/>
  <c r="AL309" i="1" s="1"/>
  <c r="AB309" i="1"/>
  <c r="AC288" i="1"/>
  <c r="AL288" i="1" s="1"/>
  <c r="AD288" i="1"/>
  <c r="AM288" i="1" s="1"/>
  <c r="AB288" i="1"/>
  <c r="AB150" i="1"/>
  <c r="AD150" i="1"/>
  <c r="AM150" i="1" s="1"/>
  <c r="AC150" i="1"/>
  <c r="AL150" i="1" s="1"/>
  <c r="AN220" i="1"/>
  <c r="AD234" i="1"/>
  <c r="AM234" i="1" s="1"/>
  <c r="AC234" i="1"/>
  <c r="AL234" i="1" s="1"/>
  <c r="AB234" i="1"/>
  <c r="AB9" i="1" l="1"/>
  <c r="AE9" i="1" s="1"/>
  <c r="AN9" i="1" s="1"/>
  <c r="AB391" i="1"/>
  <c r="AE391" i="1" s="1"/>
  <c r="AN391" i="1" s="1"/>
  <c r="AB118" i="1"/>
  <c r="AE118" i="1" s="1"/>
  <c r="AN118" i="1" s="1"/>
  <c r="AD430" i="1"/>
  <c r="AM430" i="1" s="1"/>
  <c r="AB90" i="1"/>
  <c r="AE90" i="1" s="1"/>
  <c r="AN90" i="1" s="1"/>
  <c r="AB430" i="1"/>
  <c r="AD106" i="1"/>
  <c r="AM106" i="1" s="1"/>
  <c r="AD204" i="1"/>
  <c r="AM204" i="1" s="1"/>
  <c r="AC120" i="1"/>
  <c r="AL120" i="1" s="1"/>
  <c r="AD25" i="1"/>
  <c r="AM25" i="1" s="1"/>
  <c r="AB489" i="1"/>
  <c r="AE489" i="1" s="1"/>
  <c r="AN489" i="1" s="1"/>
  <c r="AC204" i="1"/>
  <c r="AL204" i="1" s="1"/>
  <c r="AB317" i="1"/>
  <c r="AE317" i="1" s="1"/>
  <c r="AN317" i="1" s="1"/>
  <c r="AC4" i="1"/>
  <c r="AL4" i="1" s="1"/>
  <c r="AB198" i="1"/>
  <c r="AC403" i="1"/>
  <c r="AL403" i="1" s="1"/>
  <c r="AD198" i="1"/>
  <c r="AM198" i="1" s="1"/>
  <c r="AD403" i="1"/>
  <c r="AM403" i="1" s="1"/>
  <c r="AD107" i="1"/>
  <c r="AM107" i="1" s="1"/>
  <c r="AC107" i="1"/>
  <c r="AL107" i="1" s="1"/>
  <c r="AC354" i="1"/>
  <c r="AL354" i="1" s="1"/>
  <c r="AB478" i="1"/>
  <c r="AE478" i="1" s="1"/>
  <c r="AB50" i="1"/>
  <c r="AE50" i="1" s="1"/>
  <c r="AD478" i="1"/>
  <c r="AM478" i="1" s="1"/>
  <c r="AD317" i="1"/>
  <c r="AM317" i="1" s="1"/>
  <c r="AB494" i="1"/>
  <c r="AE494" i="1" s="1"/>
  <c r="AN494" i="1" s="1"/>
  <c r="AC363" i="1"/>
  <c r="AL363" i="1" s="1"/>
  <c r="AD354" i="1"/>
  <c r="AM354" i="1" s="1"/>
  <c r="AC50" i="1"/>
  <c r="AL50" i="1" s="1"/>
  <c r="AB106" i="1"/>
  <c r="AE106" i="1" s="1"/>
  <c r="AN106" i="1" s="1"/>
  <c r="AB468" i="1"/>
  <c r="AE468" i="1" s="1"/>
  <c r="AD340" i="1"/>
  <c r="AM340" i="1" s="1"/>
  <c r="AD494" i="1"/>
  <c r="AM494" i="1" s="1"/>
  <c r="AD65" i="1"/>
  <c r="AM65" i="1" s="1"/>
  <c r="AB347" i="1"/>
  <c r="AE347" i="1" s="1"/>
  <c r="AN347" i="1" s="1"/>
  <c r="AB400" i="1"/>
  <c r="AE400" i="1" s="1"/>
  <c r="AD455" i="1"/>
  <c r="AM455" i="1" s="1"/>
  <c r="AD400" i="1"/>
  <c r="AM400" i="1" s="1"/>
  <c r="AC375" i="1"/>
  <c r="AL375" i="1" s="1"/>
  <c r="AB67" i="1"/>
  <c r="AE67" i="1" s="1"/>
  <c r="AN67" i="1" s="1"/>
  <c r="AD81" i="1"/>
  <c r="AM81" i="1" s="1"/>
  <c r="AD246" i="1"/>
  <c r="AM246" i="1" s="1"/>
  <c r="AD214" i="1"/>
  <c r="AM214" i="1" s="1"/>
  <c r="AC166" i="1"/>
  <c r="AL166" i="1" s="1"/>
  <c r="AD28" i="1"/>
  <c r="AM28" i="1" s="1"/>
  <c r="AB214" i="1"/>
  <c r="AE214" i="1" s="1"/>
  <c r="AN214" i="1" s="1"/>
  <c r="AC282" i="1"/>
  <c r="AL282" i="1" s="1"/>
  <c r="AD122" i="1"/>
  <c r="AM122" i="1" s="1"/>
  <c r="AB215" i="1"/>
  <c r="AE215" i="1" s="1"/>
  <c r="AN215" i="1" s="1"/>
  <c r="AB166" i="1"/>
  <c r="AE166" i="1" s="1"/>
  <c r="AD481" i="1"/>
  <c r="AM481" i="1" s="1"/>
  <c r="AB341" i="1"/>
  <c r="AE341" i="1" s="1"/>
  <c r="AN341" i="1" s="1"/>
  <c r="AB481" i="1"/>
  <c r="AE481" i="1" s="1"/>
  <c r="AN481" i="1" s="1"/>
  <c r="AE65" i="1"/>
  <c r="AN65" i="1" s="1"/>
  <c r="AC45" i="1"/>
  <c r="AL45" i="1" s="1"/>
  <c r="AD18" i="1"/>
  <c r="AM18" i="1" s="1"/>
  <c r="AD23" i="1"/>
  <c r="AM23" i="1" s="1"/>
  <c r="AC67" i="1"/>
  <c r="AL67" i="1" s="1"/>
  <c r="AD308" i="1"/>
  <c r="AM308" i="1" s="1"/>
  <c r="AD342" i="1"/>
  <c r="AM342" i="1" s="1"/>
  <c r="AC143" i="1"/>
  <c r="AL143" i="1" s="1"/>
  <c r="AD45" i="1"/>
  <c r="AM45" i="1" s="1"/>
  <c r="AC18" i="1"/>
  <c r="AL18" i="1" s="1"/>
  <c r="AC25" i="1"/>
  <c r="AL25" i="1" s="1"/>
  <c r="AC23" i="1"/>
  <c r="AD33" i="1"/>
  <c r="AM33" i="1" s="1"/>
  <c r="AD112" i="1"/>
  <c r="AM112" i="1" s="1"/>
  <c r="AC380" i="1"/>
  <c r="AL380" i="1" s="1"/>
  <c r="AC155" i="1"/>
  <c r="AL155" i="1" s="1"/>
  <c r="AD468" i="1"/>
  <c r="AM468" i="1" s="1"/>
  <c r="AC147" i="1"/>
  <c r="AL147" i="1" s="1"/>
  <c r="AC293" i="1"/>
  <c r="AL293" i="1" s="1"/>
  <c r="AB86" i="1"/>
  <c r="AE86" i="1" s="1"/>
  <c r="AN86" i="1" s="1"/>
  <c r="AC199" i="1"/>
  <c r="AL199" i="1" s="1"/>
  <c r="AD149" i="1"/>
  <c r="AM149" i="1" s="1"/>
  <c r="AC112" i="1"/>
  <c r="AL112" i="1" s="1"/>
  <c r="AC393" i="1"/>
  <c r="AL393" i="1" s="1"/>
  <c r="AC201" i="1"/>
  <c r="AL201" i="1" s="1"/>
  <c r="AD347" i="1"/>
  <c r="AM347" i="1" s="1"/>
  <c r="AB110" i="1"/>
  <c r="AE110" i="1" s="1"/>
  <c r="AN110" i="1" s="1"/>
  <c r="AB378" i="1"/>
  <c r="AE378" i="1" s="1"/>
  <c r="AN378" i="1" s="1"/>
  <c r="AC188" i="1"/>
  <c r="AL188" i="1" s="1"/>
  <c r="AC259" i="1"/>
  <c r="AL259" i="1" s="1"/>
  <c r="AC149" i="1"/>
  <c r="AL149" i="1" s="1"/>
  <c r="AD252" i="1"/>
  <c r="AM252" i="1" s="1"/>
  <c r="AD428" i="1"/>
  <c r="AM428" i="1" s="1"/>
  <c r="AC110" i="1"/>
  <c r="AL110" i="1" s="1"/>
  <c r="AB184" i="1"/>
  <c r="AE184" i="1" s="1"/>
  <c r="AD378" i="1"/>
  <c r="AM378" i="1" s="1"/>
  <c r="AB303" i="1"/>
  <c r="AE303" i="1" s="1"/>
  <c r="AN303" i="1" s="1"/>
  <c r="AD282" i="1"/>
  <c r="AM282" i="1" s="1"/>
  <c r="AD203" i="1"/>
  <c r="AM203" i="1" s="1"/>
  <c r="AB88" i="1"/>
  <c r="AE88" i="1" s="1"/>
  <c r="AN88" i="1" s="1"/>
  <c r="AB12" i="1"/>
  <c r="AE12" i="1" s="1"/>
  <c r="AN12" i="1" s="1"/>
  <c r="AC33" i="1"/>
  <c r="AL33" i="1" s="1"/>
  <c r="AB272" i="1"/>
  <c r="AE272" i="1" s="1"/>
  <c r="AB199" i="1"/>
  <c r="AE199" i="1" s="1"/>
  <c r="AB139" i="1"/>
  <c r="AE139" i="1" s="1"/>
  <c r="AC16" i="1"/>
  <c r="AL16" i="1" s="1"/>
  <c r="AB13" i="1"/>
  <c r="AE13" i="1" s="1"/>
  <c r="AN13" i="1" s="1"/>
  <c r="AD88" i="1"/>
  <c r="AM88" i="1" s="1"/>
  <c r="AD188" i="1"/>
  <c r="AM188" i="1" s="1"/>
  <c r="AC91" i="1"/>
  <c r="AL91" i="1" s="1"/>
  <c r="AC100" i="1"/>
  <c r="AL100" i="1" s="1"/>
  <c r="AD259" i="1"/>
  <c r="AM259" i="1" s="1"/>
  <c r="AC187" i="1"/>
  <c r="AL187" i="1" s="1"/>
  <c r="AB252" i="1"/>
  <c r="AE252" i="1" s="1"/>
  <c r="AD349" i="1"/>
  <c r="AM349" i="1" s="1"/>
  <c r="AD90" i="1"/>
  <c r="AM90" i="1" s="1"/>
  <c r="AB47" i="1"/>
  <c r="AE47" i="1" s="1"/>
  <c r="AD358" i="1"/>
  <c r="AM358" i="1" s="1"/>
  <c r="AD184" i="1"/>
  <c r="AM184" i="1" s="1"/>
  <c r="AB346" i="1"/>
  <c r="AE346" i="1" s="1"/>
  <c r="AB333" i="1"/>
  <c r="AE333" i="1" s="1"/>
  <c r="AC203" i="1"/>
  <c r="AL203" i="1" s="1"/>
  <c r="AC73" i="1"/>
  <c r="AL73" i="1" s="1"/>
  <c r="AD86" i="1"/>
  <c r="AM86" i="1" s="1"/>
  <c r="AC122" i="1"/>
  <c r="AL122" i="1" s="1"/>
  <c r="AC118" i="1"/>
  <c r="AL118" i="1" s="1"/>
  <c r="AD393" i="1"/>
  <c r="AM393" i="1" s="1"/>
  <c r="AC12" i="1"/>
  <c r="AL12" i="1" s="1"/>
  <c r="AC485" i="1"/>
  <c r="AL485" i="1" s="1"/>
  <c r="AB116" i="1"/>
  <c r="AE116" i="1" s="1"/>
  <c r="AN116" i="1" s="1"/>
  <c r="AD91" i="1"/>
  <c r="AM91" i="1" s="1"/>
  <c r="AB187" i="1"/>
  <c r="AE187" i="1" s="1"/>
  <c r="AN187" i="1" s="1"/>
  <c r="AB349" i="1"/>
  <c r="AE349" i="1" s="1"/>
  <c r="AC342" i="1"/>
  <c r="AL342" i="1" s="1"/>
  <c r="AC47" i="1"/>
  <c r="AL47" i="1" s="1"/>
  <c r="AC370" i="1"/>
  <c r="AL370" i="1" s="1"/>
  <c r="AD335" i="1"/>
  <c r="AM335" i="1" s="1"/>
  <c r="AB358" i="1"/>
  <c r="AE358" i="1" s="1"/>
  <c r="AN358" i="1" s="1"/>
  <c r="AD346" i="1"/>
  <c r="AM346" i="1" s="1"/>
  <c r="AC81" i="1"/>
  <c r="AL81" i="1" s="1"/>
  <c r="AC333" i="1"/>
  <c r="AL333" i="1" s="1"/>
  <c r="AD151" i="1"/>
  <c r="AM151" i="1" s="1"/>
  <c r="AC83" i="1"/>
  <c r="AL83" i="1" s="1"/>
  <c r="AD201" i="1"/>
  <c r="AM201" i="1" s="1"/>
  <c r="AC303" i="1"/>
  <c r="AL303" i="1" s="1"/>
  <c r="AC246" i="1"/>
  <c r="AL246" i="1" s="1"/>
  <c r="AB57" i="1"/>
  <c r="AE57" i="1" s="1"/>
  <c r="AD100" i="1"/>
  <c r="AM100" i="1" s="1"/>
  <c r="AC57" i="1"/>
  <c r="AL57" i="1" s="1"/>
  <c r="AD116" i="1"/>
  <c r="AM116" i="1" s="1"/>
  <c r="AB119" i="1"/>
  <c r="AE119" i="1" s="1"/>
  <c r="AN119" i="1" s="1"/>
  <c r="AD195" i="1"/>
  <c r="AM195" i="1" s="1"/>
  <c r="AB370" i="1"/>
  <c r="AE370" i="1" s="1"/>
  <c r="AN370" i="1" s="1"/>
  <c r="AC7" i="1"/>
  <c r="AL7" i="1" s="1"/>
  <c r="AC343" i="1"/>
  <c r="AL343" i="1" s="1"/>
  <c r="AD153" i="1"/>
  <c r="AM153" i="1" s="1"/>
  <c r="AC39" i="1"/>
  <c r="AL39" i="1" s="1"/>
  <c r="AD359" i="1"/>
  <c r="AM359" i="1" s="1"/>
  <c r="AD125" i="1"/>
  <c r="AM125" i="1" s="1"/>
  <c r="AB324" i="1"/>
  <c r="AE324" i="1" s="1"/>
  <c r="AN324" i="1" s="1"/>
  <c r="AD245" i="1"/>
  <c r="AM245" i="1" s="1"/>
  <c r="AB343" i="1"/>
  <c r="AE343" i="1" s="1"/>
  <c r="AB179" i="1"/>
  <c r="AE179" i="1" s="1"/>
  <c r="AB129" i="1"/>
  <c r="AE129" i="1" s="1"/>
  <c r="AN129" i="1" s="1"/>
  <c r="AC324" i="1"/>
  <c r="AL324" i="1" s="1"/>
  <c r="AB102" i="1"/>
  <c r="AE102" i="1" s="1"/>
  <c r="AN102" i="1" s="1"/>
  <c r="AB263" i="1"/>
  <c r="AE263" i="1" s="1"/>
  <c r="AN263" i="1" s="1"/>
  <c r="AD133" i="1"/>
  <c r="AM133" i="1" s="1"/>
  <c r="AC119" i="1"/>
  <c r="AL119" i="1" s="1"/>
  <c r="AC281" i="1"/>
  <c r="AL281" i="1" s="1"/>
  <c r="AD4" i="1"/>
  <c r="AM4" i="1" s="1"/>
  <c r="AD179" i="1"/>
  <c r="AM179" i="1" s="1"/>
  <c r="AB437" i="1"/>
  <c r="AE437" i="1" s="1"/>
  <c r="AN437" i="1" s="1"/>
  <c r="AB428" i="1"/>
  <c r="AE428" i="1" s="1"/>
  <c r="AN428" i="1" s="1"/>
  <c r="AC153" i="1"/>
  <c r="AL153" i="1" s="1"/>
  <c r="AC345" i="1"/>
  <c r="AL345" i="1" s="1"/>
  <c r="AC359" i="1"/>
  <c r="AL359" i="1" s="1"/>
  <c r="AC192" i="1"/>
  <c r="AL192" i="1" s="1"/>
  <c r="AD415" i="1"/>
  <c r="AM415" i="1" s="1"/>
  <c r="AB415" i="1"/>
  <c r="AE415" i="1" s="1"/>
  <c r="AN415" i="1" s="1"/>
  <c r="AC287" i="1"/>
  <c r="AL287" i="1" s="1"/>
  <c r="AD284" i="1"/>
  <c r="AM284" i="1" s="1"/>
  <c r="AE114" i="1"/>
  <c r="AN114" i="1" s="1"/>
  <c r="AD458" i="1"/>
  <c r="AM458" i="1" s="1"/>
  <c r="AC313" i="1"/>
  <c r="AL313" i="1" s="1"/>
  <c r="AC190" i="1"/>
  <c r="AL190" i="1" s="1"/>
  <c r="AD123" i="1"/>
  <c r="AM123" i="1" s="1"/>
  <c r="AB101" i="1"/>
  <c r="AE101" i="1" s="1"/>
  <c r="AD313" i="1"/>
  <c r="AM313" i="1" s="1"/>
  <c r="AC206" i="1"/>
  <c r="AL206" i="1" s="1"/>
  <c r="AB16" i="1"/>
  <c r="AE16" i="1" s="1"/>
  <c r="AN16" i="1" s="1"/>
  <c r="AC272" i="1"/>
  <c r="AL272" i="1" s="1"/>
  <c r="AD241" i="1"/>
  <c r="AM241" i="1" s="1"/>
  <c r="AB374" i="1"/>
  <c r="AE374" i="1" s="1"/>
  <c r="AN374" i="1" s="1"/>
  <c r="AC163" i="1"/>
  <c r="AL163" i="1" s="1"/>
  <c r="AB455" i="1"/>
  <c r="AE455" i="1" s="1"/>
  <c r="AN455" i="1" s="1"/>
  <c r="AB206" i="1"/>
  <c r="AC308" i="1"/>
  <c r="AL308" i="1" s="1"/>
  <c r="AC98" i="1"/>
  <c r="AL98" i="1" s="1"/>
  <c r="AD63" i="1"/>
  <c r="AM63" i="1" s="1"/>
  <c r="AB438" i="1"/>
  <c r="AE438" i="1" s="1"/>
  <c r="AB273" i="1"/>
  <c r="AE273" i="1" s="1"/>
  <c r="AN273" i="1" s="1"/>
  <c r="AD421" i="1"/>
  <c r="AM421" i="1" s="1"/>
  <c r="AD105" i="1"/>
  <c r="AM105" i="1" s="1"/>
  <c r="AB241" i="1"/>
  <c r="AE241" i="1" s="1"/>
  <c r="AN241" i="1" s="1"/>
  <c r="AC260" i="1"/>
  <c r="AL260" i="1" s="1"/>
  <c r="AB173" i="1"/>
  <c r="AE173" i="1" s="1"/>
  <c r="AN173" i="1" s="1"/>
  <c r="AB255" i="1"/>
  <c r="AE255" i="1" s="1"/>
  <c r="AN255" i="1" s="1"/>
  <c r="AB240" i="1"/>
  <c r="AH240" i="1" s="1"/>
  <c r="AK240" i="1" s="1"/>
  <c r="AP240" i="1" s="1"/>
  <c r="AU240" i="1" s="1"/>
  <c r="AC9" i="1"/>
  <c r="AL9" i="1" s="1"/>
  <c r="AC114" i="1"/>
  <c r="AL114" i="1" s="1"/>
  <c r="AB458" i="1"/>
  <c r="AE458" i="1" s="1"/>
  <c r="AN458" i="1" s="1"/>
  <c r="AD114" i="1"/>
  <c r="AM114" i="1" s="1"/>
  <c r="AB147" i="1"/>
  <c r="AE147" i="1" s="1"/>
  <c r="AC138" i="1"/>
  <c r="AL138" i="1" s="1"/>
  <c r="AB287" i="1"/>
  <c r="AE287" i="1" s="1"/>
  <c r="AN287" i="1" s="1"/>
  <c r="AB73" i="1"/>
  <c r="AE73" i="1" s="1"/>
  <c r="AN73" i="1" s="1"/>
  <c r="AD102" i="1"/>
  <c r="AM102" i="1" s="1"/>
  <c r="AC46" i="1"/>
  <c r="AL46" i="1" s="1"/>
  <c r="AB482" i="1"/>
  <c r="AE482" i="1" s="1"/>
  <c r="AC101" i="1"/>
  <c r="AL101" i="1" s="1"/>
  <c r="AD157" i="1"/>
  <c r="AM157" i="1" s="1"/>
  <c r="AB163" i="1"/>
  <c r="AE163" i="1" s="1"/>
  <c r="AB46" i="1"/>
  <c r="AE46" i="1" s="1"/>
  <c r="AN46" i="1" s="1"/>
  <c r="AD482" i="1"/>
  <c r="AM482" i="1" s="1"/>
  <c r="AD143" i="1"/>
  <c r="AM143" i="1" s="1"/>
  <c r="AB190" i="1"/>
  <c r="AE190" i="1" s="1"/>
  <c r="AD98" i="1"/>
  <c r="AM98" i="1" s="1"/>
  <c r="AB157" i="1"/>
  <c r="AE157" i="1" s="1"/>
  <c r="AC438" i="1"/>
  <c r="AL438" i="1" s="1"/>
  <c r="AC421" i="1"/>
  <c r="AL421" i="1" s="1"/>
  <c r="AC105" i="1"/>
  <c r="AL105" i="1" s="1"/>
  <c r="AB335" i="1"/>
  <c r="AE335" i="1" s="1"/>
  <c r="AG335" i="1" s="1"/>
  <c r="AO335" i="1" s="1"/>
  <c r="AD138" i="1"/>
  <c r="AM138" i="1" s="1"/>
  <c r="AC65" i="1"/>
  <c r="AL65" i="1" s="1"/>
  <c r="AD489" i="1"/>
  <c r="AM489" i="1" s="1"/>
  <c r="AC173" i="1"/>
  <c r="AL173" i="1" s="1"/>
  <c r="AD262" i="1"/>
  <c r="AM262" i="1" s="1"/>
  <c r="AC78" i="1"/>
  <c r="AL78" i="1" s="1"/>
  <c r="AD439" i="1"/>
  <c r="AM439" i="1" s="1"/>
  <c r="AB439" i="1"/>
  <c r="AE439" i="1" s="1"/>
  <c r="AC439" i="1"/>
  <c r="AL439" i="1" s="1"/>
  <c r="AB135" i="1"/>
  <c r="AE135" i="1" s="1"/>
  <c r="AN135" i="1" s="1"/>
  <c r="AD135" i="1"/>
  <c r="AM135" i="1" s="1"/>
  <c r="AC135" i="1"/>
  <c r="AL135" i="1" s="1"/>
  <c r="AC433" i="1"/>
  <c r="AL433" i="1" s="1"/>
  <c r="AD433" i="1"/>
  <c r="AM433" i="1" s="1"/>
  <c r="AB433" i="1"/>
  <c r="AE433" i="1" s="1"/>
  <c r="AD21" i="1"/>
  <c r="AM21" i="1" s="1"/>
  <c r="AC21" i="1"/>
  <c r="AL21" i="1" s="1"/>
  <c r="AB21" i="1"/>
  <c r="AE21" i="1" s="1"/>
  <c r="AN21" i="1" s="1"/>
  <c r="AD219" i="1"/>
  <c r="AM219" i="1" s="1"/>
  <c r="AB219" i="1"/>
  <c r="AE219" i="1" s="1"/>
  <c r="AN219" i="1" s="1"/>
  <c r="AC219" i="1"/>
  <c r="AL219" i="1" s="1"/>
  <c r="AB467" i="1"/>
  <c r="AE467" i="1" s="1"/>
  <c r="AN467" i="1" s="1"/>
  <c r="AC467" i="1"/>
  <c r="AL467" i="1" s="1"/>
  <c r="AD467" i="1"/>
  <c r="AM467" i="1" s="1"/>
  <c r="AB99" i="1"/>
  <c r="AE99" i="1" s="1"/>
  <c r="AN99" i="1" s="1"/>
  <c r="AC310" i="1"/>
  <c r="AL310" i="1" s="1"/>
  <c r="AB310" i="1"/>
  <c r="AE310" i="1" s="1"/>
  <c r="AB404" i="1"/>
  <c r="AE404" i="1" s="1"/>
  <c r="AD404" i="1"/>
  <c r="AM404" i="1" s="1"/>
  <c r="AD417" i="1"/>
  <c r="AM417" i="1" s="1"/>
  <c r="AC410" i="1"/>
  <c r="AL410" i="1" s="1"/>
  <c r="AD410" i="1"/>
  <c r="AM410" i="1" s="1"/>
  <c r="AB410" i="1"/>
  <c r="AE410" i="1" s="1"/>
  <c r="AC450" i="1"/>
  <c r="AL450" i="1" s="1"/>
  <c r="AB450" i="1"/>
  <c r="AE450" i="1" s="1"/>
  <c r="AN450" i="1" s="1"/>
  <c r="AD450" i="1"/>
  <c r="AM450" i="1" s="1"/>
  <c r="AC55" i="1"/>
  <c r="AL55" i="1" s="1"/>
  <c r="AB55" i="1"/>
  <c r="AH55" i="1" s="1"/>
  <c r="AK55" i="1" s="1"/>
  <c r="AD55" i="1"/>
  <c r="AM55" i="1" s="1"/>
  <c r="AD60" i="1"/>
  <c r="AM60" i="1" s="1"/>
  <c r="AC60" i="1"/>
  <c r="AL60" i="1" s="1"/>
  <c r="AB60" i="1"/>
  <c r="AE60" i="1" s="1"/>
  <c r="AN60" i="1" s="1"/>
  <c r="AC61" i="1"/>
  <c r="AL61" i="1" s="1"/>
  <c r="AB61" i="1"/>
  <c r="AE61" i="1" s="1"/>
  <c r="AN61" i="1" s="1"/>
  <c r="AD61" i="1"/>
  <c r="AM61" i="1" s="1"/>
  <c r="AB270" i="1"/>
  <c r="AE270" i="1" s="1"/>
  <c r="AN270" i="1" s="1"/>
  <c r="AC270" i="1"/>
  <c r="AL270" i="1" s="1"/>
  <c r="AD53" i="1"/>
  <c r="AM53" i="1" s="1"/>
  <c r="AB53" i="1"/>
  <c r="AE53" i="1" s="1"/>
  <c r="AN53" i="1" s="1"/>
  <c r="AC53" i="1"/>
  <c r="AL53" i="1" s="1"/>
  <c r="AB411" i="1"/>
  <c r="AE411" i="1" s="1"/>
  <c r="AN411" i="1" s="1"/>
  <c r="AD411" i="1"/>
  <c r="AM411" i="1" s="1"/>
  <c r="AC411" i="1"/>
  <c r="AL411" i="1" s="1"/>
  <c r="AD363" i="1"/>
  <c r="AM363" i="1" s="1"/>
  <c r="AC484" i="1"/>
  <c r="AL484" i="1" s="1"/>
  <c r="AD484" i="1"/>
  <c r="AM484" i="1" s="1"/>
  <c r="AB484" i="1"/>
  <c r="AE484" i="1" s="1"/>
  <c r="AN484" i="1" s="1"/>
  <c r="AB144" i="1"/>
  <c r="AE144" i="1" s="1"/>
  <c r="AN144" i="1" s="1"/>
  <c r="AC144" i="1"/>
  <c r="AL144" i="1" s="1"/>
  <c r="AB364" i="1"/>
  <c r="AE364" i="1" s="1"/>
  <c r="AD364" i="1"/>
  <c r="AM364" i="1" s="1"/>
  <c r="AC364" i="1"/>
  <c r="AL364" i="1" s="1"/>
  <c r="AD75" i="1"/>
  <c r="AM75" i="1" s="1"/>
  <c r="AB75" i="1"/>
  <c r="AE75" i="1" s="1"/>
  <c r="AC168" i="1"/>
  <c r="AL168" i="1" s="1"/>
  <c r="AD168" i="1"/>
  <c r="AM168" i="1" s="1"/>
  <c r="AB168" i="1"/>
  <c r="AE168" i="1" s="1"/>
  <c r="AN168" i="1" s="1"/>
  <c r="AC72" i="1"/>
  <c r="AL72" i="1" s="1"/>
  <c r="AB72" i="1"/>
  <c r="AE72" i="1" s="1"/>
  <c r="AN72" i="1" s="1"/>
  <c r="AD72" i="1"/>
  <c r="AM72" i="1" s="1"/>
  <c r="AB231" i="1"/>
  <c r="AE231" i="1" s="1"/>
  <c r="AN231" i="1" s="1"/>
  <c r="AC231" i="1"/>
  <c r="AL231" i="1" s="1"/>
  <c r="AD231" i="1"/>
  <c r="AM231" i="1" s="1"/>
  <c r="AD492" i="1"/>
  <c r="AM492" i="1" s="1"/>
  <c r="AB492" i="1"/>
  <c r="AE492" i="1" s="1"/>
  <c r="AN492" i="1" s="1"/>
  <c r="AC492" i="1"/>
  <c r="AL492" i="1" s="1"/>
  <c r="AC320" i="1"/>
  <c r="AL320" i="1" s="1"/>
  <c r="AD320" i="1"/>
  <c r="AM320" i="1" s="1"/>
  <c r="AB320" i="1"/>
  <c r="AE320" i="1" s="1"/>
  <c r="AN320" i="1" s="1"/>
  <c r="AB367" i="1"/>
  <c r="AE367" i="1" s="1"/>
  <c r="AN367" i="1" s="1"/>
  <c r="AC367" i="1"/>
  <c r="AL367" i="1" s="1"/>
  <c r="AD367" i="1"/>
  <c r="AM367" i="1" s="1"/>
  <c r="AD339" i="1"/>
  <c r="AM339" i="1" s="1"/>
  <c r="AC339" i="1"/>
  <c r="AL339" i="1" s="1"/>
  <c r="AB339" i="1"/>
  <c r="AE339" i="1" s="1"/>
  <c r="AB461" i="1"/>
  <c r="AE461" i="1" s="1"/>
  <c r="AN461" i="1" s="1"/>
  <c r="AD461" i="1"/>
  <c r="AM461" i="1" s="1"/>
  <c r="AC461" i="1"/>
  <c r="AL461" i="1" s="1"/>
  <c r="AB115" i="1"/>
  <c r="AE115" i="1" s="1"/>
  <c r="AD115" i="1"/>
  <c r="AM115" i="1" s="1"/>
  <c r="AC115" i="1"/>
  <c r="AL115" i="1" s="1"/>
  <c r="AC464" i="1"/>
  <c r="AL464" i="1" s="1"/>
  <c r="AD464" i="1"/>
  <c r="AM464" i="1" s="1"/>
  <c r="AB464" i="1"/>
  <c r="AE464" i="1" s="1"/>
  <c r="AN464" i="1" s="1"/>
  <c r="AC224" i="1"/>
  <c r="AL224" i="1" s="1"/>
  <c r="AB224" i="1"/>
  <c r="AE224" i="1" s="1"/>
  <c r="AN224" i="1" s="1"/>
  <c r="AC417" i="1"/>
  <c r="AL417" i="1" s="1"/>
  <c r="AB475" i="1"/>
  <c r="AE475" i="1" s="1"/>
  <c r="AN475" i="1" s="1"/>
  <c r="AB80" i="1"/>
  <c r="AE80" i="1" s="1"/>
  <c r="AB156" i="1"/>
  <c r="AE156" i="1" s="1"/>
  <c r="AC156" i="1"/>
  <c r="AL156" i="1" s="1"/>
  <c r="AD156" i="1"/>
  <c r="AM156" i="1" s="1"/>
  <c r="AD68" i="1"/>
  <c r="AM68" i="1" s="1"/>
  <c r="AB68" i="1"/>
  <c r="AE68" i="1" s="1"/>
  <c r="AN68" i="1" s="1"/>
  <c r="AG447" i="1"/>
  <c r="AO447" i="1" s="1"/>
  <c r="AD113" i="1"/>
  <c r="AM113" i="1" s="1"/>
  <c r="AB113" i="1"/>
  <c r="AE113" i="1" s="1"/>
  <c r="AN113" i="1" s="1"/>
  <c r="AC113" i="1"/>
  <c r="AL113" i="1" s="1"/>
  <c r="AB59" i="1"/>
  <c r="AE59" i="1" s="1"/>
  <c r="AD59" i="1"/>
  <c r="AM59" i="1" s="1"/>
  <c r="AC59" i="1"/>
  <c r="AL59" i="1" s="1"/>
  <c r="AB277" i="1"/>
  <c r="AH277" i="1" s="1"/>
  <c r="AK277" i="1" s="1"/>
  <c r="AC277" i="1"/>
  <c r="AL277" i="1" s="1"/>
  <c r="AD277" i="1"/>
  <c r="AM277" i="1" s="1"/>
  <c r="AC99" i="1"/>
  <c r="AL99" i="1" s="1"/>
  <c r="AD475" i="1"/>
  <c r="AM475" i="1" s="1"/>
  <c r="AD80" i="1"/>
  <c r="AM80" i="1" s="1"/>
  <c r="AD310" i="1"/>
  <c r="AM310" i="1" s="1"/>
  <c r="AB14" i="1"/>
  <c r="AE14" i="1" s="1"/>
  <c r="AD159" i="1"/>
  <c r="AM159" i="1" s="1"/>
  <c r="AC202" i="1"/>
  <c r="AL202" i="1" s="1"/>
  <c r="AE123" i="1"/>
  <c r="AN123" i="1" s="1"/>
  <c r="AB399" i="1"/>
  <c r="AE399" i="1" s="1"/>
  <c r="AB493" i="1"/>
  <c r="AE493" i="1" s="1"/>
  <c r="AB422" i="1"/>
  <c r="AE422" i="1" s="1"/>
  <c r="AN422" i="1" s="1"/>
  <c r="AC189" i="1"/>
  <c r="AL189" i="1" s="1"/>
  <c r="AD137" i="1"/>
  <c r="AM137" i="1" s="1"/>
  <c r="AG291" i="1"/>
  <c r="AO291" i="1" s="1"/>
  <c r="AG457" i="1"/>
  <c r="AO457" i="1" s="1"/>
  <c r="AD14" i="1"/>
  <c r="AM14" i="1" s="1"/>
  <c r="AB111" i="1"/>
  <c r="AE111" i="1" s="1"/>
  <c r="AN111" i="1" s="1"/>
  <c r="AB395" i="1"/>
  <c r="AH395" i="1" s="1"/>
  <c r="AK395" i="1" s="1"/>
  <c r="AB137" i="1"/>
  <c r="AE137" i="1" s="1"/>
  <c r="AN137" i="1" s="1"/>
  <c r="AC230" i="1"/>
  <c r="AL230" i="1" s="1"/>
  <c r="AD181" i="1"/>
  <c r="AM181" i="1" s="1"/>
  <c r="AD26" i="1"/>
  <c r="AM26" i="1" s="1"/>
  <c r="AD111" i="1"/>
  <c r="AM111" i="1" s="1"/>
  <c r="AD337" i="1"/>
  <c r="AM337" i="1" s="1"/>
  <c r="AB169" i="1"/>
  <c r="AE169" i="1" s="1"/>
  <c r="AN169" i="1" s="1"/>
  <c r="AB230" i="1"/>
  <c r="AE230" i="1" s="1"/>
  <c r="AD440" i="1"/>
  <c r="AM440" i="1" s="1"/>
  <c r="AB226" i="1"/>
  <c r="AE226" i="1" s="1"/>
  <c r="AN226" i="1" s="1"/>
  <c r="AB181" i="1"/>
  <c r="AE181" i="1" s="1"/>
  <c r="AN181" i="1" s="1"/>
  <c r="AB463" i="1"/>
  <c r="AE463" i="1" s="1"/>
  <c r="AD329" i="1"/>
  <c r="AM329" i="1" s="1"/>
  <c r="AB238" i="1"/>
  <c r="AE238" i="1" s="1"/>
  <c r="AC43" i="1"/>
  <c r="AL43" i="1" s="1"/>
  <c r="AC423" i="1"/>
  <c r="AL423" i="1" s="1"/>
  <c r="AB265" i="1"/>
  <c r="AE265" i="1" s="1"/>
  <c r="AD41" i="1"/>
  <c r="AM41" i="1" s="1"/>
  <c r="AC426" i="1"/>
  <c r="AL426" i="1" s="1"/>
  <c r="AC395" i="1"/>
  <c r="AL395" i="1" s="1"/>
  <c r="AC95" i="1"/>
  <c r="AL95" i="1" s="1"/>
  <c r="AC402" i="1"/>
  <c r="AL402" i="1" s="1"/>
  <c r="AB159" i="1"/>
  <c r="AE159" i="1" s="1"/>
  <c r="AN159" i="1" s="1"/>
  <c r="AD169" i="1"/>
  <c r="AM169" i="1" s="1"/>
  <c r="AD79" i="1"/>
  <c r="AM79" i="1" s="1"/>
  <c r="AB242" i="1"/>
  <c r="AE242" i="1" s="1"/>
  <c r="AN242" i="1" s="1"/>
  <c r="AC117" i="1"/>
  <c r="AL117" i="1" s="1"/>
  <c r="AD174" i="1"/>
  <c r="AM174" i="1" s="1"/>
  <c r="AB454" i="1"/>
  <c r="AE454" i="1" s="1"/>
  <c r="AN454" i="1" s="1"/>
  <c r="AD389" i="1"/>
  <c r="AM389" i="1" s="1"/>
  <c r="AB345" i="1"/>
  <c r="AE345" i="1" s="1"/>
  <c r="AN345" i="1" s="1"/>
  <c r="AC389" i="1"/>
  <c r="AL389" i="1" s="1"/>
  <c r="AB202" i="1"/>
  <c r="AE202" i="1" s="1"/>
  <c r="AD40" i="1"/>
  <c r="AM40" i="1" s="1"/>
  <c r="AD374" i="1"/>
  <c r="AM374" i="1" s="1"/>
  <c r="AB189" i="1"/>
  <c r="AH189" i="1" s="1"/>
  <c r="AK189" i="1" s="1"/>
  <c r="AD42" i="1"/>
  <c r="AM42" i="1" s="1"/>
  <c r="AC493" i="1"/>
  <c r="AL493" i="1" s="1"/>
  <c r="AC175" i="1"/>
  <c r="AL175" i="1" s="1"/>
  <c r="AD399" i="1"/>
  <c r="AM399" i="1" s="1"/>
  <c r="AC263" i="1"/>
  <c r="AL263" i="1" s="1"/>
  <c r="AD422" i="1"/>
  <c r="AM422" i="1" s="1"/>
  <c r="AC26" i="1"/>
  <c r="AL26" i="1" s="1"/>
  <c r="AD435" i="1"/>
  <c r="AM435" i="1" s="1"/>
  <c r="AC226" i="1"/>
  <c r="AL226" i="1" s="1"/>
  <c r="AC329" i="1"/>
  <c r="AL329" i="1" s="1"/>
  <c r="AC30" i="1"/>
  <c r="AL30" i="1" s="1"/>
  <c r="AB95" i="1"/>
  <c r="AE95" i="1" s="1"/>
  <c r="AC123" i="1"/>
  <c r="AL123" i="1" s="1"/>
  <c r="AC79" i="1"/>
  <c r="AB174" i="1"/>
  <c r="AE174" i="1" s="1"/>
  <c r="AN174" i="1" s="1"/>
  <c r="AC454" i="1"/>
  <c r="AL454" i="1" s="1"/>
  <c r="AC440" i="1"/>
  <c r="AL440" i="1" s="1"/>
  <c r="AB192" i="1"/>
  <c r="AE192" i="1" s="1"/>
  <c r="AC463" i="1"/>
  <c r="AL463" i="1" s="1"/>
  <c r="AD238" i="1"/>
  <c r="AM238" i="1" s="1"/>
  <c r="AD304" i="1"/>
  <c r="AM304" i="1" s="1"/>
  <c r="AD273" i="1"/>
  <c r="AD43" i="1"/>
  <c r="AM43" i="1" s="1"/>
  <c r="AD423" i="1"/>
  <c r="AM423" i="1" s="1"/>
  <c r="AC265" i="1"/>
  <c r="AL265" i="1" s="1"/>
  <c r="AC420" i="1"/>
  <c r="AL420" i="1" s="1"/>
  <c r="AD443" i="1"/>
  <c r="AM443" i="1" s="1"/>
  <c r="AC41" i="1"/>
  <c r="AL41" i="1" s="1"/>
  <c r="AB426" i="1"/>
  <c r="AE426" i="1" s="1"/>
  <c r="AN426" i="1" s="1"/>
  <c r="AB431" i="1"/>
  <c r="AE431" i="1" s="1"/>
  <c r="AN431" i="1" s="1"/>
  <c r="AD402" i="1"/>
  <c r="AM402" i="1" s="1"/>
  <c r="AC284" i="1"/>
  <c r="AL284" i="1" s="1"/>
  <c r="AD242" i="1"/>
  <c r="AM242" i="1" s="1"/>
  <c r="AD117" i="1"/>
  <c r="AM117" i="1" s="1"/>
  <c r="AE260" i="1"/>
  <c r="AN260" i="1" s="1"/>
  <c r="AB245" i="1"/>
  <c r="AE245" i="1" s="1"/>
  <c r="AC437" i="1"/>
  <c r="AL437" i="1" s="1"/>
  <c r="AC418" i="1"/>
  <c r="AL418" i="1" s="1"/>
  <c r="AD418" i="1"/>
  <c r="AM418" i="1" s="1"/>
  <c r="AB435" i="1"/>
  <c r="AE435" i="1" s="1"/>
  <c r="AN435" i="1" s="1"/>
  <c r="AE40" i="1"/>
  <c r="AN40" i="1" s="1"/>
  <c r="AC40" i="1"/>
  <c r="AL40" i="1" s="1"/>
  <c r="AC42" i="1"/>
  <c r="AL42" i="1" s="1"/>
  <c r="AD30" i="1"/>
  <c r="AM30" i="1" s="1"/>
  <c r="AD172" i="1"/>
  <c r="AM172" i="1" s="1"/>
  <c r="AC304" i="1"/>
  <c r="AL304" i="1" s="1"/>
  <c r="AB420" i="1"/>
  <c r="AE420" i="1" s="1"/>
  <c r="AB443" i="1"/>
  <c r="AE443" i="1" s="1"/>
  <c r="AB293" i="1"/>
  <c r="AE293" i="1" s="1"/>
  <c r="AN293" i="1" s="1"/>
  <c r="AB353" i="1"/>
  <c r="AE353" i="1" s="1"/>
  <c r="AN353" i="1" s="1"/>
  <c r="AG275" i="1"/>
  <c r="AO275" i="1" s="1"/>
  <c r="AD301" i="1"/>
  <c r="AM301" i="1" s="1"/>
  <c r="AC225" i="1"/>
  <c r="AL225" i="1" s="1"/>
  <c r="AD129" i="1"/>
  <c r="AM129" i="1" s="1"/>
  <c r="AG376" i="1"/>
  <c r="AO376" i="1" s="1"/>
  <c r="AM173" i="1"/>
  <c r="AC301" i="1"/>
  <c r="AL301" i="1" s="1"/>
  <c r="AD13" i="1"/>
  <c r="AM13" i="1" s="1"/>
  <c r="AC462" i="1"/>
  <c r="AL462" i="1" s="1"/>
  <c r="AC323" i="1"/>
  <c r="AL323" i="1" s="1"/>
  <c r="AG316" i="1"/>
  <c r="AO316" i="1" s="1"/>
  <c r="AL316" i="1"/>
  <c r="AD292" i="1"/>
  <c r="AM292" i="1" s="1"/>
  <c r="AG82" i="1"/>
  <c r="AO82" i="1" s="1"/>
  <c r="AD194" i="1"/>
  <c r="AM194" i="1" s="1"/>
  <c r="AD27" i="1"/>
  <c r="AM27" i="1" s="1"/>
  <c r="AD87" i="1"/>
  <c r="AM87" i="1" s="1"/>
  <c r="AC297" i="1"/>
  <c r="AL297" i="1" s="1"/>
  <c r="AC306" i="1"/>
  <c r="AL306" i="1" s="1"/>
  <c r="AC96" i="1"/>
  <c r="AL96" i="1" s="1"/>
  <c r="AB409" i="1"/>
  <c r="AE409" i="1" s="1"/>
  <c r="AG495" i="1"/>
  <c r="AO495" i="1" s="1"/>
  <c r="AC453" i="1"/>
  <c r="AL453" i="1" s="1"/>
  <c r="AD96" i="1"/>
  <c r="AM96" i="1" s="1"/>
  <c r="AD326" i="1"/>
  <c r="AM326" i="1" s="1"/>
  <c r="AC488" i="1"/>
  <c r="AL488" i="1" s="1"/>
  <c r="AC89" i="1"/>
  <c r="AL89" i="1" s="1"/>
  <c r="AD497" i="1"/>
  <c r="AM497" i="1" s="1"/>
  <c r="AB453" i="1"/>
  <c r="AE453" i="1" s="1"/>
  <c r="AN453" i="1" s="1"/>
  <c r="AC441" i="1"/>
  <c r="AL441" i="1" s="1"/>
  <c r="AC280" i="1"/>
  <c r="AL280" i="1" s="1"/>
  <c r="AD409" i="1"/>
  <c r="AM409" i="1" s="1"/>
  <c r="AB326" i="1"/>
  <c r="AE326" i="1" s="1"/>
  <c r="AD148" i="1"/>
  <c r="AM148" i="1" s="1"/>
  <c r="AC258" i="1"/>
  <c r="AL258" i="1" s="1"/>
  <c r="AD384" i="1"/>
  <c r="AM384" i="1" s="1"/>
  <c r="AD496" i="1"/>
  <c r="AM496" i="1" s="1"/>
  <c r="AC28" i="1"/>
  <c r="AL28" i="1" s="1"/>
  <c r="AC136" i="1"/>
  <c r="AL136" i="1" s="1"/>
  <c r="AB392" i="1"/>
  <c r="AE392" i="1" s="1"/>
  <c r="AD470" i="1"/>
  <c r="AM470" i="1" s="1"/>
  <c r="AB361" i="1"/>
  <c r="AE361" i="1" s="1"/>
  <c r="AN361" i="1" s="1"/>
  <c r="AC338" i="1"/>
  <c r="AL338" i="1" s="1"/>
  <c r="AG442" i="1"/>
  <c r="AO442" i="1" s="1"/>
  <c r="AC360" i="1"/>
  <c r="AL360" i="1" s="1"/>
  <c r="AD155" i="1"/>
  <c r="AM155" i="1" s="1"/>
  <c r="AD294" i="1"/>
  <c r="AM294" i="1" s="1"/>
  <c r="AG191" i="1"/>
  <c r="AO191" i="1" s="1"/>
  <c r="AD5" i="1"/>
  <c r="AD209" i="1"/>
  <c r="AM209" i="1" s="1"/>
  <c r="AB498" i="1"/>
  <c r="AE498" i="1" s="1"/>
  <c r="AN498" i="1" s="1"/>
  <c r="AC330" i="1"/>
  <c r="AL330" i="1" s="1"/>
  <c r="AD268" i="1"/>
  <c r="AM268" i="1" s="1"/>
  <c r="AD225" i="1"/>
  <c r="AM225" i="1" s="1"/>
  <c r="AB175" i="1"/>
  <c r="AE175" i="1" s="1"/>
  <c r="AD297" i="1"/>
  <c r="AM297" i="1" s="1"/>
  <c r="AC160" i="1"/>
  <c r="AL160" i="1" s="1"/>
  <c r="AC366" i="1"/>
  <c r="AL366" i="1" s="1"/>
  <c r="AD323" i="1"/>
  <c r="AM323" i="1" s="1"/>
  <c r="AC215" i="1"/>
  <c r="AL215" i="1" s="1"/>
  <c r="AC416" i="1"/>
  <c r="AL416" i="1" s="1"/>
  <c r="AB267" i="1"/>
  <c r="AE267" i="1" s="1"/>
  <c r="AN267" i="1" s="1"/>
  <c r="AC151" i="1"/>
  <c r="AL151" i="1" s="1"/>
  <c r="AB27" i="1"/>
  <c r="AE27" i="1" s="1"/>
  <c r="AC148" i="1"/>
  <c r="AL148" i="1" s="1"/>
  <c r="AD488" i="1"/>
  <c r="AM488" i="1" s="1"/>
  <c r="AD330" i="1"/>
  <c r="AM330" i="1" s="1"/>
  <c r="AC384" i="1"/>
  <c r="AL384" i="1" s="1"/>
  <c r="AB496" i="1"/>
  <c r="AE496" i="1" s="1"/>
  <c r="AN496" i="1" s="1"/>
  <c r="AB136" i="1"/>
  <c r="AE136" i="1" s="1"/>
  <c r="AN136" i="1" s="1"/>
  <c r="AD392" i="1"/>
  <c r="AM392" i="1" s="1"/>
  <c r="AC470" i="1"/>
  <c r="AL470" i="1" s="1"/>
  <c r="AB338" i="1"/>
  <c r="AE338" i="1" s="1"/>
  <c r="AN338" i="1" s="1"/>
  <c r="AD498" i="1"/>
  <c r="AM498" i="1" s="1"/>
  <c r="AC497" i="1"/>
  <c r="AL497" i="1" s="1"/>
  <c r="AB441" i="1"/>
  <c r="AE441" i="1" s="1"/>
  <c r="AD280" i="1"/>
  <c r="AM280" i="1" s="1"/>
  <c r="AB6" i="1"/>
  <c r="AE6" i="1" s="1"/>
  <c r="AN6" i="1" s="1"/>
  <c r="AD479" i="1"/>
  <c r="AM479" i="1" s="1"/>
  <c r="AB321" i="1"/>
  <c r="AE321" i="1" s="1"/>
  <c r="AN321" i="1" s="1"/>
  <c r="AC54" i="1"/>
  <c r="AL54" i="1" s="1"/>
  <c r="AB71" i="1"/>
  <c r="AE71" i="1" s="1"/>
  <c r="AB258" i="1"/>
  <c r="AE258" i="1" s="1"/>
  <c r="AN258" i="1" s="1"/>
  <c r="AB384" i="1"/>
  <c r="AE384" i="1" s="1"/>
  <c r="AN384" i="1" s="1"/>
  <c r="AD328" i="1"/>
  <c r="AM328" i="1" s="1"/>
  <c r="AC205" i="1"/>
  <c r="AD361" i="1"/>
  <c r="AM361" i="1" s="1"/>
  <c r="AD360" i="1"/>
  <c r="AM360" i="1" s="1"/>
  <c r="AD255" i="1"/>
  <c r="AM255" i="1" s="1"/>
  <c r="AC74" i="1"/>
  <c r="AL74" i="1" s="1"/>
  <c r="AB294" i="1"/>
  <c r="AE294" i="1" s="1"/>
  <c r="AN294" i="1" s="1"/>
  <c r="AB306" i="1"/>
  <c r="AB209" i="1"/>
  <c r="AE209" i="1" s="1"/>
  <c r="AN209" i="1" s="1"/>
  <c r="AC56" i="1"/>
  <c r="AL56" i="1" s="1"/>
  <c r="AD34" i="1"/>
  <c r="AM34" i="1" s="1"/>
  <c r="AC267" i="1"/>
  <c r="AL267" i="1" s="1"/>
  <c r="AD462" i="1"/>
  <c r="AM462" i="1" s="1"/>
  <c r="AC456" i="1"/>
  <c r="AL456" i="1" s="1"/>
  <c r="AB160" i="1"/>
  <c r="AE160" i="1" s="1"/>
  <c r="AN160" i="1" s="1"/>
  <c r="AC87" i="1"/>
  <c r="AL87" i="1" s="1"/>
  <c r="AB7" i="1"/>
  <c r="AH7" i="1" s="1"/>
  <c r="AK7" i="1" s="1"/>
  <c r="AB127" i="1"/>
  <c r="AE127" i="1" s="1"/>
  <c r="AN127" i="1" s="1"/>
  <c r="AG220" i="1"/>
  <c r="AO220" i="1" s="1"/>
  <c r="AD456" i="1"/>
  <c r="AM456" i="1" s="1"/>
  <c r="AB485" i="1"/>
  <c r="AE485" i="1" s="1"/>
  <c r="AB172" i="1"/>
  <c r="AE172" i="1" s="1"/>
  <c r="AB380" i="1"/>
  <c r="AE380" i="1" s="1"/>
  <c r="AN380" i="1" s="1"/>
  <c r="AB133" i="1"/>
  <c r="AE133" i="1" s="1"/>
  <c r="AN133" i="1" s="1"/>
  <c r="AC341" i="1"/>
  <c r="AL341" i="1" s="1"/>
  <c r="AC139" i="1"/>
  <c r="AL139" i="1" s="1"/>
  <c r="AC6" i="1"/>
  <c r="AL6" i="1" s="1"/>
  <c r="AB281" i="1"/>
  <c r="AH281" i="1" s="1"/>
  <c r="AK281" i="1" s="1"/>
  <c r="AC195" i="1"/>
  <c r="AL195" i="1" s="1"/>
  <c r="AB479" i="1"/>
  <c r="AE479" i="1" s="1"/>
  <c r="AC321" i="1"/>
  <c r="AL321" i="1" s="1"/>
  <c r="AB54" i="1"/>
  <c r="AE54" i="1" s="1"/>
  <c r="AN54" i="1" s="1"/>
  <c r="AC71" i="1"/>
  <c r="AL71" i="1" s="1"/>
  <c r="AC328" i="1"/>
  <c r="AL328" i="1" s="1"/>
  <c r="AD205" i="1"/>
  <c r="AM205" i="1" s="1"/>
  <c r="AB337" i="1"/>
  <c r="AE337" i="1" s="1"/>
  <c r="AN337" i="1" s="1"/>
  <c r="AD197" i="1"/>
  <c r="AM197" i="1" s="1"/>
  <c r="AB5" i="1"/>
  <c r="AE5" i="1" s="1"/>
  <c r="AN5" i="1" s="1"/>
  <c r="AD74" i="1"/>
  <c r="AM74" i="1" s="1"/>
  <c r="AD130" i="1"/>
  <c r="AM130" i="1" s="1"/>
  <c r="AB56" i="1"/>
  <c r="AE56" i="1" s="1"/>
  <c r="AN56" i="1" s="1"/>
  <c r="AC34" i="1"/>
  <c r="AL34" i="1" s="1"/>
  <c r="AD431" i="1"/>
  <c r="AM431" i="1" s="1"/>
  <c r="AD353" i="1"/>
  <c r="AM353" i="1" s="1"/>
  <c r="AG319" i="1"/>
  <c r="AO319" i="1" s="1"/>
  <c r="AC268" i="1"/>
  <c r="AL268" i="1" s="1"/>
  <c r="AG207" i="1"/>
  <c r="AO207" i="1" s="1"/>
  <c r="AB292" i="1"/>
  <c r="AE292" i="1" s="1"/>
  <c r="AN292" i="1" s="1"/>
  <c r="AB194" i="1"/>
  <c r="AE194" i="1" s="1"/>
  <c r="AN194" i="1" s="1"/>
  <c r="AB366" i="1"/>
  <c r="AE366" i="1" s="1"/>
  <c r="AN366" i="1" s="1"/>
  <c r="AC127" i="1"/>
  <c r="AL127" i="1" s="1"/>
  <c r="AB350" i="1"/>
  <c r="AE350" i="1" s="1"/>
  <c r="AD416" i="1"/>
  <c r="AM416" i="1" s="1"/>
  <c r="AD350" i="1"/>
  <c r="AM350" i="1" s="1"/>
  <c r="AB256" i="1"/>
  <c r="AE256" i="1" s="1"/>
  <c r="AN256" i="1" s="1"/>
  <c r="AB83" i="1"/>
  <c r="AE83" i="1" s="1"/>
  <c r="AN83" i="1" s="1"/>
  <c r="AC197" i="1"/>
  <c r="AL197" i="1" s="1"/>
  <c r="AB3" i="1"/>
  <c r="AE3" i="1" s="1"/>
  <c r="AB130" i="1"/>
  <c r="AE130" i="1" s="1"/>
  <c r="AN130" i="1" s="1"/>
  <c r="AG318" i="1"/>
  <c r="AO318" i="1" s="1"/>
  <c r="AC3" i="1"/>
  <c r="AL3" i="1" s="1"/>
  <c r="AH462" i="1"/>
  <c r="AK462" i="1" s="1"/>
  <c r="AH191" i="1"/>
  <c r="AK191" i="1" s="1"/>
  <c r="AP191" i="1" s="1"/>
  <c r="AU191" i="1" s="1"/>
  <c r="AD387" i="1"/>
  <c r="AM387" i="1" s="1"/>
  <c r="AB387" i="1"/>
  <c r="AC387" i="1"/>
  <c r="AL387" i="1" s="1"/>
  <c r="AD295" i="1"/>
  <c r="AM295" i="1" s="1"/>
  <c r="AB295" i="1"/>
  <c r="AC295" i="1"/>
  <c r="AL295" i="1" s="1"/>
  <c r="AC37" i="1"/>
  <c r="AL37" i="1" s="1"/>
  <c r="AD37" i="1"/>
  <c r="AM37" i="1" s="1"/>
  <c r="AB37" i="1"/>
  <c r="AC152" i="1"/>
  <c r="AL152" i="1" s="1"/>
  <c r="AB152" i="1"/>
  <c r="AD152" i="1"/>
  <c r="AM152" i="1" s="1"/>
  <c r="AD154" i="1"/>
  <c r="AM154" i="1" s="1"/>
  <c r="AC154" i="1"/>
  <c r="AL154" i="1" s="1"/>
  <c r="AB154" i="1"/>
  <c r="AC369" i="1"/>
  <c r="AL369" i="1" s="1"/>
  <c r="AB369" i="1"/>
  <c r="AD369" i="1"/>
  <c r="AM369" i="1" s="1"/>
  <c r="AC15" i="1"/>
  <c r="AL15" i="1" s="1"/>
  <c r="AB15" i="1"/>
  <c r="AD15" i="1"/>
  <c r="AM15" i="1" s="1"/>
  <c r="AB332" i="1"/>
  <c r="AD332" i="1"/>
  <c r="AM332" i="1" s="1"/>
  <c r="AC332" i="1"/>
  <c r="AL332" i="1" s="1"/>
  <c r="AB401" i="1"/>
  <c r="AD401" i="1"/>
  <c r="AM401" i="1" s="1"/>
  <c r="AC401" i="1"/>
  <c r="AL401" i="1" s="1"/>
  <c r="AC307" i="1"/>
  <c r="AL307" i="1" s="1"/>
  <c r="AD307" i="1"/>
  <c r="AM307" i="1" s="1"/>
  <c r="AD180" i="1"/>
  <c r="AM180" i="1" s="1"/>
  <c r="AC180" i="1"/>
  <c r="AL180" i="1" s="1"/>
  <c r="AB180" i="1"/>
  <c r="AE180" i="1" s="1"/>
  <c r="AD290" i="1"/>
  <c r="AM290" i="1" s="1"/>
  <c r="AB290" i="1"/>
  <c r="AB274" i="1"/>
  <c r="AC274" i="1"/>
  <c r="AL274" i="1" s="1"/>
  <c r="AB296" i="1"/>
  <c r="AD296" i="1"/>
  <c r="AM296" i="1" s="1"/>
  <c r="AC452" i="1"/>
  <c r="AL452" i="1" s="1"/>
  <c r="AD452" i="1"/>
  <c r="AM452" i="1" s="1"/>
  <c r="AB452" i="1"/>
  <c r="AD167" i="1"/>
  <c r="AM167" i="1" s="1"/>
  <c r="AB167" i="1"/>
  <c r="AD142" i="1"/>
  <c r="AM142" i="1" s="1"/>
  <c r="AB142" i="1"/>
  <c r="AC142" i="1"/>
  <c r="AL142" i="1" s="1"/>
  <c r="AB39" i="1"/>
  <c r="AE39" i="1" s="1"/>
  <c r="AD405" i="1"/>
  <c r="AM405" i="1" s="1"/>
  <c r="AB405" i="1"/>
  <c r="AC405" i="1"/>
  <c r="AL405" i="1" s="1"/>
  <c r="AC406" i="1"/>
  <c r="AL406" i="1" s="1"/>
  <c r="AB406" i="1"/>
  <c r="AE406" i="1" s="1"/>
  <c r="AN406" i="1" s="1"/>
  <c r="AB237" i="1"/>
  <c r="AD237" i="1"/>
  <c r="AM237" i="1" s="1"/>
  <c r="AC237" i="1"/>
  <c r="AL237" i="1" s="1"/>
  <c r="AB302" i="1"/>
  <c r="AD302" i="1"/>
  <c r="AM302" i="1" s="1"/>
  <c r="AG490" i="1"/>
  <c r="AO490" i="1" s="1"/>
  <c r="AG476" i="1"/>
  <c r="AG185" i="1"/>
  <c r="AD232" i="1"/>
  <c r="AM232" i="1" s="1"/>
  <c r="AB232" i="1"/>
  <c r="AE232" i="1" s="1"/>
  <c r="AC232" i="1"/>
  <c r="AL232" i="1" s="1"/>
  <c r="AB390" i="1"/>
  <c r="AE390" i="1" s="1"/>
  <c r="AD390" i="1"/>
  <c r="AM390" i="1" s="1"/>
  <c r="AC390" i="1"/>
  <c r="AL390" i="1" s="1"/>
  <c r="AD244" i="1"/>
  <c r="AM244" i="1" s="1"/>
  <c r="AC244" i="1"/>
  <c r="AL244" i="1" s="1"/>
  <c r="AB244" i="1"/>
  <c r="AE244" i="1" s="1"/>
  <c r="AD397" i="1"/>
  <c r="AM397" i="1" s="1"/>
  <c r="AB397" i="1"/>
  <c r="AC397" i="1"/>
  <c r="AL397" i="1" s="1"/>
  <c r="AD20" i="1"/>
  <c r="AM20" i="1" s="1"/>
  <c r="AB20" i="1"/>
  <c r="AE20" i="1" s="1"/>
  <c r="AC20" i="1"/>
  <c r="AL20" i="1" s="1"/>
  <c r="AB427" i="1"/>
  <c r="AC427" i="1"/>
  <c r="AL427" i="1" s="1"/>
  <c r="AD427" i="1"/>
  <c r="AM427" i="1" s="1"/>
  <c r="AD228" i="1"/>
  <c r="AM228" i="1" s="1"/>
  <c r="AB228" i="1"/>
  <c r="AE228" i="1" s="1"/>
  <c r="AC228" i="1"/>
  <c r="AL228" i="1" s="1"/>
  <c r="AD465" i="1"/>
  <c r="AM465" i="1" s="1"/>
  <c r="AC465" i="1"/>
  <c r="AL465" i="1" s="1"/>
  <c r="AB465" i="1"/>
  <c r="AB31" i="1"/>
  <c r="AE31" i="1" s="1"/>
  <c r="AN31" i="1" s="1"/>
  <c r="AC31" i="1"/>
  <c r="AL31" i="1" s="1"/>
  <c r="AD31" i="1"/>
  <c r="AM31" i="1" s="1"/>
  <c r="AC449" i="1"/>
  <c r="AL449" i="1" s="1"/>
  <c r="AB449" i="1"/>
  <c r="AE449" i="1" s="1"/>
  <c r="AD449" i="1"/>
  <c r="AM449" i="1" s="1"/>
  <c r="AC383" i="1"/>
  <c r="AL383" i="1" s="1"/>
  <c r="AB383" i="1"/>
  <c r="AD383" i="1"/>
  <c r="AM383" i="1" s="1"/>
  <c r="AC336" i="1"/>
  <c r="AL336" i="1" s="1"/>
  <c r="AD336" i="1"/>
  <c r="AM336" i="1" s="1"/>
  <c r="AB336" i="1"/>
  <c r="AC183" i="1"/>
  <c r="AL183" i="1" s="1"/>
  <c r="AD183" i="1"/>
  <c r="AM183" i="1" s="1"/>
  <c r="AB183" i="1"/>
  <c r="AE183" i="1" s="1"/>
  <c r="AD93" i="1"/>
  <c r="AM93" i="1" s="1"/>
  <c r="AC93" i="1"/>
  <c r="AL93" i="1" s="1"/>
  <c r="AB93" i="1"/>
  <c r="AE93" i="1" s="1"/>
  <c r="AB434" i="1"/>
  <c r="AE434" i="1" s="1"/>
  <c r="AD434" i="1"/>
  <c r="AM434" i="1" s="1"/>
  <c r="AC434" i="1"/>
  <c r="AL434" i="1" s="1"/>
  <c r="AB63" i="1"/>
  <c r="AE63" i="1" s="1"/>
  <c r="AN63" i="1" s="1"/>
  <c r="AB171" i="1"/>
  <c r="AE171" i="1" s="1"/>
  <c r="AN171" i="1" s="1"/>
  <c r="AD171" i="1"/>
  <c r="AM171" i="1" s="1"/>
  <c r="AC171" i="1"/>
  <c r="AL171" i="1" s="1"/>
  <c r="AC471" i="1"/>
  <c r="AL471" i="1" s="1"/>
  <c r="AB471" i="1"/>
  <c r="AE471" i="1" s="1"/>
  <c r="AD471" i="1"/>
  <c r="AM471" i="1" s="1"/>
  <c r="AC141" i="1"/>
  <c r="AL141" i="1" s="1"/>
  <c r="AB141" i="1"/>
  <c r="AE141" i="1" s="1"/>
  <c r="AD141" i="1"/>
  <c r="AM141" i="1" s="1"/>
  <c r="AC296" i="1"/>
  <c r="AL296" i="1" s="1"/>
  <c r="AD89" i="1"/>
  <c r="AM89" i="1" s="1"/>
  <c r="AB373" i="1"/>
  <c r="AE373" i="1" s="1"/>
  <c r="AN373" i="1" s="1"/>
  <c r="AC373" i="1"/>
  <c r="AL373" i="1" s="1"/>
  <c r="AD373" i="1"/>
  <c r="AD145" i="1"/>
  <c r="AM145" i="1" s="1"/>
  <c r="AC145" i="1"/>
  <c r="AL145" i="1" s="1"/>
  <c r="AB145" i="1"/>
  <c r="AD48" i="1"/>
  <c r="AM48" i="1" s="1"/>
  <c r="AB48" i="1"/>
  <c r="AE48" i="1" s="1"/>
  <c r="AN48" i="1" s="1"/>
  <c r="AC48" i="1"/>
  <c r="AL48" i="1" s="1"/>
  <c r="AD382" i="1"/>
  <c r="AM382" i="1" s="1"/>
  <c r="AB382" i="1"/>
  <c r="AC382" i="1"/>
  <c r="AL382" i="1" s="1"/>
  <c r="AB103" i="1"/>
  <c r="AE103" i="1" s="1"/>
  <c r="AN103" i="1" s="1"/>
  <c r="AD103" i="1"/>
  <c r="AM103" i="1" s="1"/>
  <c r="AC103" i="1"/>
  <c r="AL103" i="1" s="1"/>
  <c r="AC379" i="1"/>
  <c r="AL379" i="1" s="1"/>
  <c r="AB379" i="1"/>
  <c r="AE379" i="1" s="1"/>
  <c r="AN379" i="1" s="1"/>
  <c r="AD379" i="1"/>
  <c r="AM379" i="1" s="1"/>
  <c r="AB94" i="1"/>
  <c r="AE94" i="1" s="1"/>
  <c r="AN94" i="1" s="1"/>
  <c r="AD94" i="1"/>
  <c r="AM94" i="1" s="1"/>
  <c r="AC94" i="1"/>
  <c r="AL94" i="1" s="1"/>
  <c r="AC262" i="1"/>
  <c r="AL262" i="1" s="1"/>
  <c r="AB375" i="1"/>
  <c r="AE375" i="1" s="1"/>
  <c r="AN375" i="1" s="1"/>
  <c r="AC196" i="1"/>
  <c r="AL196" i="1" s="1"/>
  <c r="AD196" i="1"/>
  <c r="AM196" i="1" s="1"/>
  <c r="AB196" i="1"/>
  <c r="AB283" i="1"/>
  <c r="AE283" i="1" s="1"/>
  <c r="AN283" i="1" s="1"/>
  <c r="AD283" i="1"/>
  <c r="AM283" i="1" s="1"/>
  <c r="AC283" i="1"/>
  <c r="AL283" i="1" s="1"/>
  <c r="AB312" i="1"/>
  <c r="AE312" i="1" s="1"/>
  <c r="AN312" i="1" s="1"/>
  <c r="AD312" i="1"/>
  <c r="AM312" i="1" s="1"/>
  <c r="AC312" i="1"/>
  <c r="AL312" i="1" s="1"/>
  <c r="AB348" i="1"/>
  <c r="AE348" i="1" s="1"/>
  <c r="AN348" i="1" s="1"/>
  <c r="AD348" i="1"/>
  <c r="AM348" i="1" s="1"/>
  <c r="AC348" i="1"/>
  <c r="AL348" i="1" s="1"/>
  <c r="AC407" i="1"/>
  <c r="AL407" i="1" s="1"/>
  <c r="AB407" i="1"/>
  <c r="AD407" i="1"/>
  <c r="AM407" i="1" s="1"/>
  <c r="AB134" i="1"/>
  <c r="AE134" i="1" s="1"/>
  <c r="AC134" i="1"/>
  <c r="AL134" i="1" s="1"/>
  <c r="AD134" i="1"/>
  <c r="AM134" i="1" s="1"/>
  <c r="AB446" i="1"/>
  <c r="AD446" i="1"/>
  <c r="AM446" i="1" s="1"/>
  <c r="AC446" i="1"/>
  <c r="AL446" i="1" s="1"/>
  <c r="AC146" i="1"/>
  <c r="AL146" i="1" s="1"/>
  <c r="AB146" i="1"/>
  <c r="AE146" i="1" s="1"/>
  <c r="AD146" i="1"/>
  <c r="AM146" i="1" s="1"/>
  <c r="AB269" i="1"/>
  <c r="AE269" i="1" s="1"/>
  <c r="AN269" i="1" s="1"/>
  <c r="AD269" i="1"/>
  <c r="AM269" i="1" s="1"/>
  <c r="AC269" i="1"/>
  <c r="AL269" i="1" s="1"/>
  <c r="AH117" i="1"/>
  <c r="AK117" i="1" s="1"/>
  <c r="AC243" i="1"/>
  <c r="AL243" i="1" s="1"/>
  <c r="AB243" i="1"/>
  <c r="AE243" i="1" s="1"/>
  <c r="AD165" i="1"/>
  <c r="AM165" i="1" s="1"/>
  <c r="AC165" i="1"/>
  <c r="AL165" i="1" s="1"/>
  <c r="AB165" i="1"/>
  <c r="AE165" i="1" s="1"/>
  <c r="AN165" i="1" s="1"/>
  <c r="AB429" i="1"/>
  <c r="AC429" i="1"/>
  <c r="AL429" i="1" s="1"/>
  <c r="AD429" i="1"/>
  <c r="AM429" i="1" s="1"/>
  <c r="AB250" i="1"/>
  <c r="AD250" i="1"/>
  <c r="AM250" i="1" s="1"/>
  <c r="AC250" i="1"/>
  <c r="AL250" i="1" s="1"/>
  <c r="AD311" i="1"/>
  <c r="AM311" i="1" s="1"/>
  <c r="AC311" i="1"/>
  <c r="AL311" i="1" s="1"/>
  <c r="AB311" i="1"/>
  <c r="AD425" i="1"/>
  <c r="AM425" i="1" s="1"/>
  <c r="AB425" i="1"/>
  <c r="AE425" i="1" s="1"/>
  <c r="AN425" i="1" s="1"/>
  <c r="AC425" i="1"/>
  <c r="AL425" i="1" s="1"/>
  <c r="AH495" i="1"/>
  <c r="AK495" i="1" s="1"/>
  <c r="AP495" i="1" s="1"/>
  <c r="AU495" i="1" s="1"/>
  <c r="AC305" i="1"/>
  <c r="AL305" i="1" s="1"/>
  <c r="AD305" i="1"/>
  <c r="AM305" i="1" s="1"/>
  <c r="AB305" i="1"/>
  <c r="AE305" i="1" s="1"/>
  <c r="AN305" i="1" s="1"/>
  <c r="AD124" i="1"/>
  <c r="AM124" i="1" s="1"/>
  <c r="AB124" i="1"/>
  <c r="AE124" i="1" s="1"/>
  <c r="AN124" i="1" s="1"/>
  <c r="AC124" i="1"/>
  <c r="AL124" i="1" s="1"/>
  <c r="AC8" i="1"/>
  <c r="AL8" i="1" s="1"/>
  <c r="AD8" i="1"/>
  <c r="AM8" i="1" s="1"/>
  <c r="AB8" i="1"/>
  <c r="AE8" i="1" s="1"/>
  <c r="AN8" i="1" s="1"/>
  <c r="AE74" i="1"/>
  <c r="AB10" i="1"/>
  <c r="AE10" i="1" s="1"/>
  <c r="AN10" i="1" s="1"/>
  <c r="AD10" i="1"/>
  <c r="AD491" i="1"/>
  <c r="AM491" i="1" s="1"/>
  <c r="AB491" i="1"/>
  <c r="AC491" i="1"/>
  <c r="AL491" i="1" s="1"/>
  <c r="AC377" i="1"/>
  <c r="AL377" i="1" s="1"/>
  <c r="AB377" i="1"/>
  <c r="AE377" i="1" s="1"/>
  <c r="AN377" i="1" s="1"/>
  <c r="AD377" i="1"/>
  <c r="AM377" i="1" s="1"/>
  <c r="AC213" i="1"/>
  <c r="AL213" i="1" s="1"/>
  <c r="AD213" i="1"/>
  <c r="AM213" i="1" s="1"/>
  <c r="AB213" i="1"/>
  <c r="AD131" i="1"/>
  <c r="AM131" i="1" s="1"/>
  <c r="AC131" i="1"/>
  <c r="AL131" i="1" s="1"/>
  <c r="AB131" i="1"/>
  <c r="AE11" i="1"/>
  <c r="AN11" i="1" s="1"/>
  <c r="AE487" i="1"/>
  <c r="AN487" i="1" s="1"/>
  <c r="AH102" i="1"/>
  <c r="AK102" i="1" s="1"/>
  <c r="AP102" i="1" s="1"/>
  <c r="AU102" i="1" s="1"/>
  <c r="AE469" i="1"/>
  <c r="AN469" i="1" s="1"/>
  <c r="AE456" i="1"/>
  <c r="AN456" i="1" s="1"/>
  <c r="AH456" i="1"/>
  <c r="AK456" i="1" s="1"/>
  <c r="AE34" i="1"/>
  <c r="AN34" i="1" s="1"/>
  <c r="AE330" i="1"/>
  <c r="AN330" i="1" s="1"/>
  <c r="AE223" i="1"/>
  <c r="AN223" i="1" s="1"/>
  <c r="AH223" i="1"/>
  <c r="AK223" i="1" s="1"/>
  <c r="AP223" i="1" s="1"/>
  <c r="AU223" i="1" s="1"/>
  <c r="AE412" i="1"/>
  <c r="AN412" i="1" s="1"/>
  <c r="AN418" i="1"/>
  <c r="AE356" i="1"/>
  <c r="AN356" i="1" s="1"/>
  <c r="AE120" i="1"/>
  <c r="AN120" i="1" s="1"/>
  <c r="AE254" i="1"/>
  <c r="AN254" i="1" s="1"/>
  <c r="AH254" i="1"/>
  <c r="AK254" i="1" s="1"/>
  <c r="AP254" i="1" s="1"/>
  <c r="AU254" i="1" s="1"/>
  <c r="AG391" i="1"/>
  <c r="AD36" i="1"/>
  <c r="AM36" i="1" s="1"/>
  <c r="AB36" i="1"/>
  <c r="AE36" i="1" s="1"/>
  <c r="AC36" i="1"/>
  <c r="AL36" i="1" s="1"/>
  <c r="AC466" i="1"/>
  <c r="AL466" i="1" s="1"/>
  <c r="AB466" i="1"/>
  <c r="AE466" i="1" s="1"/>
  <c r="AD466" i="1"/>
  <c r="AM466" i="1" s="1"/>
  <c r="AC218" i="1"/>
  <c r="AL218" i="1" s="1"/>
  <c r="AB218" i="1"/>
  <c r="AD218" i="1"/>
  <c r="AM218" i="1" s="1"/>
  <c r="AH316" i="1"/>
  <c r="AK316" i="1" s="1"/>
  <c r="AC473" i="1"/>
  <c r="AL473" i="1" s="1"/>
  <c r="AB473" i="1"/>
  <c r="AE473" i="1" s="1"/>
  <c r="AN473" i="1" s="1"/>
  <c r="AD473" i="1"/>
  <c r="AE22" i="1"/>
  <c r="AN22" i="1" s="1"/>
  <c r="AH197" i="1"/>
  <c r="AK197" i="1" s="1"/>
  <c r="AD451" i="1"/>
  <c r="AM451" i="1" s="1"/>
  <c r="AC451" i="1"/>
  <c r="AL451" i="1" s="1"/>
  <c r="AB451" i="1"/>
  <c r="AE451" i="1" s="1"/>
  <c r="AB62" i="1"/>
  <c r="AE62" i="1" s="1"/>
  <c r="AC62" i="1"/>
  <c r="AL62" i="1" s="1"/>
  <c r="AD62" i="1"/>
  <c r="AM62" i="1" s="1"/>
  <c r="AD92" i="1"/>
  <c r="AM92" i="1" s="1"/>
  <c r="AB92" i="1"/>
  <c r="AE92" i="1" s="1"/>
  <c r="AN92" i="1" s="1"/>
  <c r="AC92" i="1"/>
  <c r="AL92" i="1" s="1"/>
  <c r="AB299" i="1"/>
  <c r="AE299" i="1" s="1"/>
  <c r="AD299" i="1"/>
  <c r="AM299" i="1" s="1"/>
  <c r="AC299" i="1"/>
  <c r="AL299" i="1" s="1"/>
  <c r="AC236" i="1"/>
  <c r="AL236" i="1" s="1"/>
  <c r="AD236" i="1"/>
  <c r="AM236" i="1" s="1"/>
  <c r="AB236" i="1"/>
  <c r="AB253" i="1"/>
  <c r="AE253" i="1" s="1"/>
  <c r="AN253" i="1" s="1"/>
  <c r="AC253" i="1"/>
  <c r="AL253" i="1" s="1"/>
  <c r="AD253" i="1"/>
  <c r="AM253" i="1" s="1"/>
  <c r="AB424" i="1"/>
  <c r="AE424" i="1" s="1"/>
  <c r="AC424" i="1"/>
  <c r="AL424" i="1" s="1"/>
  <c r="AD424" i="1"/>
  <c r="AM424" i="1" s="1"/>
  <c r="AC368" i="1"/>
  <c r="AL368" i="1" s="1"/>
  <c r="AB368" i="1"/>
  <c r="AE368" i="1" s="1"/>
  <c r="AN368" i="1" s="1"/>
  <c r="AD368" i="1"/>
  <c r="AM368" i="1" s="1"/>
  <c r="AD436" i="1"/>
  <c r="AM436" i="1" s="1"/>
  <c r="AC436" i="1"/>
  <c r="AL436" i="1" s="1"/>
  <c r="AB436" i="1"/>
  <c r="AE436" i="1" s="1"/>
  <c r="AN436" i="1" s="1"/>
  <c r="AD121" i="1"/>
  <c r="AM121" i="1" s="1"/>
  <c r="AB121" i="1"/>
  <c r="AE121" i="1" s="1"/>
  <c r="AC121" i="1"/>
  <c r="AL121" i="1" s="1"/>
  <c r="AB314" i="1"/>
  <c r="AE314" i="1" s="1"/>
  <c r="AN314" i="1" s="1"/>
  <c r="AC314" i="1"/>
  <c r="AL314" i="1" s="1"/>
  <c r="AD314" i="1"/>
  <c r="AM314" i="1" s="1"/>
  <c r="AC334" i="1"/>
  <c r="AL334" i="1" s="1"/>
  <c r="AB334" i="1"/>
  <c r="AE334" i="1" s="1"/>
  <c r="AN334" i="1" s="1"/>
  <c r="AD334" i="1"/>
  <c r="AC216" i="1"/>
  <c r="AL216" i="1" s="1"/>
  <c r="AD216" i="1"/>
  <c r="AM216" i="1" s="1"/>
  <c r="AB216" i="1"/>
  <c r="AE216" i="1" s="1"/>
  <c r="AC385" i="1"/>
  <c r="AL385" i="1" s="1"/>
  <c r="AD385" i="1"/>
  <c r="AM385" i="1" s="1"/>
  <c r="AB385" i="1"/>
  <c r="AE279" i="1"/>
  <c r="AN279" i="1" s="1"/>
  <c r="AH123" i="1"/>
  <c r="AK123" i="1" s="1"/>
  <c r="AE365" i="1"/>
  <c r="AN365" i="1" s="1"/>
  <c r="AD362" i="1"/>
  <c r="AM362" i="1" s="1"/>
  <c r="AC362" i="1"/>
  <c r="AL362" i="1" s="1"/>
  <c r="AB362" i="1"/>
  <c r="AE362" i="1" s="1"/>
  <c r="AN362" i="1" s="1"/>
  <c r="AE360" i="1"/>
  <c r="AN360" i="1" s="1"/>
  <c r="AH360" i="1"/>
  <c r="AK360" i="1" s="1"/>
  <c r="AE211" i="1"/>
  <c r="AN211" i="1" s="1"/>
  <c r="AB414" i="1"/>
  <c r="AE414" i="1" s="1"/>
  <c r="AN414" i="1" s="1"/>
  <c r="AC414" i="1"/>
  <c r="AL414" i="1" s="1"/>
  <c r="AD414" i="1"/>
  <c r="AM414" i="1" s="1"/>
  <c r="AE421" i="1"/>
  <c r="AN421" i="1" s="1"/>
  <c r="AE186" i="1"/>
  <c r="AN186" i="1" s="1"/>
  <c r="AH9" i="1"/>
  <c r="AK9" i="1" s="1"/>
  <c r="AE342" i="1"/>
  <c r="AN342" i="1" s="1"/>
  <c r="AE104" i="1"/>
  <c r="AN104" i="1" s="1"/>
  <c r="AE69" i="1"/>
  <c r="AN69" i="1" s="1"/>
  <c r="AE309" i="1"/>
  <c r="AN309" i="1" s="1"/>
  <c r="AG309" i="1"/>
  <c r="AH275" i="1"/>
  <c r="AK275" i="1" s="1"/>
  <c r="AP275" i="1" s="1"/>
  <c r="AU275" i="1" s="1"/>
  <c r="AH78" i="1"/>
  <c r="AK78" i="1" s="1"/>
  <c r="AH155" i="1"/>
  <c r="AK155" i="1" s="1"/>
  <c r="AH220" i="1"/>
  <c r="AK220" i="1" s="1"/>
  <c r="AP220" i="1" s="1"/>
  <c r="AU220" i="1" s="1"/>
  <c r="AH203" i="1"/>
  <c r="AK203" i="1" s="1"/>
  <c r="AD229" i="1"/>
  <c r="AM229" i="1" s="1"/>
  <c r="AH11" i="1"/>
  <c r="AK11" i="1" s="1"/>
  <c r="AP11" i="1" s="1"/>
  <c r="AU11" i="1" s="1"/>
  <c r="AH205" i="1"/>
  <c r="AK205" i="1" s="1"/>
  <c r="AH487" i="1"/>
  <c r="AK487" i="1" s="1"/>
  <c r="AP487" i="1" s="1"/>
  <c r="AU487" i="1" s="1"/>
  <c r="AD388" i="1"/>
  <c r="AM388" i="1" s="1"/>
  <c r="AC388" i="1"/>
  <c r="AL388" i="1" s="1"/>
  <c r="AB388" i="1"/>
  <c r="AG222" i="1"/>
  <c r="AH222" i="1" s="1"/>
  <c r="AK222" i="1" s="1"/>
  <c r="AB229" i="1"/>
  <c r="AE229" i="1" s="1"/>
  <c r="AN229" i="1" s="1"/>
  <c r="AH82" i="1"/>
  <c r="AK82" i="1" s="1"/>
  <c r="AP82" i="1" s="1"/>
  <c r="AU82" i="1" s="1"/>
  <c r="AG300" i="1"/>
  <c r="AH279" i="1"/>
  <c r="AK279" i="1" s="1"/>
  <c r="AP279" i="1" s="1"/>
  <c r="AU279" i="1" s="1"/>
  <c r="AH490" i="1"/>
  <c r="AK490" i="1" s="1"/>
  <c r="AP490" i="1" s="1"/>
  <c r="AU490" i="1" s="1"/>
  <c r="AH25" i="1"/>
  <c r="AK25" i="1" s="1"/>
  <c r="AH153" i="1"/>
  <c r="AK153" i="1" s="1"/>
  <c r="AN109" i="1"/>
  <c r="AG109" i="1"/>
  <c r="AC325" i="1"/>
  <c r="AL325" i="1" s="1"/>
  <c r="AB325" i="1"/>
  <c r="AD325" i="1"/>
  <c r="AM325" i="1" s="1"/>
  <c r="AG164" i="1"/>
  <c r="AC84" i="1"/>
  <c r="AL84" i="1" s="1"/>
  <c r="AB84" i="1"/>
  <c r="AG419" i="1"/>
  <c r="AN200" i="1"/>
  <c r="AG200" i="1"/>
  <c r="AO200" i="1" s="1"/>
  <c r="AB208" i="1"/>
  <c r="AE208" i="1" s="1"/>
  <c r="AN208" i="1" s="1"/>
  <c r="AD208" i="1"/>
  <c r="AM208" i="1" s="1"/>
  <c r="AC208" i="1"/>
  <c r="AL208" i="1" s="1"/>
  <c r="AC474" i="1"/>
  <c r="AL474" i="1" s="1"/>
  <c r="AB474" i="1"/>
  <c r="AE474" i="1" s="1"/>
  <c r="AN474" i="1" s="1"/>
  <c r="AD474" i="1"/>
  <c r="AM474" i="1" s="1"/>
  <c r="AB170" i="1"/>
  <c r="AC170" i="1"/>
  <c r="AL170" i="1" s="1"/>
  <c r="AD170" i="1"/>
  <c r="AM170" i="1" s="1"/>
  <c r="AB193" i="1"/>
  <c r="AD193" i="1"/>
  <c r="AM193" i="1" s="1"/>
  <c r="AC193" i="1"/>
  <c r="AL193" i="1" s="1"/>
  <c r="AG162" i="1"/>
  <c r="AE323" i="1"/>
  <c r="AN41" i="1"/>
  <c r="AH23" i="1"/>
  <c r="AK23" i="1" s="1"/>
  <c r="AG480" i="1"/>
  <c r="AG248" i="1"/>
  <c r="AG432" i="1"/>
  <c r="AG386" i="1"/>
  <c r="AN408" i="1"/>
  <c r="AN289" i="1"/>
  <c r="AG289" i="1"/>
  <c r="AN285" i="1"/>
  <c r="AG408" i="1"/>
  <c r="AO408" i="1" s="1"/>
  <c r="AB64" i="1"/>
  <c r="AC64" i="1"/>
  <c r="AL64" i="1" s="1"/>
  <c r="AD64" i="1"/>
  <c r="AM64" i="1" s="1"/>
  <c r="AC298" i="1"/>
  <c r="AL298" i="1" s="1"/>
  <c r="AD298" i="1"/>
  <c r="AM298" i="1" s="1"/>
  <c r="AB298" i="1"/>
  <c r="AE430" i="1"/>
  <c r="AG430" i="1" s="1"/>
  <c r="AO430" i="1" s="1"/>
  <c r="AC322" i="1"/>
  <c r="AL322" i="1" s="1"/>
  <c r="AD322" i="1"/>
  <c r="AM322" i="1" s="1"/>
  <c r="AB322" i="1"/>
  <c r="AD445" i="1"/>
  <c r="AM445" i="1" s="1"/>
  <c r="AB445" i="1"/>
  <c r="AE445" i="1" s="1"/>
  <c r="AC445" i="1"/>
  <c r="AL445" i="1" s="1"/>
  <c r="AC381" i="1"/>
  <c r="AL381" i="1" s="1"/>
  <c r="AD381" i="1"/>
  <c r="AM381" i="1" s="1"/>
  <c r="AB381" i="1"/>
  <c r="AB182" i="1"/>
  <c r="AC182" i="1"/>
  <c r="AL182" i="1" s="1"/>
  <c r="AD182" i="1"/>
  <c r="AM182" i="1" s="1"/>
  <c r="AE176" i="1"/>
  <c r="AG176" i="1" s="1"/>
  <c r="AO176" i="1" s="1"/>
  <c r="AB70" i="1"/>
  <c r="AC70" i="1"/>
  <c r="AL70" i="1" s="1"/>
  <c r="AD70" i="1"/>
  <c r="AM70" i="1" s="1"/>
  <c r="AB396" i="1"/>
  <c r="AC396" i="1"/>
  <c r="AL396" i="1" s="1"/>
  <c r="AD396" i="1"/>
  <c r="AM396" i="1" s="1"/>
  <c r="AD472" i="1"/>
  <c r="AM472" i="1" s="1"/>
  <c r="AB472" i="1"/>
  <c r="AC472" i="1"/>
  <c r="AL472" i="1" s="1"/>
  <c r="AE45" i="1"/>
  <c r="AB266" i="1"/>
  <c r="AD266" i="1"/>
  <c r="AM266" i="1" s="1"/>
  <c r="AC266" i="1"/>
  <c r="AL266" i="1" s="1"/>
  <c r="AE271" i="1"/>
  <c r="AE161" i="1"/>
  <c r="AG161" i="1" s="1"/>
  <c r="AO161" i="1" s="1"/>
  <c r="AC398" i="1"/>
  <c r="AL398" i="1" s="1"/>
  <c r="AB398" i="1"/>
  <c r="AD398" i="1"/>
  <c r="AM398" i="1" s="1"/>
  <c r="AB97" i="1"/>
  <c r="AC97" i="1"/>
  <c r="AL97" i="1" s="1"/>
  <c r="AD97" i="1"/>
  <c r="AM97" i="1" s="1"/>
  <c r="AB85" i="1"/>
  <c r="AE85" i="1" s="1"/>
  <c r="AN85" i="1" s="1"/>
  <c r="AC85" i="1"/>
  <c r="AL85" i="1" s="1"/>
  <c r="AD85" i="1"/>
  <c r="AM85" i="1" s="1"/>
  <c r="AB372" i="1"/>
  <c r="AD372" i="1"/>
  <c r="AM372" i="1" s="1"/>
  <c r="AC372" i="1"/>
  <c r="AL372" i="1" s="1"/>
  <c r="AE239" i="1"/>
  <c r="AG239" i="1" s="1"/>
  <c r="AO239" i="1" s="1"/>
  <c r="AE201" i="1"/>
  <c r="AD108" i="1"/>
  <c r="AM108" i="1" s="1"/>
  <c r="AB108" i="1"/>
  <c r="AC108" i="1"/>
  <c r="AL108" i="1" s="1"/>
  <c r="AE43" i="1"/>
  <c r="AD38" i="1"/>
  <c r="AM38" i="1" s="1"/>
  <c r="AB38" i="1"/>
  <c r="AC38" i="1"/>
  <c r="AL38" i="1" s="1"/>
  <c r="AD52" i="1"/>
  <c r="AM52" i="1" s="1"/>
  <c r="AB52" i="1"/>
  <c r="AC52" i="1"/>
  <c r="AL52" i="1" s="1"/>
  <c r="AE126" i="1"/>
  <c r="AG126" i="1" s="1"/>
  <c r="AO126" i="1" s="1"/>
  <c r="AB29" i="1"/>
  <c r="AD29" i="1"/>
  <c r="AM29" i="1" s="1"/>
  <c r="AC29" i="1"/>
  <c r="AL29" i="1" s="1"/>
  <c r="AC315" i="1"/>
  <c r="AL315" i="1" s="1"/>
  <c r="AB315" i="1"/>
  <c r="AE315" i="1" s="1"/>
  <c r="AD315" i="1"/>
  <c r="AM315" i="1" s="1"/>
  <c r="AG285" i="1"/>
  <c r="AO285" i="1" s="1"/>
  <c r="AD351" i="1"/>
  <c r="AM351" i="1" s="1"/>
  <c r="AB351" i="1"/>
  <c r="AC351" i="1"/>
  <c r="AL351" i="1" s="1"/>
  <c r="AC486" i="1"/>
  <c r="AL486" i="1" s="1"/>
  <c r="AD486" i="1"/>
  <c r="AM486" i="1" s="1"/>
  <c r="AB486" i="1"/>
  <c r="AC459" i="1"/>
  <c r="AL459" i="1" s="1"/>
  <c r="AD459" i="1"/>
  <c r="AM459" i="1" s="1"/>
  <c r="AB459" i="1"/>
  <c r="AE459" i="1" s="1"/>
  <c r="AN459" i="1" s="1"/>
  <c r="AC327" i="1"/>
  <c r="AL327" i="1" s="1"/>
  <c r="AD327" i="1"/>
  <c r="AM327" i="1" s="1"/>
  <c r="AB327" i="1"/>
  <c r="AE327" i="1" s="1"/>
  <c r="AN327" i="1" s="1"/>
  <c r="AC44" i="1"/>
  <c r="AL44" i="1" s="1"/>
  <c r="AD44" i="1"/>
  <c r="AM44" i="1" s="1"/>
  <c r="AB44" i="1"/>
  <c r="AE19" i="1"/>
  <c r="AG19" i="1" s="1"/>
  <c r="AO19" i="1" s="1"/>
  <c r="AE394" i="1"/>
  <c r="AG394" i="1" s="1"/>
  <c r="AO394" i="1" s="1"/>
  <c r="AG58" i="1"/>
  <c r="AE389" i="1"/>
  <c r="AE477" i="1"/>
  <c r="AG477" i="1" s="1"/>
  <c r="AO477" i="1" s="1"/>
  <c r="AE297" i="1"/>
  <c r="AG177" i="1"/>
  <c r="AC247" i="1"/>
  <c r="AL247" i="1" s="1"/>
  <c r="AB247" i="1"/>
  <c r="AD247" i="1"/>
  <c r="AM247" i="1" s="1"/>
  <c r="AB217" i="1"/>
  <c r="AC217" i="1"/>
  <c r="AL217" i="1" s="1"/>
  <c r="AD217" i="1"/>
  <c r="AM217" i="1" s="1"/>
  <c r="AE235" i="1"/>
  <c r="AG235" i="1" s="1"/>
  <c r="AO235" i="1" s="1"/>
  <c r="AB76" i="1"/>
  <c r="AE76" i="1" s="1"/>
  <c r="AN76" i="1" s="1"/>
  <c r="AD76" i="1"/>
  <c r="AM76" i="1" s="1"/>
  <c r="AC76" i="1"/>
  <c r="AL76" i="1" s="1"/>
  <c r="AD355" i="1"/>
  <c r="AM355" i="1" s="1"/>
  <c r="AB355" i="1"/>
  <c r="AC355" i="1"/>
  <c r="AL355" i="1" s="1"/>
  <c r="AE225" i="1"/>
  <c r="AD249" i="1"/>
  <c r="AM249" i="1" s="1"/>
  <c r="AC249" i="1"/>
  <c r="AL249" i="1" s="1"/>
  <c r="AB249" i="1"/>
  <c r="AE249" i="1" s="1"/>
  <c r="AN249" i="1" s="1"/>
  <c r="AB286" i="1"/>
  <c r="AC286" i="1"/>
  <c r="AL286" i="1" s="1"/>
  <c r="AD286" i="1"/>
  <c r="AM286" i="1" s="1"/>
  <c r="AD24" i="1"/>
  <c r="AM24" i="1" s="1"/>
  <c r="AC24" i="1"/>
  <c r="AL24" i="1" s="1"/>
  <c r="AB24" i="1"/>
  <c r="AC140" i="1"/>
  <c r="AL140" i="1" s="1"/>
  <c r="AB140" i="1"/>
  <c r="AD140" i="1"/>
  <c r="AM140" i="1" s="1"/>
  <c r="AE328" i="1"/>
  <c r="AE35" i="1"/>
  <c r="AG35" i="1" s="1"/>
  <c r="AO35" i="1" s="1"/>
  <c r="AG276" i="1"/>
  <c r="AE340" i="1"/>
  <c r="AN107" i="1"/>
  <c r="AC132" i="1"/>
  <c r="AL132" i="1" s="1"/>
  <c r="AD132" i="1"/>
  <c r="AM132" i="1" s="1"/>
  <c r="AB132" i="1"/>
  <c r="AE132" i="1" s="1"/>
  <c r="AD352" i="1"/>
  <c r="AM352" i="1" s="1"/>
  <c r="AB352" i="1"/>
  <c r="AC352" i="1"/>
  <c r="AL352" i="1" s="1"/>
  <c r="AE98" i="1"/>
  <c r="AN98" i="1" s="1"/>
  <c r="AE278" i="1"/>
  <c r="AN278" i="1" s="1"/>
  <c r="AH89" i="1"/>
  <c r="AK89" i="1" s="1"/>
  <c r="AH40" i="1"/>
  <c r="AK40" i="1" s="1"/>
  <c r="AG331" i="1"/>
  <c r="AO331" i="1" s="1"/>
  <c r="AE393" i="1"/>
  <c r="AN393" i="1" s="1"/>
  <c r="AE264" i="1"/>
  <c r="AG264" i="1" s="1"/>
  <c r="AO264" i="1" s="1"/>
  <c r="AE308" i="1"/>
  <c r="AN308" i="1" s="1"/>
  <c r="AG344" i="1"/>
  <c r="AE128" i="1"/>
  <c r="AG128" i="1" s="1"/>
  <c r="AO128" i="1" s="1"/>
  <c r="AE51" i="1"/>
  <c r="AG51" i="1" s="1"/>
  <c r="AO51" i="1" s="1"/>
  <c r="AE233" i="1"/>
  <c r="AN233" i="1" s="1"/>
  <c r="AE49" i="1"/>
  <c r="AN49" i="1" s="1"/>
  <c r="AH207" i="1"/>
  <c r="AK207" i="1" s="1"/>
  <c r="AP207" i="1" s="1"/>
  <c r="AU207" i="1" s="1"/>
  <c r="AG444" i="1"/>
  <c r="AO444" i="1" s="1"/>
  <c r="AE195" i="1"/>
  <c r="AE304" i="1"/>
  <c r="AN227" i="1"/>
  <c r="AN301" i="1"/>
  <c r="AN32" i="1"/>
  <c r="AG371" i="1"/>
  <c r="AO371" i="1" s="1"/>
  <c r="AE280" i="1"/>
  <c r="AE221" i="1"/>
  <c r="AG221" i="1" s="1"/>
  <c r="AO221" i="1" s="1"/>
  <c r="AE329" i="1"/>
  <c r="AE257" i="1"/>
  <c r="AN257" i="1" s="1"/>
  <c r="AE96" i="1"/>
  <c r="AE259" i="1"/>
  <c r="AE460" i="1"/>
  <c r="AG460" i="1" s="1"/>
  <c r="AO460" i="1" s="1"/>
  <c r="AE158" i="1"/>
  <c r="AG158" i="1" s="1"/>
  <c r="AO158" i="1" s="1"/>
  <c r="AG32" i="1"/>
  <c r="AO32" i="1" s="1"/>
  <c r="AE448" i="1"/>
  <c r="AG448" i="1" s="1"/>
  <c r="AO448" i="1" s="1"/>
  <c r="AE313" i="1"/>
  <c r="AE261" i="1"/>
  <c r="AN261" i="1" s="1"/>
  <c r="AE100" i="1"/>
  <c r="AE125" i="1"/>
  <c r="AE210" i="1"/>
  <c r="AG210" i="1" s="1"/>
  <c r="AO210" i="1" s="1"/>
  <c r="AE143" i="1"/>
  <c r="AG227" i="1"/>
  <c r="AO227" i="1" s="1"/>
  <c r="AE188" i="1"/>
  <c r="AE440" i="1"/>
  <c r="AG251" i="1"/>
  <c r="AO251" i="1" s="1"/>
  <c r="AE17" i="1"/>
  <c r="AG17" i="1" s="1"/>
  <c r="AO17" i="1" s="1"/>
  <c r="AE497" i="1"/>
  <c r="AE178" i="1"/>
  <c r="AG178" i="1" s="1"/>
  <c r="AO178" i="1" s="1"/>
  <c r="AE77" i="1"/>
  <c r="AG77" i="1" s="1"/>
  <c r="AO77" i="1" s="1"/>
  <c r="AE91" i="1"/>
  <c r="AG483" i="1"/>
  <c r="AE150" i="1"/>
  <c r="AG150" i="1" s="1"/>
  <c r="AO150" i="1" s="1"/>
  <c r="AE288" i="1"/>
  <c r="AG288" i="1" s="1"/>
  <c r="AO288" i="1" s="1"/>
  <c r="AE363" i="1"/>
  <c r="AE357" i="1"/>
  <c r="AE268" i="1"/>
  <c r="AG66" i="1"/>
  <c r="AO66" i="1" s="1"/>
  <c r="AE2" i="1"/>
  <c r="AG2" i="1" s="1"/>
  <c r="AO2" i="1" s="1"/>
  <c r="AE413" i="1"/>
  <c r="AG413" i="1" s="1"/>
  <c r="AO413" i="1" s="1"/>
  <c r="AE403" i="1"/>
  <c r="AE198" i="1"/>
  <c r="AE33" i="1"/>
  <c r="AN33" i="1" s="1"/>
  <c r="AE212" i="1"/>
  <c r="AG212" i="1" s="1"/>
  <c r="AO212" i="1" s="1"/>
  <c r="AH488" i="1"/>
  <c r="AK488" i="1" s="1"/>
  <c r="AH282" i="1"/>
  <c r="AK282" i="1" s="1"/>
  <c r="AE234" i="1"/>
  <c r="AG234" i="1" s="1"/>
  <c r="AO234" i="1" s="1"/>
  <c r="AH376" i="1"/>
  <c r="AK376" i="1" s="1"/>
  <c r="AN185" i="1"/>
  <c r="AE246" i="1"/>
  <c r="AH318" i="1"/>
  <c r="AK318" i="1" s="1"/>
  <c r="AP318" i="1" s="1"/>
  <c r="AU318" i="1" s="1"/>
  <c r="AH90" i="1"/>
  <c r="AK90" i="1" s="1"/>
  <c r="AH457" i="1"/>
  <c r="AK457" i="1" s="1"/>
  <c r="AH291" i="1"/>
  <c r="AK291" i="1" s="1"/>
  <c r="AH319" i="1"/>
  <c r="AK319" i="1" s="1"/>
  <c r="AP319" i="1" s="1"/>
  <c r="AU319" i="1" s="1"/>
  <c r="AH447" i="1"/>
  <c r="AK447" i="1" s="1"/>
  <c r="AP447" i="1" s="1"/>
  <c r="AU447" i="1" s="1"/>
  <c r="AH342" i="1"/>
  <c r="AK342" i="1" s="1"/>
  <c r="AH317" i="1"/>
  <c r="AK317" i="1" s="1"/>
  <c r="AP317" i="1" s="1"/>
  <c r="AU317" i="1" s="1"/>
  <c r="AH442" i="1"/>
  <c r="AK442" i="1" s="1"/>
  <c r="AP442" i="1" s="1"/>
  <c r="AU442" i="1" s="1"/>
  <c r="AH148" i="1"/>
  <c r="AK148" i="1" s="1"/>
  <c r="AH28" i="1"/>
  <c r="AK28" i="1" s="1"/>
  <c r="AH260" i="1"/>
  <c r="AK260" i="1" s="1"/>
  <c r="AH149" i="1"/>
  <c r="AK149" i="1" s="1"/>
  <c r="AG204" i="1" l="1"/>
  <c r="AG106" i="1"/>
  <c r="AO106" i="1" s="1"/>
  <c r="AH489" i="1"/>
  <c r="AK489" i="1" s="1"/>
  <c r="AG252" i="1"/>
  <c r="AO252" i="1" s="1"/>
  <c r="AG365" i="1"/>
  <c r="AO365" i="1" s="1"/>
  <c r="AG198" i="1"/>
  <c r="AO198" i="1" s="1"/>
  <c r="AG339" i="1"/>
  <c r="AO339" i="1" s="1"/>
  <c r="AG375" i="1"/>
  <c r="AO375" i="1" s="1"/>
  <c r="AP55" i="1"/>
  <c r="AU55" i="1" s="1"/>
  <c r="AR55" i="1" s="1"/>
  <c r="BH55" i="1" s="1"/>
  <c r="K55" i="4" s="1"/>
  <c r="AG478" i="1"/>
  <c r="AO478" i="1" s="1"/>
  <c r="AH95" i="1"/>
  <c r="AK95" i="1" s="1"/>
  <c r="AP95" i="1" s="1"/>
  <c r="AU95" i="1" s="1"/>
  <c r="AV95" i="1" s="1"/>
  <c r="AG67" i="1"/>
  <c r="AO67" i="1" s="1"/>
  <c r="AG487" i="1"/>
  <c r="AO487" i="1" s="1"/>
  <c r="AG310" i="1"/>
  <c r="AO310" i="1" s="1"/>
  <c r="AG433" i="1"/>
  <c r="AO433" i="1" s="1"/>
  <c r="AH119" i="1"/>
  <c r="AK119" i="1" s="1"/>
  <c r="AP119" i="1" s="1"/>
  <c r="AU119" i="1" s="1"/>
  <c r="AS119" i="1" s="1"/>
  <c r="BI119" i="1" s="1"/>
  <c r="L119" i="4" s="1"/>
  <c r="AG118" i="1"/>
  <c r="AO118" i="1" s="1"/>
  <c r="AG354" i="1"/>
  <c r="AO354" i="1" s="1"/>
  <c r="AG214" i="1"/>
  <c r="AO214" i="1" s="1"/>
  <c r="AG346" i="1"/>
  <c r="AO346" i="1" s="1"/>
  <c r="AG57" i="1"/>
  <c r="AO57" i="1" s="1"/>
  <c r="AG494" i="1"/>
  <c r="AO494" i="1" s="1"/>
  <c r="AG190" i="1"/>
  <c r="AO190" i="1" s="1"/>
  <c r="AG90" i="1"/>
  <c r="AO90" i="1" s="1"/>
  <c r="AE277" i="1"/>
  <c r="AN277" i="1" s="1"/>
  <c r="AG147" i="1"/>
  <c r="AO147" i="1" s="1"/>
  <c r="AE189" i="1"/>
  <c r="AN189" i="1" s="1"/>
  <c r="AG468" i="1"/>
  <c r="AO468" i="1" s="1"/>
  <c r="AG107" i="1"/>
  <c r="AO107" i="1" s="1"/>
  <c r="AG412" i="1"/>
  <c r="AO412" i="1" s="1"/>
  <c r="AG317" i="1"/>
  <c r="AO317" i="1" s="1"/>
  <c r="AG75" i="1"/>
  <c r="AO75" i="1" s="1"/>
  <c r="AG199" i="1"/>
  <c r="AO199" i="1" s="1"/>
  <c r="AG340" i="1"/>
  <c r="AO340" i="1" s="1"/>
  <c r="AG138" i="1"/>
  <c r="AO138" i="1" s="1"/>
  <c r="AG489" i="1"/>
  <c r="AO489" i="1" s="1"/>
  <c r="AG50" i="1"/>
  <c r="AO50" i="1" s="1"/>
  <c r="AG279" i="1"/>
  <c r="AO279" i="1" s="1"/>
  <c r="AH215" i="1"/>
  <c r="AK215" i="1" s="1"/>
  <c r="AP215" i="1" s="1"/>
  <c r="AU215" i="1" s="1"/>
  <c r="AR215" i="1" s="1"/>
  <c r="BH215" i="1" s="1"/>
  <c r="K215" i="4" s="1"/>
  <c r="AG400" i="1"/>
  <c r="AO400" i="1" s="1"/>
  <c r="AG347" i="1"/>
  <c r="AO347" i="1" s="1"/>
  <c r="AG23" i="1"/>
  <c r="AO23" i="1" s="1"/>
  <c r="AG4" i="1"/>
  <c r="AO4" i="1" s="1"/>
  <c r="AG81" i="1"/>
  <c r="AH81" i="1" s="1"/>
  <c r="AK81" i="1" s="1"/>
  <c r="AG284" i="1"/>
  <c r="AO284" i="1" s="1"/>
  <c r="AG172" i="1"/>
  <c r="AO172" i="1" s="1"/>
  <c r="AG184" i="1"/>
  <c r="AO184" i="1" s="1"/>
  <c r="AH173" i="1"/>
  <c r="AK173" i="1" s="1"/>
  <c r="AP173" i="1" s="1"/>
  <c r="AU173" i="1" s="1"/>
  <c r="AG203" i="1"/>
  <c r="AO203" i="1" s="1"/>
  <c r="AG79" i="1"/>
  <c r="AH79" i="1" s="1"/>
  <c r="AK79" i="1" s="1"/>
  <c r="AG47" i="1"/>
  <c r="AO47" i="1" s="1"/>
  <c r="AG166" i="1"/>
  <c r="AO166" i="1" s="1"/>
  <c r="AP155" i="1"/>
  <c r="AU155" i="1" s="1"/>
  <c r="AT155" i="1" s="1"/>
  <c r="BJ155" i="1" s="1"/>
  <c r="M155" i="4" s="1"/>
  <c r="AP456" i="1"/>
  <c r="AU456" i="1" s="1"/>
  <c r="AT456" i="1" s="1"/>
  <c r="BJ456" i="1" s="1"/>
  <c r="M456" i="4" s="1"/>
  <c r="AG18" i="1"/>
  <c r="AO18" i="1" s="1"/>
  <c r="AG121" i="1"/>
  <c r="AO121" i="1" s="1"/>
  <c r="AG135" i="1"/>
  <c r="AO135" i="1" s="1"/>
  <c r="AG120" i="1"/>
  <c r="AO120" i="1" s="1"/>
  <c r="AG469" i="1"/>
  <c r="AO469" i="1" s="1"/>
  <c r="AH333" i="1"/>
  <c r="AK333" i="1" s="1"/>
  <c r="AP333" i="1" s="1"/>
  <c r="AU333" i="1" s="1"/>
  <c r="AR333" i="1" s="1"/>
  <c r="BH333" i="1" s="1"/>
  <c r="K333" i="4" s="1"/>
  <c r="AP281" i="1"/>
  <c r="AU281" i="1" s="1"/>
  <c r="AR281" i="1" s="1"/>
  <c r="BH281" i="1" s="1"/>
  <c r="K281" i="4" s="1"/>
  <c r="AG112" i="1"/>
  <c r="AO112" i="1" s="1"/>
  <c r="AG428" i="1"/>
  <c r="AO428" i="1" s="1"/>
  <c r="AG363" i="1"/>
  <c r="AO363" i="1" s="1"/>
  <c r="AG92" i="1"/>
  <c r="AO92" i="1" s="1"/>
  <c r="AH334" i="1"/>
  <c r="AK334" i="1" s="1"/>
  <c r="AP334" i="1" s="1"/>
  <c r="AU334" i="1" s="1"/>
  <c r="AG466" i="1"/>
  <c r="AO466" i="1" s="1"/>
  <c r="AG153" i="1"/>
  <c r="AO153" i="1" s="1"/>
  <c r="AP149" i="1"/>
  <c r="AU149" i="1" s="1"/>
  <c r="AV149" i="1" s="1"/>
  <c r="BG149" i="1" s="1"/>
  <c r="J149" i="4" s="1"/>
  <c r="AG53" i="1"/>
  <c r="AO53" i="1" s="1"/>
  <c r="AG110" i="1"/>
  <c r="AO110" i="1" s="1"/>
  <c r="AG41" i="1"/>
  <c r="AO41" i="1" s="1"/>
  <c r="AG282" i="1"/>
  <c r="AO282" i="1" s="1"/>
  <c r="AG482" i="1"/>
  <c r="AO482" i="1" s="1"/>
  <c r="AG78" i="1"/>
  <c r="AO78" i="1" s="1"/>
  <c r="AG481" i="1"/>
  <c r="AO481" i="1" s="1"/>
  <c r="AG349" i="1"/>
  <c r="AO349" i="1" s="1"/>
  <c r="AG45" i="1"/>
  <c r="AO45" i="1" s="1"/>
  <c r="AP9" i="1"/>
  <c r="AU9" i="1" s="1"/>
  <c r="AQ9" i="1" s="1"/>
  <c r="AG410" i="1"/>
  <c r="AO410" i="1" s="1"/>
  <c r="AL23" i="1"/>
  <c r="AP23" i="1" s="1"/>
  <c r="AU23" i="1" s="1"/>
  <c r="AV23" i="1" s="1"/>
  <c r="AG59" i="1"/>
  <c r="AO59" i="1" s="1"/>
  <c r="AG423" i="1"/>
  <c r="AO423" i="1" s="1"/>
  <c r="AG293" i="1"/>
  <c r="AO293" i="1" s="1"/>
  <c r="AG9" i="1"/>
  <c r="AO9" i="1" s="1"/>
  <c r="AG378" i="1"/>
  <c r="AO378" i="1" s="1"/>
  <c r="AG65" i="1"/>
  <c r="AH65" i="1" s="1"/>
  <c r="AK65" i="1" s="1"/>
  <c r="AG149" i="1"/>
  <c r="AO149" i="1" s="1"/>
  <c r="AG25" i="1"/>
  <c r="AO25" i="1" s="1"/>
  <c r="AG186" i="1"/>
  <c r="AO186" i="1" s="1"/>
  <c r="AG485" i="1"/>
  <c r="AO485" i="1" s="1"/>
  <c r="AG157" i="1"/>
  <c r="AO157" i="1" s="1"/>
  <c r="AN333" i="1"/>
  <c r="AG333" i="1"/>
  <c r="AO333" i="1" s="1"/>
  <c r="AG122" i="1"/>
  <c r="AO122" i="1" s="1"/>
  <c r="AG228" i="1"/>
  <c r="AO228" i="1" s="1"/>
  <c r="AG246" i="1"/>
  <c r="AO246" i="1" s="1"/>
  <c r="AG370" i="1"/>
  <c r="AO370" i="1" s="1"/>
  <c r="AH168" i="1"/>
  <c r="AK168" i="1" s="1"/>
  <c r="AP168" i="1" s="1"/>
  <c r="AU168" i="1" s="1"/>
  <c r="AG450" i="1"/>
  <c r="AO450" i="1" s="1"/>
  <c r="AP277" i="1"/>
  <c r="AU277" i="1" s="1"/>
  <c r="AS277" i="1" s="1"/>
  <c r="BI277" i="1" s="1"/>
  <c r="L277" i="4" s="1"/>
  <c r="AG455" i="1"/>
  <c r="AO455" i="1" s="1"/>
  <c r="AG201" i="1"/>
  <c r="AO201" i="1" s="1"/>
  <c r="AG342" i="1"/>
  <c r="AO342" i="1" s="1"/>
  <c r="AG420" i="1"/>
  <c r="AO420" i="1" s="1"/>
  <c r="AE240" i="1"/>
  <c r="AN240" i="1" s="1"/>
  <c r="AP189" i="1"/>
  <c r="AU189" i="1" s="1"/>
  <c r="AX189" i="1" s="1"/>
  <c r="BE189" i="1" s="1"/>
  <c r="F189" i="4" s="1"/>
  <c r="AG463" i="1"/>
  <c r="AO463" i="1" s="1"/>
  <c r="AP395" i="1"/>
  <c r="AU395" i="1" s="1"/>
  <c r="AR395" i="1" s="1"/>
  <c r="BH395" i="1" s="1"/>
  <c r="K395" i="4" s="1"/>
  <c r="AH144" i="1"/>
  <c r="AK144" i="1" s="1"/>
  <c r="AP144" i="1" s="1"/>
  <c r="AU144" i="1" s="1"/>
  <c r="AP28" i="1"/>
  <c r="AU28" i="1" s="1"/>
  <c r="AV28" i="1" s="1"/>
  <c r="BG28" i="1" s="1"/>
  <c r="J28" i="4" s="1"/>
  <c r="AG389" i="1"/>
  <c r="AO389" i="1" s="1"/>
  <c r="AG426" i="1"/>
  <c r="AH426" i="1" s="1"/>
  <c r="AK426" i="1" s="1"/>
  <c r="AG46" i="1"/>
  <c r="AO46" i="1" s="1"/>
  <c r="AP203" i="1"/>
  <c r="AU203" i="1" s="1"/>
  <c r="AX203" i="1" s="1"/>
  <c r="BE203" i="1" s="1"/>
  <c r="F203" i="4" s="1"/>
  <c r="AG26" i="1"/>
  <c r="AO26" i="1" s="1"/>
  <c r="AG245" i="1"/>
  <c r="AO245" i="1" s="1"/>
  <c r="AG100" i="1"/>
  <c r="AO100" i="1" s="1"/>
  <c r="AG343" i="1"/>
  <c r="AO343" i="1" s="1"/>
  <c r="AG179" i="1"/>
  <c r="AO179" i="1" s="1"/>
  <c r="AG101" i="1"/>
  <c r="AO101" i="1" s="1"/>
  <c r="AG438" i="1"/>
  <c r="AO438" i="1" s="1"/>
  <c r="AG402" i="1"/>
  <c r="AO402" i="1" s="1"/>
  <c r="AH484" i="1"/>
  <c r="AK484" i="1" s="1"/>
  <c r="AP484" i="1" s="1"/>
  <c r="AU484" i="1" s="1"/>
  <c r="AE206" i="1"/>
  <c r="AN206" i="1" s="1"/>
  <c r="AG156" i="1"/>
  <c r="AO156" i="1" s="1"/>
  <c r="AP488" i="1"/>
  <c r="AU488" i="1" s="1"/>
  <c r="AV488" i="1" s="1"/>
  <c r="AG163" i="1"/>
  <c r="AO163" i="1" s="1"/>
  <c r="AG434" i="1"/>
  <c r="AO434" i="1" s="1"/>
  <c r="AG439" i="1"/>
  <c r="AO439" i="1" s="1"/>
  <c r="AP40" i="1"/>
  <c r="AU40" i="1" s="1"/>
  <c r="AQ40" i="1" s="1"/>
  <c r="AG399" i="1"/>
  <c r="AO399" i="1" s="1"/>
  <c r="AG125" i="1"/>
  <c r="AO125" i="1" s="1"/>
  <c r="AG259" i="1"/>
  <c r="AO259" i="1" s="1"/>
  <c r="AH345" i="1"/>
  <c r="AK345" i="1" s="1"/>
  <c r="AP345" i="1" s="1"/>
  <c r="AU345" i="1" s="1"/>
  <c r="AR345" i="1" s="1"/>
  <c r="BH345" i="1" s="1"/>
  <c r="K345" i="4" s="1"/>
  <c r="AG188" i="1"/>
  <c r="AO188" i="1" s="1"/>
  <c r="AG422" i="1"/>
  <c r="AO422" i="1" s="1"/>
  <c r="AG91" i="1"/>
  <c r="AO91" i="1" s="1"/>
  <c r="AG358" i="1"/>
  <c r="AO358" i="1" s="1"/>
  <c r="AN493" i="1"/>
  <c r="AG493" i="1"/>
  <c r="AO493" i="1" s="1"/>
  <c r="AG366" i="1"/>
  <c r="AO366" i="1" s="1"/>
  <c r="AG260" i="1"/>
  <c r="AO260" i="1" s="1"/>
  <c r="AG390" i="1"/>
  <c r="AO390" i="1" s="1"/>
  <c r="AG345" i="1"/>
  <c r="AO345" i="1" s="1"/>
  <c r="AG202" i="1"/>
  <c r="AO202" i="1" s="1"/>
  <c r="AG364" i="1"/>
  <c r="AO364" i="1" s="1"/>
  <c r="AG313" i="1"/>
  <c r="AO313" i="1" s="1"/>
  <c r="AG272" i="1"/>
  <c r="AO272" i="1" s="1"/>
  <c r="AG287" i="1"/>
  <c r="AO287" i="1" s="1"/>
  <c r="AG211" i="1"/>
  <c r="AO211" i="1" s="1"/>
  <c r="AG356" i="1"/>
  <c r="AO356" i="1" s="1"/>
  <c r="AG223" i="1"/>
  <c r="AO223" i="1" s="1"/>
  <c r="AG11" i="1"/>
  <c r="AO11" i="1" s="1"/>
  <c r="AG133" i="1"/>
  <c r="AO133" i="1" s="1"/>
  <c r="AG231" i="1"/>
  <c r="AH231" i="1" s="1"/>
  <c r="AK231" i="1" s="1"/>
  <c r="AG43" i="1"/>
  <c r="AO43" i="1" s="1"/>
  <c r="AH174" i="1"/>
  <c r="AK174" i="1" s="1"/>
  <c r="AP174" i="1" s="1"/>
  <c r="AU174" i="1" s="1"/>
  <c r="AX174" i="1" s="1"/>
  <c r="BE174" i="1" s="1"/>
  <c r="F174" i="4" s="1"/>
  <c r="AP78" i="1"/>
  <c r="AU78" i="1" s="1"/>
  <c r="AR78" i="1" s="1"/>
  <c r="BH78" i="1" s="1"/>
  <c r="K78" i="4" s="1"/>
  <c r="AG174" i="1"/>
  <c r="AO174" i="1" s="1"/>
  <c r="AG329" i="1"/>
  <c r="AO329" i="1" s="1"/>
  <c r="AG123" i="1"/>
  <c r="AO123" i="1" s="1"/>
  <c r="AH353" i="1"/>
  <c r="AK353" i="1" s="1"/>
  <c r="AP353" i="1" s="1"/>
  <c r="AU353" i="1" s="1"/>
  <c r="AG471" i="1"/>
  <c r="AO471" i="1" s="1"/>
  <c r="AG273" i="1"/>
  <c r="AO273" i="1" s="1"/>
  <c r="AH242" i="1"/>
  <c r="AK242" i="1" s="1"/>
  <c r="AP242" i="1" s="1"/>
  <c r="AU242" i="1" s="1"/>
  <c r="AQ242" i="1" s="1"/>
  <c r="AG404" i="1"/>
  <c r="AO404" i="1" s="1"/>
  <c r="AG324" i="1"/>
  <c r="AH324" i="1" s="1"/>
  <c r="AK324" i="1" s="1"/>
  <c r="AP324" i="1" s="1"/>
  <c r="AU324" i="1" s="1"/>
  <c r="AG437" i="1"/>
  <c r="AO437" i="1" s="1"/>
  <c r="AG326" i="1"/>
  <c r="AO326" i="1" s="1"/>
  <c r="AL79" i="1"/>
  <c r="AG192" i="1"/>
  <c r="AO192" i="1" s="1"/>
  <c r="AG144" i="1"/>
  <c r="AO144" i="1" s="1"/>
  <c r="AG362" i="1"/>
  <c r="AO362" i="1" s="1"/>
  <c r="AG3" i="1"/>
  <c r="AO3" i="1" s="1"/>
  <c r="AG458" i="1"/>
  <c r="AO458" i="1" s="1"/>
  <c r="AG359" i="1"/>
  <c r="AO359" i="1" s="1"/>
  <c r="AG169" i="1"/>
  <c r="AO169" i="1" s="1"/>
  <c r="AG114" i="1"/>
  <c r="AO114" i="1" s="1"/>
  <c r="AG241" i="1"/>
  <c r="AO241" i="1" s="1"/>
  <c r="AG415" i="1"/>
  <c r="AO415" i="1" s="1"/>
  <c r="AG305" i="1"/>
  <c r="AO305" i="1" s="1"/>
  <c r="AG307" i="1"/>
  <c r="AO307" i="1" s="1"/>
  <c r="AH273" i="1"/>
  <c r="AK273" i="1" s="1"/>
  <c r="AP273" i="1" s="1"/>
  <c r="AU273" i="1" s="1"/>
  <c r="AX273" i="1" s="1"/>
  <c r="BE273" i="1" s="1"/>
  <c r="F273" i="4" s="1"/>
  <c r="AE55" i="1"/>
  <c r="AN55" i="1" s="1"/>
  <c r="AG418" i="1"/>
  <c r="AO418" i="1" s="1"/>
  <c r="AG89" i="1"/>
  <c r="AO89" i="1" s="1"/>
  <c r="AG63" i="1"/>
  <c r="AO63" i="1" s="1"/>
  <c r="AG484" i="1"/>
  <c r="AO484" i="1" s="1"/>
  <c r="AG175" i="1"/>
  <c r="AO175" i="1" s="1"/>
  <c r="AG435" i="1"/>
  <c r="AO435" i="1" s="1"/>
  <c r="AH263" i="1"/>
  <c r="AK263" i="1" s="1"/>
  <c r="AP263" i="1" s="1"/>
  <c r="AU263" i="1" s="1"/>
  <c r="AG265" i="1"/>
  <c r="AO265" i="1" s="1"/>
  <c r="AP123" i="1"/>
  <c r="AU123" i="1" s="1"/>
  <c r="AX123" i="1" s="1"/>
  <c r="BE123" i="1" s="1"/>
  <c r="F123" i="4" s="1"/>
  <c r="AG143" i="1"/>
  <c r="AO143" i="1" s="1"/>
  <c r="AG28" i="1"/>
  <c r="AO28" i="1" s="1"/>
  <c r="AG105" i="1"/>
  <c r="AO105" i="1" s="1"/>
  <c r="AG467" i="1"/>
  <c r="AO467" i="1" s="1"/>
  <c r="AH5" i="1"/>
  <c r="AK5" i="1" s="1"/>
  <c r="AP5" i="1" s="1"/>
  <c r="AU5" i="1" s="1"/>
  <c r="AX5" i="1" s="1"/>
  <c r="AG104" i="1"/>
  <c r="AO104" i="1" s="1"/>
  <c r="AG421" i="1"/>
  <c r="AO421" i="1" s="1"/>
  <c r="AG88" i="1"/>
  <c r="AO88" i="1" s="1"/>
  <c r="AG12" i="1"/>
  <c r="AO12" i="1" s="1"/>
  <c r="AG262" i="1"/>
  <c r="AO262" i="1" s="1"/>
  <c r="AG224" i="1"/>
  <c r="AO224" i="1" s="1"/>
  <c r="AG56" i="1"/>
  <c r="AO56" i="1" s="1"/>
  <c r="AG14" i="1"/>
  <c r="AO14" i="1" s="1"/>
  <c r="AG194" i="1"/>
  <c r="AO194" i="1" s="1"/>
  <c r="AG42" i="1"/>
  <c r="AO42" i="1" s="1"/>
  <c r="AG268" i="1"/>
  <c r="AO268" i="1" s="1"/>
  <c r="AG139" i="1"/>
  <c r="AO139" i="1" s="1"/>
  <c r="AG301" i="1"/>
  <c r="AO301" i="1" s="1"/>
  <c r="AG292" i="1"/>
  <c r="AO292" i="1" s="1"/>
  <c r="AG80" i="1"/>
  <c r="AO80" i="1" s="1"/>
  <c r="AG36" i="1"/>
  <c r="AO36" i="1" s="1"/>
  <c r="AG243" i="1"/>
  <c r="AO243" i="1" s="1"/>
  <c r="AG244" i="1"/>
  <c r="AO244" i="1" s="1"/>
  <c r="AG99" i="1"/>
  <c r="AH99" i="1" s="1"/>
  <c r="AK99" i="1" s="1"/>
  <c r="AM273" i="1"/>
  <c r="AG60" i="1"/>
  <c r="AO60" i="1" s="1"/>
  <c r="AH464" i="1"/>
  <c r="AK464" i="1" s="1"/>
  <c r="AP464" i="1" s="1"/>
  <c r="AU464" i="1" s="1"/>
  <c r="AH411" i="1"/>
  <c r="AK411" i="1" s="1"/>
  <c r="AP411" i="1" s="1"/>
  <c r="AU411" i="1" s="1"/>
  <c r="AT411" i="1" s="1"/>
  <c r="BJ411" i="1" s="1"/>
  <c r="M411" i="4" s="1"/>
  <c r="AG238" i="1"/>
  <c r="AO238" i="1" s="1"/>
  <c r="AG456" i="1"/>
  <c r="AO456" i="1" s="1"/>
  <c r="AH384" i="1"/>
  <c r="AK384" i="1" s="1"/>
  <c r="AP384" i="1" s="1"/>
  <c r="AU384" i="1" s="1"/>
  <c r="AX384" i="1" s="1"/>
  <c r="BE384" i="1" s="1"/>
  <c r="F384" i="4" s="1"/>
  <c r="AG226" i="1"/>
  <c r="AO226" i="1" s="1"/>
  <c r="AG62" i="1"/>
  <c r="AO62" i="1" s="1"/>
  <c r="AG304" i="1"/>
  <c r="AO304" i="1" s="1"/>
  <c r="AH224" i="1"/>
  <c r="AK224" i="1" s="1"/>
  <c r="AP224" i="1" s="1"/>
  <c r="AU224" i="1" s="1"/>
  <c r="AX224" i="1" s="1"/>
  <c r="BE224" i="1" s="1"/>
  <c r="F224" i="4" s="1"/>
  <c r="AH454" i="1"/>
  <c r="AK454" i="1" s="1"/>
  <c r="AP454" i="1" s="1"/>
  <c r="AU454" i="1" s="1"/>
  <c r="AV454" i="1" s="1"/>
  <c r="BG454" i="1" s="1"/>
  <c r="J454" i="4" s="1"/>
  <c r="AG270" i="1"/>
  <c r="AO270" i="1" s="1"/>
  <c r="AG441" i="1"/>
  <c r="AO441" i="1" s="1"/>
  <c r="AG111" i="1"/>
  <c r="AO111" i="1" s="1"/>
  <c r="AG20" i="1"/>
  <c r="AO20" i="1" s="1"/>
  <c r="AG417" i="1"/>
  <c r="AO417" i="1" s="1"/>
  <c r="AG40" i="1"/>
  <c r="AO40" i="1" s="1"/>
  <c r="AG30" i="1"/>
  <c r="AO30" i="1" s="1"/>
  <c r="AG461" i="1"/>
  <c r="AO461" i="1" s="1"/>
  <c r="AG61" i="1"/>
  <c r="AO61" i="1" s="1"/>
  <c r="AH133" i="1"/>
  <c r="AK133" i="1" s="1"/>
  <c r="AP133" i="1" s="1"/>
  <c r="AU133" i="1" s="1"/>
  <c r="AQ133" i="1" s="1"/>
  <c r="AG160" i="1"/>
  <c r="AO160" i="1" s="1"/>
  <c r="AG367" i="1"/>
  <c r="AO367" i="1" s="1"/>
  <c r="AG115" i="1"/>
  <c r="AO115" i="1" s="1"/>
  <c r="AG443" i="1"/>
  <c r="AO443" i="1" s="1"/>
  <c r="AG449" i="1"/>
  <c r="AO449" i="1" s="1"/>
  <c r="AG338" i="1"/>
  <c r="AO338" i="1" s="1"/>
  <c r="AG337" i="1"/>
  <c r="AO337" i="1" s="1"/>
  <c r="AG323" i="1"/>
  <c r="AO323" i="1" s="1"/>
  <c r="AG119" i="1"/>
  <c r="AO119" i="1" s="1"/>
  <c r="AG374" i="1"/>
  <c r="AO374" i="1" s="1"/>
  <c r="AG451" i="1"/>
  <c r="AO451" i="1" s="1"/>
  <c r="AG454" i="1"/>
  <c r="AO454" i="1" s="1"/>
  <c r="AG168" i="1"/>
  <c r="AO168" i="1" s="1"/>
  <c r="AG117" i="1"/>
  <c r="AO117" i="1" s="1"/>
  <c r="AG93" i="1"/>
  <c r="AO93" i="1" s="1"/>
  <c r="AG232" i="1"/>
  <c r="AO232" i="1" s="1"/>
  <c r="AG409" i="1"/>
  <c r="AO409" i="1" s="1"/>
  <c r="AG492" i="1"/>
  <c r="AO492" i="1" s="1"/>
  <c r="AG72" i="1"/>
  <c r="AO72" i="1" s="1"/>
  <c r="AG411" i="1"/>
  <c r="AO411" i="1" s="1"/>
  <c r="AG440" i="1"/>
  <c r="AO440" i="1" s="1"/>
  <c r="AG320" i="1"/>
  <c r="AO320" i="1" s="1"/>
  <c r="AG297" i="1"/>
  <c r="AO297" i="1" s="1"/>
  <c r="AG8" i="1"/>
  <c r="AO8" i="1" s="1"/>
  <c r="AP316" i="1"/>
  <c r="AU316" i="1" s="1"/>
  <c r="AV316" i="1" s="1"/>
  <c r="BG316" i="1" s="1"/>
  <c r="J316" i="4" s="1"/>
  <c r="AG263" i="1"/>
  <c r="AO263" i="1" s="1"/>
  <c r="AG464" i="1"/>
  <c r="AO464" i="1" s="1"/>
  <c r="AE395" i="1"/>
  <c r="AN395" i="1" s="1"/>
  <c r="AG373" i="1"/>
  <c r="AO373" i="1" s="1"/>
  <c r="AM373" i="1"/>
  <c r="AN95" i="1"/>
  <c r="AG95" i="1"/>
  <c r="AO95" i="1" s="1"/>
  <c r="AE306" i="1"/>
  <c r="AN306" i="1" s="1"/>
  <c r="AG54" i="1"/>
  <c r="AO54" i="1" s="1"/>
  <c r="AP260" i="1"/>
  <c r="AU260" i="1" s="1"/>
  <c r="AT260" i="1" s="1"/>
  <c r="BJ260" i="1" s="1"/>
  <c r="M260" i="4" s="1"/>
  <c r="AG183" i="1"/>
  <c r="AO183" i="1" s="1"/>
  <c r="AG130" i="1"/>
  <c r="AO130" i="1" s="1"/>
  <c r="AG13" i="1"/>
  <c r="AO13" i="1" s="1"/>
  <c r="AP197" i="1"/>
  <c r="AU197" i="1" s="1"/>
  <c r="AR197" i="1" s="1"/>
  <c r="BH197" i="1" s="1"/>
  <c r="K197" i="4" s="1"/>
  <c r="AG83" i="1"/>
  <c r="AO83" i="1" s="1"/>
  <c r="AG269" i="1"/>
  <c r="AO269" i="1" s="1"/>
  <c r="AG416" i="1"/>
  <c r="AO416" i="1" s="1"/>
  <c r="AG294" i="1"/>
  <c r="AO294" i="1" s="1"/>
  <c r="AH321" i="1"/>
  <c r="AK321" i="1" s="1"/>
  <c r="AP321" i="1" s="1"/>
  <c r="AU321" i="1" s="1"/>
  <c r="AQ321" i="1" s="1"/>
  <c r="AG27" i="1"/>
  <c r="AO27" i="1" s="1"/>
  <c r="AG377" i="1"/>
  <c r="AO377" i="1" s="1"/>
  <c r="AH253" i="1"/>
  <c r="AK253" i="1" s="1"/>
  <c r="AP253" i="1" s="1"/>
  <c r="AU253" i="1" s="1"/>
  <c r="AG129" i="1"/>
  <c r="AO129" i="1" s="1"/>
  <c r="AE281" i="1"/>
  <c r="AN281" i="1" s="1"/>
  <c r="AG255" i="1"/>
  <c r="AO255" i="1" s="1"/>
  <c r="AG498" i="1"/>
  <c r="AO498" i="1" s="1"/>
  <c r="AG34" i="1"/>
  <c r="AO34" i="1" s="1"/>
  <c r="AG22" i="1"/>
  <c r="AO22" i="1" s="1"/>
  <c r="AG148" i="1"/>
  <c r="AO148" i="1" s="1"/>
  <c r="AG488" i="1"/>
  <c r="AO488" i="1" s="1"/>
  <c r="AG392" i="1"/>
  <c r="AO392" i="1" s="1"/>
  <c r="AG462" i="1"/>
  <c r="AO462" i="1" s="1"/>
  <c r="AG321" i="1"/>
  <c r="AO321" i="1" s="1"/>
  <c r="AG479" i="1"/>
  <c r="AO479" i="1" s="1"/>
  <c r="AG314" i="1"/>
  <c r="AO314" i="1" s="1"/>
  <c r="AG209" i="1"/>
  <c r="AO209" i="1" s="1"/>
  <c r="AG330" i="1"/>
  <c r="AO330" i="1" s="1"/>
  <c r="AG127" i="1"/>
  <c r="AO127" i="1" s="1"/>
  <c r="AG195" i="1"/>
  <c r="AO195" i="1" s="1"/>
  <c r="AG431" i="1"/>
  <c r="AO431" i="1" s="1"/>
  <c r="AG141" i="1"/>
  <c r="AO141" i="1" s="1"/>
  <c r="AG155" i="1"/>
  <c r="AO155" i="1" s="1"/>
  <c r="AL205" i="1"/>
  <c r="AP205" i="1" s="1"/>
  <c r="AU205" i="1" s="1"/>
  <c r="AG205" i="1"/>
  <c r="AO205" i="1" s="1"/>
  <c r="AG280" i="1"/>
  <c r="AO280" i="1" s="1"/>
  <c r="AG258" i="1"/>
  <c r="AO258" i="1" s="1"/>
  <c r="AG470" i="1"/>
  <c r="AH470" i="1" s="1"/>
  <c r="AK470" i="1" s="1"/>
  <c r="AH83" i="1"/>
  <c r="AK83" i="1" s="1"/>
  <c r="AP83" i="1" s="1"/>
  <c r="AU83" i="1" s="1"/>
  <c r="AR83" i="1" s="1"/>
  <c r="BH83" i="1" s="1"/>
  <c r="K83" i="4" s="1"/>
  <c r="AG368" i="1"/>
  <c r="AO368" i="1" s="1"/>
  <c r="AG5" i="1"/>
  <c r="AO5" i="1" s="1"/>
  <c r="AM5" i="1"/>
  <c r="AG254" i="1"/>
  <c r="AO254" i="1" s="1"/>
  <c r="AG353" i="1"/>
  <c r="AO353" i="1" s="1"/>
  <c r="AG473" i="1"/>
  <c r="AO473" i="1" s="1"/>
  <c r="AM473" i="1"/>
  <c r="AG424" i="1"/>
  <c r="AO424" i="1" s="1"/>
  <c r="AG136" i="1"/>
  <c r="AO136" i="1" s="1"/>
  <c r="AP360" i="1"/>
  <c r="AU360" i="1" s="1"/>
  <c r="AX360" i="1" s="1"/>
  <c r="BE360" i="1" s="1"/>
  <c r="F360" i="4" s="1"/>
  <c r="AG406" i="1"/>
  <c r="AO406" i="1" s="1"/>
  <c r="AG159" i="1"/>
  <c r="AO159" i="1" s="1"/>
  <c r="AE7" i="1"/>
  <c r="AN7" i="1" s="1"/>
  <c r="AG328" i="1"/>
  <c r="AO328" i="1" s="1"/>
  <c r="AG425" i="1"/>
  <c r="AO425" i="1" s="1"/>
  <c r="AG350" i="1"/>
  <c r="AO350" i="1" s="1"/>
  <c r="AG103" i="1"/>
  <c r="AO103" i="1" s="1"/>
  <c r="AH56" i="1"/>
  <c r="AK56" i="1" s="1"/>
  <c r="AP56" i="1" s="1"/>
  <c r="AU56" i="1" s="1"/>
  <c r="AR56" i="1" s="1"/>
  <c r="BH56" i="1" s="1"/>
  <c r="K56" i="4" s="1"/>
  <c r="AG134" i="1"/>
  <c r="AO134" i="1" s="1"/>
  <c r="AP462" i="1"/>
  <c r="AU462" i="1" s="1"/>
  <c r="AX462" i="1" s="1"/>
  <c r="BE462" i="1" s="1"/>
  <c r="F462" i="4" s="1"/>
  <c r="AG197" i="1"/>
  <c r="AO197" i="1" s="1"/>
  <c r="AG242" i="1"/>
  <c r="AO242" i="1" s="1"/>
  <c r="AG96" i="1"/>
  <c r="AO96" i="1" s="1"/>
  <c r="AG360" i="1"/>
  <c r="AO360" i="1" s="1"/>
  <c r="AG267" i="1"/>
  <c r="AO267" i="1" s="1"/>
  <c r="AG173" i="1"/>
  <c r="AO173" i="1" s="1"/>
  <c r="AG102" i="1"/>
  <c r="AO102" i="1" s="1"/>
  <c r="AG334" i="1"/>
  <c r="AO334" i="1" s="1"/>
  <c r="AM334" i="1"/>
  <c r="AG497" i="1"/>
  <c r="AO497" i="1" s="1"/>
  <c r="AG436" i="1"/>
  <c r="AO436" i="1" s="1"/>
  <c r="AG87" i="1"/>
  <c r="AO87" i="1" s="1"/>
  <c r="AG253" i="1"/>
  <c r="AO253" i="1" s="1"/>
  <c r="AH294" i="1"/>
  <c r="AK294" i="1" s="1"/>
  <c r="AP294" i="1" s="1"/>
  <c r="AU294" i="1" s="1"/>
  <c r="AS294" i="1" s="1"/>
  <c r="BI294" i="1" s="1"/>
  <c r="L294" i="4" s="1"/>
  <c r="AH127" i="1"/>
  <c r="AK127" i="1" s="1"/>
  <c r="AP127" i="1" s="1"/>
  <c r="AU127" i="1" s="1"/>
  <c r="AX127" i="1" s="1"/>
  <c r="BE127" i="1" s="1"/>
  <c r="F127" i="4" s="1"/>
  <c r="AG69" i="1"/>
  <c r="AO69" i="1" s="1"/>
  <c r="AG151" i="1"/>
  <c r="AO151" i="1" s="1"/>
  <c r="AG216" i="1"/>
  <c r="AO216" i="1" s="1"/>
  <c r="AG73" i="1"/>
  <c r="AO73" i="1" s="1"/>
  <c r="AG10" i="1"/>
  <c r="AO10" i="1" s="1"/>
  <c r="AM10" i="1"/>
  <c r="AG215" i="1"/>
  <c r="AO215" i="1" s="1"/>
  <c r="AG384" i="1"/>
  <c r="AO384" i="1" s="1"/>
  <c r="AH270" i="1"/>
  <c r="AK270" i="1" s="1"/>
  <c r="AP270" i="1" s="1"/>
  <c r="AU270" i="1" s="1"/>
  <c r="AH63" i="1"/>
  <c r="AK63" i="1" s="1"/>
  <c r="AP63" i="1" s="1"/>
  <c r="AU63" i="1" s="1"/>
  <c r="AR63" i="1" s="1"/>
  <c r="BH63" i="1" s="1"/>
  <c r="K63" i="4" s="1"/>
  <c r="AH418" i="1"/>
  <c r="AK418" i="1" s="1"/>
  <c r="AP418" i="1" s="1"/>
  <c r="AU418" i="1" s="1"/>
  <c r="AV418" i="1" s="1"/>
  <c r="AH356" i="1"/>
  <c r="AK356" i="1" s="1"/>
  <c r="AP356" i="1" s="1"/>
  <c r="AU356" i="1" s="1"/>
  <c r="AV356" i="1" s="1"/>
  <c r="BG356" i="1" s="1"/>
  <c r="J356" i="4" s="1"/>
  <c r="AH120" i="1"/>
  <c r="AK120" i="1" s="1"/>
  <c r="AP120" i="1" s="1"/>
  <c r="AU120" i="1" s="1"/>
  <c r="AV120" i="1" s="1"/>
  <c r="AH73" i="1"/>
  <c r="AK73" i="1" s="1"/>
  <c r="AP73" i="1" s="1"/>
  <c r="AU73" i="1" s="1"/>
  <c r="AX73" i="1" s="1"/>
  <c r="BE73" i="1" s="1"/>
  <c r="F73" i="4" s="1"/>
  <c r="AH92" i="1"/>
  <c r="AK92" i="1" s="1"/>
  <c r="AP92" i="1" s="1"/>
  <c r="AU92" i="1" s="1"/>
  <c r="AH284" i="1"/>
  <c r="AK284" i="1" s="1"/>
  <c r="AP284" i="1" s="1"/>
  <c r="AU284" i="1" s="1"/>
  <c r="AH374" i="1"/>
  <c r="AK374" i="1" s="1"/>
  <c r="AP374" i="1" s="1"/>
  <c r="AU374" i="1" s="1"/>
  <c r="AV374" i="1" s="1"/>
  <c r="BG374" i="1" s="1"/>
  <c r="J374" i="4" s="1"/>
  <c r="AH151" i="1"/>
  <c r="AK151" i="1" s="1"/>
  <c r="AP151" i="1" s="1"/>
  <c r="AU151" i="1" s="1"/>
  <c r="AX151" i="1" s="1"/>
  <c r="BE151" i="1" s="1"/>
  <c r="F151" i="4" s="1"/>
  <c r="AH18" i="1"/>
  <c r="AK18" i="1" s="1"/>
  <c r="AP18" i="1" s="1"/>
  <c r="AU18" i="1" s="1"/>
  <c r="AH359" i="1"/>
  <c r="AK359" i="1" s="1"/>
  <c r="AP359" i="1" s="1"/>
  <c r="AU359" i="1" s="1"/>
  <c r="AH22" i="1"/>
  <c r="AK22" i="1" s="1"/>
  <c r="AP22" i="1" s="1"/>
  <c r="AU22" i="1" s="1"/>
  <c r="AH61" i="1"/>
  <c r="AK61" i="1" s="1"/>
  <c r="AP61" i="1" s="1"/>
  <c r="AU61" i="1" s="1"/>
  <c r="AO185" i="1"/>
  <c r="AH185" i="1"/>
  <c r="AK185" i="1" s="1"/>
  <c r="AP185" i="1" s="1"/>
  <c r="AU185" i="1" s="1"/>
  <c r="AH368" i="1"/>
  <c r="AK368" i="1" s="1"/>
  <c r="AP368" i="1" s="1"/>
  <c r="AU368" i="1" s="1"/>
  <c r="AH421" i="1"/>
  <c r="AK421" i="1" s="1"/>
  <c r="AP421" i="1" s="1"/>
  <c r="AU421" i="1" s="1"/>
  <c r="AH186" i="1"/>
  <c r="AK186" i="1" s="1"/>
  <c r="AP186" i="1" s="1"/>
  <c r="AU186" i="1" s="1"/>
  <c r="AH104" i="1"/>
  <c r="AK104" i="1" s="1"/>
  <c r="AP104" i="1" s="1"/>
  <c r="AU104" i="1" s="1"/>
  <c r="AH69" i="1"/>
  <c r="AK69" i="1" s="1"/>
  <c r="AO309" i="1"/>
  <c r="AH309" i="1"/>
  <c r="AK309" i="1" s="1"/>
  <c r="AP309" i="1" s="1"/>
  <c r="AU309" i="1" s="1"/>
  <c r="AR490" i="1"/>
  <c r="BH490" i="1" s="1"/>
  <c r="K490" i="4" s="1"/>
  <c r="AV490" i="1"/>
  <c r="AH337" i="1"/>
  <c r="AK337" i="1" s="1"/>
  <c r="AP337" i="1" s="1"/>
  <c r="AU337" i="1" s="1"/>
  <c r="AR337" i="1" s="1"/>
  <c r="BH337" i="1" s="1"/>
  <c r="K337" i="4" s="1"/>
  <c r="AH494" i="1"/>
  <c r="AK494" i="1" s="1"/>
  <c r="AP494" i="1" s="1"/>
  <c r="AU494" i="1" s="1"/>
  <c r="AS494" i="1" s="1"/>
  <c r="BI494" i="1" s="1"/>
  <c r="L494" i="4" s="1"/>
  <c r="AH214" i="1"/>
  <c r="AK214" i="1" s="1"/>
  <c r="AP214" i="1" s="1"/>
  <c r="AU214" i="1" s="1"/>
  <c r="AH204" i="1"/>
  <c r="AK204" i="1" s="1"/>
  <c r="AP204" i="1" s="1"/>
  <c r="AU204" i="1" s="1"/>
  <c r="AT204" i="1" s="1"/>
  <c r="BJ204" i="1" s="1"/>
  <c r="M204" i="4" s="1"/>
  <c r="AO204" i="1"/>
  <c r="AR318" i="1"/>
  <c r="BH318" i="1" s="1"/>
  <c r="K318" i="4" s="1"/>
  <c r="AT318" i="1"/>
  <c r="BJ318" i="1" s="1"/>
  <c r="M318" i="4" s="1"/>
  <c r="AX318" i="1"/>
  <c r="BE318" i="1" s="1"/>
  <c r="F318" i="4" s="1"/>
  <c r="AE387" i="1"/>
  <c r="AG387" i="1" s="1"/>
  <c r="AO387" i="1" s="1"/>
  <c r="AE295" i="1"/>
  <c r="AE37" i="1"/>
  <c r="AE152" i="1"/>
  <c r="AE154" i="1"/>
  <c r="AG154" i="1" s="1"/>
  <c r="AO154" i="1" s="1"/>
  <c r="AE369" i="1"/>
  <c r="AE15" i="1"/>
  <c r="AE332" i="1"/>
  <c r="AG332" i="1" s="1"/>
  <c r="AO332" i="1" s="1"/>
  <c r="AE401" i="1"/>
  <c r="AE290" i="1"/>
  <c r="AE274" i="1"/>
  <c r="AG274" i="1" s="1"/>
  <c r="AO274" i="1" s="1"/>
  <c r="AE296" i="1"/>
  <c r="AE452" i="1"/>
  <c r="AE167" i="1"/>
  <c r="AE142" i="1"/>
  <c r="AG142" i="1" s="1"/>
  <c r="AO142" i="1" s="1"/>
  <c r="AE405" i="1"/>
  <c r="AG405" i="1" s="1"/>
  <c r="AO405" i="1" s="1"/>
  <c r="AE237" i="1"/>
  <c r="AG237" i="1" s="1"/>
  <c r="AO237" i="1" s="1"/>
  <c r="AE302" i="1"/>
  <c r="AH122" i="1"/>
  <c r="AK122" i="1" s="1"/>
  <c r="AH476" i="1"/>
  <c r="AK476" i="1" s="1"/>
  <c r="AO476" i="1"/>
  <c r="AE397" i="1"/>
  <c r="AG397" i="1" s="1"/>
  <c r="AO397" i="1" s="1"/>
  <c r="AE427" i="1"/>
  <c r="AG427" i="1" s="1"/>
  <c r="AO427" i="1" s="1"/>
  <c r="AE465" i="1"/>
  <c r="AG465" i="1" s="1"/>
  <c r="AO465" i="1" s="1"/>
  <c r="AE383" i="1"/>
  <c r="AE336" i="1"/>
  <c r="AG336" i="1" s="1"/>
  <c r="AO336" i="1" s="1"/>
  <c r="AE145" i="1"/>
  <c r="AG145" i="1" s="1"/>
  <c r="AO145" i="1" s="1"/>
  <c r="AE382" i="1"/>
  <c r="AG382" i="1" s="1"/>
  <c r="AO382" i="1" s="1"/>
  <c r="AG94" i="1"/>
  <c r="AH262" i="1"/>
  <c r="AK262" i="1" s="1"/>
  <c r="AP262" i="1" s="1"/>
  <c r="AU262" i="1" s="1"/>
  <c r="AH375" i="1"/>
  <c r="AK375" i="1" s="1"/>
  <c r="AE407" i="1"/>
  <c r="AG407" i="1" s="1"/>
  <c r="AO407" i="1" s="1"/>
  <c r="AE446" i="1"/>
  <c r="AE311" i="1"/>
  <c r="AG311" i="1" s="1"/>
  <c r="AO311" i="1" s="1"/>
  <c r="AH330" i="1"/>
  <c r="AK330" i="1" s="1"/>
  <c r="AH498" i="1"/>
  <c r="AK498" i="1" s="1"/>
  <c r="AH12" i="1"/>
  <c r="AK12" i="1" s="1"/>
  <c r="AP12" i="1" s="1"/>
  <c r="AU12" i="1" s="1"/>
  <c r="AH435" i="1"/>
  <c r="AK435" i="1" s="1"/>
  <c r="AG31" i="1"/>
  <c r="AG48" i="1"/>
  <c r="AP117" i="1"/>
  <c r="AU117" i="1" s="1"/>
  <c r="AG180" i="1"/>
  <c r="AN180" i="1"/>
  <c r="AG39" i="1"/>
  <c r="AN39" i="1"/>
  <c r="AH159" i="1"/>
  <c r="AK159" i="1" s="1"/>
  <c r="AP159" i="1" s="1"/>
  <c r="AU159" i="1" s="1"/>
  <c r="AH373" i="1"/>
  <c r="AK373" i="1" s="1"/>
  <c r="AE196" i="1"/>
  <c r="AN196" i="1" s="1"/>
  <c r="AE429" i="1"/>
  <c r="AN429" i="1" s="1"/>
  <c r="AE250" i="1"/>
  <c r="AN250" i="1" s="1"/>
  <c r="AN74" i="1"/>
  <c r="AG74" i="1"/>
  <c r="AE491" i="1"/>
  <c r="AN491" i="1" s="1"/>
  <c r="AE213" i="1"/>
  <c r="AN213" i="1" s="1"/>
  <c r="AE131" i="1"/>
  <c r="AN131" i="1" s="1"/>
  <c r="AH469" i="1"/>
  <c r="AK469" i="1" s="1"/>
  <c r="AP469" i="1" s="1"/>
  <c r="AU469" i="1" s="1"/>
  <c r="AH34" i="1"/>
  <c r="AK34" i="1" s="1"/>
  <c r="AP34" i="1" s="1"/>
  <c r="AU34" i="1" s="1"/>
  <c r="AH412" i="1"/>
  <c r="AK412" i="1" s="1"/>
  <c r="AP412" i="1" s="1"/>
  <c r="AU412" i="1" s="1"/>
  <c r="AH88" i="1"/>
  <c r="AK88" i="1" s="1"/>
  <c r="AP88" i="1" s="1"/>
  <c r="AU88" i="1" s="1"/>
  <c r="AO391" i="1"/>
  <c r="AH391" i="1"/>
  <c r="AK391" i="1" s="1"/>
  <c r="AP391" i="1" s="1"/>
  <c r="AU391" i="1" s="1"/>
  <c r="AE218" i="1"/>
  <c r="AN218" i="1" s="1"/>
  <c r="AH255" i="1"/>
  <c r="AK255" i="1" s="1"/>
  <c r="AP255" i="1" s="1"/>
  <c r="AU255" i="1" s="1"/>
  <c r="AH493" i="1"/>
  <c r="AK493" i="1" s="1"/>
  <c r="AP493" i="1" s="1"/>
  <c r="AU493" i="1" s="1"/>
  <c r="AH306" i="1"/>
  <c r="AK306" i="1" s="1"/>
  <c r="AP306" i="1" s="1"/>
  <c r="AU306" i="1" s="1"/>
  <c r="AX306" i="1" s="1"/>
  <c r="BE306" i="1" s="1"/>
  <c r="F306" i="4" s="1"/>
  <c r="AE236" i="1"/>
  <c r="AN236" i="1" s="1"/>
  <c r="AE385" i="1"/>
  <c r="AN385" i="1" s="1"/>
  <c r="AH365" i="1"/>
  <c r="AK365" i="1" s="1"/>
  <c r="AP365" i="1" s="1"/>
  <c r="AU365" i="1" s="1"/>
  <c r="AH211" i="1"/>
  <c r="AK211" i="1" s="1"/>
  <c r="AP211" i="1" s="1"/>
  <c r="AU211" i="1" s="1"/>
  <c r="AH206" i="1"/>
  <c r="AK206" i="1" s="1"/>
  <c r="AP206" i="1" s="1"/>
  <c r="AU206" i="1" s="1"/>
  <c r="AH169" i="1"/>
  <c r="AK169" i="1" s="1"/>
  <c r="AP169" i="1" s="1"/>
  <c r="AU169" i="1" s="1"/>
  <c r="AX11" i="1"/>
  <c r="BE11" i="1" s="1"/>
  <c r="F11" i="4" s="1"/>
  <c r="AT11" i="1"/>
  <c r="BJ11" i="1" s="1"/>
  <c r="M11" i="4" s="1"/>
  <c r="AS11" i="1"/>
  <c r="BI11" i="1" s="1"/>
  <c r="L11" i="4" s="1"/>
  <c r="AR11" i="1"/>
  <c r="BH11" i="1" s="1"/>
  <c r="K11" i="4" s="1"/>
  <c r="AQ11" i="1"/>
  <c r="AV11" i="1"/>
  <c r="AO109" i="1"/>
  <c r="AH109" i="1"/>
  <c r="AK109" i="1" s="1"/>
  <c r="AP109" i="1" s="1"/>
  <c r="AU109" i="1" s="1"/>
  <c r="AH8" i="1"/>
  <c r="AK8" i="1" s="1"/>
  <c r="AP8" i="1" s="1"/>
  <c r="AU8" i="1" s="1"/>
  <c r="AO289" i="1"/>
  <c r="AH289" i="1"/>
  <c r="AK289" i="1" s="1"/>
  <c r="AH370" i="1"/>
  <c r="AK370" i="1" s="1"/>
  <c r="AH60" i="1"/>
  <c r="AK60" i="1" s="1"/>
  <c r="AP60" i="1" s="1"/>
  <c r="AU60" i="1" s="1"/>
  <c r="AT60" i="1" s="1"/>
  <c r="BJ60" i="1" s="1"/>
  <c r="M60" i="4" s="1"/>
  <c r="AQ223" i="1"/>
  <c r="AS223" i="1"/>
  <c r="BI223" i="1" s="1"/>
  <c r="L223" i="4" s="1"/>
  <c r="AT223" i="1"/>
  <c r="BJ223" i="1" s="1"/>
  <c r="M223" i="4" s="1"/>
  <c r="AX223" i="1"/>
  <c r="BE223" i="1" s="1"/>
  <c r="F223" i="4" s="1"/>
  <c r="AV223" i="1"/>
  <c r="AR223" i="1"/>
  <c r="BH223" i="1" s="1"/>
  <c r="K223" i="4" s="1"/>
  <c r="AX254" i="1"/>
  <c r="BE254" i="1" s="1"/>
  <c r="F254" i="4" s="1"/>
  <c r="AS254" i="1"/>
  <c r="BI254" i="1" s="1"/>
  <c r="L254" i="4" s="1"/>
  <c r="AR254" i="1"/>
  <c r="BH254" i="1" s="1"/>
  <c r="K254" i="4" s="1"/>
  <c r="AV495" i="1"/>
  <c r="AR495" i="1"/>
  <c r="BH495" i="1" s="1"/>
  <c r="K495" i="4" s="1"/>
  <c r="AH406" i="1"/>
  <c r="AK406" i="1" s="1"/>
  <c r="AP406" i="1" s="1"/>
  <c r="AU406" i="1" s="1"/>
  <c r="AG229" i="1"/>
  <c r="AO222" i="1"/>
  <c r="AH42" i="1"/>
  <c r="AK42" i="1" s="1"/>
  <c r="AP42" i="1" s="1"/>
  <c r="AU42" i="1" s="1"/>
  <c r="AV254" i="1"/>
  <c r="AQ254" i="1"/>
  <c r="AX495" i="1"/>
  <c r="BE495" i="1" s="1"/>
  <c r="F495" i="4" s="1"/>
  <c r="AT495" i="1"/>
  <c r="BJ495" i="1" s="1"/>
  <c r="M495" i="4" s="1"/>
  <c r="AS490" i="1"/>
  <c r="BI490" i="1" s="1"/>
  <c r="L490" i="4" s="1"/>
  <c r="AH13" i="1"/>
  <c r="AK13" i="1" s="1"/>
  <c r="AP13" i="1" s="1"/>
  <c r="AU13" i="1" s="1"/>
  <c r="AT254" i="1"/>
  <c r="BJ254" i="1" s="1"/>
  <c r="M254" i="4" s="1"/>
  <c r="AQ495" i="1"/>
  <c r="AQ490" i="1"/>
  <c r="AH287" i="1"/>
  <c r="AK287" i="1" s="1"/>
  <c r="AP287" i="1" s="1"/>
  <c r="AU287" i="1" s="1"/>
  <c r="AS495" i="1"/>
  <c r="BI495" i="1" s="1"/>
  <c r="L495" i="4" s="1"/>
  <c r="AX490" i="1"/>
  <c r="BE490" i="1" s="1"/>
  <c r="F490" i="4" s="1"/>
  <c r="AH305" i="1"/>
  <c r="AK305" i="1" s="1"/>
  <c r="AP305" i="1" s="1"/>
  <c r="AU305" i="1" s="1"/>
  <c r="AX305" i="1" s="1"/>
  <c r="BE305" i="1" s="1"/>
  <c r="F305" i="4" s="1"/>
  <c r="AQ318" i="1"/>
  <c r="AV318" i="1"/>
  <c r="BG318" i="1" s="1"/>
  <c r="J318" i="4" s="1"/>
  <c r="AS318" i="1"/>
  <c r="BI318" i="1" s="1"/>
  <c r="L318" i="4" s="1"/>
  <c r="AT487" i="1"/>
  <c r="BJ487" i="1" s="1"/>
  <c r="M487" i="4" s="1"/>
  <c r="AX487" i="1"/>
  <c r="BE487" i="1" s="1"/>
  <c r="F487" i="4" s="1"/>
  <c r="AS487" i="1"/>
  <c r="BI487" i="1" s="1"/>
  <c r="L487" i="4" s="1"/>
  <c r="AR487" i="1"/>
  <c r="BH487" i="1" s="1"/>
  <c r="K487" i="4" s="1"/>
  <c r="AV487" i="1"/>
  <c r="AQ487" i="1"/>
  <c r="AH354" i="1"/>
  <c r="AK354" i="1" s="1"/>
  <c r="AP354" i="1" s="1"/>
  <c r="AU354" i="1" s="1"/>
  <c r="AT354" i="1" s="1"/>
  <c r="BJ354" i="1" s="1"/>
  <c r="M354" i="4" s="1"/>
  <c r="AH4" i="1"/>
  <c r="AK4" i="1" s="1"/>
  <c r="AP4" i="1" s="1"/>
  <c r="AU4" i="1" s="1"/>
  <c r="AP222" i="1"/>
  <c r="AU222" i="1" s="1"/>
  <c r="AX222" i="1" s="1"/>
  <c r="BE222" i="1" s="1"/>
  <c r="F222" i="4" s="1"/>
  <c r="AE388" i="1"/>
  <c r="AN388" i="1" s="1"/>
  <c r="AH467" i="1"/>
  <c r="AK467" i="1" s="1"/>
  <c r="AP467" i="1" s="1"/>
  <c r="AU467" i="1" s="1"/>
  <c r="AH209" i="1"/>
  <c r="AK209" i="1" s="1"/>
  <c r="AH461" i="1"/>
  <c r="AK461" i="1" s="1"/>
  <c r="AP461" i="1" s="1"/>
  <c r="AU461" i="1" s="1"/>
  <c r="AH26" i="1"/>
  <c r="AK26" i="1" s="1"/>
  <c r="AP26" i="1" s="1"/>
  <c r="AU26" i="1" s="1"/>
  <c r="AH307" i="1"/>
  <c r="AK307" i="1" s="1"/>
  <c r="AP153" i="1"/>
  <c r="AU153" i="1" s="1"/>
  <c r="AP25" i="1"/>
  <c r="AU25" i="1" s="1"/>
  <c r="AO300" i="1"/>
  <c r="AH300" i="1"/>
  <c r="AK300" i="1" s="1"/>
  <c r="AH366" i="1"/>
  <c r="AK366" i="1" s="1"/>
  <c r="AS82" i="1"/>
  <c r="BI82" i="1" s="1"/>
  <c r="L82" i="4" s="1"/>
  <c r="AT82" i="1"/>
  <c r="BJ82" i="1" s="1"/>
  <c r="M82" i="4" s="1"/>
  <c r="AR82" i="1"/>
  <c r="BH82" i="1" s="1"/>
  <c r="K82" i="4" s="1"/>
  <c r="AQ82" i="1"/>
  <c r="AX82" i="1"/>
  <c r="BE82" i="1" s="1"/>
  <c r="F82" i="4" s="1"/>
  <c r="AV82" i="1"/>
  <c r="AE84" i="1"/>
  <c r="AN84" i="1" s="1"/>
  <c r="AH293" i="1"/>
  <c r="AK293" i="1" s="1"/>
  <c r="AG303" i="1"/>
  <c r="AH241" i="1"/>
  <c r="AK241" i="1" s="1"/>
  <c r="AP241" i="1" s="1"/>
  <c r="AU241" i="1" s="1"/>
  <c r="AN3" i="1"/>
  <c r="AH3" i="1"/>
  <c r="AK3" i="1" s="1"/>
  <c r="AO164" i="1"/>
  <c r="AH164" i="1"/>
  <c r="AK164" i="1" s="1"/>
  <c r="AE325" i="1"/>
  <c r="AG325" i="1" s="1"/>
  <c r="AO325" i="1" s="1"/>
  <c r="AO419" i="1"/>
  <c r="AH419" i="1"/>
  <c r="AK419" i="1" s="1"/>
  <c r="AH402" i="1"/>
  <c r="AK402" i="1" s="1"/>
  <c r="AN323" i="1"/>
  <c r="AH323" i="1"/>
  <c r="AK323" i="1" s="1"/>
  <c r="AE193" i="1"/>
  <c r="AG193" i="1" s="1"/>
  <c r="AO193" i="1" s="1"/>
  <c r="AN404" i="1"/>
  <c r="AH404" i="1"/>
  <c r="AK404" i="1" s="1"/>
  <c r="AE170" i="1"/>
  <c r="AN170" i="1" s="1"/>
  <c r="AH431" i="1"/>
  <c r="AK431" i="1" s="1"/>
  <c r="AG474" i="1"/>
  <c r="AO474" i="1" s="1"/>
  <c r="AH30" i="1"/>
  <c r="AK30" i="1" s="1"/>
  <c r="AP30" i="1" s="1"/>
  <c r="AU30" i="1" s="1"/>
  <c r="AO162" i="1"/>
  <c r="AH162" i="1"/>
  <c r="AK162" i="1" s="1"/>
  <c r="AH135" i="1"/>
  <c r="AK135" i="1" s="1"/>
  <c r="AH129" i="1"/>
  <c r="AK129" i="1" s="1"/>
  <c r="AH200" i="1"/>
  <c r="AK200" i="1" s="1"/>
  <c r="AP200" i="1" s="1"/>
  <c r="AU200" i="1" s="1"/>
  <c r="AG137" i="1"/>
  <c r="AO137" i="1" s="1"/>
  <c r="AH130" i="1"/>
  <c r="AK130" i="1" s="1"/>
  <c r="AG208" i="1"/>
  <c r="AO208" i="1" s="1"/>
  <c r="AH415" i="1"/>
  <c r="AK415" i="1" s="1"/>
  <c r="AH118" i="1"/>
  <c r="AK118" i="1" s="1"/>
  <c r="AP118" i="1" s="1"/>
  <c r="AU118" i="1" s="1"/>
  <c r="AP89" i="1"/>
  <c r="AU89" i="1" s="1"/>
  <c r="AH41" i="1"/>
  <c r="AK41" i="1" s="1"/>
  <c r="AP41" i="1" s="1"/>
  <c r="AU41" i="1" s="1"/>
  <c r="AP489" i="1"/>
  <c r="AU489" i="1" s="1"/>
  <c r="AH347" i="1"/>
  <c r="AK347" i="1" s="1"/>
  <c r="AH458" i="1"/>
  <c r="AK458" i="1" s="1"/>
  <c r="AG98" i="1"/>
  <c r="AO98" i="1" s="1"/>
  <c r="AH107" i="1"/>
  <c r="AK107" i="1" s="1"/>
  <c r="AP107" i="1" s="1"/>
  <c r="AU107" i="1" s="1"/>
  <c r="AG312" i="1"/>
  <c r="AH450" i="1"/>
  <c r="AK450" i="1" s="1"/>
  <c r="AH437" i="1"/>
  <c r="AK437" i="1" s="1"/>
  <c r="AT490" i="1"/>
  <c r="BJ490" i="1" s="1"/>
  <c r="M490" i="4" s="1"/>
  <c r="AG257" i="1"/>
  <c r="AO257" i="1" s="1"/>
  <c r="AH106" i="1"/>
  <c r="AK106" i="1" s="1"/>
  <c r="AP106" i="1" s="1"/>
  <c r="AU106" i="1" s="1"/>
  <c r="AG76" i="1"/>
  <c r="AO76" i="1" s="1"/>
  <c r="AG379" i="1"/>
  <c r="AO379" i="1" s="1"/>
  <c r="AG414" i="1"/>
  <c r="AO414" i="1" s="1"/>
  <c r="AH114" i="1"/>
  <c r="AK114" i="1" s="1"/>
  <c r="AO432" i="1"/>
  <c r="AH432" i="1"/>
  <c r="AK432" i="1" s="1"/>
  <c r="AO480" i="1"/>
  <c r="AH480" i="1"/>
  <c r="AK480" i="1" s="1"/>
  <c r="AH105" i="1"/>
  <c r="AK105" i="1" s="1"/>
  <c r="AG219" i="1"/>
  <c r="K34" i="2"/>
  <c r="K58" i="2" s="1"/>
  <c r="AH136" i="1"/>
  <c r="AK136" i="1" s="1"/>
  <c r="AH103" i="1"/>
  <c r="AK103" i="1" s="1"/>
  <c r="AH338" i="1"/>
  <c r="AK338" i="1" s="1"/>
  <c r="AH267" i="1"/>
  <c r="AK267" i="1" s="1"/>
  <c r="AP267" i="1" s="1"/>
  <c r="AU267" i="1" s="1"/>
  <c r="AG85" i="1"/>
  <c r="AO85" i="1" s="1"/>
  <c r="AN183" i="1"/>
  <c r="AH183" i="1"/>
  <c r="AK183" i="1" s="1"/>
  <c r="AH386" i="1"/>
  <c r="AK386" i="1" s="1"/>
  <c r="AO386" i="1"/>
  <c r="AO248" i="1"/>
  <c r="AH248" i="1"/>
  <c r="AK248" i="1" s="1"/>
  <c r="AN315" i="1"/>
  <c r="AG315" i="1"/>
  <c r="AO315" i="1" s="1"/>
  <c r="AN445" i="1"/>
  <c r="AG165" i="1"/>
  <c r="AO165" i="1" s="1"/>
  <c r="K33" i="2"/>
  <c r="K57" i="2" s="1"/>
  <c r="AN141" i="1"/>
  <c r="AH141" i="1"/>
  <c r="AK141" i="1" s="1"/>
  <c r="AH378" i="1"/>
  <c r="AK378" i="1" s="1"/>
  <c r="AN328" i="1"/>
  <c r="AH328" i="1"/>
  <c r="AK328" i="1" s="1"/>
  <c r="AE24" i="1"/>
  <c r="AG249" i="1"/>
  <c r="AN438" i="1"/>
  <c r="AH438" i="1"/>
  <c r="AK438" i="1" s="1"/>
  <c r="AN468" i="1"/>
  <c r="AH468" i="1"/>
  <c r="AK468" i="1" s="1"/>
  <c r="AE355" i="1"/>
  <c r="AN355" i="1" s="1"/>
  <c r="AH423" i="1"/>
  <c r="AK423" i="1" s="1"/>
  <c r="AP423" i="1" s="1"/>
  <c r="AU423" i="1" s="1"/>
  <c r="AN424" i="1"/>
  <c r="AH424" i="1"/>
  <c r="AK424" i="1" s="1"/>
  <c r="AN244" i="1"/>
  <c r="AH244" i="1"/>
  <c r="AK244" i="1" s="1"/>
  <c r="AN297" i="1"/>
  <c r="AH297" i="1"/>
  <c r="AK297" i="1" s="1"/>
  <c r="AN339" i="1"/>
  <c r="AH339" i="1"/>
  <c r="AK339" i="1" s="1"/>
  <c r="AG327" i="1"/>
  <c r="AE29" i="1"/>
  <c r="AE52" i="1"/>
  <c r="AN52" i="1" s="1"/>
  <c r="AH416" i="1"/>
  <c r="AK416" i="1" s="1"/>
  <c r="AG496" i="1"/>
  <c r="AN147" i="1"/>
  <c r="AH147" i="1"/>
  <c r="AK147" i="1" s="1"/>
  <c r="AN157" i="1"/>
  <c r="AH157" i="1"/>
  <c r="AK157" i="1" s="1"/>
  <c r="AN272" i="1"/>
  <c r="AH272" i="1"/>
  <c r="AK272" i="1" s="1"/>
  <c r="AE266" i="1"/>
  <c r="AG361" i="1"/>
  <c r="AE322" i="1"/>
  <c r="AN322" i="1" s="1"/>
  <c r="AN80" i="1"/>
  <c r="AH80" i="1"/>
  <c r="AK80" i="1" s="1"/>
  <c r="AH358" i="1"/>
  <c r="AK358" i="1" s="1"/>
  <c r="AP358" i="1" s="1"/>
  <c r="AU358" i="1" s="1"/>
  <c r="AN340" i="1"/>
  <c r="AH340" i="1"/>
  <c r="AK340" i="1" s="1"/>
  <c r="AH292" i="1"/>
  <c r="AK292" i="1" s="1"/>
  <c r="AN225" i="1"/>
  <c r="AE247" i="1"/>
  <c r="AN247" i="1" s="1"/>
  <c r="AO177" i="1"/>
  <c r="AH177" i="1"/>
  <c r="AK177" i="1" s="1"/>
  <c r="AN394" i="1"/>
  <c r="AH394" i="1"/>
  <c r="AK394" i="1" s="1"/>
  <c r="AE44" i="1"/>
  <c r="AN44" i="1" s="1"/>
  <c r="AN59" i="1"/>
  <c r="AH59" i="1"/>
  <c r="AK59" i="1" s="1"/>
  <c r="AN43" i="1"/>
  <c r="AH43" i="1"/>
  <c r="AK43" i="1" s="1"/>
  <c r="AN201" i="1"/>
  <c r="AH201" i="1"/>
  <c r="AK201" i="1" s="1"/>
  <c r="AN239" i="1"/>
  <c r="AH239" i="1"/>
  <c r="AK239" i="1" s="1"/>
  <c r="AN184" i="1"/>
  <c r="AH184" i="1"/>
  <c r="AK184" i="1" s="1"/>
  <c r="AN310" i="1"/>
  <c r="AH310" i="1"/>
  <c r="AK310" i="1" s="1"/>
  <c r="AN271" i="1"/>
  <c r="AN392" i="1"/>
  <c r="AH392" i="1"/>
  <c r="AK392" i="1" s="1"/>
  <c r="AE472" i="1"/>
  <c r="AN472" i="1" s="1"/>
  <c r="AE70" i="1"/>
  <c r="AN70" i="1" s="1"/>
  <c r="AE381" i="1"/>
  <c r="AN381" i="1" s="1"/>
  <c r="AE298" i="1"/>
  <c r="AN298" i="1" s="1"/>
  <c r="AN399" i="1"/>
  <c r="AH399" i="1"/>
  <c r="AK399" i="1" s="1"/>
  <c r="AE64" i="1"/>
  <c r="AN64" i="1" s="1"/>
  <c r="AH54" i="1"/>
  <c r="AK54" i="1" s="1"/>
  <c r="AN20" i="1"/>
  <c r="AH20" i="1"/>
  <c r="AK20" i="1" s="1"/>
  <c r="AH72" i="1"/>
  <c r="AK72" i="1" s="1"/>
  <c r="AG113" i="1"/>
  <c r="AO113" i="1" s="1"/>
  <c r="AN35" i="1"/>
  <c r="AH35" i="1"/>
  <c r="AK35" i="1" s="1"/>
  <c r="AN265" i="1"/>
  <c r="AH265" i="1"/>
  <c r="AK265" i="1" s="1"/>
  <c r="AE286" i="1"/>
  <c r="AN350" i="1"/>
  <c r="AH350" i="1"/>
  <c r="AK350" i="1" s="1"/>
  <c r="AN235" i="1"/>
  <c r="AH235" i="1"/>
  <c r="AK235" i="1" s="1"/>
  <c r="AE217" i="1"/>
  <c r="AN217" i="1" s="1"/>
  <c r="AN443" i="1"/>
  <c r="AH443" i="1"/>
  <c r="AK443" i="1" s="1"/>
  <c r="AN232" i="1"/>
  <c r="AH232" i="1"/>
  <c r="AK232" i="1" s="1"/>
  <c r="AN477" i="1"/>
  <c r="AH477" i="1"/>
  <c r="AK477" i="1" s="1"/>
  <c r="AN389" i="1"/>
  <c r="AH389" i="1"/>
  <c r="AK389" i="1" s="1"/>
  <c r="AG459" i="1"/>
  <c r="AO459" i="1" s="1"/>
  <c r="AE486" i="1"/>
  <c r="AN486" i="1" s="1"/>
  <c r="AN126" i="1"/>
  <c r="AH126" i="1"/>
  <c r="AK126" i="1" s="1"/>
  <c r="AE38" i="1"/>
  <c r="AN38" i="1" s="1"/>
  <c r="AG348" i="1"/>
  <c r="AN343" i="1"/>
  <c r="AH343" i="1"/>
  <c r="AK343" i="1" s="1"/>
  <c r="AE372" i="1"/>
  <c r="AN372" i="1" s="1"/>
  <c r="AE398" i="1"/>
  <c r="AN398" i="1" s="1"/>
  <c r="AN410" i="1"/>
  <c r="AH410" i="1"/>
  <c r="AK410" i="1" s="1"/>
  <c r="AN364" i="1"/>
  <c r="AH364" i="1"/>
  <c r="AK364" i="1" s="1"/>
  <c r="AG271" i="1"/>
  <c r="AO271" i="1" s="1"/>
  <c r="AE396" i="1"/>
  <c r="AN396" i="1" s="1"/>
  <c r="AG445" i="1"/>
  <c r="AO445" i="1" s="1"/>
  <c r="AH285" i="1"/>
  <c r="AK285" i="1" s="1"/>
  <c r="AP285" i="1" s="1"/>
  <c r="AU285" i="1" s="1"/>
  <c r="AH408" i="1"/>
  <c r="AK408" i="1" s="1"/>
  <c r="AP408" i="1" s="1"/>
  <c r="AU408" i="1" s="1"/>
  <c r="AG278" i="1"/>
  <c r="AO278" i="1" s="1"/>
  <c r="AN390" i="1"/>
  <c r="AH390" i="1"/>
  <c r="AK390" i="1" s="1"/>
  <c r="AO276" i="1"/>
  <c r="AH276" i="1"/>
  <c r="AK276" i="1" s="1"/>
  <c r="AE140" i="1"/>
  <c r="AN140" i="1" s="1"/>
  <c r="AO58" i="1"/>
  <c r="AH58" i="1"/>
  <c r="AK58" i="1" s="1"/>
  <c r="AN19" i="1"/>
  <c r="AH19" i="1"/>
  <c r="AK19" i="1" s="1"/>
  <c r="AE351" i="1"/>
  <c r="AN351" i="1" s="1"/>
  <c r="AG225" i="1"/>
  <c r="AO225" i="1" s="1"/>
  <c r="AN449" i="1"/>
  <c r="AH449" i="1"/>
  <c r="AK449" i="1" s="1"/>
  <c r="AE108" i="1"/>
  <c r="AN108" i="1" s="1"/>
  <c r="AN420" i="1"/>
  <c r="AH420" i="1"/>
  <c r="AK420" i="1" s="1"/>
  <c r="AN202" i="1"/>
  <c r="AH202" i="1"/>
  <c r="AK202" i="1" s="1"/>
  <c r="AE97" i="1"/>
  <c r="AN97" i="1" s="1"/>
  <c r="AN161" i="1"/>
  <c r="AH161" i="1"/>
  <c r="AK161" i="1" s="1"/>
  <c r="AN466" i="1"/>
  <c r="AH466" i="1"/>
  <c r="AK466" i="1" s="1"/>
  <c r="AN346" i="1"/>
  <c r="AH346" i="1"/>
  <c r="AK346" i="1" s="1"/>
  <c r="AH417" i="1"/>
  <c r="AK417" i="1" s="1"/>
  <c r="AN179" i="1"/>
  <c r="AH179" i="1"/>
  <c r="AK179" i="1" s="1"/>
  <c r="AN45" i="1"/>
  <c r="AH45" i="1"/>
  <c r="AK45" i="1" s="1"/>
  <c r="AN176" i="1"/>
  <c r="AH176" i="1"/>
  <c r="AK176" i="1" s="1"/>
  <c r="AE182" i="1"/>
  <c r="AN182" i="1" s="1"/>
  <c r="AN430" i="1"/>
  <c r="AH430" i="1"/>
  <c r="AK430" i="1" s="1"/>
  <c r="AN132" i="1"/>
  <c r="AG261" i="1"/>
  <c r="AO261" i="1" s="1"/>
  <c r="AN146" i="1"/>
  <c r="AN299" i="1"/>
  <c r="AH377" i="1"/>
  <c r="AK377" i="1" s="1"/>
  <c r="AH492" i="1"/>
  <c r="AK492" i="1" s="1"/>
  <c r="AH10" i="1"/>
  <c r="AK10" i="1" s="1"/>
  <c r="AN190" i="1"/>
  <c r="AH190" i="1"/>
  <c r="AK190" i="1" s="1"/>
  <c r="AH110" i="1"/>
  <c r="AK110" i="1" s="1"/>
  <c r="AE352" i="1"/>
  <c r="AN352" i="1" s="1"/>
  <c r="K32" i="2"/>
  <c r="AH258" i="1"/>
  <c r="AK258" i="1" s="1"/>
  <c r="AG475" i="1"/>
  <c r="AO475" i="1" s="1"/>
  <c r="AN71" i="1"/>
  <c r="AG71" i="1"/>
  <c r="AO71" i="1" s="1"/>
  <c r="AG146" i="1"/>
  <c r="AO146" i="1" s="1"/>
  <c r="AG299" i="1"/>
  <c r="AO299" i="1" s="1"/>
  <c r="AG132" i="1"/>
  <c r="AO132" i="1" s="1"/>
  <c r="AH111" i="1"/>
  <c r="AK111" i="1" s="1"/>
  <c r="AP111" i="1" s="1"/>
  <c r="AU111" i="1" s="1"/>
  <c r="AN264" i="1"/>
  <c r="AH264" i="1"/>
  <c r="AK264" i="1" s="1"/>
  <c r="AH331" i="1"/>
  <c r="AK331" i="1" s="1"/>
  <c r="AP331" i="1" s="1"/>
  <c r="AU331" i="1" s="1"/>
  <c r="AG341" i="1"/>
  <c r="AO341" i="1" s="1"/>
  <c r="AG308" i="1"/>
  <c r="AN47" i="1"/>
  <c r="AH47" i="1"/>
  <c r="AK47" i="1" s="1"/>
  <c r="AG393" i="1"/>
  <c r="AO393" i="1" s="1"/>
  <c r="AH138" i="1"/>
  <c r="AK138" i="1" s="1"/>
  <c r="AH112" i="1"/>
  <c r="AK112" i="1" s="1"/>
  <c r="AP112" i="1" s="1"/>
  <c r="AU112" i="1" s="1"/>
  <c r="AG49" i="1"/>
  <c r="AO49" i="1" s="1"/>
  <c r="AG283" i="1"/>
  <c r="AO283" i="1" s="1"/>
  <c r="AS279" i="1"/>
  <c r="BI279" i="1" s="1"/>
  <c r="L279" i="4" s="1"/>
  <c r="AV279" i="1"/>
  <c r="AT279" i="1"/>
  <c r="BJ279" i="1" s="1"/>
  <c r="M279" i="4" s="1"/>
  <c r="AR279" i="1"/>
  <c r="BH279" i="1" s="1"/>
  <c r="K279" i="4" s="1"/>
  <c r="AX279" i="1"/>
  <c r="BE279" i="1" s="1"/>
  <c r="F279" i="4" s="1"/>
  <c r="AQ279" i="1"/>
  <c r="AN128" i="1"/>
  <c r="AH128" i="1"/>
  <c r="AK128" i="1" s="1"/>
  <c r="AH428" i="1"/>
  <c r="AK428" i="1" s="1"/>
  <c r="AP428" i="1" s="1"/>
  <c r="AU428" i="1" s="1"/>
  <c r="AH194" i="1"/>
  <c r="AK194" i="1" s="1"/>
  <c r="AP194" i="1" s="1"/>
  <c r="AU194" i="1" s="1"/>
  <c r="AH314" i="1"/>
  <c r="AK314" i="1" s="1"/>
  <c r="AP314" i="1" s="1"/>
  <c r="AU314" i="1" s="1"/>
  <c r="AR314" i="1" s="1"/>
  <c r="BH314" i="1" s="1"/>
  <c r="K314" i="4" s="1"/>
  <c r="AH444" i="1"/>
  <c r="AK444" i="1" s="1"/>
  <c r="AP444" i="1" s="1"/>
  <c r="AU444" i="1" s="1"/>
  <c r="AX444" i="1" s="1"/>
  <c r="BE444" i="1" s="1"/>
  <c r="F444" i="4" s="1"/>
  <c r="AG256" i="1"/>
  <c r="AO256" i="1" s="1"/>
  <c r="AG233" i="1"/>
  <c r="AO233" i="1" s="1"/>
  <c r="AN51" i="1"/>
  <c r="AH51" i="1"/>
  <c r="AK51" i="1" s="1"/>
  <c r="AN335" i="1"/>
  <c r="AH335" i="1"/>
  <c r="AK335" i="1" s="1"/>
  <c r="AO344" i="1"/>
  <c r="AH344" i="1"/>
  <c r="AK344" i="1" s="1"/>
  <c r="AN349" i="1"/>
  <c r="AH349" i="1"/>
  <c r="AK349" i="1" s="1"/>
  <c r="AH425" i="1"/>
  <c r="AK425" i="1" s="1"/>
  <c r="AN304" i="1"/>
  <c r="AH304" i="1"/>
  <c r="AK304" i="1" s="1"/>
  <c r="AG16" i="1"/>
  <c r="AO16" i="1" s="1"/>
  <c r="AQ207" i="1"/>
  <c r="AV207" i="1"/>
  <c r="AT207" i="1"/>
  <c r="BJ207" i="1" s="1"/>
  <c r="M207" i="4" s="1"/>
  <c r="AS207" i="1"/>
  <c r="BI207" i="1" s="1"/>
  <c r="L207" i="4" s="1"/>
  <c r="AR207" i="1"/>
  <c r="BH207" i="1" s="1"/>
  <c r="K207" i="4" s="1"/>
  <c r="AX207" i="1"/>
  <c r="BE207" i="1" s="1"/>
  <c r="F207" i="4" s="1"/>
  <c r="AN479" i="1"/>
  <c r="AH479" i="1"/>
  <c r="AK479" i="1" s="1"/>
  <c r="AH269" i="1"/>
  <c r="AK269" i="1" s="1"/>
  <c r="AH87" i="1"/>
  <c r="AK87" i="1" s="1"/>
  <c r="AH371" i="1"/>
  <c r="AK371" i="1" s="1"/>
  <c r="AP371" i="1" s="1"/>
  <c r="AU371" i="1" s="1"/>
  <c r="AS371" i="1" s="1"/>
  <c r="BI371" i="1" s="1"/>
  <c r="L371" i="4" s="1"/>
  <c r="AH66" i="1"/>
  <c r="AK66" i="1" s="1"/>
  <c r="AP66" i="1" s="1"/>
  <c r="AU66" i="1" s="1"/>
  <c r="AH455" i="1"/>
  <c r="AK455" i="1" s="1"/>
  <c r="AP455" i="1" s="1"/>
  <c r="AU455" i="1" s="1"/>
  <c r="AN195" i="1"/>
  <c r="AH195" i="1"/>
  <c r="AK195" i="1" s="1"/>
  <c r="AN245" i="1"/>
  <c r="AH245" i="1"/>
  <c r="AK245" i="1" s="1"/>
  <c r="AG124" i="1"/>
  <c r="AO124" i="1" s="1"/>
  <c r="AG21" i="1"/>
  <c r="AG33" i="1"/>
  <c r="AO33" i="1" s="1"/>
  <c r="AG453" i="1"/>
  <c r="AO453" i="1" s="1"/>
  <c r="AH367" i="1"/>
  <c r="AK367" i="1" s="1"/>
  <c r="AP367" i="1" s="1"/>
  <c r="AU367" i="1" s="1"/>
  <c r="AV367" i="1" s="1"/>
  <c r="AN252" i="1"/>
  <c r="AH252" i="1"/>
  <c r="AK252" i="1" s="1"/>
  <c r="AN463" i="1"/>
  <c r="AH463" i="1"/>
  <c r="AK463" i="1" s="1"/>
  <c r="AN14" i="1"/>
  <c r="AH14" i="1"/>
  <c r="AK14" i="1" s="1"/>
  <c r="AN100" i="1"/>
  <c r="AH100" i="1"/>
  <c r="AK100" i="1" s="1"/>
  <c r="AG187" i="1"/>
  <c r="AN134" i="1"/>
  <c r="AH134" i="1"/>
  <c r="AK134" i="1" s="1"/>
  <c r="AN158" i="1"/>
  <c r="AH158" i="1"/>
  <c r="AK158" i="1" s="1"/>
  <c r="AN460" i="1"/>
  <c r="AH460" i="1"/>
  <c r="AK460" i="1" s="1"/>
  <c r="AN259" i="1"/>
  <c r="AH259" i="1"/>
  <c r="AK259" i="1" s="1"/>
  <c r="AG6" i="1"/>
  <c r="AH250" i="1"/>
  <c r="AK250" i="1" s="1"/>
  <c r="AP250" i="1" s="1"/>
  <c r="AU250" i="1" s="1"/>
  <c r="AH301" i="1"/>
  <c r="AK301" i="1" s="1"/>
  <c r="AP301" i="1" s="1"/>
  <c r="AU301" i="1" s="1"/>
  <c r="AH481" i="1"/>
  <c r="AK481" i="1" s="1"/>
  <c r="AG68" i="1"/>
  <c r="AN143" i="1"/>
  <c r="AH143" i="1"/>
  <c r="AK143" i="1" s="1"/>
  <c r="AN166" i="1"/>
  <c r="AH166" i="1"/>
  <c r="AK166" i="1" s="1"/>
  <c r="AN210" i="1"/>
  <c r="AH210" i="1"/>
  <c r="AK210" i="1" s="1"/>
  <c r="AN125" i="1"/>
  <c r="AH125" i="1"/>
  <c r="AK125" i="1" s="1"/>
  <c r="AN238" i="1"/>
  <c r="AH238" i="1"/>
  <c r="AK238" i="1" s="1"/>
  <c r="AN478" i="1"/>
  <c r="AH478" i="1"/>
  <c r="AK478" i="1" s="1"/>
  <c r="AN228" i="1"/>
  <c r="AH228" i="1"/>
  <c r="AK228" i="1" s="1"/>
  <c r="AN313" i="1"/>
  <c r="AH313" i="1"/>
  <c r="AK313" i="1" s="1"/>
  <c r="AN175" i="1"/>
  <c r="AH175" i="1"/>
  <c r="AK175" i="1" s="1"/>
  <c r="AN409" i="1"/>
  <c r="AH409" i="1"/>
  <c r="AK409" i="1" s="1"/>
  <c r="AN139" i="1"/>
  <c r="AH139" i="1"/>
  <c r="AK139" i="1" s="1"/>
  <c r="AH257" i="1"/>
  <c r="AK257" i="1" s="1"/>
  <c r="AP257" i="1" s="1"/>
  <c r="AU257" i="1" s="1"/>
  <c r="AN243" i="1"/>
  <c r="AH243" i="1"/>
  <c r="AK243" i="1" s="1"/>
  <c r="AN221" i="1"/>
  <c r="AH221" i="1"/>
  <c r="AK221" i="1" s="1"/>
  <c r="AH436" i="1"/>
  <c r="AK436" i="1" s="1"/>
  <c r="AH32" i="1"/>
  <c r="AK32" i="1" s="1"/>
  <c r="AP32" i="1" s="1"/>
  <c r="AU32" i="1" s="1"/>
  <c r="AH320" i="1"/>
  <c r="AK320" i="1" s="1"/>
  <c r="AP320" i="1" s="1"/>
  <c r="AU320" i="1" s="1"/>
  <c r="AH227" i="1"/>
  <c r="AK227" i="1" s="1"/>
  <c r="AP227" i="1" s="1"/>
  <c r="AU227" i="1" s="1"/>
  <c r="AH226" i="1"/>
  <c r="AK226" i="1" s="1"/>
  <c r="AP226" i="1" s="1"/>
  <c r="AU226" i="1" s="1"/>
  <c r="AN326" i="1"/>
  <c r="AH326" i="1"/>
  <c r="AK326" i="1" s="1"/>
  <c r="AN62" i="1"/>
  <c r="AH62" i="1"/>
  <c r="AK62" i="1" s="1"/>
  <c r="AN75" i="1"/>
  <c r="AH75" i="1"/>
  <c r="AK75" i="1" s="1"/>
  <c r="AN448" i="1"/>
  <c r="AH448" i="1"/>
  <c r="AK448" i="1" s="1"/>
  <c r="AN96" i="1"/>
  <c r="AH96" i="1"/>
  <c r="AK96" i="1" s="1"/>
  <c r="AN329" i="1"/>
  <c r="AH329" i="1"/>
  <c r="AK329" i="1" s="1"/>
  <c r="AN280" i="1"/>
  <c r="AH280" i="1"/>
  <c r="AK280" i="1" s="1"/>
  <c r="AG171" i="1"/>
  <c r="AN93" i="1"/>
  <c r="AH93" i="1"/>
  <c r="AK93" i="1" s="1"/>
  <c r="AN198" i="1"/>
  <c r="AH198" i="1"/>
  <c r="AK198" i="1" s="1"/>
  <c r="AN400" i="1"/>
  <c r="AH400" i="1"/>
  <c r="AK400" i="1" s="1"/>
  <c r="AN363" i="1"/>
  <c r="AH363" i="1"/>
  <c r="AK363" i="1" s="1"/>
  <c r="AN471" i="1"/>
  <c r="AH471" i="1"/>
  <c r="AK471" i="1" s="1"/>
  <c r="AN178" i="1"/>
  <c r="AH178" i="1"/>
  <c r="AK178" i="1" s="1"/>
  <c r="AN57" i="1"/>
  <c r="AH57" i="1"/>
  <c r="AK57" i="1" s="1"/>
  <c r="AH251" i="1"/>
  <c r="AK251" i="1" s="1"/>
  <c r="AP251" i="1" s="1"/>
  <c r="AU251" i="1" s="1"/>
  <c r="AN115" i="1"/>
  <c r="AH115" i="1"/>
  <c r="AK115" i="1" s="1"/>
  <c r="AN163" i="1"/>
  <c r="AH163" i="1"/>
  <c r="AK163" i="1" s="1"/>
  <c r="AN121" i="1"/>
  <c r="AH121" i="1"/>
  <c r="AK121" i="1" s="1"/>
  <c r="AH362" i="1"/>
  <c r="AK362" i="1" s="1"/>
  <c r="AP362" i="1" s="1"/>
  <c r="AU362" i="1" s="1"/>
  <c r="AN433" i="1"/>
  <c r="AH433" i="1"/>
  <c r="AK433" i="1" s="1"/>
  <c r="AG116" i="1"/>
  <c r="AO116" i="1" s="1"/>
  <c r="AN482" i="1"/>
  <c r="AH482" i="1"/>
  <c r="AK482" i="1" s="1"/>
  <c r="AN413" i="1"/>
  <c r="AH413" i="1"/>
  <c r="AK413" i="1" s="1"/>
  <c r="AN199" i="1"/>
  <c r="AH199" i="1"/>
  <c r="AK199" i="1" s="1"/>
  <c r="AH53" i="1"/>
  <c r="AK53" i="1" s="1"/>
  <c r="AN288" i="1"/>
  <c r="AH288" i="1"/>
  <c r="AK288" i="1" s="1"/>
  <c r="AN150" i="1"/>
  <c r="AH150" i="1"/>
  <c r="AK150" i="1" s="1"/>
  <c r="AN36" i="1"/>
  <c r="AH36" i="1"/>
  <c r="AK36" i="1" s="1"/>
  <c r="AN216" i="1"/>
  <c r="AH216" i="1"/>
  <c r="AK216" i="1" s="1"/>
  <c r="AN17" i="1"/>
  <c r="AH17" i="1"/>
  <c r="AK17" i="1" s="1"/>
  <c r="AN440" i="1"/>
  <c r="AH440" i="1"/>
  <c r="AK440" i="1" s="1"/>
  <c r="AN230" i="1"/>
  <c r="AH160" i="1"/>
  <c r="AK160" i="1" s="1"/>
  <c r="AP160" i="1" s="1"/>
  <c r="AU160" i="1" s="1"/>
  <c r="AP376" i="1"/>
  <c r="AU376" i="1" s="1"/>
  <c r="AR376" i="1" s="1"/>
  <c r="BH376" i="1" s="1"/>
  <c r="K376" i="4" s="1"/>
  <c r="AP282" i="1"/>
  <c r="AU282" i="1" s="1"/>
  <c r="AN27" i="1"/>
  <c r="AH27" i="1"/>
  <c r="AK27" i="1" s="1"/>
  <c r="AG181" i="1"/>
  <c r="AO181" i="1" s="1"/>
  <c r="AN101" i="1"/>
  <c r="AH101" i="1"/>
  <c r="AK101" i="1" s="1"/>
  <c r="AN485" i="1"/>
  <c r="AH485" i="1"/>
  <c r="AK485" i="1" s="1"/>
  <c r="AH422" i="1"/>
  <c r="AK422" i="1" s="1"/>
  <c r="AN268" i="1"/>
  <c r="AH268" i="1"/>
  <c r="AK268" i="1" s="1"/>
  <c r="AH46" i="1"/>
  <c r="AK46" i="1" s="1"/>
  <c r="AH473" i="1"/>
  <c r="AK473" i="1" s="1"/>
  <c r="AO483" i="1"/>
  <c r="AH483" i="1"/>
  <c r="AK483" i="1" s="1"/>
  <c r="AN77" i="1"/>
  <c r="AH77" i="1"/>
  <c r="AK77" i="1" s="1"/>
  <c r="AN497" i="1"/>
  <c r="AH497" i="1"/>
  <c r="AK497" i="1" s="1"/>
  <c r="AG86" i="1"/>
  <c r="AN50" i="1"/>
  <c r="AH50" i="1"/>
  <c r="AK50" i="1" s="1"/>
  <c r="AN172" i="1"/>
  <c r="AH172" i="1"/>
  <c r="AK172" i="1" s="1"/>
  <c r="AN441" i="1"/>
  <c r="AH441" i="1"/>
  <c r="AK441" i="1" s="1"/>
  <c r="AN188" i="1"/>
  <c r="AH188" i="1"/>
  <c r="AK188" i="1" s="1"/>
  <c r="AG230" i="1"/>
  <c r="AO230" i="1" s="1"/>
  <c r="AH67" i="1"/>
  <c r="AK67" i="1" s="1"/>
  <c r="AP67" i="1" s="1"/>
  <c r="AU67" i="1" s="1"/>
  <c r="AN212" i="1"/>
  <c r="AH212" i="1"/>
  <c r="AK212" i="1" s="1"/>
  <c r="AN439" i="1"/>
  <c r="AH439" i="1"/>
  <c r="AK439" i="1" s="1"/>
  <c r="AN403" i="1"/>
  <c r="AN2" i="1"/>
  <c r="AH2" i="1"/>
  <c r="AK2" i="1" s="1"/>
  <c r="AN357" i="1"/>
  <c r="AN451" i="1"/>
  <c r="AH451" i="1"/>
  <c r="AK451" i="1" s="1"/>
  <c r="AN434" i="1"/>
  <c r="AH434" i="1"/>
  <c r="AK434" i="1" s="1"/>
  <c r="AN91" i="1"/>
  <c r="AH91" i="1"/>
  <c r="AK91" i="1" s="1"/>
  <c r="AG403" i="1"/>
  <c r="AO403" i="1" s="1"/>
  <c r="AN156" i="1"/>
  <c r="AH156" i="1"/>
  <c r="AK156" i="1" s="1"/>
  <c r="AN192" i="1"/>
  <c r="AH192" i="1"/>
  <c r="AK192" i="1" s="1"/>
  <c r="AG357" i="1"/>
  <c r="AO357" i="1" s="1"/>
  <c r="AG380" i="1"/>
  <c r="AO380" i="1" s="1"/>
  <c r="AP291" i="1"/>
  <c r="AU291" i="1" s="1"/>
  <c r="AR291" i="1" s="1"/>
  <c r="BH291" i="1" s="1"/>
  <c r="K291" i="4" s="1"/>
  <c r="AP457" i="1"/>
  <c r="AU457" i="1" s="1"/>
  <c r="AR457" i="1" s="1"/>
  <c r="BH457" i="1" s="1"/>
  <c r="K457" i="4" s="1"/>
  <c r="AN246" i="1"/>
  <c r="AH246" i="1"/>
  <c r="AK246" i="1" s="1"/>
  <c r="AP7" i="1"/>
  <c r="AU7" i="1" s="1"/>
  <c r="AN234" i="1"/>
  <c r="AH234" i="1"/>
  <c r="AK234" i="1" s="1"/>
  <c r="AP90" i="1"/>
  <c r="AU90" i="1" s="1"/>
  <c r="AP148" i="1"/>
  <c r="AU148" i="1" s="1"/>
  <c r="AR220" i="1"/>
  <c r="BH220" i="1" s="1"/>
  <c r="K220" i="4" s="1"/>
  <c r="AS220" i="1"/>
  <c r="BI220" i="1" s="1"/>
  <c r="L220" i="4" s="1"/>
  <c r="AQ220" i="1"/>
  <c r="AX220" i="1"/>
  <c r="BE220" i="1" s="1"/>
  <c r="F220" i="4" s="1"/>
  <c r="AT220" i="1"/>
  <c r="BJ220" i="1" s="1"/>
  <c r="M220" i="4" s="1"/>
  <c r="AV220" i="1"/>
  <c r="BG220" i="1" s="1"/>
  <c r="J220" i="4" s="1"/>
  <c r="AX317" i="1"/>
  <c r="BE317" i="1" s="1"/>
  <c r="F317" i="4" s="1"/>
  <c r="AR317" i="1"/>
  <c r="BH317" i="1" s="1"/>
  <c r="K317" i="4" s="1"/>
  <c r="AS317" i="1"/>
  <c r="BI317" i="1" s="1"/>
  <c r="L317" i="4" s="1"/>
  <c r="AV317" i="1"/>
  <c r="BG317" i="1" s="1"/>
  <c r="J317" i="4" s="1"/>
  <c r="AT317" i="1"/>
  <c r="BJ317" i="1" s="1"/>
  <c r="M317" i="4" s="1"/>
  <c r="AQ317" i="1"/>
  <c r="AS191" i="1"/>
  <c r="BI191" i="1" s="1"/>
  <c r="L191" i="4" s="1"/>
  <c r="AR191" i="1"/>
  <c r="BH191" i="1" s="1"/>
  <c r="K191" i="4" s="1"/>
  <c r="AV191" i="1"/>
  <c r="BG191" i="1" s="1"/>
  <c r="J191" i="4" s="1"/>
  <c r="AX191" i="1"/>
  <c r="BE191" i="1" s="1"/>
  <c r="F191" i="4" s="1"/>
  <c r="AQ191" i="1"/>
  <c r="AT191" i="1"/>
  <c r="BJ191" i="1" s="1"/>
  <c r="M191" i="4" s="1"/>
  <c r="AR442" i="1"/>
  <c r="BH442" i="1" s="1"/>
  <c r="K442" i="4" s="1"/>
  <c r="AT442" i="1"/>
  <c r="BJ442" i="1" s="1"/>
  <c r="M442" i="4" s="1"/>
  <c r="AX442" i="1"/>
  <c r="BE442" i="1" s="1"/>
  <c r="F442" i="4" s="1"/>
  <c r="AV442" i="1"/>
  <c r="BG442" i="1" s="1"/>
  <c r="J442" i="4" s="1"/>
  <c r="AS442" i="1"/>
  <c r="BI442" i="1" s="1"/>
  <c r="L442" i="4" s="1"/>
  <c r="AQ442" i="1"/>
  <c r="AP342" i="1"/>
  <c r="AU342" i="1" s="1"/>
  <c r="AR447" i="1"/>
  <c r="BH447" i="1" s="1"/>
  <c r="K447" i="4" s="1"/>
  <c r="AV447" i="1"/>
  <c r="BG447" i="1" s="1"/>
  <c r="J447" i="4" s="1"/>
  <c r="AS447" i="1"/>
  <c r="BI447" i="1" s="1"/>
  <c r="L447" i="4" s="1"/>
  <c r="AQ447" i="1"/>
  <c r="AX447" i="1"/>
  <c r="BE447" i="1" s="1"/>
  <c r="F447" i="4" s="1"/>
  <c r="AT447" i="1"/>
  <c r="BJ447" i="1" s="1"/>
  <c r="M447" i="4" s="1"/>
  <c r="AR319" i="1"/>
  <c r="BH319" i="1" s="1"/>
  <c r="K319" i="4" s="1"/>
  <c r="AV319" i="1"/>
  <c r="BG319" i="1" s="1"/>
  <c r="J319" i="4" s="1"/>
  <c r="AQ319" i="1"/>
  <c r="AS319" i="1"/>
  <c r="BI319" i="1" s="1"/>
  <c r="L319" i="4" s="1"/>
  <c r="AX319" i="1"/>
  <c r="BE319" i="1" s="1"/>
  <c r="F319" i="4" s="1"/>
  <c r="AT319" i="1"/>
  <c r="BJ319" i="1" s="1"/>
  <c r="M319" i="4" s="1"/>
  <c r="AX102" i="1"/>
  <c r="BE102" i="1" s="1"/>
  <c r="F102" i="4" s="1"/>
  <c r="AR102" i="1"/>
  <c r="BH102" i="1" s="1"/>
  <c r="K102" i="4" s="1"/>
  <c r="AV102" i="1"/>
  <c r="BG102" i="1" s="1"/>
  <c r="J102" i="4" s="1"/>
  <c r="AQ102" i="1"/>
  <c r="AT102" i="1"/>
  <c r="BJ102" i="1" s="1"/>
  <c r="M102" i="4" s="1"/>
  <c r="AS102" i="1"/>
  <c r="BI102" i="1" s="1"/>
  <c r="L102" i="4" s="1"/>
  <c r="AX240" i="1"/>
  <c r="BE240" i="1" s="1"/>
  <c r="F240" i="4" s="1"/>
  <c r="AT240" i="1"/>
  <c r="BJ240" i="1" s="1"/>
  <c r="M240" i="4" s="1"/>
  <c r="AV240" i="1"/>
  <c r="BG240" i="1" s="1"/>
  <c r="J240" i="4" s="1"/>
  <c r="AR240" i="1"/>
  <c r="BH240" i="1" s="1"/>
  <c r="K240" i="4" s="1"/>
  <c r="AQ240" i="1"/>
  <c r="AS240" i="1"/>
  <c r="BI240" i="1" s="1"/>
  <c r="L240" i="4" s="1"/>
  <c r="AQ275" i="1"/>
  <c r="AT275" i="1"/>
  <c r="BJ275" i="1" s="1"/>
  <c r="M275" i="4" s="1"/>
  <c r="AX275" i="1"/>
  <c r="BE275" i="1" s="1"/>
  <c r="F275" i="4" s="1"/>
  <c r="AV275" i="1"/>
  <c r="BG275" i="1" s="1"/>
  <c r="J275" i="4" s="1"/>
  <c r="AS275" i="1"/>
  <c r="BI275" i="1" s="1"/>
  <c r="L275" i="4" s="1"/>
  <c r="AR275" i="1"/>
  <c r="BH275" i="1" s="1"/>
  <c r="K275" i="4" s="1"/>
  <c r="AX55" i="1" l="1"/>
  <c r="BE55" i="1" s="1"/>
  <c r="F55" i="4" s="1"/>
  <c r="AV55" i="1"/>
  <c r="AS55" i="1"/>
  <c r="BI55" i="1" s="1"/>
  <c r="L55" i="4" s="1"/>
  <c r="AQ55" i="1"/>
  <c r="AT55" i="1"/>
  <c r="BJ55" i="1" s="1"/>
  <c r="M55" i="4" s="1"/>
  <c r="AG236" i="1"/>
  <c r="AO236" i="1" s="1"/>
  <c r="AX294" i="1"/>
  <c r="BE294" i="1" s="1"/>
  <c r="F294" i="4" s="1"/>
  <c r="AR294" i="1"/>
  <c r="BH294" i="1" s="1"/>
  <c r="K294" i="4" s="1"/>
  <c r="AG277" i="1"/>
  <c r="AO277" i="1" s="1"/>
  <c r="AR28" i="1"/>
  <c r="BH28" i="1" s="1"/>
  <c r="K28" i="4" s="1"/>
  <c r="AT294" i="1"/>
  <c r="BJ294" i="1" s="1"/>
  <c r="M294" i="4" s="1"/>
  <c r="AO81" i="1"/>
  <c r="AP81" i="1" s="1"/>
  <c r="AU81" i="1" s="1"/>
  <c r="AR81" i="1" s="1"/>
  <c r="BH81" i="1" s="1"/>
  <c r="K81" i="4" s="1"/>
  <c r="AG189" i="1"/>
  <c r="AO189" i="1" s="1"/>
  <c r="AS333" i="1"/>
  <c r="BI333" i="1" s="1"/>
  <c r="L333" i="4" s="1"/>
  <c r="AQ456" i="1"/>
  <c r="AO65" i="1"/>
  <c r="AP65" i="1" s="1"/>
  <c r="AU65" i="1" s="1"/>
  <c r="AV65" i="1" s="1"/>
  <c r="BG65" i="1" s="1"/>
  <c r="J65" i="4" s="1"/>
  <c r="AT119" i="1"/>
  <c r="BJ119" i="1" s="1"/>
  <c r="M119" i="4" s="1"/>
  <c r="AX456" i="1"/>
  <c r="BE456" i="1" s="1"/>
  <c r="F456" i="4" s="1"/>
  <c r="AQ155" i="1"/>
  <c r="AS28" i="1"/>
  <c r="BI28" i="1" s="1"/>
  <c r="L28" i="4" s="1"/>
  <c r="AX155" i="1"/>
  <c r="BE155" i="1" s="1"/>
  <c r="F155" i="4" s="1"/>
  <c r="AS456" i="1"/>
  <c r="BI456" i="1" s="1"/>
  <c r="L456" i="4" s="1"/>
  <c r="AS155" i="1"/>
  <c r="BI155" i="1" s="1"/>
  <c r="L155" i="4" s="1"/>
  <c r="AV119" i="1"/>
  <c r="BG119" i="1" s="1"/>
  <c r="J119" i="4" s="1"/>
  <c r="AV456" i="1"/>
  <c r="BG456" i="1" s="1"/>
  <c r="J456" i="4" s="1"/>
  <c r="AR456" i="1"/>
  <c r="BH456" i="1" s="1"/>
  <c r="K456" i="4" s="1"/>
  <c r="AQ28" i="1"/>
  <c r="AV155" i="1"/>
  <c r="BG155" i="1" s="1"/>
  <c r="J155" i="4" s="1"/>
  <c r="AX28" i="1"/>
  <c r="BE28" i="1" s="1"/>
  <c r="F28" i="4" s="1"/>
  <c r="AR155" i="1"/>
  <c r="BH155" i="1" s="1"/>
  <c r="K155" i="4" s="1"/>
  <c r="AX281" i="1"/>
  <c r="BE281" i="1" s="1"/>
  <c r="F281" i="4" s="1"/>
  <c r="AT28" i="1"/>
  <c r="BJ28" i="1" s="1"/>
  <c r="M28" i="4" s="1"/>
  <c r="AR40" i="1"/>
  <c r="BH40" i="1" s="1"/>
  <c r="K40" i="4" s="1"/>
  <c r="AR173" i="1"/>
  <c r="BH173" i="1" s="1"/>
  <c r="K173" i="4" s="1"/>
  <c r="AX173" i="1"/>
  <c r="BE173" i="1" s="1"/>
  <c r="F173" i="4" s="1"/>
  <c r="AQ173" i="1"/>
  <c r="AS173" i="1"/>
  <c r="BI173" i="1" s="1"/>
  <c r="L173" i="4" s="1"/>
  <c r="AV173" i="1"/>
  <c r="BG173" i="1" s="1"/>
  <c r="J173" i="4" s="1"/>
  <c r="AT173" i="1"/>
  <c r="BJ173" i="1" s="1"/>
  <c r="M173" i="4" s="1"/>
  <c r="AS281" i="1"/>
  <c r="BI281" i="1" s="1"/>
  <c r="L281" i="4" s="1"/>
  <c r="AQ395" i="1"/>
  <c r="AS242" i="1"/>
  <c r="BI242" i="1" s="1"/>
  <c r="L242" i="4" s="1"/>
  <c r="AV395" i="1"/>
  <c r="BG395" i="1" s="1"/>
  <c r="J395" i="4" s="1"/>
  <c r="AX242" i="1"/>
  <c r="BE242" i="1" s="1"/>
  <c r="F242" i="4" s="1"/>
  <c r="AG491" i="1"/>
  <c r="AH491" i="1" s="1"/>
  <c r="AK491" i="1" s="1"/>
  <c r="AG395" i="1"/>
  <c r="AO395" i="1" s="1"/>
  <c r="AT333" i="1"/>
  <c r="BJ333" i="1" s="1"/>
  <c r="M333" i="4" s="1"/>
  <c r="AS395" i="1"/>
  <c r="BI395" i="1" s="1"/>
  <c r="L395" i="4" s="1"/>
  <c r="AT395" i="1"/>
  <c r="BJ395" i="1" s="1"/>
  <c r="M395" i="4" s="1"/>
  <c r="AV40" i="1"/>
  <c r="BG40" i="1" s="1"/>
  <c r="J40" i="4" s="1"/>
  <c r="AG250" i="1"/>
  <c r="AO250" i="1" s="1"/>
  <c r="AX395" i="1"/>
  <c r="BE395" i="1" s="1"/>
  <c r="F395" i="4" s="1"/>
  <c r="AV333" i="1"/>
  <c r="BG333" i="1" s="1"/>
  <c r="J333" i="4" s="1"/>
  <c r="AS40" i="1"/>
  <c r="BI40" i="1" s="1"/>
  <c r="L40" i="4" s="1"/>
  <c r="AQ119" i="1"/>
  <c r="AX333" i="1"/>
  <c r="BE333" i="1" s="1"/>
  <c r="F333" i="4" s="1"/>
  <c r="AQ281" i="1"/>
  <c r="AT281" i="1"/>
  <c r="BJ281" i="1" s="1"/>
  <c r="M281" i="4" s="1"/>
  <c r="AO79" i="1"/>
  <c r="AP79" i="1" s="1"/>
  <c r="AU79" i="1" s="1"/>
  <c r="AQ79" i="1" s="1"/>
  <c r="AX40" i="1"/>
  <c r="BE40" i="1" s="1"/>
  <c r="F40" i="4" s="1"/>
  <c r="AQ333" i="1"/>
  <c r="AG385" i="1"/>
  <c r="AO385" i="1" s="1"/>
  <c r="AG429" i="1"/>
  <c r="AO429" i="1" s="1"/>
  <c r="AV281" i="1"/>
  <c r="BG281" i="1" s="1"/>
  <c r="J281" i="4" s="1"/>
  <c r="AT9" i="1"/>
  <c r="BJ9" i="1" s="1"/>
  <c r="M9" i="4" s="1"/>
  <c r="AS83" i="1"/>
  <c r="BI83" i="1" s="1"/>
  <c r="L83" i="4" s="1"/>
  <c r="AQ197" i="1"/>
  <c r="AV9" i="1"/>
  <c r="BG9" i="1" s="1"/>
  <c r="J9" i="4" s="1"/>
  <c r="AQ63" i="1"/>
  <c r="AV197" i="1"/>
  <c r="AW197" i="1" s="1"/>
  <c r="AX197" i="1"/>
  <c r="BE197" i="1" s="1"/>
  <c r="F197" i="4" s="1"/>
  <c r="AT149" i="1"/>
  <c r="BJ149" i="1" s="1"/>
  <c r="M149" i="4" s="1"/>
  <c r="AR384" i="1"/>
  <c r="BH384" i="1" s="1"/>
  <c r="K384" i="4" s="1"/>
  <c r="AQ273" i="1"/>
  <c r="AZ273" i="1" s="1"/>
  <c r="BA273" i="1" s="1"/>
  <c r="AR123" i="1"/>
  <c r="BH123" i="1" s="1"/>
  <c r="K123" i="4" s="1"/>
  <c r="AQ337" i="1"/>
  <c r="AS9" i="1"/>
  <c r="BI9" i="1" s="1"/>
  <c r="L9" i="4" s="1"/>
  <c r="AQ83" i="1"/>
  <c r="AQ294" i="1"/>
  <c r="AZ294" i="1" s="1"/>
  <c r="BA294" i="1" s="1"/>
  <c r="AQ123" i="1"/>
  <c r="AZ123" i="1" s="1"/>
  <c r="AQ189" i="1"/>
  <c r="AZ189" i="1" s="1"/>
  <c r="BA189" i="1" s="1"/>
  <c r="AV273" i="1"/>
  <c r="BG273" i="1" s="1"/>
  <c r="J273" i="4" s="1"/>
  <c r="AX149" i="1"/>
  <c r="BE149" i="1" s="1"/>
  <c r="F149" i="4" s="1"/>
  <c r="AT127" i="1"/>
  <c r="BJ127" i="1" s="1"/>
  <c r="M127" i="4" s="1"/>
  <c r="AV83" i="1"/>
  <c r="AW83" i="1" s="1"/>
  <c r="BD83" i="1" s="1"/>
  <c r="AS63" i="1"/>
  <c r="BI63" i="1" s="1"/>
  <c r="L63" i="4" s="1"/>
  <c r="AR9" i="1"/>
  <c r="BH9" i="1" s="1"/>
  <c r="K9" i="4" s="1"/>
  <c r="AT197" i="1"/>
  <c r="BJ197" i="1" s="1"/>
  <c r="M197" i="4" s="1"/>
  <c r="AV127" i="1"/>
  <c r="BG127" i="1" s="1"/>
  <c r="J127" i="4" s="1"/>
  <c r="AT189" i="1"/>
  <c r="BJ189" i="1" s="1"/>
  <c r="M189" i="4" s="1"/>
  <c r="AT418" i="1"/>
  <c r="BJ418" i="1" s="1"/>
  <c r="M418" i="4" s="1"/>
  <c r="AS418" i="1"/>
  <c r="BI418" i="1" s="1"/>
  <c r="L418" i="4" s="1"/>
  <c r="AV294" i="1"/>
  <c r="AW294" i="1" s="1"/>
  <c r="AY294" i="1" s="1"/>
  <c r="AR189" i="1"/>
  <c r="BH189" i="1" s="1"/>
  <c r="K189" i="4" s="1"/>
  <c r="AT203" i="1"/>
  <c r="BJ203" i="1" s="1"/>
  <c r="M203" i="4" s="1"/>
  <c r="AV63" i="1"/>
  <c r="BG63" i="1" s="1"/>
  <c r="J63" i="4" s="1"/>
  <c r="AV384" i="1"/>
  <c r="AW384" i="1" s="1"/>
  <c r="AR149" i="1"/>
  <c r="BH149" i="1" s="1"/>
  <c r="K149" i="4" s="1"/>
  <c r="AX63" i="1"/>
  <c r="BE63" i="1" s="1"/>
  <c r="F63" i="4" s="1"/>
  <c r="AT384" i="1"/>
  <c r="BJ384" i="1" s="1"/>
  <c r="M384" i="4" s="1"/>
  <c r="AS189" i="1"/>
  <c r="BI189" i="1" s="1"/>
  <c r="L189" i="4" s="1"/>
  <c r="AQ418" i="1"/>
  <c r="AR418" i="1"/>
  <c r="BH418" i="1" s="1"/>
  <c r="K418" i="4" s="1"/>
  <c r="AG55" i="1"/>
  <c r="AO55" i="1" s="1"/>
  <c r="AS197" i="1"/>
  <c r="BI197" i="1" s="1"/>
  <c r="L197" i="4" s="1"/>
  <c r="AS149" i="1"/>
  <c r="BI149" i="1" s="1"/>
  <c r="L149" i="4" s="1"/>
  <c r="AT63" i="1"/>
  <c r="BJ63" i="1" s="1"/>
  <c r="M63" i="4" s="1"/>
  <c r="AQ384" i="1"/>
  <c r="AZ384" i="1" s="1"/>
  <c r="AQ127" i="1"/>
  <c r="AZ127" i="1" s="1"/>
  <c r="BA127" i="1" s="1"/>
  <c r="AT83" i="1"/>
  <c r="BJ83" i="1" s="1"/>
  <c r="M83" i="4" s="1"/>
  <c r="AX9" i="1"/>
  <c r="BE9" i="1" s="1"/>
  <c r="F9" i="4" s="1"/>
  <c r="AQ149" i="1"/>
  <c r="AS384" i="1"/>
  <c r="BI384" i="1" s="1"/>
  <c r="L384" i="4" s="1"/>
  <c r="AR127" i="1"/>
  <c r="BH127" i="1" s="1"/>
  <c r="K127" i="4" s="1"/>
  <c r="AX83" i="1"/>
  <c r="BE83" i="1" s="1"/>
  <c r="F83" i="4" s="1"/>
  <c r="AV189" i="1"/>
  <c r="BG189" i="1" s="1"/>
  <c r="J189" i="4" s="1"/>
  <c r="AS127" i="1"/>
  <c r="BI127" i="1" s="1"/>
  <c r="L127" i="4" s="1"/>
  <c r="AG213" i="1"/>
  <c r="AO213" i="1" s="1"/>
  <c r="AV484" i="1"/>
  <c r="BG484" i="1" s="1"/>
  <c r="J484" i="4" s="1"/>
  <c r="AT484" i="1"/>
  <c r="BJ484" i="1" s="1"/>
  <c r="M484" i="4" s="1"/>
  <c r="AS168" i="1"/>
  <c r="BI168" i="1" s="1"/>
  <c r="L168" i="4" s="1"/>
  <c r="AX168" i="1"/>
  <c r="BE168" i="1" s="1"/>
  <c r="F168" i="4" s="1"/>
  <c r="AQ488" i="1"/>
  <c r="AV5" i="1"/>
  <c r="AW5" i="1" s="1"/>
  <c r="AV345" i="1"/>
  <c r="BG345" i="1" s="1"/>
  <c r="J345" i="4" s="1"/>
  <c r="AT40" i="1"/>
  <c r="BJ40" i="1" s="1"/>
  <c r="M40" i="4" s="1"/>
  <c r="AV78" i="1"/>
  <c r="BG78" i="1" s="1"/>
  <c r="J78" i="4" s="1"/>
  <c r="AV174" i="1"/>
  <c r="BG174" i="1" s="1"/>
  <c r="J174" i="4" s="1"/>
  <c r="AO231" i="1"/>
  <c r="AP231" i="1" s="1"/>
  <c r="AU231" i="1" s="1"/>
  <c r="AV231" i="1" s="1"/>
  <c r="AR5" i="1"/>
  <c r="BH5" i="1" s="1"/>
  <c r="K5" i="4" s="1"/>
  <c r="AS203" i="1"/>
  <c r="BI203" i="1" s="1"/>
  <c r="L203" i="4" s="1"/>
  <c r="AT488" i="1"/>
  <c r="BJ488" i="1" s="1"/>
  <c r="M488" i="4" s="1"/>
  <c r="AT277" i="1"/>
  <c r="BJ277" i="1" s="1"/>
  <c r="M277" i="4" s="1"/>
  <c r="AX78" i="1"/>
  <c r="BE78" i="1" s="1"/>
  <c r="F78" i="4" s="1"/>
  <c r="AR273" i="1"/>
  <c r="BH273" i="1" s="1"/>
  <c r="K273" i="4" s="1"/>
  <c r="AR174" i="1"/>
  <c r="BH174" i="1" s="1"/>
  <c r="K174" i="4" s="1"/>
  <c r="AR203" i="1"/>
  <c r="BH203" i="1" s="1"/>
  <c r="K203" i="4" s="1"/>
  <c r="AR277" i="1"/>
  <c r="BH277" i="1" s="1"/>
  <c r="K277" i="4" s="1"/>
  <c r="AO426" i="1"/>
  <c r="AP426" i="1" s="1"/>
  <c r="AU426" i="1" s="1"/>
  <c r="AT426" i="1" s="1"/>
  <c r="BJ426" i="1" s="1"/>
  <c r="M426" i="4" s="1"/>
  <c r="AX119" i="1"/>
  <c r="BE119" i="1" s="1"/>
  <c r="F119" i="4" s="1"/>
  <c r="AQ224" i="1"/>
  <c r="AZ224" i="1" s="1"/>
  <c r="AQ345" i="1"/>
  <c r="AR119" i="1"/>
  <c r="BH119" i="1" s="1"/>
  <c r="K119" i="4" s="1"/>
  <c r="AQ5" i="1"/>
  <c r="AZ5" i="1" s="1"/>
  <c r="AQ203" i="1"/>
  <c r="AZ203" i="1" s="1"/>
  <c r="AX488" i="1"/>
  <c r="BE488" i="1" s="1"/>
  <c r="F488" i="4" s="1"/>
  <c r="AX277" i="1"/>
  <c r="BE277" i="1" s="1"/>
  <c r="F277" i="4" s="1"/>
  <c r="AS273" i="1"/>
  <c r="BI273" i="1" s="1"/>
  <c r="L273" i="4" s="1"/>
  <c r="AR488" i="1"/>
  <c r="BH488" i="1" s="1"/>
  <c r="K488" i="4" s="1"/>
  <c r="AS5" i="1"/>
  <c r="BI5" i="1" s="1"/>
  <c r="L5" i="4" s="1"/>
  <c r="AR242" i="1"/>
  <c r="BH242" i="1" s="1"/>
  <c r="K242" i="4" s="1"/>
  <c r="AT5" i="1"/>
  <c r="BJ5" i="1" s="1"/>
  <c r="M5" i="4" s="1"/>
  <c r="AS454" i="1"/>
  <c r="BI454" i="1" s="1"/>
  <c r="L454" i="4" s="1"/>
  <c r="AX345" i="1"/>
  <c r="BE345" i="1" s="1"/>
  <c r="F345" i="4" s="1"/>
  <c r="AV133" i="1"/>
  <c r="BG133" i="1" s="1"/>
  <c r="J133" i="4" s="1"/>
  <c r="AO324" i="1"/>
  <c r="AV277" i="1"/>
  <c r="BG277" i="1" s="1"/>
  <c r="J277" i="4" s="1"/>
  <c r="AV224" i="1"/>
  <c r="BG224" i="1" s="1"/>
  <c r="J224" i="4" s="1"/>
  <c r="AS345" i="1"/>
  <c r="BI345" i="1" s="1"/>
  <c r="L345" i="4" s="1"/>
  <c r="AS488" i="1"/>
  <c r="BI488" i="1" s="1"/>
  <c r="L488" i="4" s="1"/>
  <c r="AV203" i="1"/>
  <c r="BG203" i="1" s="1"/>
  <c r="J203" i="4" s="1"/>
  <c r="AV151" i="1"/>
  <c r="BG151" i="1" s="1"/>
  <c r="J151" i="4" s="1"/>
  <c r="AG131" i="1"/>
  <c r="AO131" i="1" s="1"/>
  <c r="AG196" i="1"/>
  <c r="AO196" i="1" s="1"/>
  <c r="AT273" i="1"/>
  <c r="BJ273" i="1" s="1"/>
  <c r="M273" i="4" s="1"/>
  <c r="AX454" i="1"/>
  <c r="BE454" i="1" s="1"/>
  <c r="AT133" i="1"/>
  <c r="BJ133" i="1" s="1"/>
  <c r="M133" i="4" s="1"/>
  <c r="AQ277" i="1"/>
  <c r="AT224" i="1"/>
  <c r="BJ224" i="1" s="1"/>
  <c r="M224" i="4" s="1"/>
  <c r="AR454" i="1"/>
  <c r="BH454" i="1" s="1"/>
  <c r="K454" i="4" s="1"/>
  <c r="AX133" i="1"/>
  <c r="BE133" i="1" s="1"/>
  <c r="F133" i="4" s="1"/>
  <c r="AT345" i="1"/>
  <c r="BJ345" i="1" s="1"/>
  <c r="M345" i="4" s="1"/>
  <c r="AR133" i="1"/>
  <c r="BH133" i="1" s="1"/>
  <c r="K133" i="4" s="1"/>
  <c r="AQ215" i="1"/>
  <c r="AG218" i="1"/>
  <c r="AO218" i="1" s="1"/>
  <c r="AG240" i="1"/>
  <c r="AO240" i="1" s="1"/>
  <c r="AG206" i="1"/>
  <c r="AO206" i="1" s="1"/>
  <c r="AV60" i="1"/>
  <c r="BG60" i="1" s="1"/>
  <c r="J60" i="4" s="1"/>
  <c r="AS133" i="1"/>
  <c r="BI133" i="1" s="1"/>
  <c r="L133" i="4" s="1"/>
  <c r="AT242" i="1"/>
  <c r="BJ242" i="1" s="1"/>
  <c r="M242" i="4" s="1"/>
  <c r="AQ454" i="1"/>
  <c r="AQ484" i="1"/>
  <c r="AT174" i="1"/>
  <c r="BJ174" i="1" s="1"/>
  <c r="M174" i="4" s="1"/>
  <c r="AT168" i="1"/>
  <c r="BJ168" i="1" s="1"/>
  <c r="M168" i="4" s="1"/>
  <c r="AR168" i="1"/>
  <c r="BH168" i="1" s="1"/>
  <c r="K168" i="4" s="1"/>
  <c r="AQ174" i="1"/>
  <c r="AZ174" i="1" s="1"/>
  <c r="BB174" i="1" s="1"/>
  <c r="AS60" i="1"/>
  <c r="BI60" i="1" s="1"/>
  <c r="L60" i="4" s="1"/>
  <c r="AV242" i="1"/>
  <c r="BG242" i="1" s="1"/>
  <c r="J242" i="4" s="1"/>
  <c r="AT78" i="1"/>
  <c r="BJ78" i="1" s="1"/>
  <c r="M78" i="4" s="1"/>
  <c r="AX484" i="1"/>
  <c r="BE484" i="1" s="1"/>
  <c r="F484" i="4" s="1"/>
  <c r="AQ168" i="1"/>
  <c r="AS174" i="1"/>
  <c r="BI174" i="1" s="1"/>
  <c r="L174" i="4" s="1"/>
  <c r="AT454" i="1"/>
  <c r="BJ454" i="1" s="1"/>
  <c r="M454" i="4" s="1"/>
  <c r="AV168" i="1"/>
  <c r="AW168" i="1" s="1"/>
  <c r="AS78" i="1"/>
  <c r="BI78" i="1" s="1"/>
  <c r="L78" i="4" s="1"/>
  <c r="AR484" i="1"/>
  <c r="BH484" i="1" s="1"/>
  <c r="K484" i="4" s="1"/>
  <c r="AR316" i="1"/>
  <c r="BH316" i="1" s="1"/>
  <c r="K316" i="4" s="1"/>
  <c r="AR60" i="1"/>
  <c r="BH60" i="1" s="1"/>
  <c r="K60" i="4" s="1"/>
  <c r="AQ305" i="1"/>
  <c r="AZ305" i="1" s="1"/>
  <c r="AQ78" i="1"/>
  <c r="AS95" i="1"/>
  <c r="BI95" i="1" s="1"/>
  <c r="L95" i="4" s="1"/>
  <c r="AS484" i="1"/>
  <c r="BI484" i="1" s="1"/>
  <c r="L484" i="4" s="1"/>
  <c r="AX316" i="1"/>
  <c r="BE316" i="1" s="1"/>
  <c r="F316" i="4" s="1"/>
  <c r="AZ11" i="1"/>
  <c r="BA11" i="1" s="1"/>
  <c r="AX95" i="1"/>
  <c r="BE95" i="1" s="1"/>
  <c r="F95" i="4" s="1"/>
  <c r="AO99" i="1"/>
  <c r="AP99" i="1" s="1"/>
  <c r="AU99" i="1" s="1"/>
  <c r="AS99" i="1" s="1"/>
  <c r="BI99" i="1" s="1"/>
  <c r="L99" i="4" s="1"/>
  <c r="AV123" i="1"/>
  <c r="AS123" i="1"/>
  <c r="BI123" i="1" s="1"/>
  <c r="L123" i="4" s="1"/>
  <c r="AT123" i="1"/>
  <c r="BJ123" i="1" s="1"/>
  <c r="M123" i="4" s="1"/>
  <c r="AQ316" i="1"/>
  <c r="AS215" i="1"/>
  <c r="BI215" i="1" s="1"/>
  <c r="L215" i="4" s="1"/>
  <c r="AR151" i="1"/>
  <c r="BH151" i="1" s="1"/>
  <c r="K151" i="4" s="1"/>
  <c r="AT95" i="1"/>
  <c r="BJ95" i="1" s="1"/>
  <c r="M95" i="4" s="1"/>
  <c r="AZ240" i="1"/>
  <c r="BA240" i="1" s="1"/>
  <c r="AQ56" i="1"/>
  <c r="AT215" i="1"/>
  <c r="BJ215" i="1" s="1"/>
  <c r="M215" i="4" s="1"/>
  <c r="AR120" i="1"/>
  <c r="BH120" i="1" s="1"/>
  <c r="K120" i="4" s="1"/>
  <c r="AQ151" i="1"/>
  <c r="AZ151" i="1" s="1"/>
  <c r="AR95" i="1"/>
  <c r="BH95" i="1" s="1"/>
  <c r="K95" i="4" s="1"/>
  <c r="AG7" i="1"/>
  <c r="AO7" i="1" s="1"/>
  <c r="AX215" i="1"/>
  <c r="BE215" i="1" s="1"/>
  <c r="F215" i="4" s="1"/>
  <c r="AV215" i="1"/>
  <c r="BG215" i="1" s="1"/>
  <c r="J215" i="4" s="1"/>
  <c r="AZ102" i="1"/>
  <c r="BA102" i="1" s="1"/>
  <c r="AR224" i="1"/>
  <c r="BH224" i="1" s="1"/>
  <c r="K224" i="4" s="1"/>
  <c r="AO470" i="1"/>
  <c r="AP470" i="1" s="1"/>
  <c r="AU470" i="1" s="1"/>
  <c r="AQ470" i="1" s="1"/>
  <c r="AT151" i="1"/>
  <c r="BJ151" i="1" s="1"/>
  <c r="M151" i="4" s="1"/>
  <c r="AP370" i="1"/>
  <c r="AU370" i="1" s="1"/>
  <c r="AQ370" i="1" s="1"/>
  <c r="AQ95" i="1"/>
  <c r="AQ120" i="1"/>
  <c r="AS151" i="1"/>
  <c r="BI151" i="1" s="1"/>
  <c r="L151" i="4" s="1"/>
  <c r="AQ60" i="1"/>
  <c r="AW454" i="1"/>
  <c r="BD454" i="1" s="1"/>
  <c r="E454" i="4" s="1"/>
  <c r="AX120" i="1"/>
  <c r="BE120" i="1" s="1"/>
  <c r="F120" i="4" s="1"/>
  <c r="AS316" i="1"/>
  <c r="BI316" i="1" s="1"/>
  <c r="L316" i="4" s="1"/>
  <c r="AS305" i="1"/>
  <c r="BI305" i="1" s="1"/>
  <c r="L305" i="4" s="1"/>
  <c r="AS224" i="1"/>
  <c r="BI224" i="1" s="1"/>
  <c r="L224" i="4" s="1"/>
  <c r="AQ23" i="1"/>
  <c r="AS360" i="1"/>
  <c r="BI360" i="1" s="1"/>
  <c r="L360" i="4" s="1"/>
  <c r="AT316" i="1"/>
  <c r="BJ316" i="1" s="1"/>
  <c r="M316" i="4" s="1"/>
  <c r="AT120" i="1"/>
  <c r="BJ120" i="1" s="1"/>
  <c r="M120" i="4" s="1"/>
  <c r="AQ360" i="1"/>
  <c r="AZ360" i="1" s="1"/>
  <c r="BA360" i="1" s="1"/>
  <c r="AQ205" i="1"/>
  <c r="AV205" i="1"/>
  <c r="BG205" i="1" s="1"/>
  <c r="J205" i="4" s="1"/>
  <c r="AR205" i="1"/>
  <c r="BH205" i="1" s="1"/>
  <c r="K205" i="4" s="1"/>
  <c r="AS205" i="1"/>
  <c r="BI205" i="1" s="1"/>
  <c r="L205" i="4" s="1"/>
  <c r="AT205" i="1"/>
  <c r="BJ205" i="1" s="1"/>
  <c r="M205" i="4" s="1"/>
  <c r="AX205" i="1"/>
  <c r="BE205" i="1" s="1"/>
  <c r="F205" i="4" s="1"/>
  <c r="AQ462" i="1"/>
  <c r="AZ462" i="1" s="1"/>
  <c r="BB462" i="1" s="1"/>
  <c r="AX56" i="1"/>
  <c r="BE56" i="1" s="1"/>
  <c r="F56" i="4" s="1"/>
  <c r="AR260" i="1"/>
  <c r="BH260" i="1" s="1"/>
  <c r="K260" i="4" s="1"/>
  <c r="AV56" i="1"/>
  <c r="BG56" i="1" s="1"/>
  <c r="J56" i="4" s="1"/>
  <c r="AX418" i="1"/>
  <c r="BE418" i="1" s="1"/>
  <c r="F418" i="4" s="1"/>
  <c r="AT360" i="1"/>
  <c r="BJ360" i="1" s="1"/>
  <c r="M360" i="4" s="1"/>
  <c r="AS462" i="1"/>
  <c r="BI462" i="1" s="1"/>
  <c r="L462" i="4" s="1"/>
  <c r="AX411" i="1"/>
  <c r="BE411" i="1" s="1"/>
  <c r="F411" i="4" s="1"/>
  <c r="AR411" i="1"/>
  <c r="BH411" i="1" s="1"/>
  <c r="K411" i="4" s="1"/>
  <c r="AX60" i="1"/>
  <c r="BE60" i="1" s="1"/>
  <c r="F60" i="4" s="1"/>
  <c r="AS120" i="1"/>
  <c r="BI120" i="1" s="1"/>
  <c r="L120" i="4" s="1"/>
  <c r="AX260" i="1"/>
  <c r="BE260" i="1" s="1"/>
  <c r="F260" i="4" s="1"/>
  <c r="AV411" i="1"/>
  <c r="BG411" i="1" s="1"/>
  <c r="J411" i="4" s="1"/>
  <c r="AV260" i="1"/>
  <c r="BG260" i="1" s="1"/>
  <c r="J260" i="4" s="1"/>
  <c r="AS411" i="1"/>
  <c r="BI411" i="1" s="1"/>
  <c r="L411" i="4" s="1"/>
  <c r="AQ411" i="1"/>
  <c r="AQ260" i="1"/>
  <c r="AT56" i="1"/>
  <c r="BJ56" i="1" s="1"/>
  <c r="M56" i="4" s="1"/>
  <c r="AR360" i="1"/>
  <c r="BH360" i="1" s="1"/>
  <c r="K360" i="4" s="1"/>
  <c r="AV462" i="1"/>
  <c r="BG462" i="1" s="1"/>
  <c r="J462" i="4" s="1"/>
  <c r="AV321" i="1"/>
  <c r="BG321" i="1" s="1"/>
  <c r="J321" i="4" s="1"/>
  <c r="AR462" i="1"/>
  <c r="BH462" i="1" s="1"/>
  <c r="K462" i="4" s="1"/>
  <c r="AS260" i="1"/>
  <c r="BI260" i="1" s="1"/>
  <c r="L260" i="4" s="1"/>
  <c r="AS56" i="1"/>
  <c r="BI56" i="1" s="1"/>
  <c r="L56" i="4" s="1"/>
  <c r="AV360" i="1"/>
  <c r="BG360" i="1" s="1"/>
  <c r="J360" i="4" s="1"/>
  <c r="AT462" i="1"/>
  <c r="BJ462" i="1" s="1"/>
  <c r="M462" i="4" s="1"/>
  <c r="AG281" i="1"/>
  <c r="AO281" i="1" s="1"/>
  <c r="AG306" i="1"/>
  <c r="AO306" i="1" s="1"/>
  <c r="AP69" i="1"/>
  <c r="AU69" i="1" s="1"/>
  <c r="AT69" i="1" s="1"/>
  <c r="BJ69" i="1" s="1"/>
  <c r="M69" i="4" s="1"/>
  <c r="AZ318" i="1"/>
  <c r="BB318" i="1" s="1"/>
  <c r="AQ356" i="1"/>
  <c r="AR356" i="1"/>
  <c r="BH356" i="1" s="1"/>
  <c r="K356" i="4" s="1"/>
  <c r="AX356" i="1"/>
  <c r="BE356" i="1" s="1"/>
  <c r="F356" i="4" s="1"/>
  <c r="AS356" i="1"/>
  <c r="BI356" i="1" s="1"/>
  <c r="L356" i="4" s="1"/>
  <c r="AT356" i="1"/>
  <c r="BJ356" i="1" s="1"/>
  <c r="M356" i="4" s="1"/>
  <c r="AQ73" i="1"/>
  <c r="AZ73" i="1" s="1"/>
  <c r="BA73" i="1" s="1"/>
  <c r="AT73" i="1"/>
  <c r="BJ73" i="1" s="1"/>
  <c r="M73" i="4" s="1"/>
  <c r="AS73" i="1"/>
  <c r="BI73" i="1" s="1"/>
  <c r="L73" i="4" s="1"/>
  <c r="AR73" i="1"/>
  <c r="BH73" i="1" s="1"/>
  <c r="K73" i="4" s="1"/>
  <c r="AV73" i="1"/>
  <c r="BG73" i="1" s="1"/>
  <c r="J73" i="4" s="1"/>
  <c r="AQ284" i="1"/>
  <c r="AR284" i="1"/>
  <c r="BH284" i="1" s="1"/>
  <c r="K284" i="4" s="1"/>
  <c r="AT284" i="1"/>
  <c r="BJ284" i="1" s="1"/>
  <c r="M284" i="4" s="1"/>
  <c r="AS284" i="1"/>
  <c r="BI284" i="1" s="1"/>
  <c r="L284" i="4" s="1"/>
  <c r="AX284" i="1"/>
  <c r="BE284" i="1" s="1"/>
  <c r="F284" i="4" s="1"/>
  <c r="AV284" i="1"/>
  <c r="AW284" i="1" s="1"/>
  <c r="AX18" i="1"/>
  <c r="BE18" i="1" s="1"/>
  <c r="F18" i="4" s="1"/>
  <c r="AR18" i="1"/>
  <c r="BH18" i="1" s="1"/>
  <c r="K18" i="4" s="1"/>
  <c r="AT18" i="1"/>
  <c r="BJ18" i="1" s="1"/>
  <c r="M18" i="4" s="1"/>
  <c r="AQ18" i="1"/>
  <c r="AS18" i="1"/>
  <c r="BI18" i="1" s="1"/>
  <c r="L18" i="4" s="1"/>
  <c r="AV18" i="1"/>
  <c r="BG18" i="1" s="1"/>
  <c r="J18" i="4" s="1"/>
  <c r="AX368" i="1"/>
  <c r="BE368" i="1" s="1"/>
  <c r="F368" i="4" s="1"/>
  <c r="AR368" i="1"/>
  <c r="BH368" i="1" s="1"/>
  <c r="K368" i="4" s="1"/>
  <c r="AT368" i="1"/>
  <c r="BJ368" i="1" s="1"/>
  <c r="M368" i="4" s="1"/>
  <c r="AQ368" i="1"/>
  <c r="AS368" i="1"/>
  <c r="BI368" i="1" s="1"/>
  <c r="L368" i="4" s="1"/>
  <c r="AV368" i="1"/>
  <c r="BG368" i="1" s="1"/>
  <c r="J368" i="4" s="1"/>
  <c r="BG490" i="1"/>
  <c r="J490" i="4" s="1"/>
  <c r="AW490" i="1"/>
  <c r="BD490" i="1" s="1"/>
  <c r="AX337" i="1"/>
  <c r="BE337" i="1" s="1"/>
  <c r="F337" i="4" s="1"/>
  <c r="AV337" i="1"/>
  <c r="BG337" i="1" s="1"/>
  <c r="J337" i="4" s="1"/>
  <c r="AS337" i="1"/>
  <c r="BI337" i="1" s="1"/>
  <c r="L337" i="4" s="1"/>
  <c r="AT337" i="1"/>
  <c r="BJ337" i="1" s="1"/>
  <c r="M337" i="4" s="1"/>
  <c r="AQ494" i="1"/>
  <c r="AR494" i="1"/>
  <c r="BH494" i="1" s="1"/>
  <c r="K494" i="4" s="1"/>
  <c r="AX494" i="1"/>
  <c r="AV494" i="1"/>
  <c r="AT494" i="1"/>
  <c r="BJ494" i="1" s="1"/>
  <c r="M494" i="4" s="1"/>
  <c r="AH429" i="1"/>
  <c r="AK429" i="1" s="1"/>
  <c r="AP429" i="1" s="1"/>
  <c r="AU429" i="1" s="1"/>
  <c r="AX429" i="1" s="1"/>
  <c r="BE429" i="1" s="1"/>
  <c r="F429" i="4" s="1"/>
  <c r="AH229" i="1"/>
  <c r="AK229" i="1" s="1"/>
  <c r="AO229" i="1"/>
  <c r="AO219" i="1"/>
  <c r="AH219" i="1"/>
  <c r="AK219" i="1" s="1"/>
  <c r="AP219" i="1" s="1"/>
  <c r="AU219" i="1" s="1"/>
  <c r="AV219" i="1" s="1"/>
  <c r="BG219" i="1" s="1"/>
  <c r="J219" i="4" s="1"/>
  <c r="AV353" i="1"/>
  <c r="AX353" i="1"/>
  <c r="BE353" i="1" s="1"/>
  <c r="F353" i="4" s="1"/>
  <c r="AS353" i="1"/>
  <c r="BI353" i="1" s="1"/>
  <c r="L353" i="4" s="1"/>
  <c r="AR353" i="1"/>
  <c r="BH353" i="1" s="1"/>
  <c r="K353" i="4" s="1"/>
  <c r="AQ353" i="1"/>
  <c r="AT353" i="1"/>
  <c r="BJ353" i="1" s="1"/>
  <c r="M353" i="4" s="1"/>
  <c r="AP330" i="1"/>
  <c r="AU330" i="1" s="1"/>
  <c r="AT330" i="1" s="1"/>
  <c r="BJ330" i="1" s="1"/>
  <c r="M330" i="4" s="1"/>
  <c r="AP289" i="1"/>
  <c r="AU289" i="1" s="1"/>
  <c r="AQ289" i="1" s="1"/>
  <c r="AZ223" i="1"/>
  <c r="BA223" i="1" s="1"/>
  <c r="AZ254" i="1"/>
  <c r="AT22" i="1"/>
  <c r="BJ22" i="1" s="1"/>
  <c r="M22" i="4" s="1"/>
  <c r="AX22" i="1"/>
  <c r="BE22" i="1" s="1"/>
  <c r="F22" i="4" s="1"/>
  <c r="AS22" i="1"/>
  <c r="BI22" i="1" s="1"/>
  <c r="L22" i="4" s="1"/>
  <c r="AV22" i="1"/>
  <c r="AW22" i="1" s="1"/>
  <c r="AQ22" i="1"/>
  <c r="AR22" i="1"/>
  <c r="BH22" i="1" s="1"/>
  <c r="K22" i="4" s="1"/>
  <c r="AX61" i="1"/>
  <c r="BE61" i="1" s="1"/>
  <c r="F61" i="4" s="1"/>
  <c r="AV61" i="1"/>
  <c r="BG61" i="1" s="1"/>
  <c r="J61" i="4" s="1"/>
  <c r="AT61" i="1"/>
  <c r="BJ61" i="1" s="1"/>
  <c r="M61" i="4" s="1"/>
  <c r="AS61" i="1"/>
  <c r="BI61" i="1" s="1"/>
  <c r="L61" i="4" s="1"/>
  <c r="AR61" i="1"/>
  <c r="BH61" i="1" s="1"/>
  <c r="K61" i="4" s="1"/>
  <c r="AQ61" i="1"/>
  <c r="AX104" i="1"/>
  <c r="BE104" i="1" s="1"/>
  <c r="F104" i="4" s="1"/>
  <c r="AQ104" i="1"/>
  <c r="AS104" i="1"/>
  <c r="BI104" i="1" s="1"/>
  <c r="L104" i="4" s="1"/>
  <c r="AV104" i="1"/>
  <c r="BG104" i="1" s="1"/>
  <c r="J104" i="4" s="1"/>
  <c r="AT104" i="1"/>
  <c r="BJ104" i="1" s="1"/>
  <c r="M104" i="4" s="1"/>
  <c r="AR104" i="1"/>
  <c r="BH104" i="1" s="1"/>
  <c r="K104" i="4" s="1"/>
  <c r="AQ309" i="1"/>
  <c r="AT309" i="1"/>
  <c r="BJ309" i="1" s="1"/>
  <c r="M309" i="4" s="1"/>
  <c r="AS309" i="1"/>
  <c r="BI309" i="1" s="1"/>
  <c r="L309" i="4" s="1"/>
  <c r="AV309" i="1"/>
  <c r="BG309" i="1" s="1"/>
  <c r="J309" i="4" s="1"/>
  <c r="AX309" i="1"/>
  <c r="BE309" i="1" s="1"/>
  <c r="F309" i="4" s="1"/>
  <c r="AR309" i="1"/>
  <c r="BH309" i="1" s="1"/>
  <c r="K309" i="4" s="1"/>
  <c r="AQ206" i="1"/>
  <c r="AT206" i="1"/>
  <c r="BJ206" i="1" s="1"/>
  <c r="M206" i="4" s="1"/>
  <c r="AS206" i="1"/>
  <c r="BI206" i="1" s="1"/>
  <c r="L206" i="4" s="1"/>
  <c r="AR206" i="1"/>
  <c r="BH206" i="1" s="1"/>
  <c r="K206" i="4" s="1"/>
  <c r="AX206" i="1"/>
  <c r="BE206" i="1" s="1"/>
  <c r="F206" i="4" s="1"/>
  <c r="AV206" i="1"/>
  <c r="BG206" i="1" s="1"/>
  <c r="J206" i="4" s="1"/>
  <c r="AX169" i="1"/>
  <c r="BE169" i="1" s="1"/>
  <c r="F169" i="4" s="1"/>
  <c r="AS169" i="1"/>
  <c r="BI169" i="1" s="1"/>
  <c r="L169" i="4" s="1"/>
  <c r="AQ169" i="1"/>
  <c r="AV169" i="1"/>
  <c r="BG169" i="1" s="1"/>
  <c r="J169" i="4" s="1"/>
  <c r="AR169" i="1"/>
  <c r="BH169" i="1" s="1"/>
  <c r="K169" i="4" s="1"/>
  <c r="AT169" i="1"/>
  <c r="BJ169" i="1" s="1"/>
  <c r="M169" i="4" s="1"/>
  <c r="BE5" i="1"/>
  <c r="F5" i="4" s="1"/>
  <c r="AX109" i="1"/>
  <c r="BE109" i="1" s="1"/>
  <c r="F109" i="4" s="1"/>
  <c r="AR109" i="1"/>
  <c r="BH109" i="1" s="1"/>
  <c r="K109" i="4" s="1"/>
  <c r="AQ109" i="1"/>
  <c r="AS109" i="1"/>
  <c r="BI109" i="1" s="1"/>
  <c r="L109" i="4" s="1"/>
  <c r="AT109" i="1"/>
  <c r="BJ109" i="1" s="1"/>
  <c r="M109" i="4" s="1"/>
  <c r="AV109" i="1"/>
  <c r="BG109" i="1" s="1"/>
  <c r="J109" i="4" s="1"/>
  <c r="AX12" i="1"/>
  <c r="BE12" i="1" s="1"/>
  <c r="F12" i="4" s="1"/>
  <c r="AT12" i="1"/>
  <c r="BJ12" i="1" s="1"/>
  <c r="M12" i="4" s="1"/>
  <c r="AV12" i="1"/>
  <c r="BG12" i="1" s="1"/>
  <c r="J12" i="4" s="1"/>
  <c r="AS12" i="1"/>
  <c r="BI12" i="1" s="1"/>
  <c r="L12" i="4" s="1"/>
  <c r="AQ12" i="1"/>
  <c r="AR12" i="1"/>
  <c r="BH12" i="1" s="1"/>
  <c r="K12" i="4" s="1"/>
  <c r="AV469" i="1"/>
  <c r="BG469" i="1" s="1"/>
  <c r="J469" i="4" s="1"/>
  <c r="AX469" i="1"/>
  <c r="BE469" i="1" s="1"/>
  <c r="F469" i="4" s="1"/>
  <c r="AS469" i="1"/>
  <c r="BI469" i="1" s="1"/>
  <c r="L469" i="4" s="1"/>
  <c r="AT469" i="1"/>
  <c r="BJ469" i="1" s="1"/>
  <c r="M469" i="4" s="1"/>
  <c r="AR469" i="1"/>
  <c r="BH469" i="1" s="1"/>
  <c r="K469" i="4" s="1"/>
  <c r="AQ469" i="1"/>
  <c r="AT391" i="1"/>
  <c r="BJ391" i="1" s="1"/>
  <c r="M391" i="4" s="1"/>
  <c r="AV391" i="1"/>
  <c r="AX211" i="1"/>
  <c r="BE211" i="1" s="1"/>
  <c r="F211" i="4" s="1"/>
  <c r="AT211" i="1"/>
  <c r="BJ211" i="1" s="1"/>
  <c r="M211" i="4" s="1"/>
  <c r="AS211" i="1"/>
  <c r="BI211" i="1" s="1"/>
  <c r="L211" i="4" s="1"/>
  <c r="AQ211" i="1"/>
  <c r="BG11" i="1"/>
  <c r="J11" i="4" s="1"/>
  <c r="AW11" i="1"/>
  <c r="BG223" i="1"/>
  <c r="J223" i="4" s="1"/>
  <c r="AW223" i="1"/>
  <c r="AY223" i="1" s="1"/>
  <c r="BG495" i="1"/>
  <c r="J495" i="4" s="1"/>
  <c r="AW495" i="1"/>
  <c r="AY495" i="1" s="1"/>
  <c r="AV406" i="1"/>
  <c r="AQ406" i="1"/>
  <c r="AX406" i="1"/>
  <c r="BE406" i="1" s="1"/>
  <c r="F406" i="4" s="1"/>
  <c r="AS406" i="1"/>
  <c r="BI406" i="1" s="1"/>
  <c r="L406" i="4" s="1"/>
  <c r="AT406" i="1"/>
  <c r="BJ406" i="1" s="1"/>
  <c r="M406" i="4" s="1"/>
  <c r="AR406" i="1"/>
  <c r="BH406" i="1" s="1"/>
  <c r="K406" i="4" s="1"/>
  <c r="AR270" i="1"/>
  <c r="BH270" i="1" s="1"/>
  <c r="K270" i="4" s="1"/>
  <c r="AX270" i="1"/>
  <c r="BE270" i="1" s="1"/>
  <c r="F270" i="4" s="1"/>
  <c r="AS270" i="1"/>
  <c r="BI270" i="1" s="1"/>
  <c r="L270" i="4" s="1"/>
  <c r="AV270" i="1"/>
  <c r="AR42" i="1"/>
  <c r="BH42" i="1" s="1"/>
  <c r="K42" i="4" s="1"/>
  <c r="AQ42" i="1"/>
  <c r="AT42" i="1"/>
  <c r="BJ42" i="1" s="1"/>
  <c r="M42" i="4" s="1"/>
  <c r="AV42" i="1"/>
  <c r="AX42" i="1"/>
  <c r="BE42" i="1" s="1"/>
  <c r="F42" i="4" s="1"/>
  <c r="AQ253" i="1"/>
  <c r="AR253" i="1"/>
  <c r="BH253" i="1" s="1"/>
  <c r="K253" i="4" s="1"/>
  <c r="BG254" i="1"/>
  <c r="J254" i="4" s="1"/>
  <c r="AW254" i="1"/>
  <c r="AR287" i="1"/>
  <c r="BH287" i="1" s="1"/>
  <c r="K287" i="4" s="1"/>
  <c r="AS287" i="1"/>
  <c r="BI287" i="1" s="1"/>
  <c r="L287" i="4" s="1"/>
  <c r="AX287" i="1"/>
  <c r="BE287" i="1" s="1"/>
  <c r="F287" i="4" s="1"/>
  <c r="AT287" i="1"/>
  <c r="BJ287" i="1" s="1"/>
  <c r="M287" i="4" s="1"/>
  <c r="AV287" i="1"/>
  <c r="AQ287" i="1"/>
  <c r="AV305" i="1"/>
  <c r="BG305" i="1" s="1"/>
  <c r="J305" i="4" s="1"/>
  <c r="AT305" i="1"/>
  <c r="BJ305" i="1" s="1"/>
  <c r="M305" i="4" s="1"/>
  <c r="AR305" i="1"/>
  <c r="BH305" i="1" s="1"/>
  <c r="K305" i="4" s="1"/>
  <c r="AX354" i="1"/>
  <c r="BE354" i="1" s="1"/>
  <c r="F354" i="4" s="1"/>
  <c r="AS354" i="1"/>
  <c r="BI354" i="1" s="1"/>
  <c r="L354" i="4" s="1"/>
  <c r="AX4" i="1"/>
  <c r="BE4" i="1" s="1"/>
  <c r="F4" i="4" s="1"/>
  <c r="AS4" i="1"/>
  <c r="BI4" i="1" s="1"/>
  <c r="L4" i="4" s="1"/>
  <c r="AV4" i="1"/>
  <c r="BG4" i="1" s="1"/>
  <c r="J4" i="4" s="1"/>
  <c r="AT4" i="1"/>
  <c r="BJ4" i="1" s="1"/>
  <c r="M4" i="4" s="1"/>
  <c r="AQ4" i="1"/>
  <c r="AR4" i="1"/>
  <c r="BH4" i="1" s="1"/>
  <c r="K4" i="4" s="1"/>
  <c r="AX89" i="1"/>
  <c r="BE89" i="1" s="1"/>
  <c r="F89" i="4" s="1"/>
  <c r="AQ89" i="1"/>
  <c r="AR89" i="1"/>
  <c r="BH89" i="1" s="1"/>
  <c r="K89" i="4" s="1"/>
  <c r="AS89" i="1"/>
  <c r="BI89" i="1" s="1"/>
  <c r="L89" i="4" s="1"/>
  <c r="AT89" i="1"/>
  <c r="BJ89" i="1" s="1"/>
  <c r="M89" i="4" s="1"/>
  <c r="AV89" i="1"/>
  <c r="AW89" i="1" s="1"/>
  <c r="AR112" i="1"/>
  <c r="BH112" i="1" s="1"/>
  <c r="K112" i="4" s="1"/>
  <c r="AT112" i="1"/>
  <c r="BJ112" i="1" s="1"/>
  <c r="M112" i="4" s="1"/>
  <c r="AX112" i="1"/>
  <c r="BE112" i="1" s="1"/>
  <c r="F112" i="4" s="1"/>
  <c r="AV112" i="1"/>
  <c r="AS112" i="1"/>
  <c r="BI112" i="1" s="1"/>
  <c r="L112" i="4" s="1"/>
  <c r="AQ194" i="1"/>
  <c r="AV194" i="1"/>
  <c r="AX194" i="1"/>
  <c r="BE194" i="1" s="1"/>
  <c r="F194" i="4" s="1"/>
  <c r="AR194" i="1"/>
  <c r="BH194" i="1" s="1"/>
  <c r="K194" i="4" s="1"/>
  <c r="AS66" i="1"/>
  <c r="BI66" i="1" s="1"/>
  <c r="L66" i="4" s="1"/>
  <c r="AX66" i="1"/>
  <c r="BE66" i="1" s="1"/>
  <c r="F66" i="4" s="1"/>
  <c r="AH387" i="1"/>
  <c r="AK387" i="1" s="1"/>
  <c r="AN387" i="1"/>
  <c r="AH154" i="1"/>
  <c r="AK154" i="1" s="1"/>
  <c r="AP154" i="1" s="1"/>
  <c r="AU154" i="1" s="1"/>
  <c r="AN154" i="1"/>
  <c r="AH332" i="1"/>
  <c r="AK332" i="1" s="1"/>
  <c r="AP332" i="1" s="1"/>
  <c r="AU332" i="1" s="1"/>
  <c r="AN332" i="1"/>
  <c r="AH274" i="1"/>
  <c r="AK274" i="1" s="1"/>
  <c r="AP274" i="1" s="1"/>
  <c r="AU274" i="1" s="1"/>
  <c r="AN274" i="1"/>
  <c r="AG296" i="1"/>
  <c r="AN296" i="1"/>
  <c r="AH142" i="1"/>
  <c r="AK142" i="1" s="1"/>
  <c r="AN142" i="1"/>
  <c r="AH405" i="1"/>
  <c r="AK405" i="1" s="1"/>
  <c r="AP405" i="1" s="1"/>
  <c r="AU405" i="1" s="1"/>
  <c r="AN405" i="1"/>
  <c r="AH237" i="1"/>
  <c r="AK237" i="1" s="1"/>
  <c r="AN237" i="1"/>
  <c r="AH397" i="1"/>
  <c r="AK397" i="1" s="1"/>
  <c r="AN397" i="1"/>
  <c r="AH427" i="1"/>
  <c r="AK427" i="1" s="1"/>
  <c r="AP427" i="1" s="1"/>
  <c r="AU427" i="1" s="1"/>
  <c r="AN427" i="1"/>
  <c r="AH465" i="1"/>
  <c r="AK465" i="1" s="1"/>
  <c r="AN465" i="1"/>
  <c r="AH336" i="1"/>
  <c r="AK336" i="1" s="1"/>
  <c r="AP336" i="1" s="1"/>
  <c r="AU336" i="1" s="1"/>
  <c r="AN336" i="1"/>
  <c r="AH145" i="1"/>
  <c r="AK145" i="1" s="1"/>
  <c r="AP145" i="1" s="1"/>
  <c r="AU145" i="1" s="1"/>
  <c r="AN145" i="1"/>
  <c r="AH382" i="1"/>
  <c r="AK382" i="1" s="1"/>
  <c r="AP382" i="1" s="1"/>
  <c r="AU382" i="1" s="1"/>
  <c r="AN382" i="1"/>
  <c r="AQ262" i="1"/>
  <c r="AR262" i="1"/>
  <c r="BH262" i="1" s="1"/>
  <c r="K262" i="4" s="1"/>
  <c r="AS262" i="1"/>
  <c r="BI262" i="1" s="1"/>
  <c r="L262" i="4" s="1"/>
  <c r="AV262" i="1"/>
  <c r="AT262" i="1"/>
  <c r="BJ262" i="1" s="1"/>
  <c r="M262" i="4" s="1"/>
  <c r="AX262" i="1"/>
  <c r="BE262" i="1" s="1"/>
  <c r="F262" i="4" s="1"/>
  <c r="AH407" i="1"/>
  <c r="AK407" i="1" s="1"/>
  <c r="AN407" i="1"/>
  <c r="AH311" i="1"/>
  <c r="AK311" i="1" s="1"/>
  <c r="AN311" i="1"/>
  <c r="AH48" i="1"/>
  <c r="AK48" i="1" s="1"/>
  <c r="AO48" i="1"/>
  <c r="AV117" i="1"/>
  <c r="AQ117" i="1"/>
  <c r="AS117" i="1"/>
  <c r="BI117" i="1" s="1"/>
  <c r="L117" i="4" s="1"/>
  <c r="AR117" i="1"/>
  <c r="BH117" i="1" s="1"/>
  <c r="K117" i="4" s="1"/>
  <c r="AT117" i="1"/>
  <c r="BJ117" i="1" s="1"/>
  <c r="M117" i="4" s="1"/>
  <c r="AX117" i="1"/>
  <c r="BE117" i="1" s="1"/>
  <c r="F117" i="4" s="1"/>
  <c r="AH131" i="1"/>
  <c r="AK131" i="1" s="1"/>
  <c r="AP131" i="1" s="1"/>
  <c r="AU131" i="1" s="1"/>
  <c r="AS34" i="1"/>
  <c r="BI34" i="1" s="1"/>
  <c r="L34" i="4" s="1"/>
  <c r="AR34" i="1"/>
  <c r="BH34" i="1" s="1"/>
  <c r="K34" i="4" s="1"/>
  <c r="AX34" i="1"/>
  <c r="BE34" i="1" s="1"/>
  <c r="F34" i="4" s="1"/>
  <c r="AV34" i="1"/>
  <c r="AQ34" i="1"/>
  <c r="AT34" i="1"/>
  <c r="BJ34" i="1" s="1"/>
  <c r="M34" i="4" s="1"/>
  <c r="AV412" i="1"/>
  <c r="AT412" i="1"/>
  <c r="BJ412" i="1" s="1"/>
  <c r="M412" i="4" s="1"/>
  <c r="AR412" i="1"/>
  <c r="BH412" i="1" s="1"/>
  <c r="K412" i="4" s="1"/>
  <c r="AQ412" i="1"/>
  <c r="AX412" i="1"/>
  <c r="BE412" i="1" s="1"/>
  <c r="F412" i="4" s="1"/>
  <c r="AS412" i="1"/>
  <c r="BI412" i="1" s="1"/>
  <c r="L412" i="4" s="1"/>
  <c r="AX88" i="1"/>
  <c r="BE88" i="1" s="1"/>
  <c r="F88" i="4" s="1"/>
  <c r="AV88" i="1"/>
  <c r="AR88" i="1"/>
  <c r="BH88" i="1" s="1"/>
  <c r="K88" i="4" s="1"/>
  <c r="AT88" i="1"/>
  <c r="BJ88" i="1" s="1"/>
  <c r="M88" i="4" s="1"/>
  <c r="AQ88" i="1"/>
  <c r="AS88" i="1"/>
  <c r="BI88" i="1" s="1"/>
  <c r="L88" i="4" s="1"/>
  <c r="AR391" i="1"/>
  <c r="BH391" i="1" s="1"/>
  <c r="K391" i="4" s="1"/>
  <c r="AQ391" i="1"/>
  <c r="AH218" i="1"/>
  <c r="AK218" i="1" s="1"/>
  <c r="AP218" i="1" s="1"/>
  <c r="AU218" i="1" s="1"/>
  <c r="AV493" i="1"/>
  <c r="AX493" i="1"/>
  <c r="BE493" i="1" s="1"/>
  <c r="F493" i="4" s="1"/>
  <c r="AT493" i="1"/>
  <c r="BJ493" i="1" s="1"/>
  <c r="M493" i="4" s="1"/>
  <c r="AS493" i="1"/>
  <c r="BI493" i="1" s="1"/>
  <c r="L493" i="4" s="1"/>
  <c r="AQ493" i="1"/>
  <c r="AR493" i="1"/>
  <c r="BH493" i="1" s="1"/>
  <c r="K493" i="4" s="1"/>
  <c r="AT306" i="1"/>
  <c r="BJ306" i="1" s="1"/>
  <c r="M306" i="4" s="1"/>
  <c r="AR306" i="1"/>
  <c r="BH306" i="1" s="1"/>
  <c r="K306" i="4" s="1"/>
  <c r="AV306" i="1"/>
  <c r="AH236" i="1"/>
  <c r="AK236" i="1" s="1"/>
  <c r="AP236" i="1" s="1"/>
  <c r="AU236" i="1" s="1"/>
  <c r="AH385" i="1"/>
  <c r="AK385" i="1" s="1"/>
  <c r="AP385" i="1" s="1"/>
  <c r="AU385" i="1" s="1"/>
  <c r="AX365" i="1"/>
  <c r="BE365" i="1" s="1"/>
  <c r="F365" i="4" s="1"/>
  <c r="AS365" i="1"/>
  <c r="BI365" i="1" s="1"/>
  <c r="L365" i="4" s="1"/>
  <c r="AV365" i="1"/>
  <c r="AQ365" i="1"/>
  <c r="AR365" i="1"/>
  <c r="BH365" i="1" s="1"/>
  <c r="K365" i="4" s="1"/>
  <c r="AT365" i="1"/>
  <c r="BJ365" i="1" s="1"/>
  <c r="M365" i="4" s="1"/>
  <c r="AR211" i="1"/>
  <c r="BH211" i="1" s="1"/>
  <c r="K211" i="4" s="1"/>
  <c r="AV211" i="1"/>
  <c r="AP498" i="1"/>
  <c r="AU498" i="1" s="1"/>
  <c r="AP435" i="1"/>
  <c r="AU435" i="1" s="1"/>
  <c r="AP373" i="1"/>
  <c r="AU373" i="1" s="1"/>
  <c r="AZ495" i="1"/>
  <c r="AP122" i="1"/>
  <c r="AU122" i="1" s="1"/>
  <c r="AP476" i="1"/>
  <c r="AU476" i="1" s="1"/>
  <c r="AP375" i="1"/>
  <c r="AU375" i="1" s="1"/>
  <c r="AN295" i="1"/>
  <c r="AG295" i="1"/>
  <c r="AN37" i="1"/>
  <c r="AG37" i="1"/>
  <c r="AN152" i="1"/>
  <c r="AG152" i="1"/>
  <c r="AN369" i="1"/>
  <c r="AG369" i="1"/>
  <c r="AN15" i="1"/>
  <c r="AG15" i="1"/>
  <c r="AN401" i="1"/>
  <c r="AG401" i="1"/>
  <c r="AN290" i="1"/>
  <c r="AG290" i="1"/>
  <c r="AN452" i="1"/>
  <c r="AG452" i="1"/>
  <c r="AN167" i="1"/>
  <c r="AG167" i="1"/>
  <c r="AN302" i="1"/>
  <c r="AG302" i="1"/>
  <c r="AN383" i="1"/>
  <c r="AG383" i="1"/>
  <c r="AO94" i="1"/>
  <c r="AH94" i="1"/>
  <c r="AK94" i="1" s="1"/>
  <c r="AP94" i="1" s="1"/>
  <c r="AU94" i="1" s="1"/>
  <c r="AN446" i="1"/>
  <c r="AG446" i="1"/>
  <c r="AO31" i="1"/>
  <c r="AH31" i="1"/>
  <c r="AK31" i="1" s="1"/>
  <c r="AP31" i="1" s="1"/>
  <c r="AU31" i="1" s="1"/>
  <c r="AO180" i="1"/>
  <c r="AH180" i="1"/>
  <c r="AK180" i="1" s="1"/>
  <c r="AP180" i="1" s="1"/>
  <c r="AU180" i="1" s="1"/>
  <c r="AO39" i="1"/>
  <c r="AH39" i="1"/>
  <c r="AK39" i="1" s="1"/>
  <c r="AP39" i="1" s="1"/>
  <c r="AU39" i="1" s="1"/>
  <c r="AT159" i="1"/>
  <c r="BJ159" i="1" s="1"/>
  <c r="M159" i="4" s="1"/>
  <c r="AX159" i="1"/>
  <c r="BE159" i="1" s="1"/>
  <c r="F159" i="4" s="1"/>
  <c r="AR159" i="1"/>
  <c r="BH159" i="1" s="1"/>
  <c r="K159" i="4" s="1"/>
  <c r="AV159" i="1"/>
  <c r="AQ159" i="1"/>
  <c r="AS159" i="1"/>
  <c r="BI159" i="1" s="1"/>
  <c r="L159" i="4" s="1"/>
  <c r="AH196" i="1"/>
  <c r="AK196" i="1" s="1"/>
  <c r="AP196" i="1" s="1"/>
  <c r="AU196" i="1" s="1"/>
  <c r="AO74" i="1"/>
  <c r="AH74" i="1"/>
  <c r="AK74" i="1" s="1"/>
  <c r="AP74" i="1" s="1"/>
  <c r="AU74" i="1" s="1"/>
  <c r="AH213" i="1"/>
  <c r="AK213" i="1" s="1"/>
  <c r="AP213" i="1" s="1"/>
  <c r="AU213" i="1" s="1"/>
  <c r="AS391" i="1"/>
  <c r="BI391" i="1" s="1"/>
  <c r="L391" i="4" s="1"/>
  <c r="AX391" i="1"/>
  <c r="BE391" i="1" s="1"/>
  <c r="F391" i="4" s="1"/>
  <c r="AS255" i="1"/>
  <c r="BI255" i="1" s="1"/>
  <c r="L255" i="4" s="1"/>
  <c r="AX255" i="1"/>
  <c r="BE255" i="1" s="1"/>
  <c r="F255" i="4" s="1"/>
  <c r="AV255" i="1"/>
  <c r="AR255" i="1"/>
  <c r="BH255" i="1" s="1"/>
  <c r="K255" i="4" s="1"/>
  <c r="AT255" i="1"/>
  <c r="BJ255" i="1" s="1"/>
  <c r="M255" i="4" s="1"/>
  <c r="AQ255" i="1"/>
  <c r="AQ306" i="1"/>
  <c r="AZ306" i="1" s="1"/>
  <c r="AS306" i="1"/>
  <c r="BI306" i="1" s="1"/>
  <c r="L306" i="4" s="1"/>
  <c r="BG95" i="1"/>
  <c r="J95" i="4" s="1"/>
  <c r="AW95" i="1"/>
  <c r="AQ8" i="1"/>
  <c r="AR8" i="1"/>
  <c r="BH8" i="1" s="1"/>
  <c r="K8" i="4" s="1"/>
  <c r="AS8" i="1"/>
  <c r="BI8" i="1" s="1"/>
  <c r="L8" i="4" s="1"/>
  <c r="AT8" i="1"/>
  <c r="BJ8" i="1" s="1"/>
  <c r="M8" i="4" s="1"/>
  <c r="AX8" i="1"/>
  <c r="BE8" i="1" s="1"/>
  <c r="F8" i="4" s="1"/>
  <c r="AV8" i="1"/>
  <c r="BG120" i="1"/>
  <c r="J120" i="4" s="1"/>
  <c r="AW120" i="1"/>
  <c r="BG418" i="1"/>
  <c r="J418" i="4" s="1"/>
  <c r="AW418" i="1"/>
  <c r="BG488" i="1"/>
  <c r="J488" i="4" s="1"/>
  <c r="AW488" i="1"/>
  <c r="AV354" i="1"/>
  <c r="AR354" i="1"/>
  <c r="BH354" i="1" s="1"/>
  <c r="K354" i="4" s="1"/>
  <c r="AQ359" i="1"/>
  <c r="AS359" i="1"/>
  <c r="BI359" i="1" s="1"/>
  <c r="L359" i="4" s="1"/>
  <c r="AT359" i="1"/>
  <c r="BJ359" i="1" s="1"/>
  <c r="M359" i="4" s="1"/>
  <c r="AV359" i="1"/>
  <c r="AX359" i="1"/>
  <c r="BE359" i="1" s="1"/>
  <c r="F359" i="4" s="1"/>
  <c r="AT461" i="1"/>
  <c r="BJ461" i="1" s="1"/>
  <c r="M461" i="4" s="1"/>
  <c r="AQ461" i="1"/>
  <c r="AR25" i="1"/>
  <c r="BH25" i="1" s="1"/>
  <c r="K25" i="4" s="1"/>
  <c r="AX25" i="1"/>
  <c r="BE25" i="1" s="1"/>
  <c r="F25" i="4" s="1"/>
  <c r="AO303" i="1"/>
  <c r="AH303" i="1"/>
  <c r="AK303" i="1" s="1"/>
  <c r="AP303" i="1" s="1"/>
  <c r="AU303" i="1" s="1"/>
  <c r="AR30" i="1"/>
  <c r="BH30" i="1" s="1"/>
  <c r="K30" i="4" s="1"/>
  <c r="AQ30" i="1"/>
  <c r="AR118" i="1"/>
  <c r="BH118" i="1" s="1"/>
  <c r="K118" i="4" s="1"/>
  <c r="AQ118" i="1"/>
  <c r="AX118" i="1"/>
  <c r="BE118" i="1" s="1"/>
  <c r="F118" i="4" s="1"/>
  <c r="AV118" i="1"/>
  <c r="AO312" i="1"/>
  <c r="AH312" i="1"/>
  <c r="AK312" i="1" s="1"/>
  <c r="AP312" i="1" s="1"/>
  <c r="AU312" i="1" s="1"/>
  <c r="AT312" i="1" s="1"/>
  <c r="BJ312" i="1" s="1"/>
  <c r="M312" i="4" s="1"/>
  <c r="AT455" i="1"/>
  <c r="BJ455" i="1" s="1"/>
  <c r="M455" i="4" s="1"/>
  <c r="AS253" i="1"/>
  <c r="BI253" i="1" s="1"/>
  <c r="L253" i="4" s="1"/>
  <c r="AT270" i="1"/>
  <c r="BJ270" i="1" s="1"/>
  <c r="M270" i="4" s="1"/>
  <c r="AQ270" i="1"/>
  <c r="AV253" i="1"/>
  <c r="BG253" i="1" s="1"/>
  <c r="J253" i="4" s="1"/>
  <c r="AT253" i="1"/>
  <c r="BJ253" i="1" s="1"/>
  <c r="M253" i="4" s="1"/>
  <c r="AX253" i="1"/>
  <c r="BE253" i="1" s="1"/>
  <c r="F253" i="4" s="1"/>
  <c r="AS42" i="1"/>
  <c r="BI42" i="1" s="1"/>
  <c r="L42" i="4" s="1"/>
  <c r="AT25" i="1"/>
  <c r="BJ25" i="1" s="1"/>
  <c r="M25" i="4" s="1"/>
  <c r="AZ490" i="1"/>
  <c r="AH261" i="1"/>
  <c r="AK261" i="1" s="1"/>
  <c r="AP261" i="1" s="1"/>
  <c r="AU261" i="1" s="1"/>
  <c r="AV261" i="1" s="1"/>
  <c r="BG261" i="1" s="1"/>
  <c r="J261" i="4" s="1"/>
  <c r="AH283" i="1"/>
  <c r="AK283" i="1" s="1"/>
  <c r="AP283" i="1" s="1"/>
  <c r="AU283" i="1" s="1"/>
  <c r="AX283" i="1" s="1"/>
  <c r="BE283" i="1" s="1"/>
  <c r="F283" i="4" s="1"/>
  <c r="AH98" i="1"/>
  <c r="AK98" i="1" s="1"/>
  <c r="AP98" i="1" s="1"/>
  <c r="AU98" i="1" s="1"/>
  <c r="AQ25" i="1"/>
  <c r="AW319" i="1"/>
  <c r="AY319" i="1" s="1"/>
  <c r="AT376" i="1"/>
  <c r="BJ376" i="1" s="1"/>
  <c r="M376" i="4" s="1"/>
  <c r="AH165" i="1"/>
  <c r="AK165" i="1" s="1"/>
  <c r="AP165" i="1" s="1"/>
  <c r="AU165" i="1" s="1"/>
  <c r="AH379" i="1"/>
  <c r="AK379" i="1" s="1"/>
  <c r="AP379" i="1" s="1"/>
  <c r="AU379" i="1" s="1"/>
  <c r="AS25" i="1"/>
  <c r="BI25" i="1" s="1"/>
  <c r="L25" i="4" s="1"/>
  <c r="AT13" i="1"/>
  <c r="BJ13" i="1" s="1"/>
  <c r="M13" i="4" s="1"/>
  <c r="AR13" i="1"/>
  <c r="BH13" i="1" s="1"/>
  <c r="K13" i="4" s="1"/>
  <c r="AQ13" i="1"/>
  <c r="AV13" i="1"/>
  <c r="BG13" i="1" s="1"/>
  <c r="J13" i="4" s="1"/>
  <c r="AS13" i="1"/>
  <c r="BI13" i="1" s="1"/>
  <c r="L13" i="4" s="1"/>
  <c r="AX13" i="1"/>
  <c r="BE13" i="1" s="1"/>
  <c r="F13" i="4" s="1"/>
  <c r="AV25" i="1"/>
  <c r="AZ487" i="1"/>
  <c r="AT321" i="1"/>
  <c r="BJ321" i="1" s="1"/>
  <c r="M321" i="4" s="1"/>
  <c r="AS321" i="1"/>
  <c r="BI321" i="1" s="1"/>
  <c r="L321" i="4" s="1"/>
  <c r="AR461" i="1"/>
  <c r="BH461" i="1" s="1"/>
  <c r="K461" i="4" s="1"/>
  <c r="AV461" i="1"/>
  <c r="AR321" i="1"/>
  <c r="BH321" i="1" s="1"/>
  <c r="K321" i="4" s="1"/>
  <c r="AX321" i="1"/>
  <c r="BE321" i="1" s="1"/>
  <c r="F321" i="4" s="1"/>
  <c r="AS461" i="1"/>
  <c r="BI461" i="1" s="1"/>
  <c r="L461" i="4" s="1"/>
  <c r="AX23" i="1"/>
  <c r="BE23" i="1" s="1"/>
  <c r="F23" i="4" s="1"/>
  <c r="AW356" i="1"/>
  <c r="AX461" i="1"/>
  <c r="AR374" i="1"/>
  <c r="BH374" i="1" s="1"/>
  <c r="K374" i="4" s="1"/>
  <c r="AW318" i="1"/>
  <c r="AX371" i="1"/>
  <c r="BE371" i="1" s="1"/>
  <c r="F371" i="4" s="1"/>
  <c r="AT444" i="1"/>
  <c r="BJ444" i="1" s="1"/>
  <c r="M444" i="4" s="1"/>
  <c r="AQ112" i="1"/>
  <c r="AT194" i="1"/>
  <c r="BJ194" i="1" s="1"/>
  <c r="M194" i="4" s="1"/>
  <c r="AS118" i="1"/>
  <c r="BI118" i="1" s="1"/>
  <c r="L118" i="4" s="1"/>
  <c r="AS374" i="1"/>
  <c r="BI374" i="1" s="1"/>
  <c r="L374" i="4" s="1"/>
  <c r="AV30" i="1"/>
  <c r="BG30" i="1" s="1"/>
  <c r="J30" i="4" s="1"/>
  <c r="AR359" i="1"/>
  <c r="BH359" i="1" s="1"/>
  <c r="K359" i="4" s="1"/>
  <c r="AS194" i="1"/>
  <c r="BI194" i="1" s="1"/>
  <c r="L194" i="4" s="1"/>
  <c r="AT118" i="1"/>
  <c r="BJ118" i="1" s="1"/>
  <c r="M118" i="4" s="1"/>
  <c r="AQ354" i="1"/>
  <c r="AQ222" i="1"/>
  <c r="AZ222" i="1" s="1"/>
  <c r="BG487" i="1"/>
  <c r="J487" i="4" s="1"/>
  <c r="AW487" i="1"/>
  <c r="AR444" i="1"/>
  <c r="BH444" i="1" s="1"/>
  <c r="K444" i="4" s="1"/>
  <c r="AP307" i="1"/>
  <c r="AU307" i="1" s="1"/>
  <c r="AP402" i="1"/>
  <c r="AU402" i="1" s="1"/>
  <c r="AR66" i="1"/>
  <c r="BH66" i="1" s="1"/>
  <c r="K66" i="4" s="1"/>
  <c r="AT374" i="1"/>
  <c r="BJ374" i="1" s="1"/>
  <c r="M374" i="4" s="1"/>
  <c r="AQ374" i="1"/>
  <c r="AX30" i="1"/>
  <c r="BE30" i="1" s="1"/>
  <c r="F30" i="4" s="1"/>
  <c r="AT30" i="1"/>
  <c r="BJ30" i="1" s="1"/>
  <c r="M30" i="4" s="1"/>
  <c r="AT222" i="1"/>
  <c r="BJ222" i="1" s="1"/>
  <c r="M222" i="4" s="1"/>
  <c r="AP209" i="1"/>
  <c r="AU209" i="1" s="1"/>
  <c r="AT209" i="1" s="1"/>
  <c r="BJ209" i="1" s="1"/>
  <c r="M209" i="4" s="1"/>
  <c r="AX374" i="1"/>
  <c r="BE374" i="1" s="1"/>
  <c r="F374" i="4" s="1"/>
  <c r="AS30" i="1"/>
  <c r="BI30" i="1" s="1"/>
  <c r="L30" i="4" s="1"/>
  <c r="AV222" i="1"/>
  <c r="AR222" i="1"/>
  <c r="BH222" i="1" s="1"/>
  <c r="K222" i="4" s="1"/>
  <c r="AS222" i="1"/>
  <c r="BI222" i="1" s="1"/>
  <c r="L222" i="4" s="1"/>
  <c r="AG388" i="1"/>
  <c r="AV66" i="1"/>
  <c r="AT66" i="1"/>
  <c r="BJ66" i="1" s="1"/>
  <c r="M66" i="4" s="1"/>
  <c r="AP130" i="1"/>
  <c r="AU130" i="1" s="1"/>
  <c r="AT130" i="1" s="1"/>
  <c r="BJ130" i="1" s="1"/>
  <c r="M130" i="4" s="1"/>
  <c r="AP129" i="1"/>
  <c r="AU129" i="1" s="1"/>
  <c r="AP162" i="1"/>
  <c r="AU162" i="1" s="1"/>
  <c r="AP300" i="1"/>
  <c r="AU300" i="1" s="1"/>
  <c r="AQ66" i="1"/>
  <c r="AV314" i="1"/>
  <c r="BG314" i="1" s="1"/>
  <c r="J314" i="4" s="1"/>
  <c r="AR23" i="1"/>
  <c r="BH23" i="1" s="1"/>
  <c r="K23" i="4" s="1"/>
  <c r="AS23" i="1"/>
  <c r="BI23" i="1" s="1"/>
  <c r="L23" i="4" s="1"/>
  <c r="AP323" i="1"/>
  <c r="AU323" i="1" s="1"/>
  <c r="AG84" i="1"/>
  <c r="AO84" i="1" s="1"/>
  <c r="AZ82" i="1"/>
  <c r="AR153" i="1"/>
  <c r="BH153" i="1" s="1"/>
  <c r="K153" i="4" s="1"/>
  <c r="AX153" i="1"/>
  <c r="BE153" i="1" s="1"/>
  <c r="F153" i="4" s="1"/>
  <c r="AQ153" i="1"/>
  <c r="AT153" i="1"/>
  <c r="BJ153" i="1" s="1"/>
  <c r="M153" i="4" s="1"/>
  <c r="AS153" i="1"/>
  <c r="BI153" i="1" s="1"/>
  <c r="L153" i="4" s="1"/>
  <c r="AV153" i="1"/>
  <c r="BG153" i="1" s="1"/>
  <c r="J153" i="4" s="1"/>
  <c r="AH315" i="1"/>
  <c r="AK315" i="1" s="1"/>
  <c r="AP315" i="1" s="1"/>
  <c r="AU315" i="1" s="1"/>
  <c r="AH76" i="1"/>
  <c r="AK76" i="1" s="1"/>
  <c r="AP76" i="1" s="1"/>
  <c r="AU76" i="1" s="1"/>
  <c r="AT23" i="1"/>
  <c r="BJ23" i="1" s="1"/>
  <c r="M23" i="4" s="1"/>
  <c r="AP419" i="1"/>
  <c r="AU419" i="1" s="1"/>
  <c r="AP293" i="1"/>
  <c r="AU293" i="1" s="1"/>
  <c r="AQ293" i="1" s="1"/>
  <c r="AX467" i="1"/>
  <c r="BE467" i="1" s="1"/>
  <c r="F467" i="4" s="1"/>
  <c r="AT467" i="1"/>
  <c r="BJ467" i="1" s="1"/>
  <c r="M467" i="4" s="1"/>
  <c r="AQ467" i="1"/>
  <c r="AS467" i="1"/>
  <c r="BI467" i="1" s="1"/>
  <c r="L467" i="4" s="1"/>
  <c r="AR467" i="1"/>
  <c r="BH467" i="1" s="1"/>
  <c r="K467" i="4" s="1"/>
  <c r="AV467" i="1"/>
  <c r="BG467" i="1" s="1"/>
  <c r="J467" i="4" s="1"/>
  <c r="AP164" i="1"/>
  <c r="AU164" i="1" s="1"/>
  <c r="AP3" i="1"/>
  <c r="AU3" i="1" s="1"/>
  <c r="AG170" i="1"/>
  <c r="AO170" i="1" s="1"/>
  <c r="AP415" i="1"/>
  <c r="AU415" i="1" s="1"/>
  <c r="AX415" i="1" s="1"/>
  <c r="BE415" i="1" s="1"/>
  <c r="F415" i="4" s="1"/>
  <c r="AP404" i="1"/>
  <c r="AU404" i="1" s="1"/>
  <c r="AR404" i="1" s="1"/>
  <c r="BH404" i="1" s="1"/>
  <c r="K404" i="4" s="1"/>
  <c r="BG82" i="1"/>
  <c r="J82" i="4" s="1"/>
  <c r="AW82" i="1"/>
  <c r="AP366" i="1"/>
  <c r="AU366" i="1" s="1"/>
  <c r="AH475" i="1"/>
  <c r="AK475" i="1" s="1"/>
  <c r="AP475" i="1" s="1"/>
  <c r="AU475" i="1" s="1"/>
  <c r="AH208" i="1"/>
  <c r="AK208" i="1" s="1"/>
  <c r="AP208" i="1" s="1"/>
  <c r="AU208" i="1" s="1"/>
  <c r="AT208" i="1" s="1"/>
  <c r="BJ208" i="1" s="1"/>
  <c r="M208" i="4" s="1"/>
  <c r="AN325" i="1"/>
  <c r="AH325" i="1"/>
  <c r="AK325" i="1" s="1"/>
  <c r="AP176" i="1"/>
  <c r="AU176" i="1" s="1"/>
  <c r="AP179" i="1"/>
  <c r="AU179" i="1" s="1"/>
  <c r="AP346" i="1"/>
  <c r="AU346" i="1" s="1"/>
  <c r="AP161" i="1"/>
  <c r="AU161" i="1" s="1"/>
  <c r="AH137" i="1"/>
  <c r="AK137" i="1" s="1"/>
  <c r="AP137" i="1" s="1"/>
  <c r="AU137" i="1" s="1"/>
  <c r="AH474" i="1"/>
  <c r="AK474" i="1" s="1"/>
  <c r="AP474" i="1" s="1"/>
  <c r="AU474" i="1" s="1"/>
  <c r="AG108" i="1"/>
  <c r="AP276" i="1"/>
  <c r="AU276" i="1" s="1"/>
  <c r="AT200" i="1"/>
  <c r="BJ200" i="1" s="1"/>
  <c r="M200" i="4" s="1"/>
  <c r="AS200" i="1"/>
  <c r="BI200" i="1" s="1"/>
  <c r="L200" i="4" s="1"/>
  <c r="AX200" i="1"/>
  <c r="BE200" i="1" s="1"/>
  <c r="F200" i="4" s="1"/>
  <c r="AR200" i="1"/>
  <c r="BH200" i="1" s="1"/>
  <c r="K200" i="4" s="1"/>
  <c r="AQ200" i="1"/>
  <c r="AV200" i="1"/>
  <c r="AP135" i="1"/>
  <c r="AU135" i="1" s="1"/>
  <c r="AP431" i="1"/>
  <c r="AU431" i="1" s="1"/>
  <c r="AN193" i="1"/>
  <c r="AH193" i="1"/>
  <c r="AK193" i="1" s="1"/>
  <c r="AG352" i="1"/>
  <c r="AQ204" i="1"/>
  <c r="AV455" i="1"/>
  <c r="AH453" i="1"/>
  <c r="AK453" i="1" s="1"/>
  <c r="AP453" i="1" s="1"/>
  <c r="AU453" i="1" s="1"/>
  <c r="AT453" i="1" s="1"/>
  <c r="BJ453" i="1" s="1"/>
  <c r="M453" i="4" s="1"/>
  <c r="AP492" i="1"/>
  <c r="AU492" i="1" s="1"/>
  <c r="AH85" i="1"/>
  <c r="AK85" i="1" s="1"/>
  <c r="AP85" i="1" s="1"/>
  <c r="AU85" i="1" s="1"/>
  <c r="AP347" i="1"/>
  <c r="AU347" i="1" s="1"/>
  <c r="AX241" i="1"/>
  <c r="BE241" i="1" s="1"/>
  <c r="F241" i="4" s="1"/>
  <c r="AR241" i="1"/>
  <c r="BH241" i="1" s="1"/>
  <c r="K241" i="4" s="1"/>
  <c r="AS241" i="1"/>
  <c r="BI241" i="1" s="1"/>
  <c r="L241" i="4" s="1"/>
  <c r="AT241" i="1"/>
  <c r="BJ241" i="1" s="1"/>
  <c r="M241" i="4" s="1"/>
  <c r="AQ241" i="1"/>
  <c r="AV241" i="1"/>
  <c r="AX455" i="1"/>
  <c r="BE455" i="1" s="1"/>
  <c r="F455" i="4" s="1"/>
  <c r="AP190" i="1"/>
  <c r="AU190" i="1" s="1"/>
  <c r="AP350" i="1"/>
  <c r="AU350" i="1" s="1"/>
  <c r="AP399" i="1"/>
  <c r="AU399" i="1" s="1"/>
  <c r="AH414" i="1"/>
  <c r="AK414" i="1" s="1"/>
  <c r="AP414" i="1" s="1"/>
  <c r="AU414" i="1" s="1"/>
  <c r="AP114" i="1"/>
  <c r="AU114" i="1" s="1"/>
  <c r="AP458" i="1"/>
  <c r="AU458" i="1" s="1"/>
  <c r="AT489" i="1"/>
  <c r="BJ489" i="1" s="1"/>
  <c r="M489" i="4" s="1"/>
  <c r="AS489" i="1"/>
  <c r="BI489" i="1" s="1"/>
  <c r="L489" i="4" s="1"/>
  <c r="AX489" i="1"/>
  <c r="BE489" i="1" s="1"/>
  <c r="F489" i="4" s="1"/>
  <c r="AQ489" i="1"/>
  <c r="AR489" i="1"/>
  <c r="BH489" i="1" s="1"/>
  <c r="K489" i="4" s="1"/>
  <c r="AV489" i="1"/>
  <c r="BG489" i="1" s="1"/>
  <c r="J489" i="4" s="1"/>
  <c r="AT41" i="1"/>
  <c r="BJ41" i="1" s="1"/>
  <c r="M41" i="4" s="1"/>
  <c r="AR41" i="1"/>
  <c r="BH41" i="1" s="1"/>
  <c r="K41" i="4" s="1"/>
  <c r="AX41" i="1"/>
  <c r="BE41" i="1" s="1"/>
  <c r="F41" i="4" s="1"/>
  <c r="AV41" i="1"/>
  <c r="AQ41" i="1"/>
  <c r="AS41" i="1"/>
  <c r="BI41" i="1" s="1"/>
  <c r="L41" i="4" s="1"/>
  <c r="AX457" i="1"/>
  <c r="BE457" i="1" s="1"/>
  <c r="F457" i="4" s="1"/>
  <c r="AX282" i="1"/>
  <c r="BE282" i="1" s="1"/>
  <c r="F282" i="4" s="1"/>
  <c r="AX367" i="1"/>
  <c r="BE367" i="1" s="1"/>
  <c r="F367" i="4" s="1"/>
  <c r="AV371" i="1"/>
  <c r="BG371" i="1" s="1"/>
  <c r="J371" i="4" s="1"/>
  <c r="AR371" i="1"/>
  <c r="BH371" i="1" s="1"/>
  <c r="K371" i="4" s="1"/>
  <c r="K35" i="2"/>
  <c r="K59" i="2" s="1"/>
  <c r="AP19" i="1"/>
  <c r="AU19" i="1" s="1"/>
  <c r="AG64" i="1"/>
  <c r="AO64" i="1" s="1"/>
  <c r="AP477" i="1"/>
  <c r="AU477" i="1" s="1"/>
  <c r="AP443" i="1"/>
  <c r="AU443" i="1" s="1"/>
  <c r="AP35" i="1"/>
  <c r="AU35" i="1" s="1"/>
  <c r="AP54" i="1"/>
  <c r="AU54" i="1" s="1"/>
  <c r="AP248" i="1"/>
  <c r="AU248" i="1" s="1"/>
  <c r="AV248" i="1" s="1"/>
  <c r="BG248" i="1" s="1"/>
  <c r="J248" i="4" s="1"/>
  <c r="AP183" i="1"/>
  <c r="AU183" i="1" s="1"/>
  <c r="AX183" i="1" s="1"/>
  <c r="BE183" i="1" s="1"/>
  <c r="F183" i="4" s="1"/>
  <c r="AP338" i="1"/>
  <c r="AU338" i="1" s="1"/>
  <c r="AP432" i="1"/>
  <c r="AU432" i="1" s="1"/>
  <c r="AS432" i="1" s="1"/>
  <c r="BI432" i="1" s="1"/>
  <c r="L432" i="4" s="1"/>
  <c r="AP450" i="1"/>
  <c r="AU450" i="1" s="1"/>
  <c r="AQ371" i="1"/>
  <c r="AP430" i="1"/>
  <c r="AU430" i="1" s="1"/>
  <c r="AP339" i="1"/>
  <c r="AU339" i="1" s="1"/>
  <c r="AP244" i="1"/>
  <c r="AU244" i="1" s="1"/>
  <c r="AP328" i="1"/>
  <c r="AU328" i="1" s="1"/>
  <c r="AP141" i="1"/>
  <c r="AU141" i="1" s="1"/>
  <c r="AP437" i="1"/>
  <c r="AU437" i="1" s="1"/>
  <c r="BG23" i="1"/>
  <c r="J23" i="4" s="1"/>
  <c r="AW23" i="1"/>
  <c r="AP110" i="1"/>
  <c r="AU110" i="1" s="1"/>
  <c r="AP377" i="1"/>
  <c r="AU377" i="1" s="1"/>
  <c r="AP390" i="1"/>
  <c r="AU390" i="1" s="1"/>
  <c r="AP126" i="1"/>
  <c r="AU126" i="1" s="1"/>
  <c r="AS126" i="1" s="1"/>
  <c r="BI126" i="1" s="1"/>
  <c r="L126" i="4" s="1"/>
  <c r="AP389" i="1"/>
  <c r="AU389" i="1" s="1"/>
  <c r="AP232" i="1"/>
  <c r="AU232" i="1" s="1"/>
  <c r="AP265" i="1"/>
  <c r="AU265" i="1" s="1"/>
  <c r="AP416" i="1"/>
  <c r="AU416" i="1" s="1"/>
  <c r="AT267" i="1"/>
  <c r="BJ267" i="1" s="1"/>
  <c r="M267" i="4" s="1"/>
  <c r="AR267" i="1"/>
  <c r="BH267" i="1" s="1"/>
  <c r="K267" i="4" s="1"/>
  <c r="AV267" i="1"/>
  <c r="AS267" i="1"/>
  <c r="BI267" i="1" s="1"/>
  <c r="L267" i="4" s="1"/>
  <c r="AQ267" i="1"/>
  <c r="AX267" i="1"/>
  <c r="BE267" i="1" s="1"/>
  <c r="F267" i="4" s="1"/>
  <c r="AP103" i="1"/>
  <c r="AU103" i="1" s="1"/>
  <c r="AP105" i="1"/>
  <c r="AU105" i="1" s="1"/>
  <c r="AP72" i="1"/>
  <c r="AU72" i="1" s="1"/>
  <c r="AQ214" i="1"/>
  <c r="AR214" i="1"/>
  <c r="BH214" i="1" s="1"/>
  <c r="K214" i="4" s="1"/>
  <c r="AS214" i="1"/>
  <c r="BI214" i="1" s="1"/>
  <c r="L214" i="4" s="1"/>
  <c r="AV214" i="1"/>
  <c r="BG214" i="1" s="1"/>
  <c r="J214" i="4" s="1"/>
  <c r="AT214" i="1"/>
  <c r="BJ214" i="1" s="1"/>
  <c r="M214" i="4" s="1"/>
  <c r="AX214" i="1"/>
  <c r="BE214" i="1" s="1"/>
  <c r="F214" i="4" s="1"/>
  <c r="AX376" i="1"/>
  <c r="BE376" i="1" s="1"/>
  <c r="F376" i="4" s="1"/>
  <c r="AT371" i="1"/>
  <c r="BJ371" i="1" s="1"/>
  <c r="M371" i="4" s="1"/>
  <c r="AH233" i="1"/>
  <c r="AK233" i="1" s="1"/>
  <c r="AP233" i="1" s="1"/>
  <c r="AU233" i="1" s="1"/>
  <c r="AP45" i="1"/>
  <c r="AU45" i="1" s="1"/>
  <c r="AS45" i="1" s="1"/>
  <c r="BI45" i="1" s="1"/>
  <c r="L45" i="4" s="1"/>
  <c r="AP417" i="1"/>
  <c r="AU417" i="1" s="1"/>
  <c r="AQ417" i="1" s="1"/>
  <c r="AP466" i="1"/>
  <c r="AU466" i="1" s="1"/>
  <c r="AQ466" i="1" s="1"/>
  <c r="AP449" i="1"/>
  <c r="AU449" i="1" s="1"/>
  <c r="AG351" i="1"/>
  <c r="AO351" i="1" s="1"/>
  <c r="AP58" i="1"/>
  <c r="AU58" i="1" s="1"/>
  <c r="AR58" i="1" s="1"/>
  <c r="BH58" i="1" s="1"/>
  <c r="K58" i="4" s="1"/>
  <c r="AG70" i="1"/>
  <c r="AO70" i="1" s="1"/>
  <c r="AP80" i="1"/>
  <c r="AU80" i="1" s="1"/>
  <c r="AT80" i="1" s="1"/>
  <c r="BJ80" i="1" s="1"/>
  <c r="M80" i="4" s="1"/>
  <c r="AP297" i="1"/>
  <c r="AU297" i="1" s="1"/>
  <c r="AP424" i="1"/>
  <c r="AU424" i="1" s="1"/>
  <c r="AP378" i="1"/>
  <c r="AU378" i="1" s="1"/>
  <c r="AS378" i="1" s="1"/>
  <c r="BI378" i="1" s="1"/>
  <c r="L378" i="4" s="1"/>
  <c r="AP386" i="1"/>
  <c r="AU386" i="1" s="1"/>
  <c r="AP136" i="1"/>
  <c r="AU136" i="1" s="1"/>
  <c r="AP480" i="1"/>
  <c r="AU480" i="1" s="1"/>
  <c r="AH33" i="1"/>
  <c r="AK33" i="1" s="1"/>
  <c r="AP33" i="1" s="1"/>
  <c r="AU33" i="1" s="1"/>
  <c r="AP264" i="1"/>
  <c r="AU264" i="1" s="1"/>
  <c r="AP202" i="1"/>
  <c r="AU202" i="1" s="1"/>
  <c r="AQ408" i="1"/>
  <c r="AX408" i="1"/>
  <c r="BE408" i="1" s="1"/>
  <c r="F408" i="4" s="1"/>
  <c r="AV408" i="1"/>
  <c r="AT408" i="1"/>
  <c r="BJ408" i="1" s="1"/>
  <c r="M408" i="4" s="1"/>
  <c r="AR408" i="1"/>
  <c r="BH408" i="1" s="1"/>
  <c r="K408" i="4" s="1"/>
  <c r="AS408" i="1"/>
  <c r="BI408" i="1" s="1"/>
  <c r="L408" i="4" s="1"/>
  <c r="AP364" i="1"/>
  <c r="AU364" i="1" s="1"/>
  <c r="AP343" i="1"/>
  <c r="AU343" i="1" s="1"/>
  <c r="AN286" i="1"/>
  <c r="AG286" i="1"/>
  <c r="AP20" i="1"/>
  <c r="AU20" i="1" s="1"/>
  <c r="AG472" i="1"/>
  <c r="AH271" i="1"/>
  <c r="AK271" i="1" s="1"/>
  <c r="AP271" i="1" s="1"/>
  <c r="AU271" i="1" s="1"/>
  <c r="AP184" i="1"/>
  <c r="AU184" i="1" s="1"/>
  <c r="AP201" i="1"/>
  <c r="AU201" i="1" s="1"/>
  <c r="AP59" i="1"/>
  <c r="AU59" i="1" s="1"/>
  <c r="AP394" i="1"/>
  <c r="AU394" i="1" s="1"/>
  <c r="AP292" i="1"/>
  <c r="AU292" i="1" s="1"/>
  <c r="AV358" i="1"/>
  <c r="AQ358" i="1"/>
  <c r="AS358" i="1"/>
  <c r="BI358" i="1" s="1"/>
  <c r="L358" i="4" s="1"/>
  <c r="AX358" i="1"/>
  <c r="BE358" i="1" s="1"/>
  <c r="F358" i="4" s="1"/>
  <c r="AR358" i="1"/>
  <c r="BH358" i="1" s="1"/>
  <c r="K358" i="4" s="1"/>
  <c r="AT358" i="1"/>
  <c r="BJ358" i="1" s="1"/>
  <c r="M358" i="4" s="1"/>
  <c r="AP157" i="1"/>
  <c r="AU157" i="1" s="1"/>
  <c r="AO496" i="1"/>
  <c r="AH496" i="1"/>
  <c r="AK496" i="1" s="1"/>
  <c r="AG52" i="1"/>
  <c r="AH327" i="1"/>
  <c r="AK327" i="1" s="1"/>
  <c r="AO327" i="1"/>
  <c r="AP468" i="1"/>
  <c r="AU468" i="1" s="1"/>
  <c r="AO249" i="1"/>
  <c r="AH249" i="1"/>
  <c r="AK249" i="1" s="1"/>
  <c r="AH278" i="1"/>
  <c r="AK278" i="1" s="1"/>
  <c r="AP278" i="1" s="1"/>
  <c r="AU278" i="1" s="1"/>
  <c r="AG97" i="1"/>
  <c r="AH445" i="1"/>
  <c r="AK445" i="1" s="1"/>
  <c r="AP445" i="1" s="1"/>
  <c r="AU445" i="1" s="1"/>
  <c r="AG182" i="1"/>
  <c r="AG140" i="1"/>
  <c r="AV285" i="1"/>
  <c r="BG285" i="1" s="1"/>
  <c r="J285" i="4" s="1"/>
  <c r="AR285" i="1"/>
  <c r="BH285" i="1" s="1"/>
  <c r="K285" i="4" s="1"/>
  <c r="AQ285" i="1"/>
  <c r="AS285" i="1"/>
  <c r="BI285" i="1" s="1"/>
  <c r="L285" i="4" s="1"/>
  <c r="AX285" i="1"/>
  <c r="BE285" i="1" s="1"/>
  <c r="F285" i="4" s="1"/>
  <c r="AT285" i="1"/>
  <c r="BJ285" i="1" s="1"/>
  <c r="M285" i="4" s="1"/>
  <c r="AR334" i="1"/>
  <c r="BH334" i="1" s="1"/>
  <c r="K334" i="4" s="1"/>
  <c r="AQ334" i="1"/>
  <c r="AS334" i="1"/>
  <c r="BI334" i="1" s="1"/>
  <c r="L334" i="4" s="1"/>
  <c r="AT334" i="1"/>
  <c r="BJ334" i="1" s="1"/>
  <c r="M334" i="4" s="1"/>
  <c r="AV334" i="1"/>
  <c r="AX334" i="1"/>
  <c r="BE334" i="1" s="1"/>
  <c r="F334" i="4" s="1"/>
  <c r="AN266" i="1"/>
  <c r="AG266" i="1"/>
  <c r="AO266" i="1" s="1"/>
  <c r="AQ423" i="1"/>
  <c r="AS423" i="1"/>
  <c r="BI423" i="1" s="1"/>
  <c r="L423" i="4" s="1"/>
  <c r="AX423" i="1"/>
  <c r="BE423" i="1" s="1"/>
  <c r="F423" i="4" s="1"/>
  <c r="AV423" i="1"/>
  <c r="BG423" i="1" s="1"/>
  <c r="J423" i="4" s="1"/>
  <c r="AT423" i="1"/>
  <c r="BJ423" i="1" s="1"/>
  <c r="M423" i="4" s="1"/>
  <c r="AR423" i="1"/>
  <c r="BH423" i="1" s="1"/>
  <c r="K423" i="4" s="1"/>
  <c r="AG398" i="1"/>
  <c r="AO398" i="1" s="1"/>
  <c r="AR282" i="1"/>
  <c r="BH282" i="1" s="1"/>
  <c r="K282" i="4" s="1"/>
  <c r="AH256" i="1"/>
  <c r="AK256" i="1" s="1"/>
  <c r="AP256" i="1" s="1"/>
  <c r="AU256" i="1" s="1"/>
  <c r="AP420" i="1"/>
  <c r="AU420" i="1" s="1"/>
  <c r="AP410" i="1"/>
  <c r="AU410" i="1" s="1"/>
  <c r="AO348" i="1"/>
  <c r="AH348" i="1"/>
  <c r="AK348" i="1" s="1"/>
  <c r="AH459" i="1"/>
  <c r="AK459" i="1" s="1"/>
  <c r="AP459" i="1" s="1"/>
  <c r="AU459" i="1" s="1"/>
  <c r="AP235" i="1"/>
  <c r="AU235" i="1" s="1"/>
  <c r="AP392" i="1"/>
  <c r="AU392" i="1" s="1"/>
  <c r="AP310" i="1"/>
  <c r="AU310" i="1" s="1"/>
  <c r="AP239" i="1"/>
  <c r="AU239" i="1" s="1"/>
  <c r="AP43" i="1"/>
  <c r="AU43" i="1" s="1"/>
  <c r="AP177" i="1"/>
  <c r="AU177" i="1" s="1"/>
  <c r="AH225" i="1"/>
  <c r="AK225" i="1" s="1"/>
  <c r="AP225" i="1" s="1"/>
  <c r="AU225" i="1" s="1"/>
  <c r="AP340" i="1"/>
  <c r="AU340" i="1" s="1"/>
  <c r="AH113" i="1"/>
  <c r="AK113" i="1" s="1"/>
  <c r="AP113" i="1" s="1"/>
  <c r="AU113" i="1" s="1"/>
  <c r="AP272" i="1"/>
  <c r="AU272" i="1" s="1"/>
  <c r="AP147" i="1"/>
  <c r="AU147" i="1" s="1"/>
  <c r="AP438" i="1"/>
  <c r="AU438" i="1" s="1"/>
  <c r="AN24" i="1"/>
  <c r="AG24" i="1"/>
  <c r="AG298" i="1"/>
  <c r="AG381" i="1"/>
  <c r="AG486" i="1"/>
  <c r="AG372" i="1"/>
  <c r="AO372" i="1" s="1"/>
  <c r="AG44" i="1"/>
  <c r="AO44" i="1" s="1"/>
  <c r="AO361" i="1"/>
  <c r="AH361" i="1"/>
  <c r="AK361" i="1" s="1"/>
  <c r="AN29" i="1"/>
  <c r="AG29" i="1"/>
  <c r="AO29" i="1" s="1"/>
  <c r="AG396" i="1"/>
  <c r="AG322" i="1"/>
  <c r="AG355" i="1"/>
  <c r="AO355" i="1" s="1"/>
  <c r="AG217" i="1"/>
  <c r="AO217" i="1" s="1"/>
  <c r="AG38" i="1"/>
  <c r="AG247" i="1"/>
  <c r="AO247" i="1" s="1"/>
  <c r="AT457" i="1"/>
  <c r="BJ457" i="1" s="1"/>
  <c r="M457" i="4" s="1"/>
  <c r="AS282" i="1"/>
  <c r="BI282" i="1" s="1"/>
  <c r="L282" i="4" s="1"/>
  <c r="AP245" i="1"/>
  <c r="AU245" i="1" s="1"/>
  <c r="AP479" i="1"/>
  <c r="AU479" i="1" s="1"/>
  <c r="AR479" i="1" s="1"/>
  <c r="BH479" i="1" s="1"/>
  <c r="K479" i="4" s="1"/>
  <c r="AS444" i="1"/>
  <c r="BI444" i="1" s="1"/>
  <c r="L444" i="4" s="1"/>
  <c r="AQ444" i="1"/>
  <c r="AZ444" i="1" s="1"/>
  <c r="AP47" i="1"/>
  <c r="AU47" i="1" s="1"/>
  <c r="AP258" i="1"/>
  <c r="AU258" i="1" s="1"/>
  <c r="AH132" i="1"/>
  <c r="AK132" i="1" s="1"/>
  <c r="AP132" i="1" s="1"/>
  <c r="AU132" i="1" s="1"/>
  <c r="AP10" i="1"/>
  <c r="AU10" i="1" s="1"/>
  <c r="AH146" i="1"/>
  <c r="AK146" i="1" s="1"/>
  <c r="AP146" i="1" s="1"/>
  <c r="AU146" i="1" s="1"/>
  <c r="AV457" i="1"/>
  <c r="BG457" i="1" s="1"/>
  <c r="J457" i="4" s="1"/>
  <c r="AS367" i="1"/>
  <c r="BI367" i="1" s="1"/>
  <c r="L367" i="4" s="1"/>
  <c r="AV444" i="1"/>
  <c r="BG444" i="1" s="1"/>
  <c r="J444" i="4" s="1"/>
  <c r="AP128" i="1"/>
  <c r="AU128" i="1" s="1"/>
  <c r="AT128" i="1" s="1"/>
  <c r="BJ128" i="1" s="1"/>
  <c r="M128" i="4" s="1"/>
  <c r="AR107" i="1"/>
  <c r="BH107" i="1" s="1"/>
  <c r="K107" i="4" s="1"/>
  <c r="AX107" i="1"/>
  <c r="BE107" i="1" s="1"/>
  <c r="F107" i="4" s="1"/>
  <c r="AV107" i="1"/>
  <c r="BG107" i="1" s="1"/>
  <c r="J107" i="4" s="1"/>
  <c r="AQ107" i="1"/>
  <c r="AT107" i="1"/>
  <c r="BJ107" i="1" s="1"/>
  <c r="M107" i="4" s="1"/>
  <c r="AS107" i="1"/>
  <c r="BI107" i="1" s="1"/>
  <c r="L107" i="4" s="1"/>
  <c r="AH299" i="1"/>
  <c r="AK299" i="1" s="1"/>
  <c r="AP299" i="1" s="1"/>
  <c r="AU299" i="1" s="1"/>
  <c r="AX111" i="1"/>
  <c r="BE111" i="1" s="1"/>
  <c r="F111" i="4" s="1"/>
  <c r="AV111" i="1"/>
  <c r="AQ111" i="1"/>
  <c r="AS111" i="1"/>
  <c r="BI111" i="1" s="1"/>
  <c r="L111" i="4" s="1"/>
  <c r="AR111" i="1"/>
  <c r="BH111" i="1" s="1"/>
  <c r="K111" i="4" s="1"/>
  <c r="AT111" i="1"/>
  <c r="BJ111" i="1" s="1"/>
  <c r="M111" i="4" s="1"/>
  <c r="AT324" i="1"/>
  <c r="BJ324" i="1" s="1"/>
  <c r="M324" i="4" s="1"/>
  <c r="AX324" i="1"/>
  <c r="BE324" i="1" s="1"/>
  <c r="F324" i="4" s="1"/>
  <c r="AQ324" i="1"/>
  <c r="AV324" i="1"/>
  <c r="AS324" i="1"/>
  <c r="BI324" i="1" s="1"/>
  <c r="L324" i="4" s="1"/>
  <c r="AR324" i="1"/>
  <c r="BH324" i="1" s="1"/>
  <c r="K324" i="4" s="1"/>
  <c r="AH71" i="1"/>
  <c r="AK71" i="1" s="1"/>
  <c r="AP71" i="1" s="1"/>
  <c r="AU71" i="1" s="1"/>
  <c r="AO308" i="1"/>
  <c r="AH308" i="1"/>
  <c r="AK308" i="1" s="1"/>
  <c r="AV26" i="1"/>
  <c r="AQ26" i="1"/>
  <c r="AX26" i="1"/>
  <c r="BE26" i="1" s="1"/>
  <c r="F26" i="4" s="1"/>
  <c r="AS26" i="1"/>
  <c r="BI26" i="1" s="1"/>
  <c r="L26" i="4" s="1"/>
  <c r="AT26" i="1"/>
  <c r="BJ26" i="1" s="1"/>
  <c r="M26" i="4" s="1"/>
  <c r="AR26" i="1"/>
  <c r="BH26" i="1" s="1"/>
  <c r="K26" i="4" s="1"/>
  <c r="AS457" i="1"/>
  <c r="BI457" i="1" s="1"/>
  <c r="L457" i="4" s="1"/>
  <c r="AQ291" i="1"/>
  <c r="AV282" i="1"/>
  <c r="BG282" i="1" s="1"/>
  <c r="J282" i="4" s="1"/>
  <c r="AQ282" i="1"/>
  <c r="AS376" i="1"/>
  <c r="BI376" i="1" s="1"/>
  <c r="L376" i="4" s="1"/>
  <c r="AQ376" i="1"/>
  <c r="AT367" i="1"/>
  <c r="BJ367" i="1" s="1"/>
  <c r="M367" i="4" s="1"/>
  <c r="AH341" i="1"/>
  <c r="AK341" i="1" s="1"/>
  <c r="AP341" i="1" s="1"/>
  <c r="AU341" i="1" s="1"/>
  <c r="AS314" i="1"/>
  <c r="BI314" i="1" s="1"/>
  <c r="L314" i="4" s="1"/>
  <c r="AQ457" i="1"/>
  <c r="AT282" i="1"/>
  <c r="BJ282" i="1" s="1"/>
  <c r="M282" i="4" s="1"/>
  <c r="AR367" i="1"/>
  <c r="BH367" i="1" s="1"/>
  <c r="K367" i="4" s="1"/>
  <c r="AQ367" i="1"/>
  <c r="AX314" i="1"/>
  <c r="BE314" i="1" s="1"/>
  <c r="F314" i="4" s="1"/>
  <c r="AQ314" i="1"/>
  <c r="AH393" i="1"/>
  <c r="AK393" i="1" s="1"/>
  <c r="AP393" i="1" s="1"/>
  <c r="AU393" i="1" s="1"/>
  <c r="AX204" i="1"/>
  <c r="BE204" i="1" s="1"/>
  <c r="F204" i="4" s="1"/>
  <c r="AV376" i="1"/>
  <c r="AP2" i="1"/>
  <c r="AU2" i="1" s="1"/>
  <c r="AP57" i="1"/>
  <c r="AU57" i="1" s="1"/>
  <c r="AP471" i="1"/>
  <c r="AU471" i="1" s="1"/>
  <c r="AP198" i="1"/>
  <c r="AU198" i="1" s="1"/>
  <c r="AT314" i="1"/>
  <c r="BJ314" i="1" s="1"/>
  <c r="M314" i="4" s="1"/>
  <c r="AP269" i="1"/>
  <c r="AU269" i="1" s="1"/>
  <c r="AS269" i="1" s="1"/>
  <c r="BI269" i="1" s="1"/>
  <c r="L269" i="4" s="1"/>
  <c r="AH49" i="1"/>
  <c r="AK49" i="1" s="1"/>
  <c r="AP49" i="1" s="1"/>
  <c r="AU49" i="1" s="1"/>
  <c r="AP138" i="1"/>
  <c r="AU138" i="1" s="1"/>
  <c r="AS331" i="1"/>
  <c r="BI331" i="1" s="1"/>
  <c r="L331" i="4" s="1"/>
  <c r="AT331" i="1"/>
  <c r="BJ331" i="1" s="1"/>
  <c r="M331" i="4" s="1"/>
  <c r="AV331" i="1"/>
  <c r="BG331" i="1" s="1"/>
  <c r="J331" i="4" s="1"/>
  <c r="AQ331" i="1"/>
  <c r="AX331" i="1"/>
  <c r="BE331" i="1" s="1"/>
  <c r="F331" i="4" s="1"/>
  <c r="AR331" i="1"/>
  <c r="BH331" i="1" s="1"/>
  <c r="K331" i="4" s="1"/>
  <c r="AW374" i="1"/>
  <c r="AP212" i="1"/>
  <c r="AU212" i="1" s="1"/>
  <c r="AP188" i="1"/>
  <c r="AU188" i="1" s="1"/>
  <c r="AP172" i="1"/>
  <c r="AU172" i="1" s="1"/>
  <c r="AR172" i="1" s="1"/>
  <c r="BH172" i="1" s="1"/>
  <c r="K172" i="4" s="1"/>
  <c r="AP344" i="1"/>
  <c r="AU344" i="1" s="1"/>
  <c r="AP51" i="1"/>
  <c r="AU51" i="1" s="1"/>
  <c r="AR428" i="1"/>
  <c r="BH428" i="1" s="1"/>
  <c r="K428" i="4" s="1"/>
  <c r="AT428" i="1"/>
  <c r="BJ428" i="1" s="1"/>
  <c r="M428" i="4" s="1"/>
  <c r="AV428" i="1"/>
  <c r="BG428" i="1" s="1"/>
  <c r="J428" i="4" s="1"/>
  <c r="AQ428" i="1"/>
  <c r="AX428" i="1"/>
  <c r="BE428" i="1" s="1"/>
  <c r="F428" i="4" s="1"/>
  <c r="AS428" i="1"/>
  <c r="BI428" i="1" s="1"/>
  <c r="L428" i="4" s="1"/>
  <c r="AZ279" i="1"/>
  <c r="AQ106" i="1"/>
  <c r="AT106" i="1"/>
  <c r="BJ106" i="1" s="1"/>
  <c r="M106" i="4" s="1"/>
  <c r="AS106" i="1"/>
  <c r="BI106" i="1" s="1"/>
  <c r="L106" i="4" s="1"/>
  <c r="AV106" i="1"/>
  <c r="AR106" i="1"/>
  <c r="BH106" i="1" s="1"/>
  <c r="K106" i="4" s="1"/>
  <c r="AX106" i="1"/>
  <c r="BE106" i="1" s="1"/>
  <c r="F106" i="4" s="1"/>
  <c r="BG279" i="1"/>
  <c r="J279" i="4" s="1"/>
  <c r="AW279" i="1"/>
  <c r="AP439" i="1"/>
  <c r="AU439" i="1" s="1"/>
  <c r="AP441" i="1"/>
  <c r="AU441" i="1" s="1"/>
  <c r="AT441" i="1" s="1"/>
  <c r="BJ441" i="1" s="1"/>
  <c r="M441" i="4" s="1"/>
  <c r="AP50" i="1"/>
  <c r="AU50" i="1" s="1"/>
  <c r="AR50" i="1" s="1"/>
  <c r="BH50" i="1" s="1"/>
  <c r="K50" i="4" s="1"/>
  <c r="AP335" i="1"/>
  <c r="AU335" i="1" s="1"/>
  <c r="AP178" i="1"/>
  <c r="AU178" i="1" s="1"/>
  <c r="AP93" i="1"/>
  <c r="AU93" i="1" s="1"/>
  <c r="AP195" i="1"/>
  <c r="AU195" i="1" s="1"/>
  <c r="AQ195" i="1" s="1"/>
  <c r="AS204" i="1"/>
  <c r="BI204" i="1" s="1"/>
  <c r="L204" i="4" s="1"/>
  <c r="AS291" i="1"/>
  <c r="BI291" i="1" s="1"/>
  <c r="L291" i="4" s="1"/>
  <c r="AH116" i="1"/>
  <c r="AK116" i="1" s="1"/>
  <c r="AP116" i="1" s="1"/>
  <c r="AU116" i="1" s="1"/>
  <c r="AV116" i="1" s="1"/>
  <c r="BG116" i="1" s="1"/>
  <c r="J116" i="4" s="1"/>
  <c r="AP409" i="1"/>
  <c r="AU409" i="1" s="1"/>
  <c r="AP313" i="1"/>
  <c r="AU313" i="1" s="1"/>
  <c r="AS313" i="1" s="1"/>
  <c r="BI313" i="1" s="1"/>
  <c r="L313" i="4" s="1"/>
  <c r="AP478" i="1"/>
  <c r="AU478" i="1" s="1"/>
  <c r="AP125" i="1"/>
  <c r="AU125" i="1" s="1"/>
  <c r="AQ125" i="1" s="1"/>
  <c r="AP166" i="1"/>
  <c r="AU166" i="1" s="1"/>
  <c r="AP259" i="1"/>
  <c r="AU259" i="1" s="1"/>
  <c r="AX259" i="1" s="1"/>
  <c r="BE259" i="1" s="1"/>
  <c r="F259" i="4" s="1"/>
  <c r="AP158" i="1"/>
  <c r="AU158" i="1" s="1"/>
  <c r="AO21" i="1"/>
  <c r="AH21" i="1"/>
  <c r="AK21" i="1" s="1"/>
  <c r="AZ207" i="1"/>
  <c r="AP349" i="1"/>
  <c r="AU349" i="1" s="1"/>
  <c r="AW240" i="1"/>
  <c r="AY240" i="1" s="1"/>
  <c r="AR204" i="1"/>
  <c r="BH204" i="1" s="1"/>
  <c r="K204" i="4" s="1"/>
  <c r="AP433" i="1"/>
  <c r="AU433" i="1" s="1"/>
  <c r="AP139" i="1"/>
  <c r="AU139" i="1" s="1"/>
  <c r="AT139" i="1" s="1"/>
  <c r="BJ139" i="1" s="1"/>
  <c r="M139" i="4" s="1"/>
  <c r="AP175" i="1"/>
  <c r="AU175" i="1" s="1"/>
  <c r="AS175" i="1" s="1"/>
  <c r="BI175" i="1" s="1"/>
  <c r="L175" i="4" s="1"/>
  <c r="AP228" i="1"/>
  <c r="AU228" i="1" s="1"/>
  <c r="AP238" i="1"/>
  <c r="AU238" i="1" s="1"/>
  <c r="AV238" i="1" s="1"/>
  <c r="AP210" i="1"/>
  <c r="AU210" i="1" s="1"/>
  <c r="AS210" i="1" s="1"/>
  <c r="BI210" i="1" s="1"/>
  <c r="L210" i="4" s="1"/>
  <c r="AP143" i="1"/>
  <c r="AU143" i="1" s="1"/>
  <c r="AP460" i="1"/>
  <c r="AU460" i="1" s="1"/>
  <c r="AX460" i="1" s="1"/>
  <c r="BE460" i="1" s="1"/>
  <c r="F460" i="4" s="1"/>
  <c r="AP134" i="1"/>
  <c r="AU134" i="1" s="1"/>
  <c r="AP87" i="1"/>
  <c r="AU87" i="1" s="1"/>
  <c r="AP304" i="1"/>
  <c r="AU304" i="1" s="1"/>
  <c r="AP425" i="1"/>
  <c r="AU425" i="1" s="1"/>
  <c r="AH16" i="1"/>
  <c r="AK16" i="1" s="1"/>
  <c r="AP16" i="1" s="1"/>
  <c r="AU16" i="1" s="1"/>
  <c r="AH403" i="1"/>
  <c r="AK403" i="1" s="1"/>
  <c r="AP403" i="1" s="1"/>
  <c r="AU403" i="1" s="1"/>
  <c r="AQ455" i="1"/>
  <c r="AR455" i="1"/>
  <c r="BH455" i="1" s="1"/>
  <c r="K455" i="4" s="1"/>
  <c r="AS455" i="1"/>
  <c r="BI455" i="1" s="1"/>
  <c r="L455" i="4" s="1"/>
  <c r="BG207" i="1"/>
  <c r="J207" i="4" s="1"/>
  <c r="AW207" i="1"/>
  <c r="AH124" i="1"/>
  <c r="AK124" i="1" s="1"/>
  <c r="AP124" i="1" s="1"/>
  <c r="AU124" i="1" s="1"/>
  <c r="AZ55" i="1"/>
  <c r="AQ227" i="1"/>
  <c r="AS227" i="1"/>
  <c r="BI227" i="1" s="1"/>
  <c r="L227" i="4" s="1"/>
  <c r="AX227" i="1"/>
  <c r="BE227" i="1" s="1"/>
  <c r="F227" i="4" s="1"/>
  <c r="AR227" i="1"/>
  <c r="BH227" i="1" s="1"/>
  <c r="K227" i="4" s="1"/>
  <c r="AV227" i="1"/>
  <c r="AT227" i="1"/>
  <c r="BJ227" i="1" s="1"/>
  <c r="M227" i="4" s="1"/>
  <c r="AO68" i="1"/>
  <c r="AH68" i="1"/>
  <c r="AK68" i="1" s="1"/>
  <c r="AP14" i="1"/>
  <c r="AU14" i="1" s="1"/>
  <c r="AP252" i="1"/>
  <c r="AU252" i="1" s="1"/>
  <c r="AP91" i="1"/>
  <c r="AU91" i="1" s="1"/>
  <c r="AR91" i="1" s="1"/>
  <c r="BH91" i="1" s="1"/>
  <c r="K91" i="4" s="1"/>
  <c r="AP451" i="1"/>
  <c r="AU451" i="1" s="1"/>
  <c r="AV451" i="1" s="1"/>
  <c r="AP473" i="1"/>
  <c r="AU473" i="1" s="1"/>
  <c r="AP268" i="1"/>
  <c r="AU268" i="1" s="1"/>
  <c r="AV268" i="1" s="1"/>
  <c r="AP485" i="1"/>
  <c r="AU485" i="1" s="1"/>
  <c r="AH230" i="1"/>
  <c r="AK230" i="1" s="1"/>
  <c r="AP230" i="1" s="1"/>
  <c r="AU230" i="1" s="1"/>
  <c r="AQ230" i="1" s="1"/>
  <c r="AP17" i="1"/>
  <c r="AU17" i="1" s="1"/>
  <c r="AP150" i="1"/>
  <c r="AU150" i="1" s="1"/>
  <c r="AP53" i="1"/>
  <c r="AU53" i="1" s="1"/>
  <c r="AV53" i="1" s="1"/>
  <c r="AP413" i="1"/>
  <c r="AU413" i="1" s="1"/>
  <c r="AQ413" i="1" s="1"/>
  <c r="AP329" i="1"/>
  <c r="AU329" i="1" s="1"/>
  <c r="AP448" i="1"/>
  <c r="AU448" i="1" s="1"/>
  <c r="AP62" i="1"/>
  <c r="AU62" i="1" s="1"/>
  <c r="AV320" i="1"/>
  <c r="BG320" i="1" s="1"/>
  <c r="J320" i="4" s="1"/>
  <c r="AT320" i="1"/>
  <c r="BJ320" i="1" s="1"/>
  <c r="M320" i="4" s="1"/>
  <c r="AR320" i="1"/>
  <c r="BH320" i="1" s="1"/>
  <c r="K320" i="4" s="1"/>
  <c r="AX320" i="1"/>
  <c r="BE320" i="1" s="1"/>
  <c r="F320" i="4" s="1"/>
  <c r="AQ320" i="1"/>
  <c r="AS320" i="1"/>
  <c r="BI320" i="1" s="1"/>
  <c r="L320" i="4" s="1"/>
  <c r="AP221" i="1"/>
  <c r="AU221" i="1" s="1"/>
  <c r="AR257" i="1"/>
  <c r="BH257" i="1" s="1"/>
  <c r="K257" i="4" s="1"/>
  <c r="AX257" i="1"/>
  <c r="BE257" i="1" s="1"/>
  <c r="F257" i="4" s="1"/>
  <c r="AS257" i="1"/>
  <c r="BI257" i="1" s="1"/>
  <c r="L257" i="4" s="1"/>
  <c r="AV257" i="1"/>
  <c r="BG257" i="1" s="1"/>
  <c r="J257" i="4" s="1"/>
  <c r="AQ257" i="1"/>
  <c r="AT257" i="1"/>
  <c r="BJ257" i="1" s="1"/>
  <c r="M257" i="4" s="1"/>
  <c r="AV301" i="1"/>
  <c r="BG301" i="1" s="1"/>
  <c r="J301" i="4" s="1"/>
  <c r="AS301" i="1"/>
  <c r="BI301" i="1" s="1"/>
  <c r="L301" i="4" s="1"/>
  <c r="AQ301" i="1"/>
  <c r="AX301" i="1"/>
  <c r="BE301" i="1" s="1"/>
  <c r="F301" i="4" s="1"/>
  <c r="AR301" i="1"/>
  <c r="BH301" i="1" s="1"/>
  <c r="K301" i="4" s="1"/>
  <c r="AT301" i="1"/>
  <c r="BJ301" i="1" s="1"/>
  <c r="M301" i="4" s="1"/>
  <c r="AO187" i="1"/>
  <c r="AH187" i="1"/>
  <c r="AK187" i="1" s="1"/>
  <c r="AT226" i="1"/>
  <c r="BJ226" i="1" s="1"/>
  <c r="M226" i="4" s="1"/>
  <c r="AS226" i="1"/>
  <c r="BI226" i="1" s="1"/>
  <c r="L226" i="4" s="1"/>
  <c r="AR226" i="1"/>
  <c r="BH226" i="1" s="1"/>
  <c r="K226" i="4" s="1"/>
  <c r="AV226" i="1"/>
  <c r="AX226" i="1"/>
  <c r="BE226" i="1" s="1"/>
  <c r="F226" i="4" s="1"/>
  <c r="AQ226" i="1"/>
  <c r="AV32" i="1"/>
  <c r="AQ32" i="1"/>
  <c r="AT32" i="1"/>
  <c r="BJ32" i="1" s="1"/>
  <c r="M32" i="4" s="1"/>
  <c r="AX32" i="1"/>
  <c r="BE32" i="1" s="1"/>
  <c r="F32" i="4" s="1"/>
  <c r="AS32" i="1"/>
  <c r="BI32" i="1" s="1"/>
  <c r="L32" i="4" s="1"/>
  <c r="AR32" i="1"/>
  <c r="BH32" i="1" s="1"/>
  <c r="K32" i="4" s="1"/>
  <c r="AS250" i="1"/>
  <c r="BI250" i="1" s="1"/>
  <c r="L250" i="4" s="1"/>
  <c r="AX250" i="1"/>
  <c r="BE250" i="1" s="1"/>
  <c r="F250" i="4" s="1"/>
  <c r="AV250" i="1"/>
  <c r="BG250" i="1" s="1"/>
  <c r="J250" i="4" s="1"/>
  <c r="AQ250" i="1"/>
  <c r="AT250" i="1"/>
  <c r="BJ250" i="1" s="1"/>
  <c r="M250" i="4" s="1"/>
  <c r="AR250" i="1"/>
  <c r="BH250" i="1" s="1"/>
  <c r="K250" i="4" s="1"/>
  <c r="AP100" i="1"/>
  <c r="AU100" i="1" s="1"/>
  <c r="AP463" i="1"/>
  <c r="AU463" i="1" s="1"/>
  <c r="AP434" i="1"/>
  <c r="AU434" i="1" s="1"/>
  <c r="AT434" i="1" s="1"/>
  <c r="BJ434" i="1" s="1"/>
  <c r="M434" i="4" s="1"/>
  <c r="AP483" i="1"/>
  <c r="AU483" i="1" s="1"/>
  <c r="AQ483" i="1" s="1"/>
  <c r="AP46" i="1"/>
  <c r="AU46" i="1" s="1"/>
  <c r="AR46" i="1" s="1"/>
  <c r="BH46" i="1" s="1"/>
  <c r="K46" i="4" s="1"/>
  <c r="AP422" i="1"/>
  <c r="AU422" i="1" s="1"/>
  <c r="AP27" i="1"/>
  <c r="AU27" i="1" s="1"/>
  <c r="AQ27" i="1" s="1"/>
  <c r="AP440" i="1"/>
  <c r="AU440" i="1" s="1"/>
  <c r="AR440" i="1" s="1"/>
  <c r="BH440" i="1" s="1"/>
  <c r="K440" i="4" s="1"/>
  <c r="AP216" i="1"/>
  <c r="AU216" i="1" s="1"/>
  <c r="AP36" i="1"/>
  <c r="AU36" i="1" s="1"/>
  <c r="AP288" i="1"/>
  <c r="AU288" i="1" s="1"/>
  <c r="AP199" i="1"/>
  <c r="AU199" i="1" s="1"/>
  <c r="AP482" i="1"/>
  <c r="AU482" i="1" s="1"/>
  <c r="AP280" i="1"/>
  <c r="AU280" i="1" s="1"/>
  <c r="AP96" i="1"/>
  <c r="AU96" i="1" s="1"/>
  <c r="AP75" i="1"/>
  <c r="AU75" i="1" s="1"/>
  <c r="AP326" i="1"/>
  <c r="AU326" i="1" s="1"/>
  <c r="AP436" i="1"/>
  <c r="AU436" i="1" s="1"/>
  <c r="AP243" i="1"/>
  <c r="AU243" i="1" s="1"/>
  <c r="AP481" i="1"/>
  <c r="AU481" i="1" s="1"/>
  <c r="AO6" i="1"/>
  <c r="AH6" i="1"/>
  <c r="AK6" i="1" s="1"/>
  <c r="AV204" i="1"/>
  <c r="AW204" i="1" s="1"/>
  <c r="AV291" i="1"/>
  <c r="AW291" i="1" s="1"/>
  <c r="AT291" i="1"/>
  <c r="BJ291" i="1" s="1"/>
  <c r="M291" i="4" s="1"/>
  <c r="AP192" i="1"/>
  <c r="AU192" i="1" s="1"/>
  <c r="AP497" i="1"/>
  <c r="AU497" i="1" s="1"/>
  <c r="AH380" i="1"/>
  <c r="AK380" i="1" s="1"/>
  <c r="AP380" i="1" s="1"/>
  <c r="AU380" i="1" s="1"/>
  <c r="AH181" i="1"/>
  <c r="AK181" i="1" s="1"/>
  <c r="AP181" i="1" s="1"/>
  <c r="AU181" i="1" s="1"/>
  <c r="AP163" i="1"/>
  <c r="AU163" i="1" s="1"/>
  <c r="AR251" i="1"/>
  <c r="BH251" i="1" s="1"/>
  <c r="K251" i="4" s="1"/>
  <c r="AX251" i="1"/>
  <c r="BE251" i="1" s="1"/>
  <c r="F251" i="4" s="1"/>
  <c r="AS251" i="1"/>
  <c r="BI251" i="1" s="1"/>
  <c r="L251" i="4" s="1"/>
  <c r="AQ251" i="1"/>
  <c r="AT251" i="1"/>
  <c r="BJ251" i="1" s="1"/>
  <c r="M251" i="4" s="1"/>
  <c r="AV251" i="1"/>
  <c r="BG251" i="1" s="1"/>
  <c r="J251" i="4" s="1"/>
  <c r="AP363" i="1"/>
  <c r="AU363" i="1" s="1"/>
  <c r="AS67" i="1"/>
  <c r="BI67" i="1" s="1"/>
  <c r="L67" i="4" s="1"/>
  <c r="AT67" i="1"/>
  <c r="BJ67" i="1" s="1"/>
  <c r="M67" i="4" s="1"/>
  <c r="AV67" i="1"/>
  <c r="AQ67" i="1"/>
  <c r="AX67" i="1"/>
  <c r="BE67" i="1" s="1"/>
  <c r="F67" i="4" s="1"/>
  <c r="AR67" i="1"/>
  <c r="BH67" i="1" s="1"/>
  <c r="K67" i="4" s="1"/>
  <c r="AX362" i="1"/>
  <c r="BE362" i="1" s="1"/>
  <c r="F362" i="4" s="1"/>
  <c r="AS362" i="1"/>
  <c r="BI362" i="1" s="1"/>
  <c r="L362" i="4" s="1"/>
  <c r="AQ362" i="1"/>
  <c r="AR362" i="1"/>
  <c r="BH362" i="1" s="1"/>
  <c r="K362" i="4" s="1"/>
  <c r="AT362" i="1"/>
  <c r="BJ362" i="1" s="1"/>
  <c r="M362" i="4" s="1"/>
  <c r="AV362" i="1"/>
  <c r="AO171" i="1"/>
  <c r="AH171" i="1"/>
  <c r="AK171" i="1" s="1"/>
  <c r="AX291" i="1"/>
  <c r="BE291" i="1" s="1"/>
  <c r="F291" i="4" s="1"/>
  <c r="AP156" i="1"/>
  <c r="AU156" i="1" s="1"/>
  <c r="AP77" i="1"/>
  <c r="AU77" i="1" s="1"/>
  <c r="AP101" i="1"/>
  <c r="AU101" i="1" s="1"/>
  <c r="AV160" i="1"/>
  <c r="BG160" i="1" s="1"/>
  <c r="J160" i="4" s="1"/>
  <c r="AR160" i="1"/>
  <c r="BH160" i="1" s="1"/>
  <c r="K160" i="4" s="1"/>
  <c r="AX160" i="1"/>
  <c r="BE160" i="1" s="1"/>
  <c r="F160" i="4" s="1"/>
  <c r="AQ160" i="1"/>
  <c r="AT160" i="1"/>
  <c r="BJ160" i="1" s="1"/>
  <c r="M160" i="4" s="1"/>
  <c r="AS160" i="1"/>
  <c r="BI160" i="1" s="1"/>
  <c r="L160" i="4" s="1"/>
  <c r="AP121" i="1"/>
  <c r="AU121" i="1" s="1"/>
  <c r="AP115" i="1"/>
  <c r="AU115" i="1" s="1"/>
  <c r="AP400" i="1"/>
  <c r="AU400" i="1" s="1"/>
  <c r="AH357" i="1"/>
  <c r="AK357" i="1" s="1"/>
  <c r="AP357" i="1" s="1"/>
  <c r="AU357" i="1" s="1"/>
  <c r="AO86" i="1"/>
  <c r="AH86" i="1"/>
  <c r="AK86" i="1" s="1"/>
  <c r="BG367" i="1"/>
  <c r="J367" i="4" s="1"/>
  <c r="AW367" i="1"/>
  <c r="AP234" i="1"/>
  <c r="AU234" i="1" s="1"/>
  <c r="AR234" i="1" s="1"/>
  <c r="BH234" i="1" s="1"/>
  <c r="K234" i="4" s="1"/>
  <c r="BG55" i="1"/>
  <c r="J55" i="4" s="1"/>
  <c r="AW55" i="1"/>
  <c r="AP246" i="1"/>
  <c r="AU246" i="1" s="1"/>
  <c r="AQ185" i="1"/>
  <c r="AS185" i="1"/>
  <c r="BI185" i="1" s="1"/>
  <c r="L185" i="4" s="1"/>
  <c r="AT185" i="1"/>
  <c r="BJ185" i="1" s="1"/>
  <c r="M185" i="4" s="1"/>
  <c r="AX185" i="1"/>
  <c r="BE185" i="1" s="1"/>
  <c r="F185" i="4" s="1"/>
  <c r="AV185" i="1"/>
  <c r="BG185" i="1" s="1"/>
  <c r="J185" i="4" s="1"/>
  <c r="AR185" i="1"/>
  <c r="BH185" i="1" s="1"/>
  <c r="K185" i="4" s="1"/>
  <c r="AW149" i="1"/>
  <c r="AZ191" i="1"/>
  <c r="AT7" i="1"/>
  <c r="BJ7" i="1" s="1"/>
  <c r="M7" i="4" s="1"/>
  <c r="AV7" i="1"/>
  <c r="BG7" i="1" s="1"/>
  <c r="J7" i="4" s="1"/>
  <c r="AS7" i="1"/>
  <c r="BI7" i="1" s="1"/>
  <c r="L7" i="4" s="1"/>
  <c r="AX7" i="1"/>
  <c r="BE7" i="1" s="1"/>
  <c r="F7" i="4" s="1"/>
  <c r="AQ7" i="1"/>
  <c r="AR7" i="1"/>
  <c r="BH7" i="1" s="1"/>
  <c r="K7" i="4" s="1"/>
  <c r="AX90" i="1"/>
  <c r="BE90" i="1" s="1"/>
  <c r="F90" i="4" s="1"/>
  <c r="AQ90" i="1"/>
  <c r="AT90" i="1"/>
  <c r="BJ90" i="1" s="1"/>
  <c r="M90" i="4" s="1"/>
  <c r="AS90" i="1"/>
  <c r="BI90" i="1" s="1"/>
  <c r="L90" i="4" s="1"/>
  <c r="AV90" i="1"/>
  <c r="BG90" i="1" s="1"/>
  <c r="J90" i="4" s="1"/>
  <c r="AR90" i="1"/>
  <c r="BH90" i="1" s="1"/>
  <c r="K90" i="4" s="1"/>
  <c r="AZ442" i="1"/>
  <c r="AT144" i="1"/>
  <c r="BJ144" i="1" s="1"/>
  <c r="M144" i="4" s="1"/>
  <c r="AX144" i="1"/>
  <c r="BE144" i="1" s="1"/>
  <c r="F144" i="4" s="1"/>
  <c r="AS144" i="1"/>
  <c r="BI144" i="1" s="1"/>
  <c r="L144" i="4" s="1"/>
  <c r="AV144" i="1"/>
  <c r="BG144" i="1" s="1"/>
  <c r="J144" i="4" s="1"/>
  <c r="AQ144" i="1"/>
  <c r="AR144" i="1"/>
  <c r="BH144" i="1" s="1"/>
  <c r="K144" i="4" s="1"/>
  <c r="AZ317" i="1"/>
  <c r="AZ220" i="1"/>
  <c r="AW442" i="1"/>
  <c r="BD442" i="1" s="1"/>
  <c r="AW316" i="1"/>
  <c r="BD316" i="1" s="1"/>
  <c r="AW28" i="1"/>
  <c r="AW275" i="1"/>
  <c r="AY275" i="1" s="1"/>
  <c r="AZ275" i="1"/>
  <c r="AW102" i="1"/>
  <c r="BD102" i="1" s="1"/>
  <c r="AZ447" i="1"/>
  <c r="AW191" i="1"/>
  <c r="AY191" i="1" s="1"/>
  <c r="AQ421" i="1"/>
  <c r="AR421" i="1"/>
  <c r="BH421" i="1" s="1"/>
  <c r="K421" i="4" s="1"/>
  <c r="AX421" i="1"/>
  <c r="BE421" i="1" s="1"/>
  <c r="F421" i="4" s="1"/>
  <c r="AT421" i="1"/>
  <c r="BJ421" i="1" s="1"/>
  <c r="M421" i="4" s="1"/>
  <c r="AS421" i="1"/>
  <c r="BI421" i="1" s="1"/>
  <c r="L421" i="4" s="1"/>
  <c r="AV421" i="1"/>
  <c r="BG421" i="1" s="1"/>
  <c r="J421" i="4" s="1"/>
  <c r="AW317" i="1"/>
  <c r="AW220" i="1"/>
  <c r="AT464" i="1"/>
  <c r="BJ464" i="1" s="1"/>
  <c r="M464" i="4" s="1"/>
  <c r="AX464" i="1"/>
  <c r="BE464" i="1" s="1"/>
  <c r="F464" i="4" s="1"/>
  <c r="AQ464" i="1"/>
  <c r="AS464" i="1"/>
  <c r="BI464" i="1" s="1"/>
  <c r="L464" i="4" s="1"/>
  <c r="AV464" i="1"/>
  <c r="BG464" i="1" s="1"/>
  <c r="J464" i="4" s="1"/>
  <c r="AR464" i="1"/>
  <c r="BH464" i="1" s="1"/>
  <c r="K464" i="4" s="1"/>
  <c r="AZ319" i="1"/>
  <c r="AW447" i="1"/>
  <c r="AR263" i="1"/>
  <c r="BH263" i="1" s="1"/>
  <c r="K263" i="4" s="1"/>
  <c r="AT263" i="1"/>
  <c r="BJ263" i="1" s="1"/>
  <c r="M263" i="4" s="1"/>
  <c r="AX263" i="1"/>
  <c r="BE263" i="1" s="1"/>
  <c r="F263" i="4" s="1"/>
  <c r="AV263" i="1"/>
  <c r="BG263" i="1" s="1"/>
  <c r="J263" i="4" s="1"/>
  <c r="AS263" i="1"/>
  <c r="BI263" i="1" s="1"/>
  <c r="L263" i="4" s="1"/>
  <c r="AQ263" i="1"/>
  <c r="AR92" i="1"/>
  <c r="BH92" i="1" s="1"/>
  <c r="K92" i="4" s="1"/>
  <c r="AS92" i="1"/>
  <c r="BI92" i="1" s="1"/>
  <c r="L92" i="4" s="1"/>
  <c r="AX92" i="1"/>
  <c r="BE92" i="1" s="1"/>
  <c r="F92" i="4" s="1"/>
  <c r="AV92" i="1"/>
  <c r="BG92" i="1" s="1"/>
  <c r="J92" i="4" s="1"/>
  <c r="AQ92" i="1"/>
  <c r="AT92" i="1"/>
  <c r="BJ92" i="1" s="1"/>
  <c r="M92" i="4" s="1"/>
  <c r="AX342" i="1"/>
  <c r="BE342" i="1" s="1"/>
  <c r="F342" i="4" s="1"/>
  <c r="AQ342" i="1"/>
  <c r="AT342" i="1"/>
  <c r="BJ342" i="1" s="1"/>
  <c r="M342" i="4" s="1"/>
  <c r="AS342" i="1"/>
  <c r="BI342" i="1" s="1"/>
  <c r="L342" i="4" s="1"/>
  <c r="AR342" i="1"/>
  <c r="BH342" i="1" s="1"/>
  <c r="K342" i="4" s="1"/>
  <c r="AV342" i="1"/>
  <c r="BG342" i="1" s="1"/>
  <c r="J342" i="4" s="1"/>
  <c r="AT186" i="1"/>
  <c r="BJ186" i="1" s="1"/>
  <c r="M186" i="4" s="1"/>
  <c r="AS186" i="1"/>
  <c r="BI186" i="1" s="1"/>
  <c r="L186" i="4" s="1"/>
  <c r="AX186" i="1"/>
  <c r="BE186" i="1" s="1"/>
  <c r="F186" i="4" s="1"/>
  <c r="AR186" i="1"/>
  <c r="BH186" i="1" s="1"/>
  <c r="K186" i="4" s="1"/>
  <c r="AQ186" i="1"/>
  <c r="AV186" i="1"/>
  <c r="BG186" i="1" s="1"/>
  <c r="J186" i="4" s="1"/>
  <c r="AR148" i="1"/>
  <c r="BH148" i="1" s="1"/>
  <c r="K148" i="4" s="1"/>
  <c r="AX148" i="1"/>
  <c r="BE148" i="1" s="1"/>
  <c r="F148" i="4" s="1"/>
  <c r="AS148" i="1"/>
  <c r="BI148" i="1" s="1"/>
  <c r="L148" i="4" s="1"/>
  <c r="AT148" i="1"/>
  <c r="BJ148" i="1" s="1"/>
  <c r="M148" i="4" s="1"/>
  <c r="AV148" i="1"/>
  <c r="BG148" i="1" s="1"/>
  <c r="J148" i="4" s="1"/>
  <c r="AQ148" i="1"/>
  <c r="AZ353" i="1" l="1"/>
  <c r="BA353" i="1" s="1"/>
  <c r="AZ395" i="1"/>
  <c r="AZ28" i="1"/>
  <c r="AS81" i="1"/>
  <c r="BI81" i="1" s="1"/>
  <c r="L81" i="4" s="1"/>
  <c r="AV81" i="1"/>
  <c r="BG81" i="1" s="1"/>
  <c r="J81" i="4" s="1"/>
  <c r="AR65" i="1"/>
  <c r="BH65" i="1" s="1"/>
  <c r="K65" i="4" s="1"/>
  <c r="AZ104" i="1"/>
  <c r="AQ65" i="1"/>
  <c r="AT65" i="1"/>
  <c r="BJ65" i="1" s="1"/>
  <c r="M65" i="4" s="1"/>
  <c r="AW155" i="1"/>
  <c r="BD155" i="1" s="1"/>
  <c r="E155" i="4" s="1"/>
  <c r="AS65" i="1"/>
  <c r="BI65" i="1" s="1"/>
  <c r="L65" i="4" s="1"/>
  <c r="AX65" i="1"/>
  <c r="BE65" i="1" s="1"/>
  <c r="F65" i="4" s="1"/>
  <c r="AZ168" i="1"/>
  <c r="BB168" i="1" s="1"/>
  <c r="AQ81" i="1"/>
  <c r="AX81" i="1"/>
  <c r="BE81" i="1" s="1"/>
  <c r="F81" i="4" s="1"/>
  <c r="AZ281" i="1"/>
  <c r="BA281" i="1" s="1"/>
  <c r="AY28" i="1"/>
  <c r="AW173" i="1"/>
  <c r="BD173" i="1" s="1"/>
  <c r="E173" i="4" s="1"/>
  <c r="AT81" i="1"/>
  <c r="BJ81" i="1" s="1"/>
  <c r="M81" i="4" s="1"/>
  <c r="AY173" i="1"/>
  <c r="AW395" i="1"/>
  <c r="BD395" i="1" s="1"/>
  <c r="AZ173" i="1"/>
  <c r="BB173" i="1" s="1"/>
  <c r="AZ155" i="1"/>
  <c r="BB155" i="1" s="1"/>
  <c r="AW119" i="1"/>
  <c r="BD119" i="1" s="1"/>
  <c r="AZ494" i="1"/>
  <c r="BB494" i="1" s="1"/>
  <c r="AZ456" i="1"/>
  <c r="BB456" i="1" s="1"/>
  <c r="AX79" i="1"/>
  <c r="BE79" i="1" s="1"/>
  <c r="F79" i="4" s="1"/>
  <c r="AS79" i="1"/>
  <c r="BI79" i="1" s="1"/>
  <c r="L79" i="4" s="1"/>
  <c r="AW40" i="1"/>
  <c r="BD40" i="1" s="1"/>
  <c r="AV79" i="1"/>
  <c r="BG79" i="1" s="1"/>
  <c r="J79" i="4" s="1"/>
  <c r="BG197" i="1"/>
  <c r="J197" i="4" s="1"/>
  <c r="AT79" i="1"/>
  <c r="BJ79" i="1" s="1"/>
  <c r="M79" i="4" s="1"/>
  <c r="AZ40" i="1"/>
  <c r="BB40" i="1" s="1"/>
  <c r="AZ149" i="1"/>
  <c r="BA149" i="1" s="1"/>
  <c r="AW456" i="1"/>
  <c r="AY456" i="1" s="1"/>
  <c r="AR79" i="1"/>
  <c r="BH79" i="1" s="1"/>
  <c r="K79" i="4" s="1"/>
  <c r="AZ333" i="1"/>
  <c r="BA333" i="1" s="1"/>
  <c r="AZ169" i="1"/>
  <c r="BB169" i="1" s="1"/>
  <c r="AW56" i="1"/>
  <c r="AY56" i="1" s="1"/>
  <c r="AR426" i="1"/>
  <c r="BH426" i="1" s="1"/>
  <c r="K426" i="4" s="1"/>
  <c r="AW333" i="1"/>
  <c r="BD333" i="1" s="1"/>
  <c r="AW281" i="1"/>
  <c r="AY281" i="1" s="1"/>
  <c r="AZ242" i="1"/>
  <c r="BA242" i="1" s="1"/>
  <c r="AW9" i="1"/>
  <c r="BD9" i="1" s="1"/>
  <c r="AZ22" i="1"/>
  <c r="BB22" i="1" s="1"/>
  <c r="AO491" i="1"/>
  <c r="AP491" i="1" s="1"/>
  <c r="AU491" i="1" s="1"/>
  <c r="AT491" i="1" s="1"/>
  <c r="BJ491" i="1" s="1"/>
  <c r="M491" i="4" s="1"/>
  <c r="AW60" i="1"/>
  <c r="AY60" i="1" s="1"/>
  <c r="AZ63" i="1"/>
  <c r="BB63" i="1" s="1"/>
  <c r="AY149" i="1"/>
  <c r="AZ488" i="1"/>
  <c r="BA488" i="1" s="1"/>
  <c r="AW127" i="1"/>
  <c r="BD127" i="1" s="1"/>
  <c r="AZ277" i="1"/>
  <c r="BA277" i="1" s="1"/>
  <c r="AW189" i="1"/>
  <c r="BD189" i="1" s="1"/>
  <c r="BG294" i="1"/>
  <c r="J294" i="4" s="1"/>
  <c r="AQ426" i="1"/>
  <c r="AW277" i="1"/>
  <c r="BD277" i="1" s="1"/>
  <c r="E277" i="4" s="1"/>
  <c r="AZ89" i="1"/>
  <c r="BA89" i="1" s="1"/>
  <c r="BG83" i="1"/>
  <c r="J83" i="4" s="1"/>
  <c r="AY454" i="1"/>
  <c r="AW242" i="1"/>
  <c r="BD242" i="1" s="1"/>
  <c r="AZ95" i="1"/>
  <c r="BA95" i="1" s="1"/>
  <c r="AZ215" i="1"/>
  <c r="BA215" i="1" s="1"/>
  <c r="AV470" i="1"/>
  <c r="BG470" i="1" s="1"/>
  <c r="J470" i="4" s="1"/>
  <c r="AW133" i="1"/>
  <c r="AY133" i="1" s="1"/>
  <c r="AZ197" i="1"/>
  <c r="BB197" i="1" s="1"/>
  <c r="AZ111" i="1"/>
  <c r="BA111" i="1" s="1"/>
  <c r="AZ484" i="1"/>
  <c r="BA484" i="1" s="1"/>
  <c r="AZ418" i="1"/>
  <c r="BA418" i="1" s="1"/>
  <c r="AZ118" i="1"/>
  <c r="BA118" i="1" s="1"/>
  <c r="AZ109" i="1"/>
  <c r="BB109" i="1" s="1"/>
  <c r="AZ454" i="1"/>
  <c r="BB454" i="1" s="1"/>
  <c r="BA123" i="1"/>
  <c r="BB123" i="1"/>
  <c r="AW273" i="1"/>
  <c r="BD273" i="1" s="1"/>
  <c r="E273" i="4" s="1"/>
  <c r="BG89" i="1"/>
  <c r="J89" i="4" s="1"/>
  <c r="AW151" i="1"/>
  <c r="BD151" i="1" s="1"/>
  <c r="E151" i="4" s="1"/>
  <c r="AZ9" i="1"/>
  <c r="BB9" i="1" s="1"/>
  <c r="AZ345" i="1"/>
  <c r="BB345" i="1" s="1"/>
  <c r="AW215" i="1"/>
  <c r="AY215" i="1" s="1"/>
  <c r="AR219" i="1"/>
  <c r="BH219" i="1" s="1"/>
  <c r="K219" i="4" s="1"/>
  <c r="BB102" i="1"/>
  <c r="BC102" i="1" s="1"/>
  <c r="AZ316" i="1"/>
  <c r="BA316" i="1" s="1"/>
  <c r="AZ133" i="1"/>
  <c r="BA133" i="1" s="1"/>
  <c r="AW411" i="1"/>
  <c r="BD411" i="1" s="1"/>
  <c r="BB11" i="1"/>
  <c r="BC11" i="1" s="1"/>
  <c r="BG5" i="1"/>
  <c r="J5" i="4" s="1"/>
  <c r="AZ255" i="1"/>
  <c r="BB255" i="1" s="1"/>
  <c r="AW205" i="1"/>
  <c r="BD205" i="1" s="1"/>
  <c r="BB189" i="1"/>
  <c r="BC189" i="1" s="1"/>
  <c r="BB127" i="1"/>
  <c r="BC127" i="1" s="1"/>
  <c r="AZ83" i="1"/>
  <c r="BB83" i="1" s="1"/>
  <c r="AZ4" i="1"/>
  <c r="BA4" i="1" s="1"/>
  <c r="AW360" i="1"/>
  <c r="AY360" i="1" s="1"/>
  <c r="AZ309" i="1"/>
  <c r="BB309" i="1" s="1"/>
  <c r="AW309" i="1"/>
  <c r="BD309" i="1" s="1"/>
  <c r="BG284" i="1"/>
  <c r="J284" i="4" s="1"/>
  <c r="AW63" i="1"/>
  <c r="BD63" i="1" s="1"/>
  <c r="BG384" i="1"/>
  <c r="J384" i="4" s="1"/>
  <c r="AW484" i="1"/>
  <c r="AY484" i="1" s="1"/>
  <c r="AZ18" i="1"/>
  <c r="BB18" i="1" s="1"/>
  <c r="AS231" i="1"/>
  <c r="BI231" i="1" s="1"/>
  <c r="L231" i="4" s="1"/>
  <c r="AX69" i="1"/>
  <c r="BE69" i="1" s="1"/>
  <c r="F69" i="4" s="1"/>
  <c r="AZ56" i="1"/>
  <c r="BB56" i="1" s="1"/>
  <c r="AW345" i="1"/>
  <c r="AY345" i="1" s="1"/>
  <c r="AW305" i="1"/>
  <c r="BD305" i="1" s="1"/>
  <c r="E305" i="4" s="1"/>
  <c r="AZ119" i="1"/>
  <c r="BD223" i="1"/>
  <c r="E223" i="4" s="1"/>
  <c r="AW224" i="1"/>
  <c r="AY224" i="1" s="1"/>
  <c r="AX231" i="1"/>
  <c r="BE231" i="1" s="1"/>
  <c r="F231" i="4" s="1"/>
  <c r="AX426" i="1"/>
  <c r="BE426" i="1" s="1"/>
  <c r="F426" i="4" s="1"/>
  <c r="AZ206" i="1"/>
  <c r="BA206" i="1" s="1"/>
  <c r="AZ406" i="1"/>
  <c r="BB406" i="1" s="1"/>
  <c r="AT261" i="1"/>
  <c r="BJ261" i="1" s="1"/>
  <c r="M261" i="4" s="1"/>
  <c r="AQ231" i="1"/>
  <c r="AX470" i="1"/>
  <c r="BE470" i="1" s="1"/>
  <c r="F470" i="4" s="1"/>
  <c r="AV426" i="1"/>
  <c r="BG426" i="1" s="1"/>
  <c r="J426" i="4" s="1"/>
  <c r="AW78" i="1"/>
  <c r="AY78" i="1" s="1"/>
  <c r="AR231" i="1"/>
  <c r="BH231" i="1" s="1"/>
  <c r="K231" i="4" s="1"/>
  <c r="BB273" i="1"/>
  <c r="BC273" i="1" s="1"/>
  <c r="AX99" i="1"/>
  <c r="BE99" i="1" s="1"/>
  <c r="F99" i="4" s="1"/>
  <c r="AQ99" i="1"/>
  <c r="AX261" i="1"/>
  <c r="BE261" i="1" s="1"/>
  <c r="F261" i="4" s="1"/>
  <c r="AT231" i="1"/>
  <c r="BJ231" i="1" s="1"/>
  <c r="M231" i="4" s="1"/>
  <c r="AS426" i="1"/>
  <c r="BI426" i="1" s="1"/>
  <c r="L426" i="4" s="1"/>
  <c r="AW203" i="1"/>
  <c r="AY203" i="1" s="1"/>
  <c r="AW174" i="1"/>
  <c r="AZ78" i="1"/>
  <c r="AS289" i="1"/>
  <c r="BI289" i="1" s="1"/>
  <c r="L289" i="4" s="1"/>
  <c r="AV370" i="1"/>
  <c r="BG370" i="1" s="1"/>
  <c r="J370" i="4" s="1"/>
  <c r="BG168" i="1"/>
  <c r="J168" i="4" s="1"/>
  <c r="BA174" i="1"/>
  <c r="BC174" i="1" s="1"/>
  <c r="BE494" i="1"/>
  <c r="F494" i="4" s="1"/>
  <c r="AR470" i="1"/>
  <c r="BH470" i="1" s="1"/>
  <c r="K470" i="4" s="1"/>
  <c r="AT460" i="1"/>
  <c r="BJ460" i="1" s="1"/>
  <c r="M460" i="4" s="1"/>
  <c r="AZ362" i="1"/>
  <c r="BA362" i="1" s="1"/>
  <c r="AT370" i="1"/>
  <c r="BJ370" i="1" s="1"/>
  <c r="M370" i="4" s="1"/>
  <c r="AZ12" i="1"/>
  <c r="BA12" i="1" s="1"/>
  <c r="AZ61" i="1"/>
  <c r="BB61" i="1" s="1"/>
  <c r="BG123" i="1"/>
  <c r="J123" i="4" s="1"/>
  <c r="AW123" i="1"/>
  <c r="AS69" i="1"/>
  <c r="BI69" i="1" s="1"/>
  <c r="L69" i="4" s="1"/>
  <c r="AW457" i="1"/>
  <c r="AY457" i="1" s="1"/>
  <c r="AV330" i="1"/>
  <c r="BG330" i="1" s="1"/>
  <c r="J330" i="4" s="1"/>
  <c r="AT99" i="1"/>
  <c r="BJ99" i="1" s="1"/>
  <c r="M99" i="4" s="1"/>
  <c r="AV99" i="1"/>
  <c r="BG99" i="1" s="1"/>
  <c r="J99" i="4" s="1"/>
  <c r="AR99" i="1"/>
  <c r="BH99" i="1" s="1"/>
  <c r="K99" i="4" s="1"/>
  <c r="AV69" i="1"/>
  <c r="BG69" i="1" s="1"/>
  <c r="J69" i="4" s="1"/>
  <c r="AY356" i="1"/>
  <c r="AW61" i="1"/>
  <c r="AY61" i="1" s="1"/>
  <c r="AQ69" i="1"/>
  <c r="AV289" i="1"/>
  <c r="AW289" i="1" s="1"/>
  <c r="BD289" i="1" s="1"/>
  <c r="AS470" i="1"/>
  <c r="BI470" i="1" s="1"/>
  <c r="L470" i="4" s="1"/>
  <c r="AR330" i="1"/>
  <c r="BH330" i="1" s="1"/>
  <c r="K330" i="4" s="1"/>
  <c r="AZ66" i="1"/>
  <c r="BA66" i="1" s="1"/>
  <c r="BB360" i="1"/>
  <c r="BC360" i="1" s="1"/>
  <c r="AY83" i="1"/>
  <c r="AZ321" i="1"/>
  <c r="BA321" i="1" s="1"/>
  <c r="AY490" i="1"/>
  <c r="AW368" i="1"/>
  <c r="BD368" i="1" s="1"/>
  <c r="AZ257" i="1"/>
  <c r="BA257" i="1" s="1"/>
  <c r="AW4" i="1"/>
  <c r="BD4" i="1" s="1"/>
  <c r="BD356" i="1"/>
  <c r="BF356" i="1" s="1"/>
  <c r="BM356" i="1" s="1"/>
  <c r="I356" i="4" s="1"/>
  <c r="AZ88" i="1"/>
  <c r="BB88" i="1" s="1"/>
  <c r="AZ34" i="1"/>
  <c r="BB34" i="1" s="1"/>
  <c r="BB240" i="1"/>
  <c r="BC240" i="1" s="1"/>
  <c r="AQ261" i="1"/>
  <c r="BA155" i="1"/>
  <c r="BC155" i="1" s="1"/>
  <c r="AX370" i="1"/>
  <c r="BE370" i="1" s="1"/>
  <c r="F370" i="4" s="1"/>
  <c r="AR261" i="1"/>
  <c r="BH261" i="1" s="1"/>
  <c r="K261" i="4" s="1"/>
  <c r="AS370" i="1"/>
  <c r="BI370" i="1" s="1"/>
  <c r="L370" i="4" s="1"/>
  <c r="AZ365" i="1"/>
  <c r="BA365" i="1" s="1"/>
  <c r="AZ493" i="1"/>
  <c r="BA493" i="1" s="1"/>
  <c r="BB353" i="1"/>
  <c r="BC353" i="1" s="1"/>
  <c r="AZ284" i="1"/>
  <c r="BB284" i="1" s="1"/>
  <c r="AX330" i="1"/>
  <c r="BE330" i="1" s="1"/>
  <c r="F330" i="4" s="1"/>
  <c r="AS261" i="1"/>
  <c r="BI261" i="1" s="1"/>
  <c r="L261" i="4" s="1"/>
  <c r="AV312" i="1"/>
  <c r="BG312" i="1" s="1"/>
  <c r="J312" i="4" s="1"/>
  <c r="AT470" i="1"/>
  <c r="BJ470" i="1" s="1"/>
  <c r="M470" i="4" s="1"/>
  <c r="AZ411" i="1"/>
  <c r="BA411" i="1" s="1"/>
  <c r="AS330" i="1"/>
  <c r="BI330" i="1" s="1"/>
  <c r="L330" i="4" s="1"/>
  <c r="AZ469" i="1"/>
  <c r="BB469" i="1" s="1"/>
  <c r="AZ120" i="1"/>
  <c r="AR370" i="1"/>
  <c r="BH370" i="1" s="1"/>
  <c r="K370" i="4" s="1"/>
  <c r="AW469" i="1"/>
  <c r="AY469" i="1" s="1"/>
  <c r="AW206" i="1"/>
  <c r="BD206" i="1" s="1"/>
  <c r="E206" i="4" s="1"/>
  <c r="AR312" i="1"/>
  <c r="BH312" i="1" s="1"/>
  <c r="K312" i="4" s="1"/>
  <c r="AQ330" i="1"/>
  <c r="AZ356" i="1"/>
  <c r="AP229" i="1"/>
  <c r="AU229" i="1" s="1"/>
  <c r="AQ415" i="1"/>
  <c r="AZ415" i="1" s="1"/>
  <c r="AZ354" i="1"/>
  <c r="BB354" i="1" s="1"/>
  <c r="AT289" i="1"/>
  <c r="BJ289" i="1" s="1"/>
  <c r="M289" i="4" s="1"/>
  <c r="AZ25" i="1"/>
  <c r="AS219" i="1"/>
  <c r="BI219" i="1" s="1"/>
  <c r="L219" i="4" s="1"/>
  <c r="AW462" i="1"/>
  <c r="AZ287" i="1"/>
  <c r="BA287" i="1" s="1"/>
  <c r="AW109" i="1"/>
  <c r="AY109" i="1" s="1"/>
  <c r="AS312" i="1"/>
  <c r="BI312" i="1" s="1"/>
  <c r="L312" i="4" s="1"/>
  <c r="AW30" i="1"/>
  <c r="AY30" i="1" s="1"/>
  <c r="BA462" i="1"/>
  <c r="BC462" i="1" s="1"/>
  <c r="BB73" i="1"/>
  <c r="BC73" i="1" s="1"/>
  <c r="AX404" i="1"/>
  <c r="BE404" i="1" s="1"/>
  <c r="F404" i="4" s="1"/>
  <c r="BD294" i="1"/>
  <c r="BF294" i="1" s="1"/>
  <c r="BD495" i="1"/>
  <c r="E495" i="4" s="1"/>
  <c r="BB294" i="1"/>
  <c r="BC294" i="1" s="1"/>
  <c r="BD319" i="1"/>
  <c r="BF319" i="1" s="1"/>
  <c r="AW219" i="1"/>
  <c r="BD219" i="1" s="1"/>
  <c r="BA318" i="1"/>
  <c r="BC318" i="1" s="1"/>
  <c r="AR289" i="1"/>
  <c r="BH289" i="1" s="1"/>
  <c r="K289" i="4" s="1"/>
  <c r="AZ359" i="1"/>
  <c r="BA359" i="1" s="1"/>
  <c r="AZ205" i="1"/>
  <c r="BB205" i="1" s="1"/>
  <c r="AW337" i="1"/>
  <c r="AY337" i="1" s="1"/>
  <c r="AW169" i="1"/>
  <c r="BD169" i="1" s="1"/>
  <c r="AQ312" i="1"/>
  <c r="AQ219" i="1"/>
  <c r="AW253" i="1"/>
  <c r="BD253" i="1" s="1"/>
  <c r="BG22" i="1"/>
  <c r="J22" i="4" s="1"/>
  <c r="AZ337" i="1"/>
  <c r="BB337" i="1" s="1"/>
  <c r="AW321" i="1"/>
  <c r="BD321" i="1" s="1"/>
  <c r="E321" i="4" s="1"/>
  <c r="AW12" i="1"/>
  <c r="AY12" i="1" s="1"/>
  <c r="AX312" i="1"/>
  <c r="BE312" i="1" s="1"/>
  <c r="F312" i="4" s="1"/>
  <c r="AW214" i="1"/>
  <c r="BD214" i="1" s="1"/>
  <c r="AZ23" i="1"/>
  <c r="BA23" i="1" s="1"/>
  <c r="AW73" i="1"/>
  <c r="AY73" i="1" s="1"/>
  <c r="BB223" i="1"/>
  <c r="BC223" i="1" s="1"/>
  <c r="AZ211" i="1"/>
  <c r="BA211" i="1" s="1"/>
  <c r="AW18" i="1"/>
  <c r="AY18" i="1" s="1"/>
  <c r="AZ368" i="1"/>
  <c r="BB368" i="1" s="1"/>
  <c r="AX289" i="1"/>
  <c r="BE289" i="1" s="1"/>
  <c r="F289" i="4" s="1"/>
  <c r="AT219" i="1"/>
  <c r="BJ219" i="1" s="1"/>
  <c r="M219" i="4" s="1"/>
  <c r="BB151" i="1"/>
  <c r="BA151" i="1"/>
  <c r="AW260" i="1"/>
  <c r="BD260" i="1" s="1"/>
  <c r="E260" i="4" s="1"/>
  <c r="AR69" i="1"/>
  <c r="BH69" i="1" s="1"/>
  <c r="K69" i="4" s="1"/>
  <c r="AZ60" i="1"/>
  <c r="BB60" i="1" s="1"/>
  <c r="AW104" i="1"/>
  <c r="BD104" i="1" s="1"/>
  <c r="AZ260" i="1"/>
  <c r="BB260" i="1" s="1"/>
  <c r="AZ144" i="1"/>
  <c r="BB144" i="1" s="1"/>
  <c r="AX219" i="1"/>
  <c r="BE219" i="1" s="1"/>
  <c r="F219" i="4" s="1"/>
  <c r="AZ112" i="1"/>
  <c r="BB112" i="1" s="1"/>
  <c r="BB203" i="1"/>
  <c r="BA203" i="1"/>
  <c r="AZ194" i="1"/>
  <c r="BA194" i="1" s="1"/>
  <c r="AZ159" i="1"/>
  <c r="BA159" i="1" s="1"/>
  <c r="AZ8" i="1"/>
  <c r="BA8" i="1" s="1"/>
  <c r="AZ42" i="1"/>
  <c r="BA42" i="1" s="1"/>
  <c r="AZ374" i="1"/>
  <c r="BB374" i="1" s="1"/>
  <c r="BG494" i="1"/>
  <c r="J494" i="4" s="1"/>
  <c r="AW494" i="1"/>
  <c r="BD494" i="1" s="1"/>
  <c r="BG391" i="1"/>
  <c r="J391" i="4" s="1"/>
  <c r="AW391" i="1"/>
  <c r="AY391" i="1" s="1"/>
  <c r="BG406" i="1"/>
  <c r="J406" i="4" s="1"/>
  <c r="AW406" i="1"/>
  <c r="BD406" i="1" s="1"/>
  <c r="AO167" i="1"/>
  <c r="AH167" i="1"/>
  <c r="AK167" i="1" s="1"/>
  <c r="AP167" i="1" s="1"/>
  <c r="AU167" i="1" s="1"/>
  <c r="AX167" i="1" s="1"/>
  <c r="BE167" i="1" s="1"/>
  <c r="F167" i="4" s="1"/>
  <c r="AO302" i="1"/>
  <c r="AH302" i="1"/>
  <c r="AK302" i="1" s="1"/>
  <c r="AP302" i="1" s="1"/>
  <c r="AU302" i="1" s="1"/>
  <c r="AX302" i="1" s="1"/>
  <c r="BE302" i="1" s="1"/>
  <c r="F302" i="4" s="1"/>
  <c r="AQ245" i="1"/>
  <c r="AV245" i="1"/>
  <c r="BG245" i="1" s="1"/>
  <c r="J245" i="4" s="1"/>
  <c r="BA444" i="1"/>
  <c r="BB444" i="1"/>
  <c r="AW353" i="1"/>
  <c r="BG353" i="1"/>
  <c r="J353" i="4" s="1"/>
  <c r="BA254" i="1"/>
  <c r="BB254" i="1"/>
  <c r="BA5" i="1"/>
  <c r="BB5" i="1"/>
  <c r="AZ270" i="1"/>
  <c r="BB270" i="1" s="1"/>
  <c r="AP48" i="1"/>
  <c r="AU48" i="1" s="1"/>
  <c r="AQ48" i="1" s="1"/>
  <c r="BG42" i="1"/>
  <c r="J42" i="4" s="1"/>
  <c r="AW42" i="1"/>
  <c r="BD42" i="1" s="1"/>
  <c r="AY254" i="1"/>
  <c r="BD254" i="1"/>
  <c r="E254" i="4" s="1"/>
  <c r="BD5" i="1"/>
  <c r="AY5" i="1"/>
  <c r="BG287" i="1"/>
  <c r="J287" i="4" s="1"/>
  <c r="AW287" i="1"/>
  <c r="AY287" i="1" s="1"/>
  <c r="BG112" i="1"/>
  <c r="J112" i="4" s="1"/>
  <c r="AW112" i="1"/>
  <c r="BD112" i="1" s="1"/>
  <c r="AW194" i="1"/>
  <c r="AY194" i="1" s="1"/>
  <c r="BG194" i="1"/>
  <c r="J194" i="4" s="1"/>
  <c r="AV236" i="1"/>
  <c r="BG236" i="1" s="1"/>
  <c r="J236" i="4" s="1"/>
  <c r="AR236" i="1"/>
  <c r="BH236" i="1" s="1"/>
  <c r="K236" i="4" s="1"/>
  <c r="AT236" i="1"/>
  <c r="BJ236" i="1" s="1"/>
  <c r="M236" i="4" s="1"/>
  <c r="AS236" i="1"/>
  <c r="BI236" i="1" s="1"/>
  <c r="L236" i="4" s="1"/>
  <c r="AX236" i="1"/>
  <c r="BE236" i="1" s="1"/>
  <c r="F236" i="4" s="1"/>
  <c r="AQ236" i="1"/>
  <c r="AO383" i="1"/>
  <c r="AH383" i="1"/>
  <c r="AK383" i="1" s="1"/>
  <c r="AP383" i="1" s="1"/>
  <c r="AU383" i="1" s="1"/>
  <c r="AQ383" i="1" s="1"/>
  <c r="BG159" i="1"/>
  <c r="J159" i="4" s="1"/>
  <c r="AW159" i="1"/>
  <c r="AY159" i="1" s="1"/>
  <c r="BG255" i="1"/>
  <c r="J255" i="4" s="1"/>
  <c r="AW255" i="1"/>
  <c r="AY255" i="1" s="1"/>
  <c r="AY95" i="1"/>
  <c r="BD95" i="1"/>
  <c r="BF95" i="1" s="1"/>
  <c r="BD284" i="1"/>
  <c r="BF284" i="1" s="1"/>
  <c r="AY284" i="1"/>
  <c r="AY168" i="1"/>
  <c r="BD168" i="1"/>
  <c r="BF168" i="1" s="1"/>
  <c r="BG461" i="1"/>
  <c r="J461" i="4" s="1"/>
  <c r="AW461" i="1"/>
  <c r="BD461" i="1" s="1"/>
  <c r="BE461" i="1"/>
  <c r="F461" i="4" s="1"/>
  <c r="AZ461" i="1"/>
  <c r="BA461" i="1" s="1"/>
  <c r="AV475" i="1"/>
  <c r="BG475" i="1" s="1"/>
  <c r="J475" i="4" s="1"/>
  <c r="AQ475" i="1"/>
  <c r="AX475" i="1"/>
  <c r="BE475" i="1" s="1"/>
  <c r="F475" i="4" s="1"/>
  <c r="AS475" i="1"/>
  <c r="BI475" i="1" s="1"/>
  <c r="L475" i="4" s="1"/>
  <c r="AR475" i="1"/>
  <c r="BH475" i="1" s="1"/>
  <c r="K475" i="4" s="1"/>
  <c r="AT475" i="1"/>
  <c r="BJ475" i="1" s="1"/>
  <c r="M475" i="4" s="1"/>
  <c r="AT176" i="1"/>
  <c r="BJ176" i="1" s="1"/>
  <c r="M176" i="4" s="1"/>
  <c r="AQ176" i="1"/>
  <c r="AX176" i="1"/>
  <c r="BE176" i="1" s="1"/>
  <c r="F176" i="4" s="1"/>
  <c r="AV176" i="1"/>
  <c r="BG176" i="1" s="1"/>
  <c r="J176" i="4" s="1"/>
  <c r="AS176" i="1"/>
  <c r="BI176" i="1" s="1"/>
  <c r="L176" i="4" s="1"/>
  <c r="AR176" i="1"/>
  <c r="BH176" i="1" s="1"/>
  <c r="K176" i="4" s="1"/>
  <c r="AS179" i="1"/>
  <c r="BI179" i="1" s="1"/>
  <c r="L179" i="4" s="1"/>
  <c r="AT179" i="1"/>
  <c r="BJ179" i="1" s="1"/>
  <c r="M179" i="4" s="1"/>
  <c r="AR179" i="1"/>
  <c r="BH179" i="1" s="1"/>
  <c r="K179" i="4" s="1"/>
  <c r="AQ179" i="1"/>
  <c r="AV179" i="1"/>
  <c r="AW179" i="1" s="1"/>
  <c r="AX179" i="1"/>
  <c r="BE179" i="1" s="1"/>
  <c r="F179" i="4" s="1"/>
  <c r="AO352" i="1"/>
  <c r="AH352" i="1"/>
  <c r="AK352" i="1" s="1"/>
  <c r="AP352" i="1" s="1"/>
  <c r="AU352" i="1" s="1"/>
  <c r="AT352" i="1" s="1"/>
  <c r="BJ352" i="1" s="1"/>
  <c r="M352" i="4" s="1"/>
  <c r="BG455" i="1"/>
  <c r="J455" i="4" s="1"/>
  <c r="AW455" i="1"/>
  <c r="AQ35" i="1"/>
  <c r="AX35" i="1"/>
  <c r="BE35" i="1" s="1"/>
  <c r="F35" i="4" s="1"/>
  <c r="AV35" i="1"/>
  <c r="AW35" i="1" s="1"/>
  <c r="AS35" i="1"/>
  <c r="BI35" i="1" s="1"/>
  <c r="L35" i="4" s="1"/>
  <c r="AR35" i="1"/>
  <c r="BH35" i="1" s="1"/>
  <c r="K35" i="4" s="1"/>
  <c r="AT35" i="1"/>
  <c r="BJ35" i="1" s="1"/>
  <c r="M35" i="4" s="1"/>
  <c r="AS54" i="1"/>
  <c r="BI54" i="1" s="1"/>
  <c r="L54" i="4" s="1"/>
  <c r="AV54" i="1"/>
  <c r="BG54" i="1" s="1"/>
  <c r="J54" i="4" s="1"/>
  <c r="AX430" i="1"/>
  <c r="BE430" i="1" s="1"/>
  <c r="F430" i="4" s="1"/>
  <c r="AQ430" i="1"/>
  <c r="AT430" i="1"/>
  <c r="BJ430" i="1" s="1"/>
  <c r="M430" i="4" s="1"/>
  <c r="AV233" i="1"/>
  <c r="BG233" i="1" s="1"/>
  <c r="J233" i="4" s="1"/>
  <c r="AX233" i="1"/>
  <c r="BE233" i="1" s="1"/>
  <c r="F233" i="4" s="1"/>
  <c r="AR233" i="1"/>
  <c r="BH233" i="1" s="1"/>
  <c r="K233" i="4" s="1"/>
  <c r="AS233" i="1"/>
  <c r="BI233" i="1" s="1"/>
  <c r="L233" i="4" s="1"/>
  <c r="AQ233" i="1"/>
  <c r="AT233" i="1"/>
  <c r="BJ233" i="1" s="1"/>
  <c r="M233" i="4" s="1"/>
  <c r="AX33" i="1"/>
  <c r="BE33" i="1" s="1"/>
  <c r="F33" i="4" s="1"/>
  <c r="AT33" i="1"/>
  <c r="BJ33" i="1" s="1"/>
  <c r="M33" i="4" s="1"/>
  <c r="AV33" i="1"/>
  <c r="AS33" i="1"/>
  <c r="BI33" i="1" s="1"/>
  <c r="L33" i="4" s="1"/>
  <c r="AQ33" i="1"/>
  <c r="AR33" i="1"/>
  <c r="BH33" i="1" s="1"/>
  <c r="K33" i="4" s="1"/>
  <c r="AR57" i="1"/>
  <c r="BH57" i="1" s="1"/>
  <c r="K57" i="4" s="1"/>
  <c r="AS57" i="1"/>
  <c r="BI57" i="1" s="1"/>
  <c r="L57" i="4" s="1"/>
  <c r="AQ57" i="1"/>
  <c r="AV57" i="1"/>
  <c r="AT57" i="1"/>
  <c r="BJ57" i="1" s="1"/>
  <c r="M57" i="4" s="1"/>
  <c r="AX57" i="1"/>
  <c r="BE57" i="1" s="1"/>
  <c r="F57" i="4" s="1"/>
  <c r="AR198" i="1"/>
  <c r="BH198" i="1" s="1"/>
  <c r="K198" i="4" s="1"/>
  <c r="AS198" i="1"/>
  <c r="BI198" i="1" s="1"/>
  <c r="L198" i="4" s="1"/>
  <c r="AQ433" i="1"/>
  <c r="AR433" i="1"/>
  <c r="BH433" i="1" s="1"/>
  <c r="K433" i="4" s="1"/>
  <c r="BF454" i="1"/>
  <c r="F454" i="4"/>
  <c r="AY11" i="1"/>
  <c r="BD11" i="1"/>
  <c r="AZ412" i="1"/>
  <c r="AZ282" i="1"/>
  <c r="AZ457" i="1"/>
  <c r="AZ262" i="1"/>
  <c r="BG270" i="1"/>
  <c r="J270" i="4" s="1"/>
  <c r="AW270" i="1"/>
  <c r="AS332" i="1"/>
  <c r="BI332" i="1" s="1"/>
  <c r="L332" i="4" s="1"/>
  <c r="AV332" i="1"/>
  <c r="AW332" i="1" s="1"/>
  <c r="AQ332" i="1"/>
  <c r="AR332" i="1"/>
  <c r="BH332" i="1" s="1"/>
  <c r="K332" i="4" s="1"/>
  <c r="AT332" i="1"/>
  <c r="BJ332" i="1" s="1"/>
  <c r="M332" i="4" s="1"/>
  <c r="AX332" i="1"/>
  <c r="BE332" i="1" s="1"/>
  <c r="F332" i="4" s="1"/>
  <c r="AS385" i="1"/>
  <c r="BI385" i="1" s="1"/>
  <c r="L385" i="4" s="1"/>
  <c r="AT385" i="1"/>
  <c r="BJ385" i="1" s="1"/>
  <c r="M385" i="4" s="1"/>
  <c r="AX385" i="1"/>
  <c r="BE385" i="1" s="1"/>
  <c r="F385" i="4" s="1"/>
  <c r="AV385" i="1"/>
  <c r="BG385" i="1" s="1"/>
  <c r="J385" i="4" s="1"/>
  <c r="AR385" i="1"/>
  <c r="BH385" i="1" s="1"/>
  <c r="K385" i="4" s="1"/>
  <c r="AQ385" i="1"/>
  <c r="BB495" i="1"/>
  <c r="BA495" i="1"/>
  <c r="AY120" i="1"/>
  <c r="BD120" i="1"/>
  <c r="BF120" i="1" s="1"/>
  <c r="AY488" i="1"/>
  <c r="BD488" i="1"/>
  <c r="BG354" i="1"/>
  <c r="J354" i="4" s="1"/>
  <c r="AW354" i="1"/>
  <c r="AR303" i="1"/>
  <c r="BH303" i="1" s="1"/>
  <c r="K303" i="4" s="1"/>
  <c r="AV303" i="1"/>
  <c r="BG303" i="1" s="1"/>
  <c r="J303" i="4" s="1"/>
  <c r="AS303" i="1"/>
  <c r="BI303" i="1" s="1"/>
  <c r="L303" i="4" s="1"/>
  <c r="AX303" i="1"/>
  <c r="BE303" i="1" s="1"/>
  <c r="F303" i="4" s="1"/>
  <c r="AT303" i="1"/>
  <c r="BJ303" i="1" s="1"/>
  <c r="M303" i="4" s="1"/>
  <c r="AQ303" i="1"/>
  <c r="BB490" i="1"/>
  <c r="BA490" i="1"/>
  <c r="AQ283" i="1"/>
  <c r="AZ283" i="1" s="1"/>
  <c r="AV283" i="1"/>
  <c r="AR98" i="1"/>
  <c r="BH98" i="1" s="1"/>
  <c r="K98" i="4" s="1"/>
  <c r="AV98" i="1"/>
  <c r="BG98" i="1" s="1"/>
  <c r="J98" i="4" s="1"/>
  <c r="AX98" i="1"/>
  <c r="BE98" i="1" s="1"/>
  <c r="F98" i="4" s="1"/>
  <c r="BB306" i="1"/>
  <c r="BA306" i="1"/>
  <c r="AV165" i="1"/>
  <c r="BG165" i="1" s="1"/>
  <c r="J165" i="4" s="1"/>
  <c r="AQ165" i="1"/>
  <c r="AR165" i="1"/>
  <c r="BH165" i="1" s="1"/>
  <c r="K165" i="4" s="1"/>
  <c r="AX165" i="1"/>
  <c r="BE165" i="1" s="1"/>
  <c r="F165" i="4" s="1"/>
  <c r="AS165" i="1"/>
  <c r="BI165" i="1" s="1"/>
  <c r="L165" i="4" s="1"/>
  <c r="AT165" i="1"/>
  <c r="BJ165" i="1" s="1"/>
  <c r="M165" i="4" s="1"/>
  <c r="AX379" i="1"/>
  <c r="BE379" i="1" s="1"/>
  <c r="F379" i="4" s="1"/>
  <c r="AQ379" i="1"/>
  <c r="AV379" i="1"/>
  <c r="AS379" i="1"/>
  <c r="BI379" i="1" s="1"/>
  <c r="L379" i="4" s="1"/>
  <c r="AT379" i="1"/>
  <c r="BJ379" i="1" s="1"/>
  <c r="M379" i="4" s="1"/>
  <c r="AR379" i="1"/>
  <c r="BH379" i="1" s="1"/>
  <c r="K379" i="4" s="1"/>
  <c r="BA487" i="1"/>
  <c r="BB487" i="1"/>
  <c r="BB222" i="1"/>
  <c r="BA222" i="1"/>
  <c r="BB82" i="1"/>
  <c r="BA82" i="1"/>
  <c r="AR276" i="1"/>
  <c r="BH276" i="1" s="1"/>
  <c r="K276" i="4" s="1"/>
  <c r="AV276" i="1"/>
  <c r="AX276" i="1"/>
  <c r="BE276" i="1" s="1"/>
  <c r="F276" i="4" s="1"/>
  <c r="AR85" i="1"/>
  <c r="BH85" i="1" s="1"/>
  <c r="K85" i="4" s="1"/>
  <c r="AX85" i="1"/>
  <c r="BE85" i="1" s="1"/>
  <c r="F85" i="4" s="1"/>
  <c r="AT85" i="1"/>
  <c r="BJ85" i="1" s="1"/>
  <c r="M85" i="4" s="1"/>
  <c r="AV85" i="1"/>
  <c r="AW85" i="1" s="1"/>
  <c r="AQ85" i="1"/>
  <c r="AS85" i="1"/>
  <c r="BI85" i="1" s="1"/>
  <c r="L85" i="4" s="1"/>
  <c r="AR399" i="1"/>
  <c r="BH399" i="1" s="1"/>
  <c r="K399" i="4" s="1"/>
  <c r="AQ399" i="1"/>
  <c r="AS399" i="1"/>
  <c r="BI399" i="1" s="1"/>
  <c r="L399" i="4" s="1"/>
  <c r="AT399" i="1"/>
  <c r="BJ399" i="1" s="1"/>
  <c r="M399" i="4" s="1"/>
  <c r="AX399" i="1"/>
  <c r="BE399" i="1" s="1"/>
  <c r="F399" i="4" s="1"/>
  <c r="AV399" i="1"/>
  <c r="BG399" i="1" s="1"/>
  <c r="J399" i="4" s="1"/>
  <c r="AQ389" i="1"/>
  <c r="AR389" i="1"/>
  <c r="BH389" i="1" s="1"/>
  <c r="K389" i="4" s="1"/>
  <c r="AT389" i="1"/>
  <c r="BJ389" i="1" s="1"/>
  <c r="M389" i="4" s="1"/>
  <c r="AS232" i="1"/>
  <c r="BI232" i="1" s="1"/>
  <c r="L232" i="4" s="1"/>
  <c r="AR232" i="1"/>
  <c r="BH232" i="1" s="1"/>
  <c r="K232" i="4" s="1"/>
  <c r="AV232" i="1"/>
  <c r="BG232" i="1" s="1"/>
  <c r="J232" i="4" s="1"/>
  <c r="AQ232" i="1"/>
  <c r="AT232" i="1"/>
  <c r="BJ232" i="1" s="1"/>
  <c r="M232" i="4" s="1"/>
  <c r="AX232" i="1"/>
  <c r="BE232" i="1" s="1"/>
  <c r="F232" i="4" s="1"/>
  <c r="AV72" i="1"/>
  <c r="BG72" i="1" s="1"/>
  <c r="J72" i="4" s="1"/>
  <c r="AT72" i="1"/>
  <c r="BJ72" i="1" s="1"/>
  <c r="M72" i="4" s="1"/>
  <c r="AQ449" i="1"/>
  <c r="AV449" i="1"/>
  <c r="AV297" i="1"/>
  <c r="AR297" i="1"/>
  <c r="BH297" i="1" s="1"/>
  <c r="K297" i="4" s="1"/>
  <c r="AT297" i="1"/>
  <c r="BJ297" i="1" s="1"/>
  <c r="M297" i="4" s="1"/>
  <c r="AS297" i="1"/>
  <c r="BI297" i="1" s="1"/>
  <c r="L297" i="4" s="1"/>
  <c r="AX297" i="1"/>
  <c r="BE297" i="1" s="1"/>
  <c r="F297" i="4" s="1"/>
  <c r="AQ297" i="1"/>
  <c r="AV424" i="1"/>
  <c r="BG424" i="1" s="1"/>
  <c r="J424" i="4" s="1"/>
  <c r="AX424" i="1"/>
  <c r="BE424" i="1" s="1"/>
  <c r="F424" i="4" s="1"/>
  <c r="AT424" i="1"/>
  <c r="BJ424" i="1" s="1"/>
  <c r="M424" i="4" s="1"/>
  <c r="BB279" i="1"/>
  <c r="BA279" i="1"/>
  <c r="BB207" i="1"/>
  <c r="BA207" i="1"/>
  <c r="BB55" i="1"/>
  <c r="BA55" i="1"/>
  <c r="BC55" i="1" s="1"/>
  <c r="BA384" i="1"/>
  <c r="BB384" i="1"/>
  <c r="BA191" i="1"/>
  <c r="BB191" i="1"/>
  <c r="BA255" i="1"/>
  <c r="BB395" i="1"/>
  <c r="BA395" i="1"/>
  <c r="BA442" i="1"/>
  <c r="BB442" i="1"/>
  <c r="BB317" i="1"/>
  <c r="BA317" i="1"/>
  <c r="BA220" i="1"/>
  <c r="BB220" i="1"/>
  <c r="BB28" i="1"/>
  <c r="BA28" i="1"/>
  <c r="BA275" i="1"/>
  <c r="BB275" i="1"/>
  <c r="BB305" i="1"/>
  <c r="BA305" i="1"/>
  <c r="BA224" i="1"/>
  <c r="BB224" i="1"/>
  <c r="BB447" i="1"/>
  <c r="BA447" i="1"/>
  <c r="BA319" i="1"/>
  <c r="BB319" i="1"/>
  <c r="BA104" i="1"/>
  <c r="BB104" i="1"/>
  <c r="BA173" i="1"/>
  <c r="AR154" i="1"/>
  <c r="BH154" i="1" s="1"/>
  <c r="K154" i="4" s="1"/>
  <c r="AT154" i="1"/>
  <c r="BJ154" i="1" s="1"/>
  <c r="M154" i="4" s="1"/>
  <c r="AQ154" i="1"/>
  <c r="AX154" i="1"/>
  <c r="BE154" i="1" s="1"/>
  <c r="F154" i="4" s="1"/>
  <c r="AS154" i="1"/>
  <c r="BI154" i="1" s="1"/>
  <c r="L154" i="4" s="1"/>
  <c r="AV154" i="1"/>
  <c r="AV274" i="1"/>
  <c r="AR274" i="1"/>
  <c r="BH274" i="1" s="1"/>
  <c r="K274" i="4" s="1"/>
  <c r="AS274" i="1"/>
  <c r="BI274" i="1" s="1"/>
  <c r="L274" i="4" s="1"/>
  <c r="AX274" i="1"/>
  <c r="BE274" i="1" s="1"/>
  <c r="F274" i="4" s="1"/>
  <c r="AQ274" i="1"/>
  <c r="AT274" i="1"/>
  <c r="BJ274" i="1" s="1"/>
  <c r="M274" i="4" s="1"/>
  <c r="AH296" i="1"/>
  <c r="AK296" i="1" s="1"/>
  <c r="AO296" i="1"/>
  <c r="AV405" i="1"/>
  <c r="AQ405" i="1"/>
  <c r="AT405" i="1"/>
  <c r="BJ405" i="1" s="1"/>
  <c r="M405" i="4" s="1"/>
  <c r="AX405" i="1"/>
  <c r="BE405" i="1" s="1"/>
  <c r="F405" i="4" s="1"/>
  <c r="AS405" i="1"/>
  <c r="BI405" i="1" s="1"/>
  <c r="L405" i="4" s="1"/>
  <c r="AR405" i="1"/>
  <c r="BH405" i="1" s="1"/>
  <c r="K405" i="4" s="1"/>
  <c r="AX427" i="1"/>
  <c r="BE427" i="1" s="1"/>
  <c r="F427" i="4" s="1"/>
  <c r="AS427" i="1"/>
  <c r="BI427" i="1" s="1"/>
  <c r="L427" i="4" s="1"/>
  <c r="AQ427" i="1"/>
  <c r="AR427" i="1"/>
  <c r="BH427" i="1" s="1"/>
  <c r="K427" i="4" s="1"/>
  <c r="AT427" i="1"/>
  <c r="BJ427" i="1" s="1"/>
  <c r="M427" i="4" s="1"/>
  <c r="AV427" i="1"/>
  <c r="AR336" i="1"/>
  <c r="BH336" i="1" s="1"/>
  <c r="K336" i="4" s="1"/>
  <c r="AX336" i="1"/>
  <c r="BE336" i="1" s="1"/>
  <c r="F336" i="4" s="1"/>
  <c r="AT336" i="1"/>
  <c r="BJ336" i="1" s="1"/>
  <c r="M336" i="4" s="1"/>
  <c r="AS336" i="1"/>
  <c r="BI336" i="1" s="1"/>
  <c r="L336" i="4" s="1"/>
  <c r="AV336" i="1"/>
  <c r="AQ336" i="1"/>
  <c r="AR145" i="1"/>
  <c r="BH145" i="1" s="1"/>
  <c r="K145" i="4" s="1"/>
  <c r="AT145" i="1"/>
  <c r="BJ145" i="1" s="1"/>
  <c r="M145" i="4" s="1"/>
  <c r="AX145" i="1"/>
  <c r="BE145" i="1" s="1"/>
  <c r="F145" i="4" s="1"/>
  <c r="AQ145" i="1"/>
  <c r="AV145" i="1"/>
  <c r="AS145" i="1"/>
  <c r="BI145" i="1" s="1"/>
  <c r="L145" i="4" s="1"/>
  <c r="AT382" i="1"/>
  <c r="BJ382" i="1" s="1"/>
  <c r="M382" i="4" s="1"/>
  <c r="AR382" i="1"/>
  <c r="BH382" i="1" s="1"/>
  <c r="K382" i="4" s="1"/>
  <c r="AQ382" i="1"/>
  <c r="AS382" i="1"/>
  <c r="BI382" i="1" s="1"/>
  <c r="L382" i="4" s="1"/>
  <c r="AV382" i="1"/>
  <c r="AX382" i="1"/>
  <c r="BE382" i="1" s="1"/>
  <c r="F382" i="4" s="1"/>
  <c r="BG262" i="1"/>
  <c r="J262" i="4" s="1"/>
  <c r="AW262" i="1"/>
  <c r="AY22" i="1"/>
  <c r="BD22" i="1"/>
  <c r="AW117" i="1"/>
  <c r="BG117" i="1"/>
  <c r="J117" i="4" s="1"/>
  <c r="AV131" i="1"/>
  <c r="AQ131" i="1"/>
  <c r="AX131" i="1"/>
  <c r="BE131" i="1" s="1"/>
  <c r="F131" i="4" s="1"/>
  <c r="AR131" i="1"/>
  <c r="BH131" i="1" s="1"/>
  <c r="K131" i="4" s="1"/>
  <c r="AS131" i="1"/>
  <c r="BI131" i="1" s="1"/>
  <c r="L131" i="4" s="1"/>
  <c r="AT131" i="1"/>
  <c r="BJ131" i="1" s="1"/>
  <c r="M131" i="4" s="1"/>
  <c r="AW34" i="1"/>
  <c r="BG34" i="1"/>
  <c r="J34" i="4" s="1"/>
  <c r="AW412" i="1"/>
  <c r="BG412" i="1"/>
  <c r="J412" i="4" s="1"/>
  <c r="AW88" i="1"/>
  <c r="BG88" i="1"/>
  <c r="J88" i="4" s="1"/>
  <c r="AS218" i="1"/>
  <c r="BI218" i="1" s="1"/>
  <c r="L218" i="4" s="1"/>
  <c r="AX218" i="1"/>
  <c r="BE218" i="1" s="1"/>
  <c r="F218" i="4" s="1"/>
  <c r="AQ218" i="1"/>
  <c r="AT218" i="1"/>
  <c r="BJ218" i="1" s="1"/>
  <c r="M218" i="4" s="1"/>
  <c r="AR218" i="1"/>
  <c r="BH218" i="1" s="1"/>
  <c r="K218" i="4" s="1"/>
  <c r="AV218" i="1"/>
  <c r="AW493" i="1"/>
  <c r="BG493" i="1"/>
  <c r="J493" i="4" s="1"/>
  <c r="AW306" i="1"/>
  <c r="BG306" i="1"/>
  <c r="J306" i="4" s="1"/>
  <c r="AW365" i="1"/>
  <c r="BG365" i="1"/>
  <c r="J365" i="4" s="1"/>
  <c r="AW211" i="1"/>
  <c r="BG211" i="1"/>
  <c r="J211" i="4" s="1"/>
  <c r="AQ498" i="1"/>
  <c r="AX498" i="1"/>
  <c r="BE498" i="1" s="1"/>
  <c r="F498" i="4" s="1"/>
  <c r="AV498" i="1"/>
  <c r="AR498" i="1"/>
  <c r="BH498" i="1" s="1"/>
  <c r="K498" i="4" s="1"/>
  <c r="AS498" i="1"/>
  <c r="BI498" i="1" s="1"/>
  <c r="L498" i="4" s="1"/>
  <c r="AT498" i="1"/>
  <c r="BJ498" i="1" s="1"/>
  <c r="M498" i="4" s="1"/>
  <c r="AR435" i="1"/>
  <c r="BH435" i="1" s="1"/>
  <c r="K435" i="4" s="1"/>
  <c r="AQ435" i="1"/>
  <c r="AS435" i="1"/>
  <c r="BI435" i="1" s="1"/>
  <c r="L435" i="4" s="1"/>
  <c r="AV435" i="1"/>
  <c r="BG435" i="1" s="1"/>
  <c r="J435" i="4" s="1"/>
  <c r="AX435" i="1"/>
  <c r="BE435" i="1" s="1"/>
  <c r="F435" i="4" s="1"/>
  <c r="AT435" i="1"/>
  <c r="BJ435" i="1" s="1"/>
  <c r="M435" i="4" s="1"/>
  <c r="AR373" i="1"/>
  <c r="BH373" i="1" s="1"/>
  <c r="K373" i="4" s="1"/>
  <c r="AS373" i="1"/>
  <c r="BI373" i="1" s="1"/>
  <c r="L373" i="4" s="1"/>
  <c r="AV373" i="1"/>
  <c r="AT373" i="1"/>
  <c r="BJ373" i="1" s="1"/>
  <c r="M373" i="4" s="1"/>
  <c r="AQ373" i="1"/>
  <c r="AX373" i="1"/>
  <c r="BE373" i="1" s="1"/>
  <c r="F373" i="4" s="1"/>
  <c r="AR122" i="1"/>
  <c r="BH122" i="1" s="1"/>
  <c r="K122" i="4" s="1"/>
  <c r="AQ122" i="1"/>
  <c r="AT122" i="1"/>
  <c r="BJ122" i="1" s="1"/>
  <c r="M122" i="4" s="1"/>
  <c r="AX122" i="1"/>
  <c r="BE122" i="1" s="1"/>
  <c r="F122" i="4" s="1"/>
  <c r="AS122" i="1"/>
  <c r="BI122" i="1" s="1"/>
  <c r="L122" i="4" s="1"/>
  <c r="AV122" i="1"/>
  <c r="AV476" i="1"/>
  <c r="AR476" i="1"/>
  <c r="BH476" i="1" s="1"/>
  <c r="K476" i="4" s="1"/>
  <c r="AQ476" i="1"/>
  <c r="AT476" i="1"/>
  <c r="BJ476" i="1" s="1"/>
  <c r="M476" i="4" s="1"/>
  <c r="AX476" i="1"/>
  <c r="BE476" i="1" s="1"/>
  <c r="F476" i="4" s="1"/>
  <c r="AS476" i="1"/>
  <c r="BI476" i="1" s="1"/>
  <c r="L476" i="4" s="1"/>
  <c r="AT375" i="1"/>
  <c r="BJ375" i="1" s="1"/>
  <c r="M375" i="4" s="1"/>
  <c r="AX375" i="1"/>
  <c r="BE375" i="1" s="1"/>
  <c r="F375" i="4" s="1"/>
  <c r="AR375" i="1"/>
  <c r="BH375" i="1" s="1"/>
  <c r="K375" i="4" s="1"/>
  <c r="AV375" i="1"/>
  <c r="AS375" i="1"/>
  <c r="BI375" i="1" s="1"/>
  <c r="L375" i="4" s="1"/>
  <c r="AQ375" i="1"/>
  <c r="AH295" i="1"/>
  <c r="AK295" i="1" s="1"/>
  <c r="AO295" i="1"/>
  <c r="AH401" i="1"/>
  <c r="AK401" i="1" s="1"/>
  <c r="AO401" i="1"/>
  <c r="AH452" i="1"/>
  <c r="AK452" i="1" s="1"/>
  <c r="AO452" i="1"/>
  <c r="AX94" i="1"/>
  <c r="BE94" i="1" s="1"/>
  <c r="F94" i="4" s="1"/>
  <c r="AS94" i="1"/>
  <c r="BI94" i="1" s="1"/>
  <c r="L94" i="4" s="1"/>
  <c r="AQ94" i="1"/>
  <c r="AT94" i="1"/>
  <c r="BJ94" i="1" s="1"/>
  <c r="M94" i="4" s="1"/>
  <c r="AV94" i="1"/>
  <c r="AR94" i="1"/>
  <c r="BH94" i="1" s="1"/>
  <c r="K94" i="4" s="1"/>
  <c r="AQ31" i="1"/>
  <c r="AS31" i="1"/>
  <c r="BI31" i="1" s="1"/>
  <c r="L31" i="4" s="1"/>
  <c r="AV31" i="1"/>
  <c r="BG31" i="1" s="1"/>
  <c r="J31" i="4" s="1"/>
  <c r="AX31" i="1"/>
  <c r="BE31" i="1" s="1"/>
  <c r="F31" i="4" s="1"/>
  <c r="AT31" i="1"/>
  <c r="BJ31" i="1" s="1"/>
  <c r="M31" i="4" s="1"/>
  <c r="AR31" i="1"/>
  <c r="BH31" i="1" s="1"/>
  <c r="K31" i="4" s="1"/>
  <c r="AV180" i="1"/>
  <c r="AT180" i="1"/>
  <c r="BJ180" i="1" s="1"/>
  <c r="M180" i="4" s="1"/>
  <c r="AQ180" i="1"/>
  <c r="AS180" i="1"/>
  <c r="BI180" i="1" s="1"/>
  <c r="L180" i="4" s="1"/>
  <c r="AX180" i="1"/>
  <c r="BE180" i="1" s="1"/>
  <c r="F180" i="4" s="1"/>
  <c r="AR180" i="1"/>
  <c r="BH180" i="1" s="1"/>
  <c r="K180" i="4" s="1"/>
  <c r="AR39" i="1"/>
  <c r="BH39" i="1" s="1"/>
  <c r="K39" i="4" s="1"/>
  <c r="AQ39" i="1"/>
  <c r="AX39" i="1"/>
  <c r="BE39" i="1" s="1"/>
  <c r="F39" i="4" s="1"/>
  <c r="AS39" i="1"/>
  <c r="BI39" i="1" s="1"/>
  <c r="L39" i="4" s="1"/>
  <c r="AT39" i="1"/>
  <c r="BJ39" i="1" s="1"/>
  <c r="M39" i="4" s="1"/>
  <c r="AV39" i="1"/>
  <c r="AR74" i="1"/>
  <c r="BH74" i="1" s="1"/>
  <c r="K74" i="4" s="1"/>
  <c r="AX74" i="1"/>
  <c r="BE74" i="1" s="1"/>
  <c r="F74" i="4" s="1"/>
  <c r="AS74" i="1"/>
  <c r="BI74" i="1" s="1"/>
  <c r="L74" i="4" s="1"/>
  <c r="AT74" i="1"/>
  <c r="BJ74" i="1" s="1"/>
  <c r="M74" i="4" s="1"/>
  <c r="AV74" i="1"/>
  <c r="AQ74" i="1"/>
  <c r="AV213" i="1"/>
  <c r="AX213" i="1"/>
  <c r="BE213" i="1" s="1"/>
  <c r="F213" i="4" s="1"/>
  <c r="AS213" i="1"/>
  <c r="BI213" i="1" s="1"/>
  <c r="L213" i="4" s="1"/>
  <c r="AT213" i="1"/>
  <c r="BJ213" i="1" s="1"/>
  <c r="M213" i="4" s="1"/>
  <c r="AQ213" i="1"/>
  <c r="AR213" i="1"/>
  <c r="BH213" i="1" s="1"/>
  <c r="K213" i="4" s="1"/>
  <c r="BD197" i="1"/>
  <c r="AY197" i="1"/>
  <c r="AP387" i="1"/>
  <c r="AU387" i="1" s="1"/>
  <c r="AP142" i="1"/>
  <c r="AU142" i="1" s="1"/>
  <c r="AP311" i="1"/>
  <c r="AU311" i="1" s="1"/>
  <c r="AP465" i="1"/>
  <c r="AU465" i="1" s="1"/>
  <c r="AP237" i="1"/>
  <c r="AU237" i="1" s="1"/>
  <c r="AP407" i="1"/>
  <c r="AU407" i="1" s="1"/>
  <c r="AZ117" i="1"/>
  <c r="AZ391" i="1"/>
  <c r="AP397" i="1"/>
  <c r="AU397" i="1" s="1"/>
  <c r="AO37" i="1"/>
  <c r="AH37" i="1"/>
  <c r="AK37" i="1" s="1"/>
  <c r="AP37" i="1" s="1"/>
  <c r="AU37" i="1" s="1"/>
  <c r="AO152" i="1"/>
  <c r="AH152" i="1"/>
  <c r="AK152" i="1" s="1"/>
  <c r="AP152" i="1" s="1"/>
  <c r="AU152" i="1" s="1"/>
  <c r="AO369" i="1"/>
  <c r="AH369" i="1"/>
  <c r="AK369" i="1" s="1"/>
  <c r="AP369" i="1" s="1"/>
  <c r="AU369" i="1" s="1"/>
  <c r="AO15" i="1"/>
  <c r="AH15" i="1"/>
  <c r="AK15" i="1" s="1"/>
  <c r="AP15" i="1" s="1"/>
  <c r="AU15" i="1" s="1"/>
  <c r="AO290" i="1"/>
  <c r="AH290" i="1"/>
  <c r="AK290" i="1" s="1"/>
  <c r="AP290" i="1" s="1"/>
  <c r="AU290" i="1" s="1"/>
  <c r="AO446" i="1"/>
  <c r="AH446" i="1"/>
  <c r="AK446" i="1" s="1"/>
  <c r="AP446" i="1" s="1"/>
  <c r="AU446" i="1" s="1"/>
  <c r="BG8" i="1"/>
  <c r="J8" i="4" s="1"/>
  <c r="AW8" i="1"/>
  <c r="AY418" i="1"/>
  <c r="BD418" i="1"/>
  <c r="BG359" i="1"/>
  <c r="J359" i="4" s="1"/>
  <c r="AW359" i="1"/>
  <c r="AW118" i="1"/>
  <c r="BG118" i="1"/>
  <c r="J118" i="4" s="1"/>
  <c r="AR283" i="1"/>
  <c r="BH283" i="1" s="1"/>
  <c r="K283" i="4" s="1"/>
  <c r="AT283" i="1"/>
  <c r="BJ283" i="1" s="1"/>
  <c r="M283" i="4" s="1"/>
  <c r="BG25" i="1"/>
  <c r="J25" i="4" s="1"/>
  <c r="AW25" i="1"/>
  <c r="BD25" i="1" s="1"/>
  <c r="AX307" i="1"/>
  <c r="BE307" i="1" s="1"/>
  <c r="F307" i="4" s="1"/>
  <c r="AT307" i="1"/>
  <c r="BJ307" i="1" s="1"/>
  <c r="M307" i="4" s="1"/>
  <c r="AR307" i="1"/>
  <c r="BH307" i="1" s="1"/>
  <c r="K307" i="4" s="1"/>
  <c r="AV402" i="1"/>
  <c r="BG402" i="1" s="1"/>
  <c r="J402" i="4" s="1"/>
  <c r="AR402" i="1"/>
  <c r="BH402" i="1" s="1"/>
  <c r="K402" i="4" s="1"/>
  <c r="BG66" i="1"/>
  <c r="J66" i="4" s="1"/>
  <c r="AW66" i="1"/>
  <c r="AT129" i="1"/>
  <c r="BJ129" i="1" s="1"/>
  <c r="M129" i="4" s="1"/>
  <c r="AS129" i="1"/>
  <c r="BI129" i="1" s="1"/>
  <c r="L129" i="4" s="1"/>
  <c r="AR129" i="1"/>
  <c r="BH129" i="1" s="1"/>
  <c r="K129" i="4" s="1"/>
  <c r="AX129" i="1"/>
  <c r="BE129" i="1" s="1"/>
  <c r="F129" i="4" s="1"/>
  <c r="AX162" i="1"/>
  <c r="BE162" i="1" s="1"/>
  <c r="F162" i="4" s="1"/>
  <c r="AT323" i="1"/>
  <c r="BJ323" i="1" s="1"/>
  <c r="M323" i="4" s="1"/>
  <c r="AQ323" i="1"/>
  <c r="AS323" i="1"/>
  <c r="BI323" i="1" s="1"/>
  <c r="L323" i="4" s="1"/>
  <c r="AV315" i="1"/>
  <c r="AX315" i="1"/>
  <c r="BE315" i="1" s="1"/>
  <c r="F315" i="4" s="1"/>
  <c r="AT315" i="1"/>
  <c r="BJ315" i="1" s="1"/>
  <c r="M315" i="4" s="1"/>
  <c r="AR315" i="1"/>
  <c r="BH315" i="1" s="1"/>
  <c r="K315" i="4" s="1"/>
  <c r="AS315" i="1"/>
  <c r="BI315" i="1" s="1"/>
  <c r="L315" i="4" s="1"/>
  <c r="AQ315" i="1"/>
  <c r="AT76" i="1"/>
  <c r="BJ76" i="1" s="1"/>
  <c r="M76" i="4" s="1"/>
  <c r="AQ76" i="1"/>
  <c r="AO108" i="1"/>
  <c r="AH108" i="1"/>
  <c r="AK108" i="1" s="1"/>
  <c r="AP108" i="1" s="1"/>
  <c r="AU108" i="1" s="1"/>
  <c r="AV190" i="1"/>
  <c r="AS190" i="1"/>
  <c r="BI190" i="1" s="1"/>
  <c r="L190" i="4" s="1"/>
  <c r="AX190" i="1"/>
  <c r="BE190" i="1" s="1"/>
  <c r="F190" i="4" s="1"/>
  <c r="AR350" i="1"/>
  <c r="BH350" i="1" s="1"/>
  <c r="K350" i="4" s="1"/>
  <c r="AV350" i="1"/>
  <c r="AX350" i="1"/>
  <c r="BE350" i="1" s="1"/>
  <c r="F350" i="4" s="1"/>
  <c r="AT350" i="1"/>
  <c r="BJ350" i="1" s="1"/>
  <c r="M350" i="4" s="1"/>
  <c r="AS350" i="1"/>
  <c r="BI350" i="1" s="1"/>
  <c r="L350" i="4" s="1"/>
  <c r="AQ350" i="1"/>
  <c r="AR414" i="1"/>
  <c r="BH414" i="1" s="1"/>
  <c r="K414" i="4" s="1"/>
  <c r="AQ414" i="1"/>
  <c r="AR19" i="1"/>
  <c r="BH19" i="1" s="1"/>
  <c r="K19" i="4" s="1"/>
  <c r="AX19" i="1"/>
  <c r="BE19" i="1" s="1"/>
  <c r="F19" i="4" s="1"/>
  <c r="AT477" i="1"/>
  <c r="BJ477" i="1" s="1"/>
  <c r="M477" i="4" s="1"/>
  <c r="AV477" i="1"/>
  <c r="AR443" i="1"/>
  <c r="BH443" i="1" s="1"/>
  <c r="K443" i="4" s="1"/>
  <c r="AT244" i="1"/>
  <c r="BJ244" i="1" s="1"/>
  <c r="M244" i="4" s="1"/>
  <c r="AQ244" i="1"/>
  <c r="AR244" i="1"/>
  <c r="BH244" i="1" s="1"/>
  <c r="K244" i="4" s="1"/>
  <c r="AV328" i="1"/>
  <c r="AT328" i="1"/>
  <c r="BJ328" i="1" s="1"/>
  <c r="M328" i="4" s="1"/>
  <c r="AR141" i="1"/>
  <c r="BH141" i="1" s="1"/>
  <c r="K141" i="4" s="1"/>
  <c r="AT141" i="1"/>
  <c r="BJ141" i="1" s="1"/>
  <c r="M141" i="4" s="1"/>
  <c r="AX141" i="1"/>
  <c r="BE141" i="1" s="1"/>
  <c r="F141" i="4" s="1"/>
  <c r="AT377" i="1"/>
  <c r="BJ377" i="1" s="1"/>
  <c r="M377" i="4" s="1"/>
  <c r="AV377" i="1"/>
  <c r="AW377" i="1" s="1"/>
  <c r="AS265" i="1"/>
  <c r="BI265" i="1" s="1"/>
  <c r="L265" i="4" s="1"/>
  <c r="AT416" i="1"/>
  <c r="BJ416" i="1" s="1"/>
  <c r="M416" i="4" s="1"/>
  <c r="AR256" i="1"/>
  <c r="BH256" i="1" s="1"/>
  <c r="K256" i="4" s="1"/>
  <c r="AQ256" i="1"/>
  <c r="AT256" i="1"/>
  <c r="BJ256" i="1" s="1"/>
  <c r="M256" i="4" s="1"/>
  <c r="AV256" i="1"/>
  <c r="AS256" i="1"/>
  <c r="BI256" i="1" s="1"/>
  <c r="L256" i="4" s="1"/>
  <c r="AX256" i="1"/>
  <c r="BE256" i="1" s="1"/>
  <c r="F256" i="4" s="1"/>
  <c r="AS341" i="1"/>
  <c r="BI341" i="1" s="1"/>
  <c r="L341" i="4" s="1"/>
  <c r="AQ341" i="1"/>
  <c r="AX341" i="1"/>
  <c r="BE341" i="1" s="1"/>
  <c r="F341" i="4" s="1"/>
  <c r="BG376" i="1"/>
  <c r="J376" i="4" s="1"/>
  <c r="AW376" i="1"/>
  <c r="AS212" i="1"/>
  <c r="BI212" i="1" s="1"/>
  <c r="L212" i="4" s="1"/>
  <c r="AQ212" i="1"/>
  <c r="AT212" i="1"/>
  <c r="BJ212" i="1" s="1"/>
  <c r="M212" i="4" s="1"/>
  <c r="AV212" i="1"/>
  <c r="BG212" i="1" s="1"/>
  <c r="J212" i="4" s="1"/>
  <c r="AX212" i="1"/>
  <c r="BE212" i="1" s="1"/>
  <c r="F212" i="4" s="1"/>
  <c r="AR212" i="1"/>
  <c r="BH212" i="1" s="1"/>
  <c r="K212" i="4" s="1"/>
  <c r="AS188" i="1"/>
  <c r="BI188" i="1" s="1"/>
  <c r="L188" i="4" s="1"/>
  <c r="AT178" i="1"/>
  <c r="BJ178" i="1" s="1"/>
  <c r="M178" i="4" s="1"/>
  <c r="AQ178" i="1"/>
  <c r="AT93" i="1"/>
  <c r="BJ93" i="1" s="1"/>
  <c r="M93" i="4" s="1"/>
  <c r="AQ93" i="1"/>
  <c r="AS93" i="1"/>
  <c r="BI93" i="1" s="1"/>
  <c r="L93" i="4" s="1"/>
  <c r="AR93" i="1"/>
  <c r="BH93" i="1" s="1"/>
  <c r="K93" i="4" s="1"/>
  <c r="AX93" i="1"/>
  <c r="BE93" i="1" s="1"/>
  <c r="F93" i="4" s="1"/>
  <c r="AV93" i="1"/>
  <c r="AS473" i="1"/>
  <c r="BI473" i="1" s="1"/>
  <c r="L473" i="4" s="1"/>
  <c r="AX473" i="1"/>
  <c r="BE473" i="1" s="1"/>
  <c r="F473" i="4" s="1"/>
  <c r="AT473" i="1"/>
  <c r="BJ473" i="1" s="1"/>
  <c r="M473" i="4" s="1"/>
  <c r="AR17" i="1"/>
  <c r="BH17" i="1" s="1"/>
  <c r="K17" i="4" s="1"/>
  <c r="AV17" i="1"/>
  <c r="BG17" i="1" s="1"/>
  <c r="J17" i="4" s="1"/>
  <c r="AX17" i="1"/>
  <c r="BE17" i="1" s="1"/>
  <c r="F17" i="4" s="1"/>
  <c r="AT17" i="1"/>
  <c r="BJ17" i="1" s="1"/>
  <c r="M17" i="4" s="1"/>
  <c r="AR473" i="1"/>
  <c r="BH473" i="1" s="1"/>
  <c r="K473" i="4" s="1"/>
  <c r="AQ17" i="1"/>
  <c r="AS178" i="1"/>
  <c r="BI178" i="1" s="1"/>
  <c r="L178" i="4" s="1"/>
  <c r="AX178" i="1"/>
  <c r="BE178" i="1" s="1"/>
  <c r="F178" i="4" s="1"/>
  <c r="AR471" i="1"/>
  <c r="BH471" i="1" s="1"/>
  <c r="K471" i="4" s="1"/>
  <c r="AW371" i="1"/>
  <c r="AR377" i="1"/>
  <c r="BH377" i="1" s="1"/>
  <c r="K377" i="4" s="1"/>
  <c r="AS377" i="1"/>
  <c r="BI377" i="1" s="1"/>
  <c r="L377" i="4" s="1"/>
  <c r="AQ190" i="1"/>
  <c r="AV141" i="1"/>
  <c r="AS141" i="1"/>
  <c r="BI141" i="1" s="1"/>
  <c r="L141" i="4" s="1"/>
  <c r="AX72" i="1"/>
  <c r="BE72" i="1" s="1"/>
  <c r="F72" i="4" s="1"/>
  <c r="AX58" i="1"/>
  <c r="BE58" i="1" s="1"/>
  <c r="F58" i="4" s="1"/>
  <c r="AS430" i="1"/>
  <c r="BI430" i="1" s="1"/>
  <c r="L430" i="4" s="1"/>
  <c r="AS477" i="1"/>
  <c r="BI477" i="1" s="1"/>
  <c r="L477" i="4" s="1"/>
  <c r="AX477" i="1"/>
  <c r="BE477" i="1" s="1"/>
  <c r="F477" i="4" s="1"/>
  <c r="AS19" i="1"/>
  <c r="BI19" i="1" s="1"/>
  <c r="L19" i="4" s="1"/>
  <c r="AS76" i="1"/>
  <c r="BI76" i="1" s="1"/>
  <c r="L76" i="4" s="1"/>
  <c r="AR76" i="1"/>
  <c r="BH76" i="1" s="1"/>
  <c r="K76" i="4" s="1"/>
  <c r="AZ30" i="1"/>
  <c r="AX402" i="1"/>
  <c r="BE402" i="1" s="1"/>
  <c r="F402" i="4" s="1"/>
  <c r="AR178" i="1"/>
  <c r="BH178" i="1" s="1"/>
  <c r="K178" i="4" s="1"/>
  <c r="AZ371" i="1"/>
  <c r="AX377" i="1"/>
  <c r="BE377" i="1" s="1"/>
  <c r="F377" i="4" s="1"/>
  <c r="AQ377" i="1"/>
  <c r="AQ98" i="1"/>
  <c r="AT98" i="1"/>
  <c r="BJ98" i="1" s="1"/>
  <c r="M98" i="4" s="1"/>
  <c r="AT190" i="1"/>
  <c r="BJ190" i="1" s="1"/>
  <c r="M190" i="4" s="1"/>
  <c r="AR190" i="1"/>
  <c r="BH190" i="1" s="1"/>
  <c r="K190" i="4" s="1"/>
  <c r="AQ141" i="1"/>
  <c r="AV389" i="1"/>
  <c r="AS389" i="1"/>
  <c r="BI389" i="1" s="1"/>
  <c r="L389" i="4" s="1"/>
  <c r="AS276" i="1"/>
  <c r="BI276" i="1" s="1"/>
  <c r="L276" i="4" s="1"/>
  <c r="AQ276" i="1"/>
  <c r="AV430" i="1"/>
  <c r="BG430" i="1" s="1"/>
  <c r="J430" i="4" s="1"/>
  <c r="AR430" i="1"/>
  <c r="BH430" i="1" s="1"/>
  <c r="K430" i="4" s="1"/>
  <c r="AQ477" i="1"/>
  <c r="AV76" i="1"/>
  <c r="AX432" i="1"/>
  <c r="BE432" i="1" s="1"/>
  <c r="F432" i="4" s="1"/>
  <c r="AX130" i="1"/>
  <c r="BE130" i="1" s="1"/>
  <c r="F130" i="4" s="1"/>
  <c r="AZ376" i="1"/>
  <c r="AV178" i="1"/>
  <c r="BG178" i="1" s="1"/>
  <c r="J178" i="4" s="1"/>
  <c r="AZ455" i="1"/>
  <c r="AS98" i="1"/>
  <c r="BI98" i="1" s="1"/>
  <c r="L98" i="4" s="1"/>
  <c r="AV429" i="1"/>
  <c r="BG429" i="1" s="1"/>
  <c r="J429" i="4" s="1"/>
  <c r="AS424" i="1"/>
  <c r="BI424" i="1" s="1"/>
  <c r="L424" i="4" s="1"/>
  <c r="AR424" i="1"/>
  <c r="BH424" i="1" s="1"/>
  <c r="K424" i="4" s="1"/>
  <c r="AX389" i="1"/>
  <c r="BE389" i="1" s="1"/>
  <c r="F389" i="4" s="1"/>
  <c r="AT276" i="1"/>
  <c r="BJ276" i="1" s="1"/>
  <c r="M276" i="4" s="1"/>
  <c r="AS58" i="1"/>
  <c r="BI58" i="1" s="1"/>
  <c r="L58" i="4" s="1"/>
  <c r="AX449" i="1"/>
  <c r="BE449" i="1" s="1"/>
  <c r="F449" i="4" s="1"/>
  <c r="AS244" i="1"/>
  <c r="BI244" i="1" s="1"/>
  <c r="L244" i="4" s="1"/>
  <c r="AR477" i="1"/>
  <c r="BH477" i="1" s="1"/>
  <c r="K477" i="4" s="1"/>
  <c r="AQ19" i="1"/>
  <c r="AX76" i="1"/>
  <c r="BE76" i="1" s="1"/>
  <c r="F76" i="4" s="1"/>
  <c r="AS164" i="1"/>
  <c r="BI164" i="1" s="1"/>
  <c r="L164" i="4" s="1"/>
  <c r="AT164" i="1"/>
  <c r="BJ164" i="1" s="1"/>
  <c r="M164" i="4" s="1"/>
  <c r="AQ209" i="1"/>
  <c r="BG291" i="1"/>
  <c r="J291" i="4" s="1"/>
  <c r="AZ253" i="1"/>
  <c r="AY333" i="1"/>
  <c r="AQ164" i="1"/>
  <c r="AX164" i="1"/>
  <c r="BE164" i="1" s="1"/>
  <c r="F164" i="4" s="1"/>
  <c r="AZ241" i="1"/>
  <c r="AR209" i="1"/>
  <c r="BH209" i="1" s="1"/>
  <c r="K209" i="4" s="1"/>
  <c r="AX209" i="1"/>
  <c r="BE209" i="1" s="1"/>
  <c r="F209" i="4" s="1"/>
  <c r="AV265" i="1"/>
  <c r="AR432" i="1"/>
  <c r="BH432" i="1" s="1"/>
  <c r="K432" i="4" s="1"/>
  <c r="AR248" i="1"/>
  <c r="BH248" i="1" s="1"/>
  <c r="K248" i="4" s="1"/>
  <c r="AV130" i="1"/>
  <c r="AS402" i="1"/>
  <c r="BI402" i="1" s="1"/>
  <c r="L402" i="4" s="1"/>
  <c r="AS283" i="1"/>
  <c r="BI283" i="1" s="1"/>
  <c r="L283" i="4" s="1"/>
  <c r="AV432" i="1"/>
  <c r="BG432" i="1" s="1"/>
  <c r="J432" i="4" s="1"/>
  <c r="AS130" i="1"/>
  <c r="BI130" i="1" s="1"/>
  <c r="L130" i="4" s="1"/>
  <c r="AT415" i="1"/>
  <c r="BJ415" i="1" s="1"/>
  <c r="M415" i="4" s="1"/>
  <c r="AW13" i="1"/>
  <c r="AZ13" i="1"/>
  <c r="AS209" i="1"/>
  <c r="BI209" i="1" s="1"/>
  <c r="L209" i="4" s="1"/>
  <c r="AX198" i="1"/>
  <c r="BE198" i="1" s="1"/>
  <c r="F198" i="4" s="1"/>
  <c r="AZ367" i="1"/>
  <c r="AR429" i="1"/>
  <c r="BH429" i="1" s="1"/>
  <c r="K429" i="4" s="1"/>
  <c r="AQ429" i="1"/>
  <c r="AZ429" i="1" s="1"/>
  <c r="AS328" i="1"/>
  <c r="BI328" i="1" s="1"/>
  <c r="L328" i="4" s="1"/>
  <c r="AX328" i="1"/>
  <c r="BE328" i="1" s="1"/>
  <c r="F328" i="4" s="1"/>
  <c r="AR54" i="1"/>
  <c r="BH54" i="1" s="1"/>
  <c r="K54" i="4" s="1"/>
  <c r="AS72" i="1"/>
  <c r="BI72" i="1" s="1"/>
  <c r="L72" i="4" s="1"/>
  <c r="AS449" i="1"/>
  <c r="BI449" i="1" s="1"/>
  <c r="L449" i="4" s="1"/>
  <c r="AR449" i="1"/>
  <c r="BH449" i="1" s="1"/>
  <c r="K449" i="4" s="1"/>
  <c r="AS416" i="1"/>
  <c r="BI416" i="1" s="1"/>
  <c r="L416" i="4" s="1"/>
  <c r="AV414" i="1"/>
  <c r="BG414" i="1" s="1"/>
  <c r="J414" i="4" s="1"/>
  <c r="AR162" i="1"/>
  <c r="BH162" i="1" s="1"/>
  <c r="K162" i="4" s="1"/>
  <c r="AV293" i="1"/>
  <c r="BG293" i="1" s="1"/>
  <c r="J293" i="4" s="1"/>
  <c r="AQ453" i="1"/>
  <c r="AQ268" i="1"/>
  <c r="AV473" i="1"/>
  <c r="AW473" i="1" s="1"/>
  <c r="AQ473" i="1"/>
  <c r="AV172" i="1"/>
  <c r="AQ198" i="1"/>
  <c r="AT198" i="1"/>
  <c r="BJ198" i="1" s="1"/>
  <c r="M198" i="4" s="1"/>
  <c r="AS471" i="1"/>
  <c r="BI471" i="1" s="1"/>
  <c r="L471" i="4" s="1"/>
  <c r="AX453" i="1"/>
  <c r="BE453" i="1" s="1"/>
  <c r="F453" i="4" s="1"/>
  <c r="AS453" i="1"/>
  <c r="BI453" i="1" s="1"/>
  <c r="L453" i="4" s="1"/>
  <c r="AS228" i="1"/>
  <c r="BI228" i="1" s="1"/>
  <c r="L228" i="4" s="1"/>
  <c r="AS166" i="1"/>
  <c r="BI166" i="1" s="1"/>
  <c r="L166" i="4" s="1"/>
  <c r="AW314" i="1"/>
  <c r="AS429" i="1"/>
  <c r="BI429" i="1" s="1"/>
  <c r="L429" i="4" s="1"/>
  <c r="AQ328" i="1"/>
  <c r="AR328" i="1"/>
  <c r="BH328" i="1" s="1"/>
  <c r="K328" i="4" s="1"/>
  <c r="AQ54" i="1"/>
  <c r="AX54" i="1"/>
  <c r="BE54" i="1" s="1"/>
  <c r="F54" i="4" s="1"/>
  <c r="AR72" i="1"/>
  <c r="BH72" i="1" s="1"/>
  <c r="K72" i="4" s="1"/>
  <c r="AX378" i="1"/>
  <c r="BE378" i="1" s="1"/>
  <c r="F378" i="4" s="1"/>
  <c r="AV244" i="1"/>
  <c r="BG244" i="1" s="1"/>
  <c r="J244" i="4" s="1"/>
  <c r="AQ416" i="1"/>
  <c r="AX414" i="1"/>
  <c r="BE414" i="1" s="1"/>
  <c r="F414" i="4" s="1"/>
  <c r="AT414" i="1"/>
  <c r="BJ414" i="1" s="1"/>
  <c r="M414" i="4" s="1"/>
  <c r="AV19" i="1"/>
  <c r="AS162" i="1"/>
  <c r="BI162" i="1" s="1"/>
  <c r="L162" i="4" s="1"/>
  <c r="AX323" i="1"/>
  <c r="BE323" i="1" s="1"/>
  <c r="F323" i="4" s="1"/>
  <c r="AV323" i="1"/>
  <c r="BG323" i="1" s="1"/>
  <c r="J323" i="4" s="1"/>
  <c r="AT404" i="1"/>
  <c r="BJ404" i="1" s="1"/>
  <c r="M404" i="4" s="1"/>
  <c r="AQ129" i="1"/>
  <c r="AS415" i="1"/>
  <c r="BI415" i="1" s="1"/>
  <c r="L415" i="4" s="1"/>
  <c r="AR293" i="1"/>
  <c r="BH293" i="1" s="1"/>
  <c r="K293" i="4" s="1"/>
  <c r="AQ402" i="1"/>
  <c r="BD318" i="1"/>
  <c r="AY318" i="1"/>
  <c r="AV453" i="1"/>
  <c r="BG453" i="1" s="1"/>
  <c r="J453" i="4" s="1"/>
  <c r="AS17" i="1"/>
  <c r="BI17" i="1" s="1"/>
  <c r="L17" i="4" s="1"/>
  <c r="AR188" i="1"/>
  <c r="BH188" i="1" s="1"/>
  <c r="K188" i="4" s="1"/>
  <c r="AV198" i="1"/>
  <c r="AR453" i="1"/>
  <c r="BH453" i="1" s="1"/>
  <c r="K453" i="4" s="1"/>
  <c r="AZ314" i="1"/>
  <c r="AX479" i="1"/>
  <c r="BE479" i="1" s="1"/>
  <c r="F479" i="4" s="1"/>
  <c r="AT429" i="1"/>
  <c r="BJ429" i="1" s="1"/>
  <c r="M429" i="4" s="1"/>
  <c r="AT54" i="1"/>
  <c r="BJ54" i="1" s="1"/>
  <c r="M54" i="4" s="1"/>
  <c r="AQ72" i="1"/>
  <c r="AT449" i="1"/>
  <c r="BJ449" i="1" s="1"/>
  <c r="M449" i="4" s="1"/>
  <c r="AX244" i="1"/>
  <c r="AS414" i="1"/>
  <c r="BI414" i="1" s="1"/>
  <c r="L414" i="4" s="1"/>
  <c r="AX126" i="1"/>
  <c r="BE126" i="1" s="1"/>
  <c r="F126" i="4" s="1"/>
  <c r="AT19" i="1"/>
  <c r="BJ19" i="1" s="1"/>
  <c r="M19" i="4" s="1"/>
  <c r="AT162" i="1"/>
  <c r="BJ162" i="1" s="1"/>
  <c r="M162" i="4" s="1"/>
  <c r="AR323" i="1"/>
  <c r="BH323" i="1" s="1"/>
  <c r="K323" i="4" s="1"/>
  <c r="AS404" i="1"/>
  <c r="BI404" i="1" s="1"/>
  <c r="L404" i="4" s="1"/>
  <c r="AV129" i="1"/>
  <c r="AV415" i="1"/>
  <c r="BG415" i="1" s="1"/>
  <c r="J415" i="4" s="1"/>
  <c r="AV164" i="1"/>
  <c r="BG164" i="1" s="1"/>
  <c r="J164" i="4" s="1"/>
  <c r="AT402" i="1"/>
  <c r="BJ402" i="1" s="1"/>
  <c r="M402" i="4" s="1"/>
  <c r="AW81" i="1"/>
  <c r="AR422" i="1"/>
  <c r="BH422" i="1" s="1"/>
  <c r="K422" i="4" s="1"/>
  <c r="AX80" i="1"/>
  <c r="BE80" i="1" s="1"/>
  <c r="F80" i="4" s="1"/>
  <c r="AW160" i="1"/>
  <c r="AY160" i="1" s="1"/>
  <c r="AY155" i="1"/>
  <c r="BD149" i="1"/>
  <c r="AQ208" i="1"/>
  <c r="AV259" i="1"/>
  <c r="AV416" i="1"/>
  <c r="BG416" i="1" s="1"/>
  <c r="J416" i="4" s="1"/>
  <c r="AT126" i="1"/>
  <c r="BJ126" i="1" s="1"/>
  <c r="M126" i="4" s="1"/>
  <c r="AV162" i="1"/>
  <c r="AR130" i="1"/>
  <c r="BH130" i="1" s="1"/>
  <c r="K130" i="4" s="1"/>
  <c r="AR415" i="1"/>
  <c r="BH415" i="1" s="1"/>
  <c r="K415" i="4" s="1"/>
  <c r="AX208" i="1"/>
  <c r="BE208" i="1" s="1"/>
  <c r="F208" i="4" s="1"/>
  <c r="AT293" i="1"/>
  <c r="BJ293" i="1" s="1"/>
  <c r="M293" i="4" s="1"/>
  <c r="AX293" i="1"/>
  <c r="BE293" i="1" s="1"/>
  <c r="F293" i="4" s="1"/>
  <c r="AV307" i="1"/>
  <c r="BG307" i="1" s="1"/>
  <c r="J307" i="4" s="1"/>
  <c r="AS307" i="1"/>
  <c r="BI307" i="1" s="1"/>
  <c r="L307" i="4" s="1"/>
  <c r="AV209" i="1"/>
  <c r="BG209" i="1" s="1"/>
  <c r="J209" i="4" s="1"/>
  <c r="AX416" i="1"/>
  <c r="BE416" i="1" s="1"/>
  <c r="F416" i="4" s="1"/>
  <c r="AR416" i="1"/>
  <c r="BH416" i="1" s="1"/>
  <c r="K416" i="4" s="1"/>
  <c r="AR80" i="1"/>
  <c r="BH80" i="1" s="1"/>
  <c r="K80" i="4" s="1"/>
  <c r="AQ162" i="1"/>
  <c r="AQ130" i="1"/>
  <c r="AR208" i="1"/>
  <c r="BH208" i="1" s="1"/>
  <c r="K208" i="4" s="1"/>
  <c r="AS293" i="1"/>
  <c r="BI293" i="1" s="1"/>
  <c r="L293" i="4" s="1"/>
  <c r="AQ307" i="1"/>
  <c r="AR164" i="1"/>
  <c r="BH164" i="1" s="1"/>
  <c r="K164" i="4" s="1"/>
  <c r="AZ153" i="1"/>
  <c r="AY487" i="1"/>
  <c r="BD487" i="1"/>
  <c r="AQ432" i="1"/>
  <c r="AX248" i="1"/>
  <c r="BE248" i="1" s="1"/>
  <c r="F248" i="4" s="1"/>
  <c r="BG222" i="1"/>
  <c r="J222" i="4" s="1"/>
  <c r="AW222" i="1"/>
  <c r="AT341" i="1"/>
  <c r="BJ341" i="1" s="1"/>
  <c r="M341" i="4" s="1"/>
  <c r="AT188" i="1"/>
  <c r="BJ188" i="1" s="1"/>
  <c r="M188" i="4" s="1"/>
  <c r="AQ188" i="1"/>
  <c r="AV471" i="1"/>
  <c r="AX471" i="1"/>
  <c r="BE471" i="1" s="1"/>
  <c r="F471" i="4" s="1"/>
  <c r="AT245" i="1"/>
  <c r="BJ245" i="1" s="1"/>
  <c r="M245" i="4" s="1"/>
  <c r="AX269" i="1"/>
  <c r="BE269" i="1" s="1"/>
  <c r="F269" i="4" s="1"/>
  <c r="AX188" i="1"/>
  <c r="BE188" i="1" s="1"/>
  <c r="F188" i="4" s="1"/>
  <c r="AQ471" i="1"/>
  <c r="AT471" i="1"/>
  <c r="BJ471" i="1" s="1"/>
  <c r="M471" i="4" s="1"/>
  <c r="AV433" i="1"/>
  <c r="AS441" i="1"/>
  <c r="BI441" i="1" s="1"/>
  <c r="L441" i="4" s="1"/>
  <c r="AQ238" i="1"/>
  <c r="AX45" i="1"/>
  <c r="BE45" i="1" s="1"/>
  <c r="F45" i="4" s="1"/>
  <c r="AH170" i="1"/>
  <c r="AK170" i="1" s="1"/>
  <c r="AP170" i="1" s="1"/>
  <c r="AU170" i="1" s="1"/>
  <c r="AV341" i="1"/>
  <c r="AR341" i="1"/>
  <c r="BH341" i="1" s="1"/>
  <c r="K341" i="4" s="1"/>
  <c r="AQ53" i="1"/>
  <c r="AV188" i="1"/>
  <c r="BG188" i="1" s="1"/>
  <c r="J188" i="4" s="1"/>
  <c r="AO388" i="1"/>
  <c r="AH388" i="1"/>
  <c r="AK388" i="1" s="1"/>
  <c r="AV183" i="1"/>
  <c r="AW153" i="1"/>
  <c r="AT300" i="1"/>
  <c r="BJ300" i="1" s="1"/>
  <c r="M300" i="4" s="1"/>
  <c r="AQ300" i="1"/>
  <c r="AX300" i="1"/>
  <c r="BE300" i="1" s="1"/>
  <c r="F300" i="4" s="1"/>
  <c r="AR300" i="1"/>
  <c r="BH300" i="1" s="1"/>
  <c r="K300" i="4" s="1"/>
  <c r="AS300" i="1"/>
  <c r="BI300" i="1" s="1"/>
  <c r="L300" i="4" s="1"/>
  <c r="AV300" i="1"/>
  <c r="BG300" i="1" s="1"/>
  <c r="J300" i="4" s="1"/>
  <c r="AT432" i="1"/>
  <c r="BJ432" i="1" s="1"/>
  <c r="M432" i="4" s="1"/>
  <c r="AQ248" i="1"/>
  <c r="AT248" i="1"/>
  <c r="BJ248" i="1" s="1"/>
  <c r="M248" i="4" s="1"/>
  <c r="AQ404" i="1"/>
  <c r="AP193" i="1"/>
  <c r="AU193" i="1" s="1"/>
  <c r="AX193" i="1" s="1"/>
  <c r="BE193" i="1" s="1"/>
  <c r="F193" i="4" s="1"/>
  <c r="AP325" i="1"/>
  <c r="AU325" i="1" s="1"/>
  <c r="AH84" i="1"/>
  <c r="AK84" i="1" s="1"/>
  <c r="AP84" i="1" s="1"/>
  <c r="AU84" i="1" s="1"/>
  <c r="AR419" i="1"/>
  <c r="BH419" i="1" s="1"/>
  <c r="K419" i="4" s="1"/>
  <c r="AV419" i="1"/>
  <c r="AS419" i="1"/>
  <c r="BI419" i="1" s="1"/>
  <c r="L419" i="4" s="1"/>
  <c r="AX419" i="1"/>
  <c r="BE419" i="1" s="1"/>
  <c r="F419" i="4" s="1"/>
  <c r="AQ419" i="1"/>
  <c r="AT419" i="1"/>
  <c r="BJ419" i="1" s="1"/>
  <c r="M419" i="4" s="1"/>
  <c r="AW467" i="1"/>
  <c r="AS248" i="1"/>
  <c r="BI248" i="1" s="1"/>
  <c r="L248" i="4" s="1"/>
  <c r="AV404" i="1"/>
  <c r="BG404" i="1" s="1"/>
  <c r="J404" i="4" s="1"/>
  <c r="AZ467" i="1"/>
  <c r="AX434" i="1"/>
  <c r="BE434" i="1" s="1"/>
  <c r="F434" i="4" s="1"/>
  <c r="AZ423" i="1"/>
  <c r="AT3" i="1"/>
  <c r="BJ3" i="1" s="1"/>
  <c r="M3" i="4" s="1"/>
  <c r="AV3" i="1"/>
  <c r="AS3" i="1"/>
  <c r="BI3" i="1" s="1"/>
  <c r="L3" i="4" s="1"/>
  <c r="AR3" i="1"/>
  <c r="BH3" i="1" s="1"/>
  <c r="K3" i="4" s="1"/>
  <c r="AX3" i="1"/>
  <c r="BE3" i="1" s="1"/>
  <c r="F3" i="4" s="1"/>
  <c r="AQ3" i="1"/>
  <c r="AR366" i="1"/>
  <c r="BH366" i="1" s="1"/>
  <c r="K366" i="4" s="1"/>
  <c r="AX366" i="1"/>
  <c r="BE366" i="1" s="1"/>
  <c r="F366" i="4" s="1"/>
  <c r="AS366" i="1"/>
  <c r="BI366" i="1" s="1"/>
  <c r="L366" i="4" s="1"/>
  <c r="AT366" i="1"/>
  <c r="BJ366" i="1" s="1"/>
  <c r="M366" i="4" s="1"/>
  <c r="AV366" i="1"/>
  <c r="BG366" i="1" s="1"/>
  <c r="J366" i="4" s="1"/>
  <c r="AQ366" i="1"/>
  <c r="AY316" i="1"/>
  <c r="BD82" i="1"/>
  <c r="AY82" i="1"/>
  <c r="AQ139" i="1"/>
  <c r="AV417" i="1"/>
  <c r="AX161" i="1"/>
  <c r="BE161" i="1" s="1"/>
  <c r="F161" i="4" s="1"/>
  <c r="AT161" i="1"/>
  <c r="BJ161" i="1" s="1"/>
  <c r="M161" i="4" s="1"/>
  <c r="AV161" i="1"/>
  <c r="AS161" i="1"/>
  <c r="BI161" i="1" s="1"/>
  <c r="L161" i="4" s="1"/>
  <c r="AR161" i="1"/>
  <c r="BH161" i="1" s="1"/>
  <c r="K161" i="4" s="1"/>
  <c r="AQ161" i="1"/>
  <c r="AR346" i="1"/>
  <c r="BH346" i="1" s="1"/>
  <c r="K346" i="4" s="1"/>
  <c r="AS346" i="1"/>
  <c r="BI346" i="1" s="1"/>
  <c r="L346" i="4" s="1"/>
  <c r="AT346" i="1"/>
  <c r="BJ346" i="1" s="1"/>
  <c r="M346" i="4" s="1"/>
  <c r="AX346" i="1"/>
  <c r="BE346" i="1" s="1"/>
  <c r="F346" i="4" s="1"/>
  <c r="AV346" i="1"/>
  <c r="AQ346" i="1"/>
  <c r="AX268" i="1"/>
  <c r="BE268" i="1" s="1"/>
  <c r="F268" i="4" s="1"/>
  <c r="AV50" i="1"/>
  <c r="BG50" i="1" s="1"/>
  <c r="J50" i="4" s="1"/>
  <c r="AX175" i="1"/>
  <c r="BE175" i="1" s="1"/>
  <c r="F175" i="4" s="1"/>
  <c r="K37" i="2"/>
  <c r="AX128" i="1"/>
  <c r="BE128" i="1" s="1"/>
  <c r="F128" i="4" s="1"/>
  <c r="AQ58" i="1"/>
  <c r="AT58" i="1"/>
  <c r="BJ58" i="1" s="1"/>
  <c r="M58" i="4" s="1"/>
  <c r="AQ339" i="1"/>
  <c r="AS417" i="1"/>
  <c r="BI417" i="1" s="1"/>
  <c r="L417" i="4" s="1"/>
  <c r="AZ41" i="1"/>
  <c r="AV208" i="1"/>
  <c r="BG208" i="1" s="1"/>
  <c r="J208" i="4" s="1"/>
  <c r="BG204" i="1"/>
  <c r="J204" i="4" s="1"/>
  <c r="AX53" i="1"/>
  <c r="BE53" i="1" s="1"/>
  <c r="F53" i="4" s="1"/>
  <c r="AQ116" i="1"/>
  <c r="AS50" i="1"/>
  <c r="BI50" i="1" s="1"/>
  <c r="L50" i="4" s="1"/>
  <c r="AQ91" i="1"/>
  <c r="AT479" i="1"/>
  <c r="BJ479" i="1" s="1"/>
  <c r="M479" i="4" s="1"/>
  <c r="AS245" i="1"/>
  <c r="BI245" i="1" s="1"/>
  <c r="L245" i="4" s="1"/>
  <c r="AX245" i="1"/>
  <c r="BE245" i="1" s="1"/>
  <c r="F245" i="4" s="1"/>
  <c r="AQ424" i="1"/>
  <c r="AV58" i="1"/>
  <c r="AV339" i="1"/>
  <c r="AT417" i="1"/>
  <c r="BJ417" i="1" s="1"/>
  <c r="M417" i="4" s="1"/>
  <c r="AZ489" i="1"/>
  <c r="AS208" i="1"/>
  <c r="BI208" i="1" s="1"/>
  <c r="L208" i="4" s="1"/>
  <c r="AS53" i="1"/>
  <c r="BI53" i="1" s="1"/>
  <c r="L53" i="4" s="1"/>
  <c r="AT53" i="1"/>
  <c r="BJ53" i="1" s="1"/>
  <c r="M53" i="4" s="1"/>
  <c r="AS36" i="1"/>
  <c r="BI36" i="1" s="1"/>
  <c r="L36" i="4" s="1"/>
  <c r="AR210" i="1"/>
  <c r="BH210" i="1" s="1"/>
  <c r="K210" i="4" s="1"/>
  <c r="AT339" i="1"/>
  <c r="BJ339" i="1" s="1"/>
  <c r="M339" i="4" s="1"/>
  <c r="AS80" i="1"/>
  <c r="BI80" i="1" s="1"/>
  <c r="L80" i="4" s="1"/>
  <c r="AQ80" i="1"/>
  <c r="AT265" i="1"/>
  <c r="BJ265" i="1" s="1"/>
  <c r="M265" i="4" s="1"/>
  <c r="AR417" i="1"/>
  <c r="BH417" i="1" s="1"/>
  <c r="K417" i="4" s="1"/>
  <c r="BG200" i="1"/>
  <c r="J200" i="4" s="1"/>
  <c r="AW200" i="1"/>
  <c r="AT474" i="1"/>
  <c r="BJ474" i="1" s="1"/>
  <c r="M474" i="4" s="1"/>
  <c r="AR474" i="1"/>
  <c r="BH474" i="1" s="1"/>
  <c r="K474" i="4" s="1"/>
  <c r="AQ474" i="1"/>
  <c r="AS474" i="1"/>
  <c r="BI474" i="1" s="1"/>
  <c r="L474" i="4" s="1"/>
  <c r="AX474" i="1"/>
  <c r="BE474" i="1" s="1"/>
  <c r="F474" i="4" s="1"/>
  <c r="AV474" i="1"/>
  <c r="BG474" i="1" s="1"/>
  <c r="J474" i="4" s="1"/>
  <c r="AX431" i="1"/>
  <c r="BE431" i="1" s="1"/>
  <c r="F431" i="4" s="1"/>
  <c r="AQ431" i="1"/>
  <c r="AS431" i="1"/>
  <c r="BI431" i="1" s="1"/>
  <c r="L431" i="4" s="1"/>
  <c r="AT431" i="1"/>
  <c r="BJ431" i="1" s="1"/>
  <c r="M431" i="4" s="1"/>
  <c r="AR431" i="1"/>
  <c r="BH431" i="1" s="1"/>
  <c r="K431" i="4" s="1"/>
  <c r="AV431" i="1"/>
  <c r="BG431" i="1" s="1"/>
  <c r="J431" i="4" s="1"/>
  <c r="AZ200" i="1"/>
  <c r="AR53" i="1"/>
  <c r="BH53" i="1" s="1"/>
  <c r="K53" i="4" s="1"/>
  <c r="AV434" i="1"/>
  <c r="BG434" i="1" s="1"/>
  <c r="J434" i="4" s="1"/>
  <c r="AX91" i="1"/>
  <c r="BE91" i="1" s="1"/>
  <c r="F91" i="4" s="1"/>
  <c r="AS139" i="1"/>
  <c r="BI139" i="1" s="1"/>
  <c r="L139" i="4" s="1"/>
  <c r="AT125" i="1"/>
  <c r="BJ125" i="1" s="1"/>
  <c r="M125" i="4" s="1"/>
  <c r="AR339" i="1"/>
  <c r="BH339" i="1" s="1"/>
  <c r="K339" i="4" s="1"/>
  <c r="AV80" i="1"/>
  <c r="BG80" i="1" s="1"/>
  <c r="J80" i="4" s="1"/>
  <c r="AQ265" i="1"/>
  <c r="AT443" i="1"/>
  <c r="BJ443" i="1" s="1"/>
  <c r="M443" i="4" s="1"/>
  <c r="AX417" i="1"/>
  <c r="AS135" i="1"/>
  <c r="BI135" i="1" s="1"/>
  <c r="L135" i="4" s="1"/>
  <c r="AT135" i="1"/>
  <c r="BJ135" i="1" s="1"/>
  <c r="M135" i="4" s="1"/>
  <c r="AQ135" i="1"/>
  <c r="AR135" i="1"/>
  <c r="BH135" i="1" s="1"/>
  <c r="K135" i="4" s="1"/>
  <c r="AV135" i="1"/>
  <c r="BG135" i="1" s="1"/>
  <c r="J135" i="4" s="1"/>
  <c r="AX135" i="1"/>
  <c r="BE135" i="1" s="1"/>
  <c r="F135" i="4" s="1"/>
  <c r="AQ137" i="1"/>
  <c r="AV137" i="1"/>
  <c r="BG137" i="1" s="1"/>
  <c r="J137" i="4" s="1"/>
  <c r="AR137" i="1"/>
  <c r="BH137" i="1" s="1"/>
  <c r="K137" i="4" s="1"/>
  <c r="AT137" i="1"/>
  <c r="BJ137" i="1" s="1"/>
  <c r="M137" i="4" s="1"/>
  <c r="AS137" i="1"/>
  <c r="BI137" i="1" s="1"/>
  <c r="L137" i="4" s="1"/>
  <c r="AX137" i="1"/>
  <c r="BE137" i="1" s="1"/>
  <c r="F137" i="4" s="1"/>
  <c r="AS434" i="1"/>
  <c r="BI434" i="1" s="1"/>
  <c r="L434" i="4" s="1"/>
  <c r="AQ440" i="1"/>
  <c r="AS483" i="1"/>
  <c r="BI483" i="1" s="1"/>
  <c r="L483" i="4" s="1"/>
  <c r="AX139" i="1"/>
  <c r="BE139" i="1" s="1"/>
  <c r="F139" i="4" s="1"/>
  <c r="AR245" i="1"/>
  <c r="BH245" i="1" s="1"/>
  <c r="K245" i="4" s="1"/>
  <c r="AR269" i="1"/>
  <c r="BH269" i="1" s="1"/>
  <c r="K269" i="4" s="1"/>
  <c r="AW65" i="1"/>
  <c r="AR378" i="1"/>
  <c r="BH378" i="1" s="1"/>
  <c r="K378" i="4" s="1"/>
  <c r="AS339" i="1"/>
  <c r="BI339" i="1" s="1"/>
  <c r="L339" i="4" s="1"/>
  <c r="AX339" i="1"/>
  <c r="BE339" i="1" s="1"/>
  <c r="F339" i="4" s="1"/>
  <c r="AX265" i="1"/>
  <c r="BE265" i="1" s="1"/>
  <c r="F265" i="4" s="1"/>
  <c r="AX443" i="1"/>
  <c r="BE443" i="1" s="1"/>
  <c r="F443" i="4" s="1"/>
  <c r="AT183" i="1"/>
  <c r="BJ183" i="1" s="1"/>
  <c r="M183" i="4" s="1"/>
  <c r="AW489" i="1"/>
  <c r="AZ214" i="1"/>
  <c r="BG41" i="1"/>
  <c r="J41" i="4" s="1"/>
  <c r="AW41" i="1"/>
  <c r="AV458" i="1"/>
  <c r="BG458" i="1" s="1"/>
  <c r="J458" i="4" s="1"/>
  <c r="AR458" i="1"/>
  <c r="BH458" i="1" s="1"/>
  <c r="K458" i="4" s="1"/>
  <c r="AX458" i="1"/>
  <c r="BE458" i="1" s="1"/>
  <c r="F458" i="4" s="1"/>
  <c r="AQ458" i="1"/>
  <c r="AT458" i="1"/>
  <c r="BJ458" i="1" s="1"/>
  <c r="M458" i="4" s="1"/>
  <c r="AS458" i="1"/>
  <c r="BI458" i="1" s="1"/>
  <c r="L458" i="4" s="1"/>
  <c r="AR492" i="1"/>
  <c r="BH492" i="1" s="1"/>
  <c r="K492" i="4" s="1"/>
  <c r="AS492" i="1"/>
  <c r="BI492" i="1" s="1"/>
  <c r="L492" i="4" s="1"/>
  <c r="AX492" i="1"/>
  <c r="BE492" i="1" s="1"/>
  <c r="F492" i="4" s="1"/>
  <c r="AV492" i="1"/>
  <c r="AQ492" i="1"/>
  <c r="AT492" i="1"/>
  <c r="BJ492" i="1" s="1"/>
  <c r="M492" i="4" s="1"/>
  <c r="AT451" i="1"/>
  <c r="BJ451" i="1" s="1"/>
  <c r="M451" i="4" s="1"/>
  <c r="AV210" i="1"/>
  <c r="BG210" i="1" s="1"/>
  <c r="J210" i="4" s="1"/>
  <c r="AT228" i="1"/>
  <c r="BJ228" i="1" s="1"/>
  <c r="M228" i="4" s="1"/>
  <c r="AV139" i="1"/>
  <c r="BG139" i="1" s="1"/>
  <c r="J139" i="4" s="1"/>
  <c r="AW444" i="1"/>
  <c r="AR265" i="1"/>
  <c r="BH265" i="1" s="1"/>
  <c r="K265" i="4" s="1"/>
  <c r="AW248" i="1"/>
  <c r="AH64" i="1"/>
  <c r="AK64" i="1" s="1"/>
  <c r="AP64" i="1" s="1"/>
  <c r="AU64" i="1" s="1"/>
  <c r="AS64" i="1" s="1"/>
  <c r="BI64" i="1" s="1"/>
  <c r="L64" i="4" s="1"/>
  <c r="AS114" i="1"/>
  <c r="BI114" i="1" s="1"/>
  <c r="L114" i="4" s="1"/>
  <c r="AX114" i="1"/>
  <c r="BE114" i="1" s="1"/>
  <c r="F114" i="4" s="1"/>
  <c r="AQ114" i="1"/>
  <c r="AV114" i="1"/>
  <c r="AR114" i="1"/>
  <c r="BH114" i="1" s="1"/>
  <c r="K114" i="4" s="1"/>
  <c r="AT114" i="1"/>
  <c r="BJ114" i="1" s="1"/>
  <c r="M114" i="4" s="1"/>
  <c r="BG241" i="1"/>
  <c r="J241" i="4" s="1"/>
  <c r="AW241" i="1"/>
  <c r="AV347" i="1"/>
  <c r="AS347" i="1"/>
  <c r="BI347" i="1" s="1"/>
  <c r="L347" i="4" s="1"/>
  <c r="AX347" i="1"/>
  <c r="BE347" i="1" s="1"/>
  <c r="F347" i="4" s="1"/>
  <c r="AQ347" i="1"/>
  <c r="AR347" i="1"/>
  <c r="BH347" i="1" s="1"/>
  <c r="K347" i="4" s="1"/>
  <c r="AT347" i="1"/>
  <c r="BJ347" i="1" s="1"/>
  <c r="M347" i="4" s="1"/>
  <c r="AS27" i="1"/>
  <c r="BI27" i="1" s="1"/>
  <c r="L27" i="4" s="1"/>
  <c r="AT46" i="1"/>
  <c r="BJ46" i="1" s="1"/>
  <c r="M46" i="4" s="1"/>
  <c r="AR478" i="1"/>
  <c r="BH478" i="1" s="1"/>
  <c r="K478" i="4" s="1"/>
  <c r="AV269" i="1"/>
  <c r="BG269" i="1" s="1"/>
  <c r="J269" i="4" s="1"/>
  <c r="AT269" i="1"/>
  <c r="BJ269" i="1" s="1"/>
  <c r="M269" i="4" s="1"/>
  <c r="AZ428" i="1"/>
  <c r="AQ378" i="1"/>
  <c r="AV378" i="1"/>
  <c r="AW378" i="1" s="1"/>
  <c r="AS443" i="1"/>
  <c r="BI443" i="1" s="1"/>
  <c r="L443" i="4" s="1"/>
  <c r="AQ443" i="1"/>
  <c r="AV126" i="1"/>
  <c r="BG126" i="1" s="1"/>
  <c r="J126" i="4" s="1"/>
  <c r="AR466" i="1"/>
  <c r="BH466" i="1" s="1"/>
  <c r="K466" i="4" s="1"/>
  <c r="AV45" i="1"/>
  <c r="BG45" i="1" s="1"/>
  <c r="J45" i="4" s="1"/>
  <c r="AS183" i="1"/>
  <c r="BI183" i="1" s="1"/>
  <c r="L183" i="4" s="1"/>
  <c r="AR183" i="1"/>
  <c r="BH183" i="1" s="1"/>
  <c r="K183" i="4" s="1"/>
  <c r="AV338" i="1"/>
  <c r="AR338" i="1"/>
  <c r="BH338" i="1" s="1"/>
  <c r="K338" i="4" s="1"/>
  <c r="AT338" i="1"/>
  <c r="BJ338" i="1" s="1"/>
  <c r="M338" i="4" s="1"/>
  <c r="AQ338" i="1"/>
  <c r="AS338" i="1"/>
  <c r="BI338" i="1" s="1"/>
  <c r="L338" i="4" s="1"/>
  <c r="AX338" i="1"/>
  <c r="BE338" i="1" s="1"/>
  <c r="F338" i="4" s="1"/>
  <c r="AQ269" i="1"/>
  <c r="AH351" i="1"/>
  <c r="AK351" i="1" s="1"/>
  <c r="AP351" i="1" s="1"/>
  <c r="AU351" i="1" s="1"/>
  <c r="AT378" i="1"/>
  <c r="BJ378" i="1" s="1"/>
  <c r="M378" i="4" s="1"/>
  <c r="AV443" i="1"/>
  <c r="AQ126" i="1"/>
  <c r="AV466" i="1"/>
  <c r="AQ183" i="1"/>
  <c r="AZ183" i="1" s="1"/>
  <c r="AY23" i="1"/>
  <c r="BD23" i="1"/>
  <c r="AS437" i="1"/>
  <c r="BI437" i="1" s="1"/>
  <c r="L437" i="4" s="1"/>
  <c r="AR437" i="1"/>
  <c r="BH437" i="1" s="1"/>
  <c r="K437" i="4" s="1"/>
  <c r="AQ437" i="1"/>
  <c r="AX437" i="1"/>
  <c r="BE437" i="1" s="1"/>
  <c r="F437" i="4" s="1"/>
  <c r="AT437" i="1"/>
  <c r="BJ437" i="1" s="1"/>
  <c r="M437" i="4" s="1"/>
  <c r="AV437" i="1"/>
  <c r="BG437" i="1" s="1"/>
  <c r="J437" i="4" s="1"/>
  <c r="AW107" i="1"/>
  <c r="BD107" i="1" s="1"/>
  <c r="AQ450" i="1"/>
  <c r="AR450" i="1"/>
  <c r="BH450" i="1" s="1"/>
  <c r="K450" i="4" s="1"/>
  <c r="AS450" i="1"/>
  <c r="BI450" i="1" s="1"/>
  <c r="L450" i="4" s="1"/>
  <c r="AT450" i="1"/>
  <c r="BJ450" i="1" s="1"/>
  <c r="M450" i="4" s="1"/>
  <c r="AX450" i="1"/>
  <c r="BE450" i="1" s="1"/>
  <c r="F450" i="4" s="1"/>
  <c r="AV450" i="1"/>
  <c r="AX166" i="1"/>
  <c r="BE166" i="1" s="1"/>
  <c r="F166" i="4" s="1"/>
  <c r="AP361" i="1"/>
  <c r="AU361" i="1" s="1"/>
  <c r="AH44" i="1"/>
  <c r="AK44" i="1" s="1"/>
  <c r="AP44" i="1" s="1"/>
  <c r="AU44" i="1" s="1"/>
  <c r="AH70" i="1"/>
  <c r="AK70" i="1" s="1"/>
  <c r="AP70" i="1" s="1"/>
  <c r="AU70" i="1" s="1"/>
  <c r="AR126" i="1"/>
  <c r="BH126" i="1" s="1"/>
  <c r="K126" i="4" s="1"/>
  <c r="AW285" i="1"/>
  <c r="BD285" i="1" s="1"/>
  <c r="AS466" i="1"/>
  <c r="BI466" i="1" s="1"/>
  <c r="L466" i="4" s="1"/>
  <c r="AT466" i="1"/>
  <c r="BJ466" i="1" s="1"/>
  <c r="M466" i="4" s="1"/>
  <c r="AR45" i="1"/>
  <c r="BH45" i="1" s="1"/>
  <c r="K45" i="4" s="1"/>
  <c r="AT45" i="1"/>
  <c r="BJ45" i="1" s="1"/>
  <c r="M45" i="4" s="1"/>
  <c r="AS386" i="1"/>
  <c r="BI386" i="1" s="1"/>
  <c r="L386" i="4" s="1"/>
  <c r="AQ386" i="1"/>
  <c r="AR386" i="1"/>
  <c r="BH386" i="1" s="1"/>
  <c r="K386" i="4" s="1"/>
  <c r="AV386" i="1"/>
  <c r="AX386" i="1"/>
  <c r="BE386" i="1" s="1"/>
  <c r="F386" i="4" s="1"/>
  <c r="AT386" i="1"/>
  <c r="BJ386" i="1" s="1"/>
  <c r="M386" i="4" s="1"/>
  <c r="BG267" i="1"/>
  <c r="J267" i="4" s="1"/>
  <c r="AW267" i="1"/>
  <c r="BD191" i="1"/>
  <c r="AV46" i="1"/>
  <c r="BG46" i="1" s="1"/>
  <c r="J46" i="4" s="1"/>
  <c r="AT210" i="1"/>
  <c r="BJ210" i="1" s="1"/>
  <c r="M210" i="4" s="1"/>
  <c r="AR139" i="1"/>
  <c r="BH139" i="1" s="1"/>
  <c r="K139" i="4" s="1"/>
  <c r="AS128" i="1"/>
  <c r="BI128" i="1" s="1"/>
  <c r="L128" i="4" s="1"/>
  <c r="AX466" i="1"/>
  <c r="AQ45" i="1"/>
  <c r="AX480" i="1"/>
  <c r="BE480" i="1" s="1"/>
  <c r="F480" i="4" s="1"/>
  <c r="AQ480" i="1"/>
  <c r="AV480" i="1"/>
  <c r="BG480" i="1" s="1"/>
  <c r="J480" i="4" s="1"/>
  <c r="AT480" i="1"/>
  <c r="BJ480" i="1" s="1"/>
  <c r="M480" i="4" s="1"/>
  <c r="AR480" i="1"/>
  <c r="BH480" i="1" s="1"/>
  <c r="K480" i="4" s="1"/>
  <c r="AS480" i="1"/>
  <c r="BI480" i="1" s="1"/>
  <c r="L480" i="4" s="1"/>
  <c r="AR105" i="1"/>
  <c r="BH105" i="1" s="1"/>
  <c r="K105" i="4" s="1"/>
  <c r="AS105" i="1"/>
  <c r="BI105" i="1" s="1"/>
  <c r="L105" i="4" s="1"/>
  <c r="AX105" i="1"/>
  <c r="BE105" i="1" s="1"/>
  <c r="F105" i="4" s="1"/>
  <c r="AV105" i="1"/>
  <c r="AT105" i="1"/>
  <c r="BJ105" i="1" s="1"/>
  <c r="M105" i="4" s="1"/>
  <c r="AQ105" i="1"/>
  <c r="AZ267" i="1"/>
  <c r="AV110" i="1"/>
  <c r="AT110" i="1"/>
  <c r="BJ110" i="1" s="1"/>
  <c r="M110" i="4" s="1"/>
  <c r="AX110" i="1"/>
  <c r="BE110" i="1" s="1"/>
  <c r="F110" i="4" s="1"/>
  <c r="AQ110" i="1"/>
  <c r="AR110" i="1"/>
  <c r="BH110" i="1" s="1"/>
  <c r="K110" i="4" s="1"/>
  <c r="AS110" i="1"/>
  <c r="BI110" i="1" s="1"/>
  <c r="L110" i="4" s="1"/>
  <c r="AT136" i="1"/>
  <c r="BJ136" i="1" s="1"/>
  <c r="M136" i="4" s="1"/>
  <c r="AQ136" i="1"/>
  <c r="AS136" i="1"/>
  <c r="BI136" i="1" s="1"/>
  <c r="L136" i="4" s="1"/>
  <c r="AV136" i="1"/>
  <c r="BG136" i="1" s="1"/>
  <c r="J136" i="4" s="1"/>
  <c r="AX136" i="1"/>
  <c r="BE136" i="1" s="1"/>
  <c r="F136" i="4" s="1"/>
  <c r="AR136" i="1"/>
  <c r="BH136" i="1" s="1"/>
  <c r="K136" i="4" s="1"/>
  <c r="AV103" i="1"/>
  <c r="AT103" i="1"/>
  <c r="BJ103" i="1" s="1"/>
  <c r="M103" i="4" s="1"/>
  <c r="AS103" i="1"/>
  <c r="BI103" i="1" s="1"/>
  <c r="L103" i="4" s="1"/>
  <c r="AR103" i="1"/>
  <c r="BH103" i="1" s="1"/>
  <c r="K103" i="4" s="1"/>
  <c r="AX103" i="1"/>
  <c r="BE103" i="1" s="1"/>
  <c r="F103" i="4" s="1"/>
  <c r="AQ103" i="1"/>
  <c r="AT390" i="1"/>
  <c r="BJ390" i="1" s="1"/>
  <c r="M390" i="4" s="1"/>
  <c r="AQ390" i="1"/>
  <c r="AV390" i="1"/>
  <c r="AS390" i="1"/>
  <c r="BI390" i="1" s="1"/>
  <c r="L390" i="4" s="1"/>
  <c r="AX390" i="1"/>
  <c r="BE390" i="1" s="1"/>
  <c r="F390" i="4" s="1"/>
  <c r="AR390" i="1"/>
  <c r="BH390" i="1" s="1"/>
  <c r="K390" i="4" s="1"/>
  <c r="AY442" i="1"/>
  <c r="AS413" i="1"/>
  <c r="BI413" i="1" s="1"/>
  <c r="L413" i="4" s="1"/>
  <c r="AT230" i="1"/>
  <c r="BJ230" i="1" s="1"/>
  <c r="M230" i="4" s="1"/>
  <c r="AT268" i="1"/>
  <c r="BJ268" i="1" s="1"/>
  <c r="M268" i="4" s="1"/>
  <c r="AT433" i="1"/>
  <c r="BJ433" i="1" s="1"/>
  <c r="M433" i="4" s="1"/>
  <c r="AX433" i="1"/>
  <c r="AX50" i="1"/>
  <c r="BE50" i="1" s="1"/>
  <c r="F50" i="4" s="1"/>
  <c r="AQ50" i="1"/>
  <c r="AX451" i="1"/>
  <c r="BE451" i="1" s="1"/>
  <c r="F451" i="4" s="1"/>
  <c r="AR238" i="1"/>
  <c r="BH238" i="1" s="1"/>
  <c r="K238" i="4" s="1"/>
  <c r="AQ175" i="1"/>
  <c r="AS125" i="1"/>
  <c r="BI125" i="1" s="1"/>
  <c r="L125" i="4" s="1"/>
  <c r="AR313" i="1"/>
  <c r="BH313" i="1" s="1"/>
  <c r="K313" i="4" s="1"/>
  <c r="AV479" i="1"/>
  <c r="BG479" i="1" s="1"/>
  <c r="J479" i="4" s="1"/>
  <c r="AQ479" i="1"/>
  <c r="AO486" i="1"/>
  <c r="AH486" i="1"/>
  <c r="AK486" i="1" s="1"/>
  <c r="AQ272" i="1"/>
  <c r="AX272" i="1"/>
  <c r="BE272" i="1" s="1"/>
  <c r="F272" i="4" s="1"/>
  <c r="AT272" i="1"/>
  <c r="BJ272" i="1" s="1"/>
  <c r="M272" i="4" s="1"/>
  <c r="AV272" i="1"/>
  <c r="BG272" i="1" s="1"/>
  <c r="J272" i="4" s="1"/>
  <c r="AR272" i="1"/>
  <c r="BH272" i="1" s="1"/>
  <c r="K272" i="4" s="1"/>
  <c r="AS272" i="1"/>
  <c r="BI272" i="1" s="1"/>
  <c r="L272" i="4" s="1"/>
  <c r="AQ177" i="1"/>
  <c r="AT177" i="1"/>
  <c r="BJ177" i="1" s="1"/>
  <c r="M177" i="4" s="1"/>
  <c r="AS177" i="1"/>
  <c r="BI177" i="1" s="1"/>
  <c r="L177" i="4" s="1"/>
  <c r="AX177" i="1"/>
  <c r="BE177" i="1" s="1"/>
  <c r="F177" i="4" s="1"/>
  <c r="AR177" i="1"/>
  <c r="BH177" i="1" s="1"/>
  <c r="K177" i="4" s="1"/>
  <c r="AV177" i="1"/>
  <c r="BG177" i="1" s="1"/>
  <c r="J177" i="4" s="1"/>
  <c r="AQ310" i="1"/>
  <c r="AS310" i="1"/>
  <c r="BI310" i="1" s="1"/>
  <c r="L310" i="4" s="1"/>
  <c r="AT310" i="1"/>
  <c r="BJ310" i="1" s="1"/>
  <c r="M310" i="4" s="1"/>
  <c r="AX310" i="1"/>
  <c r="BE310" i="1" s="1"/>
  <c r="F310" i="4" s="1"/>
  <c r="AR310" i="1"/>
  <c r="BH310" i="1" s="1"/>
  <c r="K310" i="4" s="1"/>
  <c r="AV310" i="1"/>
  <c r="AQ235" i="1"/>
  <c r="AX235" i="1"/>
  <c r="BE235" i="1" s="1"/>
  <c r="F235" i="4" s="1"/>
  <c r="AS235" i="1"/>
  <c r="BI235" i="1" s="1"/>
  <c r="L235" i="4" s="1"/>
  <c r="AV235" i="1"/>
  <c r="BG235" i="1" s="1"/>
  <c r="J235" i="4" s="1"/>
  <c r="AR235" i="1"/>
  <c r="BH235" i="1" s="1"/>
  <c r="K235" i="4" s="1"/>
  <c r="AT235" i="1"/>
  <c r="BJ235" i="1" s="1"/>
  <c r="M235" i="4" s="1"/>
  <c r="AH372" i="1"/>
  <c r="AK372" i="1" s="1"/>
  <c r="AP372" i="1" s="1"/>
  <c r="AU372" i="1" s="1"/>
  <c r="AO97" i="1"/>
  <c r="AH97" i="1"/>
  <c r="AK97" i="1" s="1"/>
  <c r="AQ468" i="1"/>
  <c r="AS468" i="1"/>
  <c r="BI468" i="1" s="1"/>
  <c r="L468" i="4" s="1"/>
  <c r="AV468" i="1"/>
  <c r="BG468" i="1" s="1"/>
  <c r="J468" i="4" s="1"/>
  <c r="AX468" i="1"/>
  <c r="BE468" i="1" s="1"/>
  <c r="F468" i="4" s="1"/>
  <c r="AT468" i="1"/>
  <c r="BJ468" i="1" s="1"/>
  <c r="M468" i="4" s="1"/>
  <c r="AR468" i="1"/>
  <c r="BH468" i="1" s="1"/>
  <c r="K468" i="4" s="1"/>
  <c r="AP496" i="1"/>
  <c r="AU496" i="1" s="1"/>
  <c r="AZ358" i="1"/>
  <c r="AH247" i="1"/>
  <c r="AK247" i="1" s="1"/>
  <c r="AP247" i="1" s="1"/>
  <c r="AU247" i="1" s="1"/>
  <c r="AT184" i="1"/>
  <c r="BJ184" i="1" s="1"/>
  <c r="M184" i="4" s="1"/>
  <c r="AQ184" i="1"/>
  <c r="AS184" i="1"/>
  <c r="BI184" i="1" s="1"/>
  <c r="L184" i="4" s="1"/>
  <c r="AR184" i="1"/>
  <c r="BH184" i="1" s="1"/>
  <c r="K184" i="4" s="1"/>
  <c r="AX184" i="1"/>
  <c r="BE184" i="1" s="1"/>
  <c r="F184" i="4" s="1"/>
  <c r="AV184" i="1"/>
  <c r="BG184" i="1" s="1"/>
  <c r="J184" i="4" s="1"/>
  <c r="AO286" i="1"/>
  <c r="AH286" i="1"/>
  <c r="AK286" i="1" s="1"/>
  <c r="AH398" i="1"/>
  <c r="AK398" i="1" s="1"/>
  <c r="AP398" i="1" s="1"/>
  <c r="AU398" i="1" s="1"/>
  <c r="AO381" i="1"/>
  <c r="AH381" i="1"/>
  <c r="AK381" i="1" s="1"/>
  <c r="AV438" i="1"/>
  <c r="BG438" i="1" s="1"/>
  <c r="J438" i="4" s="1"/>
  <c r="AT438" i="1"/>
  <c r="BJ438" i="1" s="1"/>
  <c r="M438" i="4" s="1"/>
  <c r="AS438" i="1"/>
  <c r="BI438" i="1" s="1"/>
  <c r="L438" i="4" s="1"/>
  <c r="AR438" i="1"/>
  <c r="BH438" i="1" s="1"/>
  <c r="K438" i="4" s="1"/>
  <c r="AQ438" i="1"/>
  <c r="AX438" i="1"/>
  <c r="BE438" i="1" s="1"/>
  <c r="F438" i="4" s="1"/>
  <c r="AV113" i="1"/>
  <c r="BG113" i="1" s="1"/>
  <c r="J113" i="4" s="1"/>
  <c r="AT113" i="1"/>
  <c r="BJ113" i="1" s="1"/>
  <c r="M113" i="4" s="1"/>
  <c r="AQ113" i="1"/>
  <c r="AS113" i="1"/>
  <c r="BI113" i="1" s="1"/>
  <c r="L113" i="4" s="1"/>
  <c r="AR113" i="1"/>
  <c r="BH113" i="1" s="1"/>
  <c r="K113" i="4" s="1"/>
  <c r="AX113" i="1"/>
  <c r="BE113" i="1" s="1"/>
  <c r="F113" i="4" s="1"/>
  <c r="AR459" i="1"/>
  <c r="BH459" i="1" s="1"/>
  <c r="K459" i="4" s="1"/>
  <c r="AS459" i="1"/>
  <c r="BI459" i="1" s="1"/>
  <c r="L459" i="4" s="1"/>
  <c r="AQ459" i="1"/>
  <c r="AV459" i="1"/>
  <c r="BG459" i="1" s="1"/>
  <c r="J459" i="4" s="1"/>
  <c r="AX459" i="1"/>
  <c r="BE459" i="1" s="1"/>
  <c r="F459" i="4" s="1"/>
  <c r="AT459" i="1"/>
  <c r="BJ459" i="1" s="1"/>
  <c r="M459" i="4" s="1"/>
  <c r="AT410" i="1"/>
  <c r="BJ410" i="1" s="1"/>
  <c r="M410" i="4" s="1"/>
  <c r="AR410" i="1"/>
  <c r="BH410" i="1" s="1"/>
  <c r="K410" i="4" s="1"/>
  <c r="AV410" i="1"/>
  <c r="BG410" i="1" s="1"/>
  <c r="J410" i="4" s="1"/>
  <c r="AS410" i="1"/>
  <c r="BI410" i="1" s="1"/>
  <c r="L410" i="4" s="1"/>
  <c r="AQ410" i="1"/>
  <c r="AX410" i="1"/>
  <c r="BE410" i="1" s="1"/>
  <c r="F410" i="4" s="1"/>
  <c r="AZ334" i="1"/>
  <c r="AO140" i="1"/>
  <c r="AH140" i="1"/>
  <c r="AK140" i="1" s="1"/>
  <c r="AV278" i="1"/>
  <c r="AR278" i="1"/>
  <c r="BH278" i="1" s="1"/>
  <c r="K278" i="4" s="1"/>
  <c r="AT278" i="1"/>
  <c r="BJ278" i="1" s="1"/>
  <c r="M278" i="4" s="1"/>
  <c r="AX278" i="1"/>
  <c r="BE278" i="1" s="1"/>
  <c r="F278" i="4" s="1"/>
  <c r="AS278" i="1"/>
  <c r="BI278" i="1" s="1"/>
  <c r="L278" i="4" s="1"/>
  <c r="AQ278" i="1"/>
  <c r="AS394" i="1"/>
  <c r="BI394" i="1" s="1"/>
  <c r="L394" i="4" s="1"/>
  <c r="AQ394" i="1"/>
  <c r="AV394" i="1"/>
  <c r="BG394" i="1" s="1"/>
  <c r="J394" i="4" s="1"/>
  <c r="AR394" i="1"/>
  <c r="BH394" i="1" s="1"/>
  <c r="K394" i="4" s="1"/>
  <c r="AT394" i="1"/>
  <c r="BJ394" i="1" s="1"/>
  <c r="M394" i="4" s="1"/>
  <c r="AX394" i="1"/>
  <c r="BE394" i="1" s="1"/>
  <c r="F394" i="4" s="1"/>
  <c r="AT271" i="1"/>
  <c r="BJ271" i="1" s="1"/>
  <c r="M271" i="4" s="1"/>
  <c r="AX271" i="1"/>
  <c r="BE271" i="1" s="1"/>
  <c r="F271" i="4" s="1"/>
  <c r="AQ271" i="1"/>
  <c r="AR271" i="1"/>
  <c r="BH271" i="1" s="1"/>
  <c r="K271" i="4" s="1"/>
  <c r="AV271" i="1"/>
  <c r="BG271" i="1" s="1"/>
  <c r="J271" i="4" s="1"/>
  <c r="AS271" i="1"/>
  <c r="BI271" i="1" s="1"/>
  <c r="L271" i="4" s="1"/>
  <c r="AS364" i="1"/>
  <c r="BI364" i="1" s="1"/>
  <c r="L364" i="4" s="1"/>
  <c r="AX364" i="1"/>
  <c r="BE364" i="1" s="1"/>
  <c r="F364" i="4" s="1"/>
  <c r="AQ364" i="1"/>
  <c r="AV364" i="1"/>
  <c r="BG364" i="1" s="1"/>
  <c r="J364" i="4" s="1"/>
  <c r="AT364" i="1"/>
  <c r="BJ364" i="1" s="1"/>
  <c r="M364" i="4" s="1"/>
  <c r="AR364" i="1"/>
  <c r="BH364" i="1" s="1"/>
  <c r="K364" i="4" s="1"/>
  <c r="AZ408" i="1"/>
  <c r="AQ264" i="1"/>
  <c r="AS264" i="1"/>
  <c r="BI264" i="1" s="1"/>
  <c r="L264" i="4" s="1"/>
  <c r="AX264" i="1"/>
  <c r="BE264" i="1" s="1"/>
  <c r="F264" i="4" s="1"/>
  <c r="AV264" i="1"/>
  <c r="AR264" i="1"/>
  <c r="BH264" i="1" s="1"/>
  <c r="K264" i="4" s="1"/>
  <c r="AT264" i="1"/>
  <c r="BJ264" i="1" s="1"/>
  <c r="M264" i="4" s="1"/>
  <c r="AS433" i="1"/>
  <c r="BI433" i="1" s="1"/>
  <c r="L433" i="4" s="1"/>
  <c r="AR27" i="1"/>
  <c r="BH27" i="1" s="1"/>
  <c r="K27" i="4" s="1"/>
  <c r="AS46" i="1"/>
  <c r="BI46" i="1" s="1"/>
  <c r="L46" i="4" s="1"/>
  <c r="AT50" i="1"/>
  <c r="BJ50" i="1" s="1"/>
  <c r="M50" i="4" s="1"/>
  <c r="AR460" i="1"/>
  <c r="BH460" i="1" s="1"/>
  <c r="K460" i="4" s="1"/>
  <c r="AR259" i="1"/>
  <c r="BH259" i="1" s="1"/>
  <c r="K259" i="4" s="1"/>
  <c r="AV313" i="1"/>
  <c r="AS479" i="1"/>
  <c r="BI479" i="1" s="1"/>
  <c r="L479" i="4" s="1"/>
  <c r="AO322" i="1"/>
  <c r="AH322" i="1"/>
  <c r="AK322" i="1" s="1"/>
  <c r="AO298" i="1"/>
  <c r="AH298" i="1"/>
  <c r="AK298" i="1" s="1"/>
  <c r="AH355" i="1"/>
  <c r="AK355" i="1" s="1"/>
  <c r="AP355" i="1" s="1"/>
  <c r="AU355" i="1" s="1"/>
  <c r="AQ340" i="1"/>
  <c r="AX340" i="1"/>
  <c r="BE340" i="1" s="1"/>
  <c r="F340" i="4" s="1"/>
  <c r="AR340" i="1"/>
  <c r="BH340" i="1" s="1"/>
  <c r="K340" i="4" s="1"/>
  <c r="AV340" i="1"/>
  <c r="BG340" i="1" s="1"/>
  <c r="J340" i="4" s="1"/>
  <c r="AS340" i="1"/>
  <c r="BI340" i="1" s="1"/>
  <c r="L340" i="4" s="1"/>
  <c r="AT340" i="1"/>
  <c r="BJ340" i="1" s="1"/>
  <c r="M340" i="4" s="1"/>
  <c r="AT43" i="1"/>
  <c r="BJ43" i="1" s="1"/>
  <c r="M43" i="4" s="1"/>
  <c r="AV43" i="1"/>
  <c r="BG43" i="1" s="1"/>
  <c r="J43" i="4" s="1"/>
  <c r="AS43" i="1"/>
  <c r="BI43" i="1" s="1"/>
  <c r="L43" i="4" s="1"/>
  <c r="AR43" i="1"/>
  <c r="BH43" i="1" s="1"/>
  <c r="K43" i="4" s="1"/>
  <c r="AX43" i="1"/>
  <c r="BE43" i="1" s="1"/>
  <c r="F43" i="4" s="1"/>
  <c r="AQ43" i="1"/>
  <c r="AQ392" i="1"/>
  <c r="AT392" i="1"/>
  <c r="BJ392" i="1" s="1"/>
  <c r="M392" i="4" s="1"/>
  <c r="AX392" i="1"/>
  <c r="BE392" i="1" s="1"/>
  <c r="F392" i="4" s="1"/>
  <c r="AV392" i="1"/>
  <c r="BG392" i="1" s="1"/>
  <c r="J392" i="4" s="1"/>
  <c r="AR392" i="1"/>
  <c r="BH392" i="1" s="1"/>
  <c r="K392" i="4" s="1"/>
  <c r="AS392" i="1"/>
  <c r="BI392" i="1" s="1"/>
  <c r="L392" i="4" s="1"/>
  <c r="AP348" i="1"/>
  <c r="AU348" i="1" s="1"/>
  <c r="AR420" i="1"/>
  <c r="BH420" i="1" s="1"/>
  <c r="K420" i="4" s="1"/>
  <c r="AT420" i="1"/>
  <c r="BJ420" i="1" s="1"/>
  <c r="M420" i="4" s="1"/>
  <c r="AX420" i="1"/>
  <c r="BE420" i="1" s="1"/>
  <c r="F420" i="4" s="1"/>
  <c r="AV420" i="1"/>
  <c r="BG420" i="1" s="1"/>
  <c r="J420" i="4" s="1"/>
  <c r="AQ420" i="1"/>
  <c r="AS420" i="1"/>
  <c r="BI420" i="1" s="1"/>
  <c r="L420" i="4" s="1"/>
  <c r="AW423" i="1"/>
  <c r="BG334" i="1"/>
  <c r="J334" i="4" s="1"/>
  <c r="AW334" i="1"/>
  <c r="AO182" i="1"/>
  <c r="AH182" i="1"/>
  <c r="AK182" i="1" s="1"/>
  <c r="AP249" i="1"/>
  <c r="AU249" i="1" s="1"/>
  <c r="AP327" i="1"/>
  <c r="AU327" i="1" s="1"/>
  <c r="AS157" i="1"/>
  <c r="BI157" i="1" s="1"/>
  <c r="L157" i="4" s="1"/>
  <c r="AT157" i="1"/>
  <c r="BJ157" i="1" s="1"/>
  <c r="M157" i="4" s="1"/>
  <c r="AX157" i="1"/>
  <c r="BE157" i="1" s="1"/>
  <c r="F157" i="4" s="1"/>
  <c r="AQ157" i="1"/>
  <c r="AR157" i="1"/>
  <c r="BH157" i="1" s="1"/>
  <c r="K157" i="4" s="1"/>
  <c r="AV157" i="1"/>
  <c r="BG358" i="1"/>
  <c r="J358" i="4" s="1"/>
  <c r="AW358" i="1"/>
  <c r="AS59" i="1"/>
  <c r="BI59" i="1" s="1"/>
  <c r="L59" i="4" s="1"/>
  <c r="AX59" i="1"/>
  <c r="BE59" i="1" s="1"/>
  <c r="F59" i="4" s="1"/>
  <c r="AQ59" i="1"/>
  <c r="AR59" i="1"/>
  <c r="BH59" i="1" s="1"/>
  <c r="K59" i="4" s="1"/>
  <c r="AV59" i="1"/>
  <c r="BG59" i="1" s="1"/>
  <c r="J59" i="4" s="1"/>
  <c r="AT59" i="1"/>
  <c r="BJ59" i="1" s="1"/>
  <c r="M59" i="4" s="1"/>
  <c r="AO472" i="1"/>
  <c r="AH472" i="1"/>
  <c r="AK472" i="1" s="1"/>
  <c r="AH217" i="1"/>
  <c r="AK217" i="1" s="1"/>
  <c r="AP217" i="1" s="1"/>
  <c r="AU217" i="1" s="1"/>
  <c r="BG408" i="1"/>
  <c r="J408" i="4" s="1"/>
  <c r="AW408" i="1"/>
  <c r="AH29" i="1"/>
  <c r="AK29" i="1" s="1"/>
  <c r="AP29" i="1" s="1"/>
  <c r="AU29" i="1" s="1"/>
  <c r="AO38" i="1"/>
  <c r="AH38" i="1"/>
  <c r="AK38" i="1" s="1"/>
  <c r="AO396" i="1"/>
  <c r="AH396" i="1"/>
  <c r="AK396" i="1" s="1"/>
  <c r="AO24" i="1"/>
  <c r="AH24" i="1"/>
  <c r="AK24" i="1" s="1"/>
  <c r="AQ147" i="1"/>
  <c r="AV147" i="1"/>
  <c r="BG147" i="1" s="1"/>
  <c r="J147" i="4" s="1"/>
  <c r="AT147" i="1"/>
  <c r="BJ147" i="1" s="1"/>
  <c r="M147" i="4" s="1"/>
  <c r="AS147" i="1"/>
  <c r="BI147" i="1" s="1"/>
  <c r="L147" i="4" s="1"/>
  <c r="AR147" i="1"/>
  <c r="BH147" i="1" s="1"/>
  <c r="K147" i="4" s="1"/>
  <c r="AX147" i="1"/>
  <c r="BE147" i="1" s="1"/>
  <c r="F147" i="4" s="1"/>
  <c r="AR225" i="1"/>
  <c r="BH225" i="1" s="1"/>
  <c r="K225" i="4" s="1"/>
  <c r="AV225" i="1"/>
  <c r="AT225" i="1"/>
  <c r="BJ225" i="1" s="1"/>
  <c r="M225" i="4" s="1"/>
  <c r="AX225" i="1"/>
  <c r="BE225" i="1" s="1"/>
  <c r="F225" i="4" s="1"/>
  <c r="AQ225" i="1"/>
  <c r="AS225" i="1"/>
  <c r="BI225" i="1" s="1"/>
  <c r="L225" i="4" s="1"/>
  <c r="AT239" i="1"/>
  <c r="BJ239" i="1" s="1"/>
  <c r="M239" i="4" s="1"/>
  <c r="AV239" i="1"/>
  <c r="BG239" i="1" s="1"/>
  <c r="J239" i="4" s="1"/>
  <c r="AS239" i="1"/>
  <c r="BI239" i="1" s="1"/>
  <c r="L239" i="4" s="1"/>
  <c r="AX239" i="1"/>
  <c r="BE239" i="1" s="1"/>
  <c r="F239" i="4" s="1"/>
  <c r="AR239" i="1"/>
  <c r="BH239" i="1" s="1"/>
  <c r="K239" i="4" s="1"/>
  <c r="AQ239" i="1"/>
  <c r="AZ285" i="1"/>
  <c r="AQ445" i="1"/>
  <c r="AT445" i="1"/>
  <c r="BJ445" i="1" s="1"/>
  <c r="M445" i="4" s="1"/>
  <c r="AV445" i="1"/>
  <c r="BG445" i="1" s="1"/>
  <c r="J445" i="4" s="1"/>
  <c r="AS445" i="1"/>
  <c r="BI445" i="1" s="1"/>
  <c r="L445" i="4" s="1"/>
  <c r="AR445" i="1"/>
  <c r="BH445" i="1" s="1"/>
  <c r="K445" i="4" s="1"/>
  <c r="AX445" i="1"/>
  <c r="BE445" i="1" s="1"/>
  <c r="F445" i="4" s="1"/>
  <c r="AO52" i="1"/>
  <c r="AH52" i="1"/>
  <c r="AK52" i="1" s="1"/>
  <c r="AS292" i="1"/>
  <c r="BI292" i="1" s="1"/>
  <c r="L292" i="4" s="1"/>
  <c r="AQ292" i="1"/>
  <c r="AX292" i="1"/>
  <c r="BE292" i="1" s="1"/>
  <c r="F292" i="4" s="1"/>
  <c r="AV292" i="1"/>
  <c r="BG292" i="1" s="1"/>
  <c r="J292" i="4" s="1"/>
  <c r="AR292" i="1"/>
  <c r="BH292" i="1" s="1"/>
  <c r="K292" i="4" s="1"/>
  <c r="AT292" i="1"/>
  <c r="BJ292" i="1" s="1"/>
  <c r="M292" i="4" s="1"/>
  <c r="AV201" i="1"/>
  <c r="BG201" i="1" s="1"/>
  <c r="J201" i="4" s="1"/>
  <c r="AT201" i="1"/>
  <c r="BJ201" i="1" s="1"/>
  <c r="M201" i="4" s="1"/>
  <c r="AQ201" i="1"/>
  <c r="AR201" i="1"/>
  <c r="BH201" i="1" s="1"/>
  <c r="K201" i="4" s="1"/>
  <c r="AS201" i="1"/>
  <c r="BI201" i="1" s="1"/>
  <c r="L201" i="4" s="1"/>
  <c r="AX201" i="1"/>
  <c r="BE201" i="1" s="1"/>
  <c r="F201" i="4" s="1"/>
  <c r="AR20" i="1"/>
  <c r="BH20" i="1" s="1"/>
  <c r="K20" i="4" s="1"/>
  <c r="AV20" i="1"/>
  <c r="BG20" i="1" s="1"/>
  <c r="J20" i="4" s="1"/>
  <c r="AT20" i="1"/>
  <c r="BJ20" i="1" s="1"/>
  <c r="M20" i="4" s="1"/>
  <c r="AS20" i="1"/>
  <c r="BI20" i="1" s="1"/>
  <c r="L20" i="4" s="1"/>
  <c r="AX20" i="1"/>
  <c r="BE20" i="1" s="1"/>
  <c r="F20" i="4" s="1"/>
  <c r="AQ20" i="1"/>
  <c r="AX343" i="1"/>
  <c r="BE343" i="1" s="1"/>
  <c r="F343" i="4" s="1"/>
  <c r="AV343" i="1"/>
  <c r="BG343" i="1" s="1"/>
  <c r="J343" i="4" s="1"/>
  <c r="AQ343" i="1"/>
  <c r="AR343" i="1"/>
  <c r="BH343" i="1" s="1"/>
  <c r="K343" i="4" s="1"/>
  <c r="AT343" i="1"/>
  <c r="BJ343" i="1" s="1"/>
  <c r="M343" i="4" s="1"/>
  <c r="AS343" i="1"/>
  <c r="BI343" i="1" s="1"/>
  <c r="L343" i="4" s="1"/>
  <c r="AQ202" i="1"/>
  <c r="AV202" i="1"/>
  <c r="BG202" i="1" s="1"/>
  <c r="J202" i="4" s="1"/>
  <c r="AX202" i="1"/>
  <c r="BE202" i="1" s="1"/>
  <c r="F202" i="4" s="1"/>
  <c r="AT202" i="1"/>
  <c r="BJ202" i="1" s="1"/>
  <c r="M202" i="4" s="1"/>
  <c r="AR202" i="1"/>
  <c r="BH202" i="1" s="1"/>
  <c r="K202" i="4" s="1"/>
  <c r="AS202" i="1"/>
  <c r="BI202" i="1" s="1"/>
  <c r="L202" i="4" s="1"/>
  <c r="AH266" i="1"/>
  <c r="AK266" i="1" s="1"/>
  <c r="AP266" i="1" s="1"/>
  <c r="AU266" i="1" s="1"/>
  <c r="AQ36" i="1"/>
  <c r="AV422" i="1"/>
  <c r="AQ166" i="1"/>
  <c r="AV128" i="1"/>
  <c r="AW128" i="1" s="1"/>
  <c r="AR128" i="1"/>
  <c r="BH128" i="1" s="1"/>
  <c r="K128" i="4" s="1"/>
  <c r="AZ26" i="1"/>
  <c r="AT71" i="1"/>
  <c r="BJ71" i="1" s="1"/>
  <c r="M71" i="4" s="1"/>
  <c r="AX71" i="1"/>
  <c r="BE71" i="1" s="1"/>
  <c r="F71" i="4" s="1"/>
  <c r="AS71" i="1"/>
  <c r="BI71" i="1" s="1"/>
  <c r="L71" i="4" s="1"/>
  <c r="AR71" i="1"/>
  <c r="BH71" i="1" s="1"/>
  <c r="K71" i="4" s="1"/>
  <c r="AV71" i="1"/>
  <c r="BG71" i="1" s="1"/>
  <c r="J71" i="4" s="1"/>
  <c r="AQ71" i="1"/>
  <c r="BG324" i="1"/>
  <c r="J324" i="4" s="1"/>
  <c r="AW324" i="1"/>
  <c r="AZ107" i="1"/>
  <c r="AV146" i="1"/>
  <c r="AT146" i="1"/>
  <c r="BJ146" i="1" s="1"/>
  <c r="M146" i="4" s="1"/>
  <c r="AQ146" i="1"/>
  <c r="AR146" i="1"/>
  <c r="BH146" i="1" s="1"/>
  <c r="K146" i="4" s="1"/>
  <c r="AS146" i="1"/>
  <c r="BI146" i="1" s="1"/>
  <c r="L146" i="4" s="1"/>
  <c r="AX146" i="1"/>
  <c r="BE146" i="1" s="1"/>
  <c r="F146" i="4" s="1"/>
  <c r="AV47" i="1"/>
  <c r="AQ47" i="1"/>
  <c r="AS47" i="1"/>
  <c r="BI47" i="1" s="1"/>
  <c r="L47" i="4" s="1"/>
  <c r="AR47" i="1"/>
  <c r="BH47" i="1" s="1"/>
  <c r="K47" i="4" s="1"/>
  <c r="AX47" i="1"/>
  <c r="BE47" i="1" s="1"/>
  <c r="F47" i="4" s="1"/>
  <c r="AT47" i="1"/>
  <c r="BJ47" i="1" s="1"/>
  <c r="M47" i="4" s="1"/>
  <c r="AQ434" i="1"/>
  <c r="AS440" i="1"/>
  <c r="BI440" i="1" s="1"/>
  <c r="L440" i="4" s="1"/>
  <c r="AZ250" i="1"/>
  <c r="AV166" i="1"/>
  <c r="AQ128" i="1"/>
  <c r="AW428" i="1"/>
  <c r="AP308" i="1"/>
  <c r="AU308" i="1" s="1"/>
  <c r="AQ308" i="1" s="1"/>
  <c r="AZ324" i="1"/>
  <c r="AR10" i="1"/>
  <c r="BH10" i="1" s="1"/>
  <c r="K10" i="4" s="1"/>
  <c r="AS10" i="1"/>
  <c r="BI10" i="1" s="1"/>
  <c r="L10" i="4" s="1"/>
  <c r="AX10" i="1"/>
  <c r="BE10" i="1" s="1"/>
  <c r="F10" i="4" s="1"/>
  <c r="AQ10" i="1"/>
  <c r="AV10" i="1"/>
  <c r="BG10" i="1" s="1"/>
  <c r="J10" i="4" s="1"/>
  <c r="AT10" i="1"/>
  <c r="BJ10" i="1" s="1"/>
  <c r="M10" i="4" s="1"/>
  <c r="AV258" i="1"/>
  <c r="BG258" i="1" s="1"/>
  <c r="J258" i="4" s="1"/>
  <c r="AT258" i="1"/>
  <c r="BJ258" i="1" s="1"/>
  <c r="M258" i="4" s="1"/>
  <c r="AR258" i="1"/>
  <c r="BH258" i="1" s="1"/>
  <c r="K258" i="4" s="1"/>
  <c r="AX258" i="1"/>
  <c r="BE258" i="1" s="1"/>
  <c r="F258" i="4" s="1"/>
  <c r="AS258" i="1"/>
  <c r="BI258" i="1" s="1"/>
  <c r="L258" i="4" s="1"/>
  <c r="AQ258" i="1"/>
  <c r="AQ234" i="1"/>
  <c r="BD89" i="1"/>
  <c r="AY89" i="1"/>
  <c r="BG111" i="1"/>
  <c r="J111" i="4" s="1"/>
  <c r="AW111" i="1"/>
  <c r="AX299" i="1"/>
  <c r="BE299" i="1" s="1"/>
  <c r="F299" i="4" s="1"/>
  <c r="AS299" i="1"/>
  <c r="BI299" i="1" s="1"/>
  <c r="L299" i="4" s="1"/>
  <c r="AQ299" i="1"/>
  <c r="AV299" i="1"/>
  <c r="BG299" i="1" s="1"/>
  <c r="J299" i="4" s="1"/>
  <c r="AR299" i="1"/>
  <c r="BH299" i="1" s="1"/>
  <c r="K299" i="4" s="1"/>
  <c r="AT299" i="1"/>
  <c r="BJ299" i="1" s="1"/>
  <c r="M299" i="4" s="1"/>
  <c r="AR132" i="1"/>
  <c r="BH132" i="1" s="1"/>
  <c r="K132" i="4" s="1"/>
  <c r="AX132" i="1"/>
  <c r="BE132" i="1" s="1"/>
  <c r="F132" i="4" s="1"/>
  <c r="AT132" i="1"/>
  <c r="BJ132" i="1" s="1"/>
  <c r="M132" i="4" s="1"/>
  <c r="AS132" i="1"/>
  <c r="BI132" i="1" s="1"/>
  <c r="L132" i="4" s="1"/>
  <c r="AQ132" i="1"/>
  <c r="AV132" i="1"/>
  <c r="BD374" i="1"/>
  <c r="AY374" i="1"/>
  <c r="AQ138" i="1"/>
  <c r="AV138" i="1"/>
  <c r="BG138" i="1" s="1"/>
  <c r="J138" i="4" s="1"/>
  <c r="AT138" i="1"/>
  <c r="BJ138" i="1" s="1"/>
  <c r="M138" i="4" s="1"/>
  <c r="AR138" i="1"/>
  <c r="BH138" i="1" s="1"/>
  <c r="K138" i="4" s="1"/>
  <c r="AS138" i="1"/>
  <c r="BI138" i="1" s="1"/>
  <c r="L138" i="4" s="1"/>
  <c r="AX138" i="1"/>
  <c r="BE138" i="1" s="1"/>
  <c r="F138" i="4" s="1"/>
  <c r="BD28" i="1"/>
  <c r="BD240" i="1"/>
  <c r="E240" i="4" s="1"/>
  <c r="AX413" i="1"/>
  <c r="BE413" i="1" s="1"/>
  <c r="F413" i="4" s="1"/>
  <c r="AV413" i="1"/>
  <c r="BG413" i="1" s="1"/>
  <c r="J413" i="4" s="1"/>
  <c r="AR230" i="1"/>
  <c r="BH230" i="1" s="1"/>
  <c r="K230" i="4" s="1"/>
  <c r="AS230" i="1"/>
  <c r="BI230" i="1" s="1"/>
  <c r="L230" i="4" s="1"/>
  <c r="AR268" i="1"/>
  <c r="BH268" i="1" s="1"/>
  <c r="K268" i="4" s="1"/>
  <c r="AS172" i="1"/>
  <c r="BI172" i="1" s="1"/>
  <c r="L172" i="4" s="1"/>
  <c r="AQ172" i="1"/>
  <c r="AV27" i="1"/>
  <c r="AW27" i="1" s="1"/>
  <c r="AX116" i="1"/>
  <c r="BE116" i="1" s="1"/>
  <c r="F116" i="4" s="1"/>
  <c r="AR116" i="1"/>
  <c r="BH116" i="1" s="1"/>
  <c r="K116" i="4" s="1"/>
  <c r="AQ46" i="1"/>
  <c r="AR483" i="1"/>
  <c r="BH483" i="1" s="1"/>
  <c r="K483" i="4" s="1"/>
  <c r="AV441" i="1"/>
  <c r="BG441" i="1" s="1"/>
  <c r="J441" i="4" s="1"/>
  <c r="AX441" i="1"/>
  <c r="BE441" i="1" s="1"/>
  <c r="F441" i="4" s="1"/>
  <c r="AR451" i="1"/>
  <c r="BH451" i="1" s="1"/>
  <c r="K451" i="4" s="1"/>
  <c r="AX210" i="1"/>
  <c r="BE210" i="1" s="1"/>
  <c r="F210" i="4" s="1"/>
  <c r="AQ210" i="1"/>
  <c r="AV228" i="1"/>
  <c r="BG228" i="1" s="1"/>
  <c r="J228" i="4" s="1"/>
  <c r="AR228" i="1"/>
  <c r="BH228" i="1" s="1"/>
  <c r="K228" i="4" s="1"/>
  <c r="AV478" i="1"/>
  <c r="AS195" i="1"/>
  <c r="BI195" i="1" s="1"/>
  <c r="L195" i="4" s="1"/>
  <c r="AV49" i="1"/>
  <c r="AR49" i="1"/>
  <c r="BH49" i="1" s="1"/>
  <c r="K49" i="4" s="1"/>
  <c r="AS49" i="1"/>
  <c r="BI49" i="1" s="1"/>
  <c r="L49" i="4" s="1"/>
  <c r="AQ49" i="1"/>
  <c r="AX49" i="1"/>
  <c r="BE49" i="1" s="1"/>
  <c r="F49" i="4" s="1"/>
  <c r="AT49" i="1"/>
  <c r="BJ49" i="1" s="1"/>
  <c r="M49" i="4" s="1"/>
  <c r="AT2" i="1"/>
  <c r="BJ2" i="1" s="1"/>
  <c r="M2" i="4" s="1"/>
  <c r="AS2" i="1"/>
  <c r="BI2" i="1" s="1"/>
  <c r="L2" i="4" s="1"/>
  <c r="AV2" i="1"/>
  <c r="AQ2" i="1"/>
  <c r="AR2" i="1"/>
  <c r="BH2" i="1" s="1"/>
  <c r="K2" i="4" s="1"/>
  <c r="AX2" i="1"/>
  <c r="BE2" i="1" s="1"/>
  <c r="F2" i="4" s="1"/>
  <c r="AV393" i="1"/>
  <c r="BG393" i="1" s="1"/>
  <c r="J393" i="4" s="1"/>
  <c r="AT393" i="1"/>
  <c r="BJ393" i="1" s="1"/>
  <c r="M393" i="4" s="1"/>
  <c r="AQ393" i="1"/>
  <c r="AX393" i="1"/>
  <c r="BE393" i="1" s="1"/>
  <c r="F393" i="4" s="1"/>
  <c r="AR393" i="1"/>
  <c r="BH393" i="1" s="1"/>
  <c r="K393" i="4" s="1"/>
  <c r="AS393" i="1"/>
  <c r="BI393" i="1" s="1"/>
  <c r="L393" i="4" s="1"/>
  <c r="BG26" i="1"/>
  <c r="J26" i="4" s="1"/>
  <c r="AW26" i="1"/>
  <c r="AX230" i="1"/>
  <c r="BE230" i="1" s="1"/>
  <c r="F230" i="4" s="1"/>
  <c r="AX172" i="1"/>
  <c r="BE172" i="1" s="1"/>
  <c r="F172" i="4" s="1"/>
  <c r="AX27" i="1"/>
  <c r="BE27" i="1" s="1"/>
  <c r="F27" i="4" s="1"/>
  <c r="AT116" i="1"/>
  <c r="BJ116" i="1" s="1"/>
  <c r="M116" i="4" s="1"/>
  <c r="AR441" i="1"/>
  <c r="BH441" i="1" s="1"/>
  <c r="K441" i="4" s="1"/>
  <c r="AQ451" i="1"/>
  <c r="AS451" i="1"/>
  <c r="BI451" i="1" s="1"/>
  <c r="L451" i="4" s="1"/>
  <c r="AX228" i="1"/>
  <c r="BE228" i="1" s="1"/>
  <c r="F228" i="4" s="1"/>
  <c r="AQ228" i="1"/>
  <c r="AT478" i="1"/>
  <c r="BJ478" i="1" s="1"/>
  <c r="M478" i="4" s="1"/>
  <c r="AX195" i="1"/>
  <c r="BE195" i="1" s="1"/>
  <c r="F195" i="4" s="1"/>
  <c r="AZ331" i="1"/>
  <c r="AZ204" i="1"/>
  <c r="AW282" i="1"/>
  <c r="AR413" i="1"/>
  <c r="BH413" i="1" s="1"/>
  <c r="K413" i="4" s="1"/>
  <c r="AS234" i="1"/>
  <c r="BI234" i="1" s="1"/>
  <c r="L234" i="4" s="1"/>
  <c r="AT413" i="1"/>
  <c r="BJ413" i="1" s="1"/>
  <c r="M413" i="4" s="1"/>
  <c r="AV230" i="1"/>
  <c r="AS268" i="1"/>
  <c r="BI268" i="1" s="1"/>
  <c r="L268" i="4" s="1"/>
  <c r="AT172" i="1"/>
  <c r="BJ172" i="1" s="1"/>
  <c r="M172" i="4" s="1"/>
  <c r="AT27" i="1"/>
  <c r="BJ27" i="1" s="1"/>
  <c r="M27" i="4" s="1"/>
  <c r="AS116" i="1"/>
  <c r="BI116" i="1" s="1"/>
  <c r="L116" i="4" s="1"/>
  <c r="AX46" i="1"/>
  <c r="BE46" i="1" s="1"/>
  <c r="F46" i="4" s="1"/>
  <c r="AQ441" i="1"/>
  <c r="AW250" i="1"/>
  <c r="AS478" i="1"/>
  <c r="BI478" i="1" s="1"/>
  <c r="L478" i="4" s="1"/>
  <c r="AZ106" i="1"/>
  <c r="AW331" i="1"/>
  <c r="AR434" i="1"/>
  <c r="BH434" i="1" s="1"/>
  <c r="K434" i="4" s="1"/>
  <c r="AR36" i="1"/>
  <c r="BH36" i="1" s="1"/>
  <c r="K36" i="4" s="1"/>
  <c r="AT440" i="1"/>
  <c r="BJ440" i="1" s="1"/>
  <c r="M440" i="4" s="1"/>
  <c r="AX422" i="1"/>
  <c r="BE422" i="1" s="1"/>
  <c r="F422" i="4" s="1"/>
  <c r="AV483" i="1"/>
  <c r="AW483" i="1" s="1"/>
  <c r="AV91" i="1"/>
  <c r="AT91" i="1"/>
  <c r="BJ91" i="1" s="1"/>
  <c r="M91" i="4" s="1"/>
  <c r="AQ460" i="1"/>
  <c r="AZ460" i="1" s="1"/>
  <c r="AX238" i="1"/>
  <c r="BE238" i="1" s="1"/>
  <c r="F238" i="4" s="1"/>
  <c r="AV175" i="1"/>
  <c r="BG175" i="1" s="1"/>
  <c r="J175" i="4" s="1"/>
  <c r="AR175" i="1"/>
  <c r="BH175" i="1" s="1"/>
  <c r="K175" i="4" s="1"/>
  <c r="AZ32" i="1"/>
  <c r="AP187" i="1"/>
  <c r="AU187" i="1" s="1"/>
  <c r="AT187" i="1" s="1"/>
  <c r="BJ187" i="1" s="1"/>
  <c r="M187" i="4" s="1"/>
  <c r="AT166" i="1"/>
  <c r="BJ166" i="1" s="1"/>
  <c r="M166" i="4" s="1"/>
  <c r="AX478" i="1"/>
  <c r="BE478" i="1" s="1"/>
  <c r="F478" i="4" s="1"/>
  <c r="AQ478" i="1"/>
  <c r="AR195" i="1"/>
  <c r="BH195" i="1" s="1"/>
  <c r="K195" i="4" s="1"/>
  <c r="AT195" i="1"/>
  <c r="BJ195" i="1" s="1"/>
  <c r="M195" i="4" s="1"/>
  <c r="AR335" i="1"/>
  <c r="BH335" i="1" s="1"/>
  <c r="K335" i="4" s="1"/>
  <c r="AV335" i="1"/>
  <c r="AT335" i="1"/>
  <c r="BJ335" i="1" s="1"/>
  <c r="M335" i="4" s="1"/>
  <c r="AQ335" i="1"/>
  <c r="AX335" i="1"/>
  <c r="BE335" i="1" s="1"/>
  <c r="F335" i="4" s="1"/>
  <c r="AS335" i="1"/>
  <c r="BI335" i="1" s="1"/>
  <c r="L335" i="4" s="1"/>
  <c r="BG106" i="1"/>
  <c r="J106" i="4" s="1"/>
  <c r="AW106" i="1"/>
  <c r="AS344" i="1"/>
  <c r="BI344" i="1" s="1"/>
  <c r="L344" i="4" s="1"/>
  <c r="AV344" i="1"/>
  <c r="BG344" i="1" s="1"/>
  <c r="J344" i="4" s="1"/>
  <c r="AQ344" i="1"/>
  <c r="AX344" i="1"/>
  <c r="BE344" i="1" s="1"/>
  <c r="F344" i="4" s="1"/>
  <c r="AT344" i="1"/>
  <c r="BJ344" i="1" s="1"/>
  <c r="M344" i="4" s="1"/>
  <c r="AR344" i="1"/>
  <c r="BH344" i="1" s="1"/>
  <c r="K344" i="4" s="1"/>
  <c r="AZ186" i="1"/>
  <c r="AX36" i="1"/>
  <c r="BE36" i="1" s="1"/>
  <c r="F36" i="4" s="1"/>
  <c r="AV440" i="1"/>
  <c r="BG440" i="1" s="1"/>
  <c r="J440" i="4" s="1"/>
  <c r="AT422" i="1"/>
  <c r="BJ422" i="1" s="1"/>
  <c r="M422" i="4" s="1"/>
  <c r="AT483" i="1"/>
  <c r="BJ483" i="1" s="1"/>
  <c r="M483" i="4" s="1"/>
  <c r="AS91" i="1"/>
  <c r="BI91" i="1" s="1"/>
  <c r="L91" i="4" s="1"/>
  <c r="AV460" i="1"/>
  <c r="BG460" i="1" s="1"/>
  <c r="J460" i="4" s="1"/>
  <c r="AS460" i="1"/>
  <c r="BI460" i="1" s="1"/>
  <c r="L460" i="4" s="1"/>
  <c r="AS238" i="1"/>
  <c r="BI238" i="1" s="1"/>
  <c r="L238" i="4" s="1"/>
  <c r="AT238" i="1"/>
  <c r="BJ238" i="1" s="1"/>
  <c r="M238" i="4" s="1"/>
  <c r="AT175" i="1"/>
  <c r="BJ175" i="1" s="1"/>
  <c r="M175" i="4" s="1"/>
  <c r="AR166" i="1"/>
  <c r="BH166" i="1" s="1"/>
  <c r="K166" i="4" s="1"/>
  <c r="AV195" i="1"/>
  <c r="BG195" i="1" s="1"/>
  <c r="J195" i="4" s="1"/>
  <c r="AT439" i="1"/>
  <c r="BJ439" i="1" s="1"/>
  <c r="M439" i="4" s="1"/>
  <c r="AV439" i="1"/>
  <c r="AQ439" i="1"/>
  <c r="AX439" i="1"/>
  <c r="BE439" i="1" s="1"/>
  <c r="F439" i="4" s="1"/>
  <c r="AS439" i="1"/>
  <c r="BI439" i="1" s="1"/>
  <c r="L439" i="4" s="1"/>
  <c r="AR439" i="1"/>
  <c r="BH439" i="1" s="1"/>
  <c r="K439" i="4" s="1"/>
  <c r="BG231" i="1"/>
  <c r="J231" i="4" s="1"/>
  <c r="AW231" i="1"/>
  <c r="AY279" i="1"/>
  <c r="BD279" i="1"/>
  <c r="AS51" i="1"/>
  <c r="BI51" i="1" s="1"/>
  <c r="L51" i="4" s="1"/>
  <c r="AQ51" i="1"/>
  <c r="AT51" i="1"/>
  <c r="BJ51" i="1" s="1"/>
  <c r="M51" i="4" s="1"/>
  <c r="AR51" i="1"/>
  <c r="BH51" i="1" s="1"/>
  <c r="K51" i="4" s="1"/>
  <c r="AX51" i="1"/>
  <c r="BE51" i="1" s="1"/>
  <c r="F51" i="4" s="1"/>
  <c r="AV51" i="1"/>
  <c r="BG51" i="1" s="1"/>
  <c r="J51" i="4" s="1"/>
  <c r="AT36" i="1"/>
  <c r="BJ36" i="1" s="1"/>
  <c r="M36" i="4" s="1"/>
  <c r="AX440" i="1"/>
  <c r="BE440" i="1" s="1"/>
  <c r="F440" i="4" s="1"/>
  <c r="AQ422" i="1"/>
  <c r="AX483" i="1"/>
  <c r="AS259" i="1"/>
  <c r="BI259" i="1" s="1"/>
  <c r="L259" i="4" s="1"/>
  <c r="AQ259" i="1"/>
  <c r="AZ259" i="1" s="1"/>
  <c r="AR125" i="1"/>
  <c r="BH125" i="1" s="1"/>
  <c r="K125" i="4" s="1"/>
  <c r="AV125" i="1"/>
  <c r="BG125" i="1" s="1"/>
  <c r="J125" i="4" s="1"/>
  <c r="AT313" i="1"/>
  <c r="BJ313" i="1" s="1"/>
  <c r="M313" i="4" s="1"/>
  <c r="AX313" i="1"/>
  <c r="BE313" i="1" s="1"/>
  <c r="F313" i="4" s="1"/>
  <c r="BD207" i="1"/>
  <c r="AY207" i="1"/>
  <c r="AS304" i="1"/>
  <c r="BI304" i="1" s="1"/>
  <c r="L304" i="4" s="1"/>
  <c r="AR304" i="1"/>
  <c r="BH304" i="1" s="1"/>
  <c r="K304" i="4" s="1"/>
  <c r="AQ304" i="1"/>
  <c r="AT304" i="1"/>
  <c r="BJ304" i="1" s="1"/>
  <c r="M304" i="4" s="1"/>
  <c r="AX304" i="1"/>
  <c r="BE304" i="1" s="1"/>
  <c r="F304" i="4" s="1"/>
  <c r="AV304" i="1"/>
  <c r="BG304" i="1" s="1"/>
  <c r="J304" i="4" s="1"/>
  <c r="AS87" i="1"/>
  <c r="BI87" i="1" s="1"/>
  <c r="L87" i="4" s="1"/>
  <c r="AT87" i="1"/>
  <c r="BJ87" i="1" s="1"/>
  <c r="M87" i="4" s="1"/>
  <c r="AR87" i="1"/>
  <c r="BH87" i="1" s="1"/>
  <c r="K87" i="4" s="1"/>
  <c r="AX87" i="1"/>
  <c r="BE87" i="1" s="1"/>
  <c r="F87" i="4" s="1"/>
  <c r="AV87" i="1"/>
  <c r="BG87" i="1" s="1"/>
  <c r="J87" i="4" s="1"/>
  <c r="AQ87" i="1"/>
  <c r="AR158" i="1"/>
  <c r="BH158" i="1" s="1"/>
  <c r="K158" i="4" s="1"/>
  <c r="AX158" i="1"/>
  <c r="BE158" i="1" s="1"/>
  <c r="F158" i="4" s="1"/>
  <c r="AV158" i="1"/>
  <c r="AS158" i="1"/>
  <c r="BI158" i="1" s="1"/>
  <c r="L158" i="4" s="1"/>
  <c r="AT158" i="1"/>
  <c r="BJ158" i="1" s="1"/>
  <c r="M158" i="4" s="1"/>
  <c r="AQ158" i="1"/>
  <c r="AQ124" i="1"/>
  <c r="AT124" i="1"/>
  <c r="BJ124" i="1" s="1"/>
  <c r="M124" i="4" s="1"/>
  <c r="AR124" i="1"/>
  <c r="BH124" i="1" s="1"/>
  <c r="K124" i="4" s="1"/>
  <c r="AV124" i="1"/>
  <c r="BG124" i="1" s="1"/>
  <c r="J124" i="4" s="1"/>
  <c r="AX124" i="1"/>
  <c r="BE124" i="1" s="1"/>
  <c r="F124" i="4" s="1"/>
  <c r="AS124" i="1"/>
  <c r="BI124" i="1" s="1"/>
  <c r="L124" i="4" s="1"/>
  <c r="AV403" i="1"/>
  <c r="AS403" i="1"/>
  <c r="BI403" i="1" s="1"/>
  <c r="L403" i="4" s="1"/>
  <c r="AR403" i="1"/>
  <c r="BH403" i="1" s="1"/>
  <c r="K403" i="4" s="1"/>
  <c r="AQ403" i="1"/>
  <c r="AT403" i="1"/>
  <c r="BJ403" i="1" s="1"/>
  <c r="M403" i="4" s="1"/>
  <c r="AX403" i="1"/>
  <c r="BE403" i="1" s="1"/>
  <c r="F403" i="4" s="1"/>
  <c r="AQ143" i="1"/>
  <c r="AR143" i="1"/>
  <c r="BH143" i="1" s="1"/>
  <c r="K143" i="4" s="1"/>
  <c r="AV143" i="1"/>
  <c r="BG143" i="1" s="1"/>
  <c r="J143" i="4" s="1"/>
  <c r="AX143" i="1"/>
  <c r="BE143" i="1" s="1"/>
  <c r="F143" i="4" s="1"/>
  <c r="AT143" i="1"/>
  <c r="BJ143" i="1" s="1"/>
  <c r="M143" i="4" s="1"/>
  <c r="AS143" i="1"/>
  <c r="BI143" i="1" s="1"/>
  <c r="L143" i="4" s="1"/>
  <c r="AS349" i="1"/>
  <c r="BI349" i="1" s="1"/>
  <c r="L349" i="4" s="1"/>
  <c r="AV349" i="1"/>
  <c r="BG349" i="1" s="1"/>
  <c r="J349" i="4" s="1"/>
  <c r="AQ349" i="1"/>
  <c r="AR349" i="1"/>
  <c r="BH349" i="1" s="1"/>
  <c r="K349" i="4" s="1"/>
  <c r="AX349" i="1"/>
  <c r="BE349" i="1" s="1"/>
  <c r="F349" i="4" s="1"/>
  <c r="AT349" i="1"/>
  <c r="BJ349" i="1" s="1"/>
  <c r="M349" i="4" s="1"/>
  <c r="BD275" i="1"/>
  <c r="AV36" i="1"/>
  <c r="AS422" i="1"/>
  <c r="BI422" i="1" s="1"/>
  <c r="L422" i="4" s="1"/>
  <c r="AW301" i="1"/>
  <c r="AY301" i="1" s="1"/>
  <c r="AW257" i="1"/>
  <c r="BD257" i="1" s="1"/>
  <c r="AZ320" i="1"/>
  <c r="AT259" i="1"/>
  <c r="BJ259" i="1" s="1"/>
  <c r="M259" i="4" s="1"/>
  <c r="AX125" i="1"/>
  <c r="BE125" i="1" s="1"/>
  <c r="F125" i="4" s="1"/>
  <c r="AQ313" i="1"/>
  <c r="AT16" i="1"/>
  <c r="BJ16" i="1" s="1"/>
  <c r="M16" i="4" s="1"/>
  <c r="AX16" i="1"/>
  <c r="BE16" i="1" s="1"/>
  <c r="F16" i="4" s="1"/>
  <c r="AR16" i="1"/>
  <c r="BH16" i="1" s="1"/>
  <c r="K16" i="4" s="1"/>
  <c r="AV16" i="1"/>
  <c r="BG16" i="1" s="1"/>
  <c r="J16" i="4" s="1"/>
  <c r="AS16" i="1"/>
  <c r="BI16" i="1" s="1"/>
  <c r="L16" i="4" s="1"/>
  <c r="AQ16" i="1"/>
  <c r="AR134" i="1"/>
  <c r="BH134" i="1" s="1"/>
  <c r="K134" i="4" s="1"/>
  <c r="AS134" i="1"/>
  <c r="BI134" i="1" s="1"/>
  <c r="L134" i="4" s="1"/>
  <c r="AX134" i="1"/>
  <c r="BE134" i="1" s="1"/>
  <c r="F134" i="4" s="1"/>
  <c r="AQ134" i="1"/>
  <c r="AT134" i="1"/>
  <c r="BJ134" i="1" s="1"/>
  <c r="M134" i="4" s="1"/>
  <c r="AV134" i="1"/>
  <c r="AP21" i="1"/>
  <c r="AU21" i="1" s="1"/>
  <c r="AR409" i="1"/>
  <c r="BH409" i="1" s="1"/>
  <c r="K409" i="4" s="1"/>
  <c r="AT409" i="1"/>
  <c r="BJ409" i="1" s="1"/>
  <c r="M409" i="4" s="1"/>
  <c r="AQ409" i="1"/>
  <c r="AX409" i="1"/>
  <c r="BE409" i="1" s="1"/>
  <c r="F409" i="4" s="1"/>
  <c r="AS409" i="1"/>
  <c r="BI409" i="1" s="1"/>
  <c r="L409" i="4" s="1"/>
  <c r="AV409" i="1"/>
  <c r="AV425" i="1"/>
  <c r="BG425" i="1" s="1"/>
  <c r="J425" i="4" s="1"/>
  <c r="AR425" i="1"/>
  <c r="BH425" i="1" s="1"/>
  <c r="K425" i="4" s="1"/>
  <c r="AX425" i="1"/>
  <c r="BE425" i="1" s="1"/>
  <c r="F425" i="4" s="1"/>
  <c r="AS425" i="1"/>
  <c r="BI425" i="1" s="1"/>
  <c r="L425" i="4" s="1"/>
  <c r="AT425" i="1"/>
  <c r="BJ425" i="1" s="1"/>
  <c r="M425" i="4" s="1"/>
  <c r="AQ425" i="1"/>
  <c r="AY102" i="1"/>
  <c r="AP6" i="1"/>
  <c r="AU6" i="1" s="1"/>
  <c r="AS75" i="1"/>
  <c r="BI75" i="1" s="1"/>
  <c r="L75" i="4" s="1"/>
  <c r="AX75" i="1"/>
  <c r="BE75" i="1" s="1"/>
  <c r="F75" i="4" s="1"/>
  <c r="AR75" i="1"/>
  <c r="BH75" i="1" s="1"/>
  <c r="K75" i="4" s="1"/>
  <c r="AT75" i="1"/>
  <c r="BJ75" i="1" s="1"/>
  <c r="M75" i="4" s="1"/>
  <c r="AV75" i="1"/>
  <c r="BG75" i="1" s="1"/>
  <c r="J75" i="4" s="1"/>
  <c r="AQ75" i="1"/>
  <c r="AX199" i="1"/>
  <c r="BE199" i="1" s="1"/>
  <c r="F199" i="4" s="1"/>
  <c r="AV199" i="1"/>
  <c r="AT199" i="1"/>
  <c r="BJ199" i="1" s="1"/>
  <c r="M199" i="4" s="1"/>
  <c r="AS199" i="1"/>
  <c r="BI199" i="1" s="1"/>
  <c r="L199" i="4" s="1"/>
  <c r="AQ199" i="1"/>
  <c r="AR199" i="1"/>
  <c r="BH199" i="1" s="1"/>
  <c r="K199" i="4" s="1"/>
  <c r="AS100" i="1"/>
  <c r="BI100" i="1" s="1"/>
  <c r="L100" i="4" s="1"/>
  <c r="AR100" i="1"/>
  <c r="BH100" i="1" s="1"/>
  <c r="K100" i="4" s="1"/>
  <c r="AX100" i="1"/>
  <c r="BE100" i="1" s="1"/>
  <c r="F100" i="4" s="1"/>
  <c r="AT100" i="1"/>
  <c r="BJ100" i="1" s="1"/>
  <c r="M100" i="4" s="1"/>
  <c r="AQ100" i="1"/>
  <c r="AV100" i="1"/>
  <c r="BG100" i="1" s="1"/>
  <c r="J100" i="4" s="1"/>
  <c r="AZ226" i="1"/>
  <c r="AZ301" i="1"/>
  <c r="AR221" i="1"/>
  <c r="BH221" i="1" s="1"/>
  <c r="K221" i="4" s="1"/>
  <c r="AQ221" i="1"/>
  <c r="AT221" i="1"/>
  <c r="BJ221" i="1" s="1"/>
  <c r="M221" i="4" s="1"/>
  <c r="AX221" i="1"/>
  <c r="BE221" i="1" s="1"/>
  <c r="F221" i="4" s="1"/>
  <c r="AS221" i="1"/>
  <c r="BI221" i="1" s="1"/>
  <c r="L221" i="4" s="1"/>
  <c r="AV221" i="1"/>
  <c r="BG221" i="1" s="1"/>
  <c r="J221" i="4" s="1"/>
  <c r="AW320" i="1"/>
  <c r="AV329" i="1"/>
  <c r="BG329" i="1" s="1"/>
  <c r="J329" i="4" s="1"/>
  <c r="AT329" i="1"/>
  <c r="BJ329" i="1" s="1"/>
  <c r="M329" i="4" s="1"/>
  <c r="AQ329" i="1"/>
  <c r="AX329" i="1"/>
  <c r="BE329" i="1" s="1"/>
  <c r="F329" i="4" s="1"/>
  <c r="AR329" i="1"/>
  <c r="BH329" i="1" s="1"/>
  <c r="K329" i="4" s="1"/>
  <c r="AS329" i="1"/>
  <c r="BI329" i="1" s="1"/>
  <c r="L329" i="4" s="1"/>
  <c r="AP68" i="1"/>
  <c r="AU68" i="1" s="1"/>
  <c r="AV243" i="1"/>
  <c r="BG243" i="1" s="1"/>
  <c r="J243" i="4" s="1"/>
  <c r="AS243" i="1"/>
  <c r="BI243" i="1" s="1"/>
  <c r="L243" i="4" s="1"/>
  <c r="AT243" i="1"/>
  <c r="BJ243" i="1" s="1"/>
  <c r="M243" i="4" s="1"/>
  <c r="AQ243" i="1"/>
  <c r="AX243" i="1"/>
  <c r="BE243" i="1" s="1"/>
  <c r="F243" i="4" s="1"/>
  <c r="AR243" i="1"/>
  <c r="BH243" i="1" s="1"/>
  <c r="K243" i="4" s="1"/>
  <c r="AQ96" i="1"/>
  <c r="AR96" i="1"/>
  <c r="BH96" i="1" s="1"/>
  <c r="K96" i="4" s="1"/>
  <c r="AX96" i="1"/>
  <c r="BE96" i="1" s="1"/>
  <c r="F96" i="4" s="1"/>
  <c r="AT96" i="1"/>
  <c r="BJ96" i="1" s="1"/>
  <c r="M96" i="4" s="1"/>
  <c r="AV96" i="1"/>
  <c r="BG96" i="1" s="1"/>
  <c r="J96" i="4" s="1"/>
  <c r="AS96" i="1"/>
  <c r="BI96" i="1" s="1"/>
  <c r="L96" i="4" s="1"/>
  <c r="AT288" i="1"/>
  <c r="BJ288" i="1" s="1"/>
  <c r="M288" i="4" s="1"/>
  <c r="AV288" i="1"/>
  <c r="AR288" i="1"/>
  <c r="BH288" i="1" s="1"/>
  <c r="K288" i="4" s="1"/>
  <c r="AQ288" i="1"/>
  <c r="AS288" i="1"/>
  <c r="BI288" i="1" s="1"/>
  <c r="L288" i="4" s="1"/>
  <c r="AX288" i="1"/>
  <c r="BE288" i="1" s="1"/>
  <c r="F288" i="4" s="1"/>
  <c r="AR252" i="1"/>
  <c r="BH252" i="1" s="1"/>
  <c r="K252" i="4" s="1"/>
  <c r="AS252" i="1"/>
  <c r="BI252" i="1" s="1"/>
  <c r="L252" i="4" s="1"/>
  <c r="AT252" i="1"/>
  <c r="BJ252" i="1" s="1"/>
  <c r="M252" i="4" s="1"/>
  <c r="AV252" i="1"/>
  <c r="BG252" i="1" s="1"/>
  <c r="J252" i="4" s="1"/>
  <c r="AX252" i="1"/>
  <c r="BE252" i="1" s="1"/>
  <c r="F252" i="4" s="1"/>
  <c r="AQ252" i="1"/>
  <c r="AZ227" i="1"/>
  <c r="AX481" i="1"/>
  <c r="BE481" i="1" s="1"/>
  <c r="F481" i="4" s="1"/>
  <c r="AS481" i="1"/>
  <c r="BI481" i="1" s="1"/>
  <c r="L481" i="4" s="1"/>
  <c r="AQ481" i="1"/>
  <c r="AV481" i="1"/>
  <c r="BG481" i="1" s="1"/>
  <c r="J481" i="4" s="1"/>
  <c r="AT481" i="1"/>
  <c r="BJ481" i="1" s="1"/>
  <c r="M481" i="4" s="1"/>
  <c r="AR481" i="1"/>
  <c r="BH481" i="1" s="1"/>
  <c r="K481" i="4" s="1"/>
  <c r="AR436" i="1"/>
  <c r="BH436" i="1" s="1"/>
  <c r="K436" i="4" s="1"/>
  <c r="AT436" i="1"/>
  <c r="BJ436" i="1" s="1"/>
  <c r="M436" i="4" s="1"/>
  <c r="AS436" i="1"/>
  <c r="BI436" i="1" s="1"/>
  <c r="L436" i="4" s="1"/>
  <c r="AX436" i="1"/>
  <c r="BE436" i="1" s="1"/>
  <c r="F436" i="4" s="1"/>
  <c r="AV436" i="1"/>
  <c r="BG436" i="1" s="1"/>
  <c r="J436" i="4" s="1"/>
  <c r="AQ436" i="1"/>
  <c r="AR280" i="1"/>
  <c r="BH280" i="1" s="1"/>
  <c r="K280" i="4" s="1"/>
  <c r="AX280" i="1"/>
  <c r="BE280" i="1" s="1"/>
  <c r="F280" i="4" s="1"/>
  <c r="AS280" i="1"/>
  <c r="BI280" i="1" s="1"/>
  <c r="L280" i="4" s="1"/>
  <c r="AQ280" i="1"/>
  <c r="AV280" i="1"/>
  <c r="BG280" i="1" s="1"/>
  <c r="J280" i="4" s="1"/>
  <c r="AT280" i="1"/>
  <c r="BJ280" i="1" s="1"/>
  <c r="M280" i="4" s="1"/>
  <c r="BG226" i="1"/>
  <c r="J226" i="4" s="1"/>
  <c r="AW226" i="1"/>
  <c r="AX62" i="1"/>
  <c r="BE62" i="1" s="1"/>
  <c r="F62" i="4" s="1"/>
  <c r="AQ62" i="1"/>
  <c r="AS62" i="1"/>
  <c r="BI62" i="1" s="1"/>
  <c r="L62" i="4" s="1"/>
  <c r="AR62" i="1"/>
  <c r="BH62" i="1" s="1"/>
  <c r="K62" i="4" s="1"/>
  <c r="AV62" i="1"/>
  <c r="BG62" i="1" s="1"/>
  <c r="J62" i="4" s="1"/>
  <c r="AT62" i="1"/>
  <c r="BJ62" i="1" s="1"/>
  <c r="M62" i="4" s="1"/>
  <c r="AR485" i="1"/>
  <c r="BH485" i="1" s="1"/>
  <c r="K485" i="4" s="1"/>
  <c r="AT485" i="1"/>
  <c r="BJ485" i="1" s="1"/>
  <c r="M485" i="4" s="1"/>
  <c r="AS485" i="1"/>
  <c r="BI485" i="1" s="1"/>
  <c r="L485" i="4" s="1"/>
  <c r="AV485" i="1"/>
  <c r="AX485" i="1"/>
  <c r="BE485" i="1" s="1"/>
  <c r="F485" i="4" s="1"/>
  <c r="AQ485" i="1"/>
  <c r="AR14" i="1"/>
  <c r="BH14" i="1" s="1"/>
  <c r="K14" i="4" s="1"/>
  <c r="AX14" i="1"/>
  <c r="BE14" i="1" s="1"/>
  <c r="F14" i="4" s="1"/>
  <c r="AQ14" i="1"/>
  <c r="AS14" i="1"/>
  <c r="BI14" i="1" s="1"/>
  <c r="L14" i="4" s="1"/>
  <c r="AT14" i="1"/>
  <c r="BJ14" i="1" s="1"/>
  <c r="M14" i="4" s="1"/>
  <c r="AV14" i="1"/>
  <c r="BG14" i="1" s="1"/>
  <c r="J14" i="4" s="1"/>
  <c r="AP171" i="1"/>
  <c r="AU171" i="1" s="1"/>
  <c r="AQ171" i="1" s="1"/>
  <c r="AV326" i="1"/>
  <c r="BG326" i="1" s="1"/>
  <c r="J326" i="4" s="1"/>
  <c r="AX326" i="1"/>
  <c r="BE326" i="1" s="1"/>
  <c r="F326" i="4" s="1"/>
  <c r="AS326" i="1"/>
  <c r="BI326" i="1" s="1"/>
  <c r="L326" i="4" s="1"/>
  <c r="AQ326" i="1"/>
  <c r="AT326" i="1"/>
  <c r="BJ326" i="1" s="1"/>
  <c r="M326" i="4" s="1"/>
  <c r="AR326" i="1"/>
  <c r="BH326" i="1" s="1"/>
  <c r="K326" i="4" s="1"/>
  <c r="AS482" i="1"/>
  <c r="BI482" i="1" s="1"/>
  <c r="L482" i="4" s="1"/>
  <c r="AT482" i="1"/>
  <c r="BJ482" i="1" s="1"/>
  <c r="M482" i="4" s="1"/>
  <c r="AQ482" i="1"/>
  <c r="AR482" i="1"/>
  <c r="BH482" i="1" s="1"/>
  <c r="K482" i="4" s="1"/>
  <c r="AX482" i="1"/>
  <c r="BE482" i="1" s="1"/>
  <c r="F482" i="4" s="1"/>
  <c r="AV482" i="1"/>
  <c r="BG482" i="1" s="1"/>
  <c r="J482" i="4" s="1"/>
  <c r="AV216" i="1"/>
  <c r="AS216" i="1"/>
  <c r="BI216" i="1" s="1"/>
  <c r="L216" i="4" s="1"/>
  <c r="AQ216" i="1"/>
  <c r="AX216" i="1"/>
  <c r="BE216" i="1" s="1"/>
  <c r="F216" i="4" s="1"/>
  <c r="AT216" i="1"/>
  <c r="BJ216" i="1" s="1"/>
  <c r="M216" i="4" s="1"/>
  <c r="AR216" i="1"/>
  <c r="BH216" i="1" s="1"/>
  <c r="K216" i="4" s="1"/>
  <c r="AQ463" i="1"/>
  <c r="AR463" i="1"/>
  <c r="BH463" i="1" s="1"/>
  <c r="K463" i="4" s="1"/>
  <c r="AX463" i="1"/>
  <c r="BE463" i="1" s="1"/>
  <c r="F463" i="4" s="1"/>
  <c r="AS463" i="1"/>
  <c r="BI463" i="1" s="1"/>
  <c r="L463" i="4" s="1"/>
  <c r="AT463" i="1"/>
  <c r="BJ463" i="1" s="1"/>
  <c r="M463" i="4" s="1"/>
  <c r="AV463" i="1"/>
  <c r="BG463" i="1" s="1"/>
  <c r="J463" i="4" s="1"/>
  <c r="BG238" i="1"/>
  <c r="J238" i="4" s="1"/>
  <c r="AW238" i="1"/>
  <c r="BG32" i="1"/>
  <c r="J32" i="4" s="1"/>
  <c r="AW32" i="1"/>
  <c r="AV448" i="1"/>
  <c r="BG448" i="1" s="1"/>
  <c r="J448" i="4" s="1"/>
  <c r="AR448" i="1"/>
  <c r="BH448" i="1" s="1"/>
  <c r="K448" i="4" s="1"/>
  <c r="AX448" i="1"/>
  <c r="BE448" i="1" s="1"/>
  <c r="F448" i="4" s="1"/>
  <c r="AT448" i="1"/>
  <c r="BJ448" i="1" s="1"/>
  <c r="M448" i="4" s="1"/>
  <c r="AQ448" i="1"/>
  <c r="AS448" i="1"/>
  <c r="BI448" i="1" s="1"/>
  <c r="L448" i="4" s="1"/>
  <c r="AV150" i="1"/>
  <c r="AS150" i="1"/>
  <c r="BI150" i="1" s="1"/>
  <c r="L150" i="4" s="1"/>
  <c r="AX150" i="1"/>
  <c r="BE150" i="1" s="1"/>
  <c r="F150" i="4" s="1"/>
  <c r="AT150" i="1"/>
  <c r="BJ150" i="1" s="1"/>
  <c r="M150" i="4" s="1"/>
  <c r="AR150" i="1"/>
  <c r="BH150" i="1" s="1"/>
  <c r="K150" i="4" s="1"/>
  <c r="AQ150" i="1"/>
  <c r="AW261" i="1"/>
  <c r="BG227" i="1"/>
  <c r="J227" i="4" s="1"/>
  <c r="AW227" i="1"/>
  <c r="AV234" i="1"/>
  <c r="BG234" i="1" s="1"/>
  <c r="J234" i="4" s="1"/>
  <c r="AX234" i="1"/>
  <c r="BE234" i="1" s="1"/>
  <c r="F234" i="4" s="1"/>
  <c r="BG53" i="1"/>
  <c r="J53" i="4" s="1"/>
  <c r="AW53" i="1"/>
  <c r="AP86" i="1"/>
  <c r="AU86" i="1" s="1"/>
  <c r="AR121" i="1"/>
  <c r="BH121" i="1" s="1"/>
  <c r="K121" i="4" s="1"/>
  <c r="AX121" i="1"/>
  <c r="BE121" i="1" s="1"/>
  <c r="F121" i="4" s="1"/>
  <c r="AQ121" i="1"/>
  <c r="AT121" i="1"/>
  <c r="BJ121" i="1" s="1"/>
  <c r="M121" i="4" s="1"/>
  <c r="AS121" i="1"/>
  <c r="BI121" i="1" s="1"/>
  <c r="L121" i="4" s="1"/>
  <c r="AV121" i="1"/>
  <c r="BG121" i="1" s="1"/>
  <c r="J121" i="4" s="1"/>
  <c r="AV77" i="1"/>
  <c r="BG77" i="1" s="1"/>
  <c r="J77" i="4" s="1"/>
  <c r="AT77" i="1"/>
  <c r="BJ77" i="1" s="1"/>
  <c r="M77" i="4" s="1"/>
  <c r="AR77" i="1"/>
  <c r="BH77" i="1" s="1"/>
  <c r="K77" i="4" s="1"/>
  <c r="AX77" i="1"/>
  <c r="BE77" i="1" s="1"/>
  <c r="F77" i="4" s="1"/>
  <c r="AQ77" i="1"/>
  <c r="AS77" i="1"/>
  <c r="BI77" i="1" s="1"/>
  <c r="L77" i="4" s="1"/>
  <c r="AW116" i="1"/>
  <c r="AZ67" i="1"/>
  <c r="AZ291" i="1"/>
  <c r="AR163" i="1"/>
  <c r="BH163" i="1" s="1"/>
  <c r="K163" i="4" s="1"/>
  <c r="AS163" i="1"/>
  <c r="BI163" i="1" s="1"/>
  <c r="L163" i="4" s="1"/>
  <c r="AV163" i="1"/>
  <c r="BG163" i="1" s="1"/>
  <c r="J163" i="4" s="1"/>
  <c r="AX163" i="1"/>
  <c r="BE163" i="1" s="1"/>
  <c r="F163" i="4" s="1"/>
  <c r="AT163" i="1"/>
  <c r="BJ163" i="1" s="1"/>
  <c r="M163" i="4" s="1"/>
  <c r="AQ163" i="1"/>
  <c r="AY367" i="1"/>
  <c r="BD367" i="1"/>
  <c r="BG268" i="1"/>
  <c r="J268" i="4" s="1"/>
  <c r="AW268" i="1"/>
  <c r="AZ160" i="1"/>
  <c r="AV156" i="1"/>
  <c r="BG156" i="1" s="1"/>
  <c r="J156" i="4" s="1"/>
  <c r="AS156" i="1"/>
  <c r="BI156" i="1" s="1"/>
  <c r="L156" i="4" s="1"/>
  <c r="AX156" i="1"/>
  <c r="BE156" i="1" s="1"/>
  <c r="F156" i="4" s="1"/>
  <c r="AQ156" i="1"/>
  <c r="AT156" i="1"/>
  <c r="BJ156" i="1" s="1"/>
  <c r="M156" i="4" s="1"/>
  <c r="AR156" i="1"/>
  <c r="BH156" i="1" s="1"/>
  <c r="K156" i="4" s="1"/>
  <c r="BG362" i="1"/>
  <c r="J362" i="4" s="1"/>
  <c r="AW362" i="1"/>
  <c r="BG67" i="1"/>
  <c r="J67" i="4" s="1"/>
  <c r="AW67" i="1"/>
  <c r="AS181" i="1"/>
  <c r="BI181" i="1" s="1"/>
  <c r="L181" i="4" s="1"/>
  <c r="AR181" i="1"/>
  <c r="BH181" i="1" s="1"/>
  <c r="K181" i="4" s="1"/>
  <c r="AX181" i="1"/>
  <c r="BE181" i="1" s="1"/>
  <c r="F181" i="4" s="1"/>
  <c r="AQ181" i="1"/>
  <c r="AT181" i="1"/>
  <c r="BJ181" i="1" s="1"/>
  <c r="M181" i="4" s="1"/>
  <c r="AV181" i="1"/>
  <c r="BG181" i="1" s="1"/>
  <c r="J181" i="4" s="1"/>
  <c r="AT380" i="1"/>
  <c r="BJ380" i="1" s="1"/>
  <c r="M380" i="4" s="1"/>
  <c r="AX380" i="1"/>
  <c r="BE380" i="1" s="1"/>
  <c r="F380" i="4" s="1"/>
  <c r="AR380" i="1"/>
  <c r="BH380" i="1" s="1"/>
  <c r="K380" i="4" s="1"/>
  <c r="AV380" i="1"/>
  <c r="BG380" i="1" s="1"/>
  <c r="J380" i="4" s="1"/>
  <c r="AS380" i="1"/>
  <c r="BI380" i="1" s="1"/>
  <c r="L380" i="4" s="1"/>
  <c r="AQ380" i="1"/>
  <c r="AV192" i="1"/>
  <c r="AQ192" i="1"/>
  <c r="AS192" i="1"/>
  <c r="BI192" i="1" s="1"/>
  <c r="L192" i="4" s="1"/>
  <c r="AT192" i="1"/>
  <c r="BJ192" i="1" s="1"/>
  <c r="M192" i="4" s="1"/>
  <c r="AX192" i="1"/>
  <c r="BE192" i="1" s="1"/>
  <c r="F192" i="4" s="1"/>
  <c r="AR192" i="1"/>
  <c r="BH192" i="1" s="1"/>
  <c r="K192" i="4" s="1"/>
  <c r="AT357" i="1"/>
  <c r="BJ357" i="1" s="1"/>
  <c r="M357" i="4" s="1"/>
  <c r="AS357" i="1"/>
  <c r="BI357" i="1" s="1"/>
  <c r="L357" i="4" s="1"/>
  <c r="AV357" i="1"/>
  <c r="AX357" i="1"/>
  <c r="BE357" i="1" s="1"/>
  <c r="F357" i="4" s="1"/>
  <c r="AR357" i="1"/>
  <c r="BH357" i="1" s="1"/>
  <c r="K357" i="4" s="1"/>
  <c r="AQ357" i="1"/>
  <c r="AT400" i="1"/>
  <c r="BJ400" i="1" s="1"/>
  <c r="M400" i="4" s="1"/>
  <c r="AS400" i="1"/>
  <c r="BI400" i="1" s="1"/>
  <c r="L400" i="4" s="1"/>
  <c r="AQ400" i="1"/>
  <c r="AV400" i="1"/>
  <c r="AX400" i="1"/>
  <c r="BE400" i="1" s="1"/>
  <c r="F400" i="4" s="1"/>
  <c r="AR400" i="1"/>
  <c r="BH400" i="1" s="1"/>
  <c r="K400" i="4" s="1"/>
  <c r="BG451" i="1"/>
  <c r="J451" i="4" s="1"/>
  <c r="AW451" i="1"/>
  <c r="AX363" i="1"/>
  <c r="BE363" i="1" s="1"/>
  <c r="F363" i="4" s="1"/>
  <c r="AQ363" i="1"/>
  <c r="AT363" i="1"/>
  <c r="BJ363" i="1" s="1"/>
  <c r="M363" i="4" s="1"/>
  <c r="AV363" i="1"/>
  <c r="BG363" i="1" s="1"/>
  <c r="J363" i="4" s="1"/>
  <c r="AR363" i="1"/>
  <c r="BH363" i="1" s="1"/>
  <c r="K363" i="4" s="1"/>
  <c r="AS363" i="1"/>
  <c r="BI363" i="1" s="1"/>
  <c r="L363" i="4" s="1"/>
  <c r="AQ196" i="1"/>
  <c r="AX196" i="1"/>
  <c r="BE196" i="1" s="1"/>
  <c r="F196" i="4" s="1"/>
  <c r="AR196" i="1"/>
  <c r="BH196" i="1" s="1"/>
  <c r="K196" i="4" s="1"/>
  <c r="AV196" i="1"/>
  <c r="AS196" i="1"/>
  <c r="BI196" i="1" s="1"/>
  <c r="L196" i="4" s="1"/>
  <c r="AT196" i="1"/>
  <c r="BJ196" i="1" s="1"/>
  <c r="M196" i="4" s="1"/>
  <c r="AX497" i="1"/>
  <c r="BE497" i="1" s="1"/>
  <c r="F497" i="4" s="1"/>
  <c r="AS497" i="1"/>
  <c r="BI497" i="1" s="1"/>
  <c r="L497" i="4" s="1"/>
  <c r="AQ497" i="1"/>
  <c r="AR497" i="1"/>
  <c r="BH497" i="1" s="1"/>
  <c r="K497" i="4" s="1"/>
  <c r="AV497" i="1"/>
  <c r="AT497" i="1"/>
  <c r="BJ497" i="1" s="1"/>
  <c r="M497" i="4" s="1"/>
  <c r="AT234" i="1"/>
  <c r="BJ234" i="1" s="1"/>
  <c r="M234" i="4" s="1"/>
  <c r="AR115" i="1"/>
  <c r="BH115" i="1" s="1"/>
  <c r="K115" i="4" s="1"/>
  <c r="AQ115" i="1"/>
  <c r="AX115" i="1"/>
  <c r="BE115" i="1" s="1"/>
  <c r="F115" i="4" s="1"/>
  <c r="AS115" i="1"/>
  <c r="BI115" i="1" s="1"/>
  <c r="L115" i="4" s="1"/>
  <c r="AV115" i="1"/>
  <c r="AT115" i="1"/>
  <c r="BJ115" i="1" s="1"/>
  <c r="M115" i="4" s="1"/>
  <c r="AV101" i="1"/>
  <c r="AT101" i="1"/>
  <c r="BJ101" i="1" s="1"/>
  <c r="M101" i="4" s="1"/>
  <c r="AS101" i="1"/>
  <c r="BI101" i="1" s="1"/>
  <c r="L101" i="4" s="1"/>
  <c r="AX101" i="1"/>
  <c r="BE101" i="1" s="1"/>
  <c r="F101" i="4" s="1"/>
  <c r="AR101" i="1"/>
  <c r="BH101" i="1" s="1"/>
  <c r="K101" i="4" s="1"/>
  <c r="AQ101" i="1"/>
  <c r="AW251" i="1"/>
  <c r="AZ251" i="1"/>
  <c r="AY55" i="1"/>
  <c r="BD55" i="1"/>
  <c r="AZ92" i="1"/>
  <c r="AY384" i="1"/>
  <c r="BD384" i="1"/>
  <c r="AZ90" i="1"/>
  <c r="AZ7" i="1"/>
  <c r="AW185" i="1"/>
  <c r="AZ185" i="1"/>
  <c r="AW7" i="1"/>
  <c r="AS246" i="1"/>
  <c r="BI246" i="1" s="1"/>
  <c r="L246" i="4" s="1"/>
  <c r="AV246" i="1"/>
  <c r="BG246" i="1" s="1"/>
  <c r="J246" i="4" s="1"/>
  <c r="AT246" i="1"/>
  <c r="BJ246" i="1" s="1"/>
  <c r="M246" i="4" s="1"/>
  <c r="AR246" i="1"/>
  <c r="BH246" i="1" s="1"/>
  <c r="K246" i="4" s="1"/>
  <c r="AX246" i="1"/>
  <c r="BE246" i="1" s="1"/>
  <c r="F246" i="4" s="1"/>
  <c r="AQ246" i="1"/>
  <c r="BD291" i="1"/>
  <c r="AY291" i="1"/>
  <c r="AW342" i="1"/>
  <c r="BD342" i="1" s="1"/>
  <c r="BD204" i="1"/>
  <c r="AY204" i="1"/>
  <c r="AZ342" i="1"/>
  <c r="AW144" i="1"/>
  <c r="AW90" i="1"/>
  <c r="AZ421" i="1"/>
  <c r="AW186" i="1"/>
  <c r="AY186" i="1" s="1"/>
  <c r="AZ148" i="1"/>
  <c r="AW148" i="1"/>
  <c r="BD148" i="1" s="1"/>
  <c r="AW263" i="1"/>
  <c r="BD263" i="1" s="1"/>
  <c r="AW92" i="1"/>
  <c r="AZ263" i="1"/>
  <c r="AW464" i="1"/>
  <c r="AZ464" i="1"/>
  <c r="AY317" i="1"/>
  <c r="BD317" i="1"/>
  <c r="BF83" i="1"/>
  <c r="E83" i="4"/>
  <c r="E442" i="4"/>
  <c r="BF442" i="1"/>
  <c r="AY220" i="1"/>
  <c r="BD220" i="1"/>
  <c r="AW421" i="1"/>
  <c r="BF490" i="1"/>
  <c r="E490" i="4"/>
  <c r="E316" i="4"/>
  <c r="BF316" i="1"/>
  <c r="AY447" i="1"/>
  <c r="BD447" i="1"/>
  <c r="BF102" i="1"/>
  <c r="E102" i="4"/>
  <c r="BF155" i="1" l="1"/>
  <c r="AZ81" i="1"/>
  <c r="AZ65" i="1"/>
  <c r="AY395" i="1"/>
  <c r="BA494" i="1"/>
  <c r="BA168" i="1"/>
  <c r="BC168" i="1" s="1"/>
  <c r="BB281" i="1"/>
  <c r="BC281" i="1" s="1"/>
  <c r="AW79" i="1"/>
  <c r="AY79" i="1" s="1"/>
  <c r="AY189" i="1"/>
  <c r="BB277" i="1"/>
  <c r="BC277" i="1" s="1"/>
  <c r="BA169" i="1"/>
  <c r="BC169" i="1" s="1"/>
  <c r="AY40" i="1"/>
  <c r="BF273" i="1"/>
  <c r="BK273" i="1" s="1"/>
  <c r="BD456" i="1"/>
  <c r="E456" i="4" s="1"/>
  <c r="AY205" i="1"/>
  <c r="AY127" i="1"/>
  <c r="AY119" i="1"/>
  <c r="BB488" i="1"/>
  <c r="BC488" i="1" s="1"/>
  <c r="AZ79" i="1"/>
  <c r="BB79" i="1" s="1"/>
  <c r="AY9" i="1"/>
  <c r="BD345" i="1"/>
  <c r="BF345" i="1" s="1"/>
  <c r="BA40" i="1"/>
  <c r="BC40" i="1" s="1"/>
  <c r="BA9" i="1"/>
  <c r="BC9" i="1" s="1"/>
  <c r="BB215" i="1"/>
  <c r="BC215" i="1" s="1"/>
  <c r="BD133" i="1"/>
  <c r="BF133" i="1" s="1"/>
  <c r="BM133" i="1" s="1"/>
  <c r="I133" i="4" s="1"/>
  <c r="BA197" i="1"/>
  <c r="BC197" i="1" s="1"/>
  <c r="AW470" i="1"/>
  <c r="BD470" i="1" s="1"/>
  <c r="E470" i="4" s="1"/>
  <c r="AY273" i="1"/>
  <c r="BD56" i="1"/>
  <c r="BF56" i="1" s="1"/>
  <c r="BK56" i="1" s="1"/>
  <c r="AY151" i="1"/>
  <c r="BA456" i="1"/>
  <c r="BC456" i="1" s="1"/>
  <c r="BB333" i="1"/>
  <c r="BC333" i="1" s="1"/>
  <c r="BB149" i="1"/>
  <c r="BC149" i="1" s="1"/>
  <c r="AY309" i="1"/>
  <c r="AY242" i="1"/>
  <c r="BC203" i="1"/>
  <c r="AZ303" i="1"/>
  <c r="BA303" i="1" s="1"/>
  <c r="AX491" i="1"/>
  <c r="BE491" i="1" s="1"/>
  <c r="F491" i="4" s="1"/>
  <c r="AQ491" i="1"/>
  <c r="AV491" i="1"/>
  <c r="BG491" i="1" s="1"/>
  <c r="J491" i="4" s="1"/>
  <c r="AR491" i="1"/>
  <c r="BH491" i="1" s="1"/>
  <c r="K491" i="4" s="1"/>
  <c r="AS491" i="1"/>
  <c r="BI491" i="1" s="1"/>
  <c r="L491" i="4" s="1"/>
  <c r="BA63" i="1"/>
  <c r="BC63" i="1" s="1"/>
  <c r="BA22" i="1"/>
  <c r="BC22" i="1" s="1"/>
  <c r="BB242" i="1"/>
  <c r="BC242" i="1" s="1"/>
  <c r="BD281" i="1"/>
  <c r="BF281" i="1" s="1"/>
  <c r="AY277" i="1"/>
  <c r="BA109" i="1"/>
  <c r="BC109" i="1" s="1"/>
  <c r="AS383" i="1"/>
  <c r="BI383" i="1" s="1"/>
  <c r="L383" i="4" s="1"/>
  <c r="BD60" i="1"/>
  <c r="E60" i="4" s="1"/>
  <c r="AR383" i="1"/>
  <c r="BH383" i="1" s="1"/>
  <c r="K383" i="4" s="1"/>
  <c r="AT383" i="1"/>
  <c r="BJ383" i="1" s="1"/>
  <c r="M383" i="4" s="1"/>
  <c r="AV383" i="1"/>
  <c r="BG383" i="1" s="1"/>
  <c r="J383" i="4" s="1"/>
  <c r="BC317" i="1"/>
  <c r="BA454" i="1"/>
  <c r="BC454" i="1" s="1"/>
  <c r="BC123" i="1"/>
  <c r="BB95" i="1"/>
  <c r="BC95" i="1" s="1"/>
  <c r="BB89" i="1"/>
  <c r="BC89" i="1" s="1"/>
  <c r="AW340" i="1"/>
  <c r="BD340" i="1" s="1"/>
  <c r="AY411" i="1"/>
  <c r="BD160" i="1"/>
  <c r="E160" i="4" s="1"/>
  <c r="BA112" i="1"/>
  <c r="BC112" i="1" s="1"/>
  <c r="AZ297" i="1"/>
  <c r="BB297" i="1" s="1"/>
  <c r="AZ69" i="1"/>
  <c r="BA69" i="1" s="1"/>
  <c r="BB484" i="1"/>
  <c r="BC484" i="1" s="1"/>
  <c r="BB111" i="1"/>
  <c r="BC111" i="1" s="1"/>
  <c r="BB118" i="1"/>
  <c r="BC118" i="1" s="1"/>
  <c r="BC151" i="1"/>
  <c r="BD215" i="1"/>
  <c r="BF215" i="1" s="1"/>
  <c r="BA337" i="1"/>
  <c r="BC337" i="1" s="1"/>
  <c r="BF151" i="1"/>
  <c r="BM151" i="1" s="1"/>
  <c r="I151" i="4" s="1"/>
  <c r="BB418" i="1"/>
  <c r="BC418" i="1" s="1"/>
  <c r="AZ99" i="1"/>
  <c r="BB99" i="1" s="1"/>
  <c r="BB133" i="1"/>
  <c r="BC133" i="1" s="1"/>
  <c r="BB4" i="1"/>
  <c r="BC4" i="1" s="1"/>
  <c r="E168" i="4"/>
  <c r="BA18" i="1"/>
  <c r="BC18" i="1" s="1"/>
  <c r="BA83" i="1"/>
  <c r="BC83" i="1" s="1"/>
  <c r="BD360" i="1"/>
  <c r="BF360" i="1" s="1"/>
  <c r="BK360" i="1" s="1"/>
  <c r="AY494" i="1"/>
  <c r="E356" i="4"/>
  <c r="BB206" i="1"/>
  <c r="BC206" i="1" s="1"/>
  <c r="BA345" i="1"/>
  <c r="BC345" i="1" s="1"/>
  <c r="BB66" i="1"/>
  <c r="BC66" i="1" s="1"/>
  <c r="BB493" i="1"/>
  <c r="BC493" i="1" s="1"/>
  <c r="AW201" i="1"/>
  <c r="BD201" i="1" s="1"/>
  <c r="BA309" i="1"/>
  <c r="BC309" i="1" s="1"/>
  <c r="BF223" i="1"/>
  <c r="G223" i="4" s="1"/>
  <c r="AZ424" i="1"/>
  <c r="BB424" i="1" s="1"/>
  <c r="AW435" i="1"/>
  <c r="AY435" i="1" s="1"/>
  <c r="BB316" i="1"/>
  <c r="BC316" i="1" s="1"/>
  <c r="BA354" i="1"/>
  <c r="BC354" i="1" s="1"/>
  <c r="AZ176" i="1"/>
  <c r="BA176" i="1" s="1"/>
  <c r="AZ473" i="1"/>
  <c r="BB473" i="1" s="1"/>
  <c r="BA270" i="1"/>
  <c r="BC270" i="1" s="1"/>
  <c r="AX383" i="1"/>
  <c r="BE383" i="1" s="1"/>
  <c r="F383" i="4" s="1"/>
  <c r="AZ85" i="1"/>
  <c r="BA85" i="1" s="1"/>
  <c r="BC222" i="1"/>
  <c r="AZ379" i="1"/>
  <c r="BA379" i="1" s="1"/>
  <c r="BD484" i="1"/>
  <c r="BF484" i="1" s="1"/>
  <c r="G484" i="4" s="1"/>
  <c r="AY63" i="1"/>
  <c r="BG473" i="1"/>
  <c r="J473" i="4" s="1"/>
  <c r="AW426" i="1"/>
  <c r="AY426" i="1" s="1"/>
  <c r="BD78" i="1"/>
  <c r="E78" i="4" s="1"/>
  <c r="AX64" i="1"/>
  <c r="BE64" i="1" s="1"/>
  <c r="F64" i="4" s="1"/>
  <c r="BA205" i="1"/>
  <c r="BC205" i="1" s="1"/>
  <c r="BA56" i="1"/>
  <c r="BC56" i="1" s="1"/>
  <c r="AW303" i="1"/>
  <c r="BD303" i="1" s="1"/>
  <c r="E303" i="4" s="1"/>
  <c r="AZ213" i="1"/>
  <c r="BA213" i="1" s="1"/>
  <c r="BD203" i="1"/>
  <c r="E203" i="4" s="1"/>
  <c r="AY305" i="1"/>
  <c r="BD255" i="1"/>
  <c r="BF255" i="1" s="1"/>
  <c r="BD30" i="1"/>
  <c r="E30" i="4" s="1"/>
  <c r="BA469" i="1"/>
  <c r="BC469" i="1" s="1"/>
  <c r="AW69" i="1"/>
  <c r="BD69" i="1" s="1"/>
  <c r="AW136" i="1"/>
  <c r="BD136" i="1" s="1"/>
  <c r="AZ470" i="1"/>
  <c r="BA470" i="1" s="1"/>
  <c r="AZ219" i="1"/>
  <c r="BA219" i="1" s="1"/>
  <c r="BF305" i="1"/>
  <c r="G305" i="4" s="1"/>
  <c r="AZ57" i="1"/>
  <c r="BB57" i="1" s="1"/>
  <c r="AZ145" i="1"/>
  <c r="BB145" i="1" s="1"/>
  <c r="AZ312" i="1"/>
  <c r="BB312" i="1" s="1"/>
  <c r="AY214" i="1"/>
  <c r="AZ399" i="1"/>
  <c r="BA399" i="1" s="1"/>
  <c r="BD224" i="1"/>
  <c r="E224" i="4" s="1"/>
  <c r="BA88" i="1"/>
  <c r="BC88" i="1" s="1"/>
  <c r="AQ167" i="1"/>
  <c r="AZ167" i="1" s="1"/>
  <c r="BA167" i="1" s="1"/>
  <c r="BB365" i="1"/>
  <c r="BC365" i="1" s="1"/>
  <c r="AY42" i="1"/>
  <c r="BK356" i="1"/>
  <c r="AY4" i="1"/>
  <c r="BG332" i="1"/>
  <c r="J332" i="4" s="1"/>
  <c r="AZ276" i="1"/>
  <c r="BB276" i="1" s="1"/>
  <c r="BD391" i="1"/>
  <c r="E391" i="4" s="1"/>
  <c r="BA406" i="1"/>
  <c r="BC406" i="1" s="1"/>
  <c r="BA368" i="1"/>
  <c r="BC368" i="1" s="1"/>
  <c r="BC444" i="1"/>
  <c r="AW99" i="1"/>
  <c r="BA284" i="1"/>
  <c r="BC284" i="1" s="1"/>
  <c r="AW98" i="1"/>
  <c r="AY98" i="1" s="1"/>
  <c r="BA119" i="1"/>
  <c r="BB119" i="1"/>
  <c r="G356" i="4"/>
  <c r="AW424" i="1"/>
  <c r="BD424" i="1" s="1"/>
  <c r="AR352" i="1"/>
  <c r="BH352" i="1" s="1"/>
  <c r="K352" i="4" s="1"/>
  <c r="AZ449" i="1"/>
  <c r="BA449" i="1" s="1"/>
  <c r="AY219" i="1"/>
  <c r="AZ261" i="1"/>
  <c r="BB261" i="1" s="1"/>
  <c r="AY260" i="1"/>
  <c r="AZ232" i="1"/>
  <c r="BB232" i="1" s="1"/>
  <c r="BA34" i="1"/>
  <c r="BC34" i="1" s="1"/>
  <c r="BA78" i="1"/>
  <c r="BB78" i="1"/>
  <c r="AZ178" i="1"/>
  <c r="BB178" i="1" s="1"/>
  <c r="BD457" i="1"/>
  <c r="E457" i="4" s="1"/>
  <c r="BG483" i="1"/>
  <c r="J483" i="4" s="1"/>
  <c r="AZ231" i="1"/>
  <c r="BB231" i="1" s="1"/>
  <c r="AW370" i="1"/>
  <c r="AY370" i="1" s="1"/>
  <c r="AW330" i="1"/>
  <c r="AY330" i="1" s="1"/>
  <c r="BC447" i="1"/>
  <c r="BA144" i="1"/>
  <c r="BC144" i="1" s="1"/>
  <c r="AZ426" i="1"/>
  <c r="BA426" i="1" s="1"/>
  <c r="AY174" i="1"/>
  <c r="BD174" i="1"/>
  <c r="BD469" i="1"/>
  <c r="BF469" i="1" s="1"/>
  <c r="E95" i="4"/>
  <c r="AY112" i="1"/>
  <c r="BC279" i="1"/>
  <c r="BG289" i="1"/>
  <c r="J289" i="4" s="1"/>
  <c r="AY104" i="1"/>
  <c r="BG377" i="1"/>
  <c r="J377" i="4" s="1"/>
  <c r="AZ19" i="1"/>
  <c r="BB19" i="1" s="1"/>
  <c r="AZ141" i="1"/>
  <c r="BB141" i="1" s="1"/>
  <c r="BA260" i="1"/>
  <c r="BC260" i="1" s="1"/>
  <c r="BB23" i="1"/>
  <c r="BC23" i="1" s="1"/>
  <c r="AW402" i="1"/>
  <c r="BD402" i="1" s="1"/>
  <c r="AZ341" i="1"/>
  <c r="BA341" i="1" s="1"/>
  <c r="E120" i="4"/>
  <c r="AR167" i="1"/>
  <c r="BH167" i="1" s="1"/>
  <c r="K167" i="4" s="1"/>
  <c r="AW243" i="1"/>
  <c r="AY243" i="1" s="1"/>
  <c r="AZ71" i="1"/>
  <c r="BF254" i="1"/>
  <c r="BK254" i="1" s="1"/>
  <c r="AZ380" i="1"/>
  <c r="BA380" i="1" s="1"/>
  <c r="BG35" i="1"/>
  <c r="J35" i="4" s="1"/>
  <c r="AZ105" i="1"/>
  <c r="AW244" i="1"/>
  <c r="BD244" i="1" s="1"/>
  <c r="E244" i="4" s="1"/>
  <c r="BA374" i="1"/>
  <c r="BC374" i="1" s="1"/>
  <c r="AZ430" i="1"/>
  <c r="BB430" i="1" s="1"/>
  <c r="BA61" i="1"/>
  <c r="BC61" i="1" s="1"/>
  <c r="AW245" i="1"/>
  <c r="BD245" i="1" s="1"/>
  <c r="E319" i="4"/>
  <c r="AZ336" i="1"/>
  <c r="BA336" i="1" s="1"/>
  <c r="BB321" i="1"/>
  <c r="BC321" i="1" s="1"/>
  <c r="BC305" i="1"/>
  <c r="BB12" i="1"/>
  <c r="BC12" i="1" s="1"/>
  <c r="BB362" i="1"/>
  <c r="BC362" i="1" s="1"/>
  <c r="BD61" i="1"/>
  <c r="BB211" i="1"/>
  <c r="BC211" i="1" s="1"/>
  <c r="AT302" i="1"/>
  <c r="BJ302" i="1" s="1"/>
  <c r="M302" i="4" s="1"/>
  <c r="AZ236" i="1"/>
  <c r="BB236" i="1" s="1"/>
  <c r="BD123" i="1"/>
  <c r="AY123" i="1"/>
  <c r="BD73" i="1"/>
  <c r="E73" i="4" s="1"/>
  <c r="AY25" i="1"/>
  <c r="AW178" i="1"/>
  <c r="AY178" i="1" s="1"/>
  <c r="AT167" i="1"/>
  <c r="BJ167" i="1" s="1"/>
  <c r="M167" i="4" s="1"/>
  <c r="AW432" i="1"/>
  <c r="AY432" i="1" s="1"/>
  <c r="BD159" i="1"/>
  <c r="BF159" i="1" s="1"/>
  <c r="BD109" i="1"/>
  <c r="E109" i="4" s="1"/>
  <c r="BF260" i="1"/>
  <c r="BK260" i="1" s="1"/>
  <c r="AZ370" i="1"/>
  <c r="BB370" i="1" s="1"/>
  <c r="AY169" i="1"/>
  <c r="BB8" i="1"/>
  <c r="BC8" i="1" s="1"/>
  <c r="AW176" i="1"/>
  <c r="BD176" i="1" s="1"/>
  <c r="AQ352" i="1"/>
  <c r="AS302" i="1"/>
  <c r="BI302" i="1" s="1"/>
  <c r="L302" i="4" s="1"/>
  <c r="AY406" i="1"/>
  <c r="BD194" i="1"/>
  <c r="BF194" i="1" s="1"/>
  <c r="AZ233" i="1"/>
  <c r="BA233" i="1" s="1"/>
  <c r="AZ158" i="1"/>
  <c r="BB158" i="1" s="1"/>
  <c r="AW453" i="1"/>
  <c r="BD453" i="1" s="1"/>
  <c r="E453" i="4" s="1"/>
  <c r="AV352" i="1"/>
  <c r="AW352" i="1" s="1"/>
  <c r="AW312" i="1"/>
  <c r="AY312" i="1" s="1"/>
  <c r="AZ404" i="1"/>
  <c r="BB404" i="1" s="1"/>
  <c r="AZ212" i="1"/>
  <c r="BB212" i="1" s="1"/>
  <c r="AR302" i="1"/>
  <c r="BH302" i="1" s="1"/>
  <c r="K302" i="4" s="1"/>
  <c r="BA60" i="1"/>
  <c r="BC60" i="1" s="1"/>
  <c r="BB42" i="1"/>
  <c r="BC42" i="1" s="1"/>
  <c r="AY368" i="1"/>
  <c r="AY253" i="1"/>
  <c r="AX229" i="1"/>
  <c r="BE229" i="1" s="1"/>
  <c r="F229" i="4" s="1"/>
  <c r="AR229" i="1"/>
  <c r="BH229" i="1" s="1"/>
  <c r="K229" i="4" s="1"/>
  <c r="AQ229" i="1"/>
  <c r="AV229" i="1"/>
  <c r="BG229" i="1" s="1"/>
  <c r="J229" i="4" s="1"/>
  <c r="AS229" i="1"/>
  <c r="BI229" i="1" s="1"/>
  <c r="L229" i="4" s="1"/>
  <c r="BB194" i="1"/>
  <c r="BC194" i="1" s="1"/>
  <c r="AS167" i="1"/>
  <c r="BI167" i="1" s="1"/>
  <c r="L167" i="4" s="1"/>
  <c r="BF206" i="1"/>
  <c r="BM206" i="1" s="1"/>
  <c r="I206" i="4" s="1"/>
  <c r="AZ150" i="1"/>
  <c r="BA150" i="1" s="1"/>
  <c r="AY206" i="1"/>
  <c r="BG85" i="1"/>
  <c r="J85" i="4" s="1"/>
  <c r="AW399" i="1"/>
  <c r="AY399" i="1" s="1"/>
  <c r="AZ471" i="1"/>
  <c r="BB471" i="1" s="1"/>
  <c r="AZ17" i="1"/>
  <c r="BB17" i="1" s="1"/>
  <c r="AQ302" i="1"/>
  <c r="AZ302" i="1" s="1"/>
  <c r="BA302" i="1" s="1"/>
  <c r="AZ427" i="1"/>
  <c r="BA427" i="1" s="1"/>
  <c r="AZ274" i="1"/>
  <c r="BA274" i="1" s="1"/>
  <c r="AZ179" i="1"/>
  <c r="BB179" i="1" s="1"/>
  <c r="AT229" i="1"/>
  <c r="BJ229" i="1" s="1"/>
  <c r="M229" i="4" s="1"/>
  <c r="AW188" i="1"/>
  <c r="AY188" i="1" s="1"/>
  <c r="AW232" i="1"/>
  <c r="AY232" i="1" s="1"/>
  <c r="AZ131" i="1"/>
  <c r="BA131" i="1" s="1"/>
  <c r="BB411" i="1"/>
  <c r="BC411" i="1" s="1"/>
  <c r="AZ332" i="1"/>
  <c r="BB332" i="1" s="1"/>
  <c r="BB159" i="1"/>
  <c r="BC159" i="1" s="1"/>
  <c r="BB356" i="1"/>
  <c r="BA356" i="1"/>
  <c r="AW17" i="1"/>
  <c r="AY17" i="1" s="1"/>
  <c r="AV167" i="1"/>
  <c r="AZ330" i="1"/>
  <c r="AY461" i="1"/>
  <c r="AW236" i="1"/>
  <c r="AY236" i="1" s="1"/>
  <c r="AW113" i="1"/>
  <c r="BD113" i="1" s="1"/>
  <c r="BD337" i="1"/>
  <c r="E337" i="4" s="1"/>
  <c r="AZ94" i="1"/>
  <c r="AV302" i="1"/>
  <c r="BG302" i="1" s="1"/>
  <c r="J302" i="4" s="1"/>
  <c r="BB257" i="1"/>
  <c r="BC257" i="1" s="1"/>
  <c r="AZ385" i="1"/>
  <c r="BA385" i="1" s="1"/>
  <c r="BB120" i="1"/>
  <c r="BA120" i="1"/>
  <c r="AZ209" i="1"/>
  <c r="BB209" i="1" s="1"/>
  <c r="AZ93" i="1"/>
  <c r="BA93" i="1" s="1"/>
  <c r="AW31" i="1"/>
  <c r="AY31" i="1" s="1"/>
  <c r="BC82" i="1"/>
  <c r="AZ475" i="1"/>
  <c r="BB475" i="1" s="1"/>
  <c r="E169" i="4"/>
  <c r="BF169" i="1"/>
  <c r="BK169" i="1" s="1"/>
  <c r="BD462" i="1"/>
  <c r="AY462" i="1"/>
  <c r="BG179" i="1"/>
  <c r="J179" i="4" s="1"/>
  <c r="BD12" i="1"/>
  <c r="E12" i="4" s="1"/>
  <c r="AW54" i="1"/>
  <c r="AY54" i="1" s="1"/>
  <c r="BF495" i="1"/>
  <c r="BK495" i="1" s="1"/>
  <c r="BC275" i="1"/>
  <c r="BD287" i="1"/>
  <c r="BF287" i="1" s="1"/>
  <c r="AW72" i="1"/>
  <c r="AY72" i="1" s="1"/>
  <c r="BC224" i="1"/>
  <c r="AZ35" i="1"/>
  <c r="BB35" i="1" s="1"/>
  <c r="AZ289" i="1"/>
  <c r="BB289" i="1" s="1"/>
  <c r="AW438" i="1"/>
  <c r="AY438" i="1" s="1"/>
  <c r="AW235" i="1"/>
  <c r="AY235" i="1" s="1"/>
  <c r="AZ375" i="1"/>
  <c r="BB375" i="1" s="1"/>
  <c r="AZ218" i="1"/>
  <c r="BB218" i="1" s="1"/>
  <c r="BC28" i="1"/>
  <c r="BC207" i="1"/>
  <c r="BB287" i="1"/>
  <c r="BC287" i="1" s="1"/>
  <c r="BB359" i="1"/>
  <c r="BC359" i="1" s="1"/>
  <c r="BC490" i="1"/>
  <c r="AZ33" i="1"/>
  <c r="BB33" i="1" s="1"/>
  <c r="AW385" i="1"/>
  <c r="AY385" i="1" s="1"/>
  <c r="BF321" i="1"/>
  <c r="BM321" i="1" s="1"/>
  <c r="I321" i="4" s="1"/>
  <c r="AZ413" i="1"/>
  <c r="BB413" i="1" s="1"/>
  <c r="AY289" i="1"/>
  <c r="E284" i="4"/>
  <c r="E294" i="4"/>
  <c r="AY321" i="1"/>
  <c r="AW292" i="1"/>
  <c r="BD292" i="1" s="1"/>
  <c r="AW233" i="1"/>
  <c r="AY233" i="1" s="1"/>
  <c r="AW258" i="1"/>
  <c r="AY258" i="1" s="1"/>
  <c r="AW415" i="1"/>
  <c r="AY415" i="1" s="1"/>
  <c r="AZ129" i="1"/>
  <c r="BB129" i="1" s="1"/>
  <c r="AZ98" i="1"/>
  <c r="BA98" i="1" s="1"/>
  <c r="AZ350" i="1"/>
  <c r="BA350" i="1" s="1"/>
  <c r="BB461" i="1"/>
  <c r="BC461" i="1" s="1"/>
  <c r="AW212" i="1"/>
  <c r="BD212" i="1" s="1"/>
  <c r="AW165" i="1"/>
  <c r="BD165" i="1" s="1"/>
  <c r="BB25" i="1"/>
  <c r="BA25" i="1"/>
  <c r="AW475" i="1"/>
  <c r="AY475" i="1" s="1"/>
  <c r="BF277" i="1"/>
  <c r="BK277" i="1" s="1"/>
  <c r="BD18" i="1"/>
  <c r="E18" i="4" s="1"/>
  <c r="AZ425" i="1"/>
  <c r="BB425" i="1" s="1"/>
  <c r="AZ414" i="1"/>
  <c r="BA414" i="1" s="1"/>
  <c r="AZ477" i="1"/>
  <c r="BB477" i="1" s="1"/>
  <c r="AZ315" i="1"/>
  <c r="BA315" i="1" s="1"/>
  <c r="AZ74" i="1"/>
  <c r="BA74" i="1" s="1"/>
  <c r="BC104" i="1"/>
  <c r="AP295" i="1"/>
  <c r="AU295" i="1" s="1"/>
  <c r="AV295" i="1" s="1"/>
  <c r="AP401" i="1"/>
  <c r="AU401" i="1" s="1"/>
  <c r="AR401" i="1" s="1"/>
  <c r="BH401" i="1" s="1"/>
  <c r="K401" i="4" s="1"/>
  <c r="AZ31" i="1"/>
  <c r="AZ39" i="1"/>
  <c r="AZ256" i="1"/>
  <c r="BA256" i="1" s="1"/>
  <c r="AZ162" i="1"/>
  <c r="BA162" i="1" s="1"/>
  <c r="AZ130" i="1"/>
  <c r="BB130" i="1" s="1"/>
  <c r="AZ307" i="1"/>
  <c r="BB307" i="1" s="1"/>
  <c r="AZ432" i="1"/>
  <c r="BC255" i="1"/>
  <c r="AZ453" i="1"/>
  <c r="BA453" i="1" s="1"/>
  <c r="BF5" i="1"/>
  <c r="E5" i="4"/>
  <c r="BG33" i="1"/>
  <c r="J33" i="4" s="1"/>
  <c r="AW33" i="1"/>
  <c r="AY33" i="1" s="1"/>
  <c r="AY359" i="1"/>
  <c r="BD359" i="1"/>
  <c r="E359" i="4" s="1"/>
  <c r="AY118" i="1"/>
  <c r="BD118" i="1"/>
  <c r="E118" i="4" s="1"/>
  <c r="AY66" i="1"/>
  <c r="BD66" i="1"/>
  <c r="E66" i="4" s="1"/>
  <c r="BG190" i="1"/>
  <c r="J190" i="4" s="1"/>
  <c r="AW190" i="1"/>
  <c r="BD190" i="1" s="1"/>
  <c r="BG141" i="1"/>
  <c r="J141" i="4" s="1"/>
  <c r="AW141" i="1"/>
  <c r="BD141" i="1" s="1"/>
  <c r="BG172" i="1"/>
  <c r="J172" i="4" s="1"/>
  <c r="AW172" i="1"/>
  <c r="AY172" i="1" s="1"/>
  <c r="BG19" i="1"/>
  <c r="J19" i="4" s="1"/>
  <c r="AW19" i="1"/>
  <c r="AY19" i="1" s="1"/>
  <c r="K60" i="2"/>
  <c r="K39" i="2"/>
  <c r="J87" i="2" s="1"/>
  <c r="BC191" i="1"/>
  <c r="BC495" i="1"/>
  <c r="BC395" i="1"/>
  <c r="BC254" i="1"/>
  <c r="BC487" i="1"/>
  <c r="BD353" i="1"/>
  <c r="AY353" i="1"/>
  <c r="AS48" i="1"/>
  <c r="BI48" i="1" s="1"/>
  <c r="L48" i="4" s="1"/>
  <c r="AX48" i="1"/>
  <c r="AT48" i="1"/>
  <c r="BJ48" i="1" s="1"/>
  <c r="M48" i="4" s="1"/>
  <c r="AV48" i="1"/>
  <c r="AR48" i="1"/>
  <c r="BH48" i="1" s="1"/>
  <c r="K48" i="4" s="1"/>
  <c r="BF119" i="1"/>
  <c r="E119" i="4"/>
  <c r="AZ190" i="1"/>
  <c r="AZ164" i="1"/>
  <c r="BB164" i="1" s="1"/>
  <c r="AZ268" i="1"/>
  <c r="BA268" i="1" s="1"/>
  <c r="AZ416" i="1"/>
  <c r="BA416" i="1" s="1"/>
  <c r="AZ175" i="1"/>
  <c r="BC5" i="1"/>
  <c r="BC319" i="1"/>
  <c r="BC384" i="1"/>
  <c r="BC220" i="1"/>
  <c r="AZ180" i="1"/>
  <c r="BA180" i="1" s="1"/>
  <c r="AS352" i="1"/>
  <c r="BI352" i="1" s="1"/>
  <c r="L352" i="4" s="1"/>
  <c r="AX352" i="1"/>
  <c r="BE352" i="1" s="1"/>
  <c r="F352" i="4" s="1"/>
  <c r="BD455" i="1"/>
  <c r="E455" i="4" s="1"/>
  <c r="AY455" i="1"/>
  <c r="BG57" i="1"/>
  <c r="J57" i="4" s="1"/>
  <c r="AW57" i="1"/>
  <c r="AY57" i="1" s="1"/>
  <c r="E40" i="4"/>
  <c r="BF40" i="1"/>
  <c r="BG449" i="1"/>
  <c r="J449" i="4" s="1"/>
  <c r="AW449" i="1"/>
  <c r="AY8" i="1"/>
  <c r="BD8" i="1"/>
  <c r="E418" i="4"/>
  <c r="BF418" i="1"/>
  <c r="G418" i="4" s="1"/>
  <c r="AT108" i="1"/>
  <c r="BJ108" i="1" s="1"/>
  <c r="M108" i="4" s="1"/>
  <c r="AR108" i="1"/>
  <c r="BH108" i="1" s="1"/>
  <c r="K108" i="4" s="1"/>
  <c r="AQ108" i="1"/>
  <c r="AS108" i="1"/>
  <c r="BI108" i="1" s="1"/>
  <c r="L108" i="4" s="1"/>
  <c r="AX108" i="1"/>
  <c r="BE108" i="1" s="1"/>
  <c r="F108" i="4" s="1"/>
  <c r="AV108" i="1"/>
  <c r="BG108" i="1" s="1"/>
  <c r="J108" i="4" s="1"/>
  <c r="BD376" i="1"/>
  <c r="E376" i="4" s="1"/>
  <c r="AY376" i="1"/>
  <c r="E368" i="4"/>
  <c r="BF368" i="1"/>
  <c r="BM368" i="1" s="1"/>
  <c r="I368" i="4" s="1"/>
  <c r="AY314" i="1"/>
  <c r="BD314" i="1"/>
  <c r="BF314" i="1" s="1"/>
  <c r="G314" i="4" s="1"/>
  <c r="BG198" i="1"/>
  <c r="J198" i="4" s="1"/>
  <c r="AW198" i="1"/>
  <c r="AY198" i="1" s="1"/>
  <c r="BF149" i="1"/>
  <c r="G149" i="4" s="1"/>
  <c r="E149" i="4"/>
  <c r="BG471" i="1"/>
  <c r="J471" i="4" s="1"/>
  <c r="AW471" i="1"/>
  <c r="BD471" i="1" s="1"/>
  <c r="AW417" i="1"/>
  <c r="AY417" i="1" s="1"/>
  <c r="BG417" i="1"/>
  <c r="J417" i="4" s="1"/>
  <c r="BA415" i="1"/>
  <c r="BB415" i="1"/>
  <c r="E191" i="4"/>
  <c r="BF191" i="1"/>
  <c r="G191" i="4" s="1"/>
  <c r="E28" i="4"/>
  <c r="BF28" i="1"/>
  <c r="BK28" i="1" s="1"/>
  <c r="BB259" i="1"/>
  <c r="BA259" i="1"/>
  <c r="E275" i="4"/>
  <c r="BF275" i="1"/>
  <c r="BK275" i="1" s="1"/>
  <c r="BK454" i="1"/>
  <c r="BM454" i="1"/>
  <c r="I454" i="4" s="1"/>
  <c r="G454" i="4"/>
  <c r="BF11" i="1"/>
  <c r="E11" i="4"/>
  <c r="BB412" i="1"/>
  <c r="BA412" i="1"/>
  <c r="BA282" i="1"/>
  <c r="BB282" i="1"/>
  <c r="BB457" i="1"/>
  <c r="BA457" i="1"/>
  <c r="BB262" i="1"/>
  <c r="BA262" i="1"/>
  <c r="AY270" i="1"/>
  <c r="BD270" i="1"/>
  <c r="E488" i="4"/>
  <c r="BF488" i="1"/>
  <c r="BD354" i="1"/>
  <c r="AY354" i="1"/>
  <c r="BG283" i="1"/>
  <c r="J283" i="4" s="1"/>
  <c r="AW283" i="1"/>
  <c r="AZ58" i="1"/>
  <c r="AZ80" i="1"/>
  <c r="AZ45" i="1"/>
  <c r="BC306" i="1"/>
  <c r="AZ165" i="1"/>
  <c r="BC173" i="1"/>
  <c r="AZ122" i="1"/>
  <c r="BC494" i="1"/>
  <c r="BC442" i="1"/>
  <c r="BB283" i="1"/>
  <c r="BA283" i="1"/>
  <c r="BG379" i="1"/>
  <c r="J379" i="4" s="1"/>
  <c r="AW379" i="1"/>
  <c r="BG276" i="1"/>
  <c r="J276" i="4" s="1"/>
  <c r="AW276" i="1"/>
  <c r="BD276" i="1" s="1"/>
  <c r="BG297" i="1"/>
  <c r="J297" i="4" s="1"/>
  <c r="AW297" i="1"/>
  <c r="BG476" i="1"/>
  <c r="J476" i="4" s="1"/>
  <c r="AW476" i="1"/>
  <c r="AY476" i="1" s="1"/>
  <c r="BG375" i="1"/>
  <c r="J375" i="4" s="1"/>
  <c r="AW375" i="1"/>
  <c r="AY375" i="1" s="1"/>
  <c r="BG180" i="1"/>
  <c r="J180" i="4" s="1"/>
  <c r="AW180" i="1"/>
  <c r="BD180" i="1" s="1"/>
  <c r="BG39" i="1"/>
  <c r="J39" i="4" s="1"/>
  <c r="AW39" i="1"/>
  <c r="AY39" i="1" s="1"/>
  <c r="BB117" i="1"/>
  <c r="BA117" i="1"/>
  <c r="BA391" i="1"/>
  <c r="BB391" i="1"/>
  <c r="BG315" i="1"/>
  <c r="J315" i="4" s="1"/>
  <c r="AW315" i="1"/>
  <c r="BG350" i="1"/>
  <c r="J350" i="4" s="1"/>
  <c r="AW350" i="1"/>
  <c r="BG328" i="1"/>
  <c r="J328" i="4" s="1"/>
  <c r="AW328" i="1"/>
  <c r="BD328" i="1" s="1"/>
  <c r="BG256" i="1"/>
  <c r="J256" i="4" s="1"/>
  <c r="AW256" i="1"/>
  <c r="BD256" i="1" s="1"/>
  <c r="BA30" i="1"/>
  <c r="BB30" i="1"/>
  <c r="BA371" i="1"/>
  <c r="BB371" i="1"/>
  <c r="AW389" i="1"/>
  <c r="BG389" i="1"/>
  <c r="J389" i="4" s="1"/>
  <c r="AW76" i="1"/>
  <c r="BG76" i="1"/>
  <c r="J76" i="4" s="1"/>
  <c r="BA376" i="1"/>
  <c r="BB376" i="1"/>
  <c r="BB455" i="1"/>
  <c r="BA455" i="1"/>
  <c r="BA253" i="1"/>
  <c r="BB253" i="1"/>
  <c r="BB241" i="1"/>
  <c r="BA241" i="1"/>
  <c r="AW265" i="1"/>
  <c r="BG265" i="1"/>
  <c r="J265" i="4" s="1"/>
  <c r="AW130" i="1"/>
  <c r="BG130" i="1"/>
  <c r="J130" i="4" s="1"/>
  <c r="BB13" i="1"/>
  <c r="BA13" i="1"/>
  <c r="BB367" i="1"/>
  <c r="BA367" i="1"/>
  <c r="BA429" i="1"/>
  <c r="BB429" i="1"/>
  <c r="BB314" i="1"/>
  <c r="BA314" i="1"/>
  <c r="BG129" i="1"/>
  <c r="J129" i="4" s="1"/>
  <c r="AW129" i="1"/>
  <c r="BG259" i="1"/>
  <c r="J259" i="4" s="1"/>
  <c r="AW259" i="1"/>
  <c r="BG162" i="1"/>
  <c r="J162" i="4" s="1"/>
  <c r="AW162" i="1"/>
  <c r="BB153" i="1"/>
  <c r="BA153" i="1"/>
  <c r="BG341" i="1"/>
  <c r="J341" i="4" s="1"/>
  <c r="AW341" i="1"/>
  <c r="BG183" i="1"/>
  <c r="J183" i="4" s="1"/>
  <c r="AW183" i="1"/>
  <c r="BD183" i="1" s="1"/>
  <c r="BA81" i="1"/>
  <c r="BB81" i="1"/>
  <c r="BD153" i="1"/>
  <c r="AY153" i="1"/>
  <c r="BB467" i="1"/>
  <c r="BA467" i="1"/>
  <c r="BA423" i="1"/>
  <c r="BB423" i="1"/>
  <c r="BB41" i="1"/>
  <c r="BA41" i="1"/>
  <c r="BA489" i="1"/>
  <c r="BB489" i="1"/>
  <c r="BA200" i="1"/>
  <c r="BB200" i="1"/>
  <c r="BE417" i="1"/>
  <c r="F417" i="4" s="1"/>
  <c r="AZ417" i="1"/>
  <c r="BB214" i="1"/>
  <c r="BA214" i="1"/>
  <c r="BA428" i="1"/>
  <c r="BB428" i="1"/>
  <c r="AX351" i="1"/>
  <c r="BE351" i="1" s="1"/>
  <c r="F351" i="4" s="1"/>
  <c r="AT351" i="1"/>
  <c r="BJ351" i="1" s="1"/>
  <c r="M351" i="4" s="1"/>
  <c r="AS351" i="1"/>
  <c r="BI351" i="1" s="1"/>
  <c r="L351" i="4" s="1"/>
  <c r="AR351" i="1"/>
  <c r="BH351" i="1" s="1"/>
  <c r="K351" i="4" s="1"/>
  <c r="AV351" i="1"/>
  <c r="AQ351" i="1"/>
  <c r="BG443" i="1"/>
  <c r="J443" i="4" s="1"/>
  <c r="AW443" i="1"/>
  <c r="BG466" i="1"/>
  <c r="J466" i="4" s="1"/>
  <c r="AW466" i="1"/>
  <c r="BB183" i="1"/>
  <c r="BA183" i="1"/>
  <c r="BA65" i="1"/>
  <c r="BB65" i="1"/>
  <c r="AV70" i="1"/>
  <c r="AR70" i="1"/>
  <c r="BH70" i="1" s="1"/>
  <c r="K70" i="4" s="1"/>
  <c r="AQ70" i="1"/>
  <c r="AT70" i="1"/>
  <c r="BJ70" i="1" s="1"/>
  <c r="M70" i="4" s="1"/>
  <c r="AS70" i="1"/>
  <c r="BI70" i="1" s="1"/>
  <c r="L70" i="4" s="1"/>
  <c r="AX70" i="1"/>
  <c r="BE70" i="1" s="1"/>
  <c r="F70" i="4" s="1"/>
  <c r="BB267" i="1"/>
  <c r="BA267" i="1"/>
  <c r="BE433" i="1"/>
  <c r="F433" i="4" s="1"/>
  <c r="AZ433" i="1"/>
  <c r="BB358" i="1"/>
  <c r="BA358" i="1"/>
  <c r="BB334" i="1"/>
  <c r="BA334" i="1"/>
  <c r="BB408" i="1"/>
  <c r="BA408" i="1"/>
  <c r="BC408" i="1" s="1"/>
  <c r="BA285" i="1"/>
  <c r="BB285" i="1"/>
  <c r="BA26" i="1"/>
  <c r="BB26" i="1"/>
  <c r="BA107" i="1"/>
  <c r="BB107" i="1"/>
  <c r="BB250" i="1"/>
  <c r="BA250" i="1"/>
  <c r="AW166" i="1"/>
  <c r="BG166" i="1"/>
  <c r="J166" i="4" s="1"/>
  <c r="BB324" i="1"/>
  <c r="BA324" i="1"/>
  <c r="AW478" i="1"/>
  <c r="BG478" i="1"/>
  <c r="J478" i="4" s="1"/>
  <c r="BB331" i="1"/>
  <c r="BA331" i="1"/>
  <c r="BB204" i="1"/>
  <c r="BA204" i="1"/>
  <c r="AY250" i="1"/>
  <c r="BD250" i="1"/>
  <c r="BA106" i="1"/>
  <c r="BB106" i="1"/>
  <c r="BB460" i="1"/>
  <c r="BA460" i="1"/>
  <c r="BB32" i="1"/>
  <c r="BA32" i="1"/>
  <c r="BB186" i="1"/>
  <c r="BA186" i="1"/>
  <c r="BB320" i="1"/>
  <c r="BA320" i="1"/>
  <c r="BA226" i="1"/>
  <c r="BB226" i="1"/>
  <c r="BA301" i="1"/>
  <c r="BB301" i="1"/>
  <c r="BB227" i="1"/>
  <c r="BA227" i="1"/>
  <c r="BB67" i="1"/>
  <c r="BA67" i="1"/>
  <c r="BA291" i="1"/>
  <c r="BB291" i="1"/>
  <c r="BB160" i="1"/>
  <c r="BA160" i="1"/>
  <c r="BB251" i="1"/>
  <c r="BA251" i="1"/>
  <c r="BB92" i="1"/>
  <c r="BA92" i="1"/>
  <c r="BB90" i="1"/>
  <c r="BA90" i="1"/>
  <c r="BB7" i="1"/>
  <c r="BA7" i="1"/>
  <c r="BB185" i="1"/>
  <c r="BA185" i="1"/>
  <c r="BB342" i="1"/>
  <c r="BA342" i="1"/>
  <c r="BA421" i="1"/>
  <c r="BB421" i="1"/>
  <c r="BB148" i="1"/>
  <c r="BA148" i="1"/>
  <c r="BB263" i="1"/>
  <c r="BA263" i="1"/>
  <c r="BA464" i="1"/>
  <c r="BB464" i="1"/>
  <c r="AW382" i="1"/>
  <c r="BG382" i="1"/>
  <c r="J382" i="4" s="1"/>
  <c r="AY262" i="1"/>
  <c r="BD262" i="1"/>
  <c r="E22" i="4"/>
  <c r="BF22" i="1"/>
  <c r="BD117" i="1"/>
  <c r="AY117" i="1"/>
  <c r="AW131" i="1"/>
  <c r="BG131" i="1"/>
  <c r="J131" i="4" s="1"/>
  <c r="AY34" i="1"/>
  <c r="BD34" i="1"/>
  <c r="BD412" i="1"/>
  <c r="AY412" i="1"/>
  <c r="BD88" i="1"/>
  <c r="AY88" i="1"/>
  <c r="AW218" i="1"/>
  <c r="BG218" i="1"/>
  <c r="J218" i="4" s="1"/>
  <c r="AY493" i="1"/>
  <c r="BD493" i="1"/>
  <c r="AY306" i="1"/>
  <c r="BD306" i="1"/>
  <c r="BD365" i="1"/>
  <c r="AY365" i="1"/>
  <c r="AY211" i="1"/>
  <c r="BD211" i="1"/>
  <c r="AW373" i="1"/>
  <c r="BG373" i="1"/>
  <c r="J373" i="4" s="1"/>
  <c r="AW74" i="1"/>
  <c r="BG74" i="1"/>
  <c r="J74" i="4" s="1"/>
  <c r="AW213" i="1"/>
  <c r="BG213" i="1"/>
  <c r="J213" i="4" s="1"/>
  <c r="BF197" i="1"/>
  <c r="E197" i="4"/>
  <c r="AQ387" i="1"/>
  <c r="AX387" i="1"/>
  <c r="BE387" i="1" s="1"/>
  <c r="F387" i="4" s="1"/>
  <c r="AS387" i="1"/>
  <c r="BI387" i="1" s="1"/>
  <c r="L387" i="4" s="1"/>
  <c r="AT387" i="1"/>
  <c r="BJ387" i="1" s="1"/>
  <c r="M387" i="4" s="1"/>
  <c r="AR387" i="1"/>
  <c r="BH387" i="1" s="1"/>
  <c r="K387" i="4" s="1"/>
  <c r="AV387" i="1"/>
  <c r="AV142" i="1"/>
  <c r="BG142" i="1" s="1"/>
  <c r="J142" i="4" s="1"/>
  <c r="AS142" i="1"/>
  <c r="BI142" i="1" s="1"/>
  <c r="L142" i="4" s="1"/>
  <c r="AX142" i="1"/>
  <c r="BE142" i="1" s="1"/>
  <c r="F142" i="4" s="1"/>
  <c r="AQ142" i="1"/>
  <c r="AT142" i="1"/>
  <c r="BJ142" i="1" s="1"/>
  <c r="M142" i="4" s="1"/>
  <c r="AR142" i="1"/>
  <c r="BH142" i="1" s="1"/>
  <c r="K142" i="4" s="1"/>
  <c r="AX311" i="1"/>
  <c r="BE311" i="1" s="1"/>
  <c r="F311" i="4" s="1"/>
  <c r="AQ311" i="1"/>
  <c r="AV311" i="1"/>
  <c r="BG311" i="1" s="1"/>
  <c r="J311" i="4" s="1"/>
  <c r="AS311" i="1"/>
  <c r="BI311" i="1" s="1"/>
  <c r="L311" i="4" s="1"/>
  <c r="AR311" i="1"/>
  <c r="BH311" i="1" s="1"/>
  <c r="K311" i="4" s="1"/>
  <c r="AT311" i="1"/>
  <c r="BJ311" i="1" s="1"/>
  <c r="M311" i="4" s="1"/>
  <c r="AS465" i="1"/>
  <c r="BI465" i="1" s="1"/>
  <c r="L465" i="4" s="1"/>
  <c r="AV465" i="1"/>
  <c r="AT465" i="1"/>
  <c r="BJ465" i="1" s="1"/>
  <c r="M465" i="4" s="1"/>
  <c r="AQ465" i="1"/>
  <c r="AX465" i="1"/>
  <c r="BE465" i="1" s="1"/>
  <c r="F465" i="4" s="1"/>
  <c r="AR465" i="1"/>
  <c r="BH465" i="1" s="1"/>
  <c r="K465" i="4" s="1"/>
  <c r="AR237" i="1"/>
  <c r="BH237" i="1" s="1"/>
  <c r="K237" i="4" s="1"/>
  <c r="AS237" i="1"/>
  <c r="BI237" i="1" s="1"/>
  <c r="L237" i="4" s="1"/>
  <c r="AV237" i="1"/>
  <c r="BG237" i="1" s="1"/>
  <c r="J237" i="4" s="1"/>
  <c r="AQ237" i="1"/>
  <c r="AX237" i="1"/>
  <c r="BE237" i="1" s="1"/>
  <c r="F237" i="4" s="1"/>
  <c r="AT237" i="1"/>
  <c r="BJ237" i="1" s="1"/>
  <c r="M237" i="4" s="1"/>
  <c r="AQ407" i="1"/>
  <c r="AS407" i="1"/>
  <c r="BI407" i="1" s="1"/>
  <c r="L407" i="4" s="1"/>
  <c r="AX407" i="1"/>
  <c r="BE407" i="1" s="1"/>
  <c r="F407" i="4" s="1"/>
  <c r="AV407" i="1"/>
  <c r="AR407" i="1"/>
  <c r="BH407" i="1" s="1"/>
  <c r="K407" i="4" s="1"/>
  <c r="AT407" i="1"/>
  <c r="BJ407" i="1" s="1"/>
  <c r="M407" i="4" s="1"/>
  <c r="AQ397" i="1"/>
  <c r="AS397" i="1"/>
  <c r="BI397" i="1" s="1"/>
  <c r="L397" i="4" s="1"/>
  <c r="AR397" i="1"/>
  <c r="BH397" i="1" s="1"/>
  <c r="K397" i="4" s="1"/>
  <c r="AT397" i="1"/>
  <c r="BJ397" i="1" s="1"/>
  <c r="M397" i="4" s="1"/>
  <c r="AX397" i="1"/>
  <c r="BE397" i="1" s="1"/>
  <c r="F397" i="4" s="1"/>
  <c r="AV397" i="1"/>
  <c r="AR37" i="1"/>
  <c r="BH37" i="1" s="1"/>
  <c r="K37" i="4" s="1"/>
  <c r="AT37" i="1"/>
  <c r="BJ37" i="1" s="1"/>
  <c r="M37" i="4" s="1"/>
  <c r="AV37" i="1"/>
  <c r="AS37" i="1"/>
  <c r="BI37" i="1" s="1"/>
  <c r="L37" i="4" s="1"/>
  <c r="AQ37" i="1"/>
  <c r="AX37" i="1"/>
  <c r="BE37" i="1" s="1"/>
  <c r="F37" i="4" s="1"/>
  <c r="AX152" i="1"/>
  <c r="BE152" i="1" s="1"/>
  <c r="F152" i="4" s="1"/>
  <c r="AR152" i="1"/>
  <c r="BH152" i="1" s="1"/>
  <c r="K152" i="4" s="1"/>
  <c r="AV152" i="1"/>
  <c r="AS152" i="1"/>
  <c r="BI152" i="1" s="1"/>
  <c r="L152" i="4" s="1"/>
  <c r="AT152" i="1"/>
  <c r="BJ152" i="1" s="1"/>
  <c r="M152" i="4" s="1"/>
  <c r="AQ152" i="1"/>
  <c r="AS369" i="1"/>
  <c r="BI369" i="1" s="1"/>
  <c r="L369" i="4" s="1"/>
  <c r="AQ369" i="1"/>
  <c r="AR369" i="1"/>
  <c r="BH369" i="1" s="1"/>
  <c r="K369" i="4" s="1"/>
  <c r="AT369" i="1"/>
  <c r="BJ369" i="1" s="1"/>
  <c r="M369" i="4" s="1"/>
  <c r="AV369" i="1"/>
  <c r="AX369" i="1"/>
  <c r="BE369" i="1" s="1"/>
  <c r="F369" i="4" s="1"/>
  <c r="AQ15" i="1"/>
  <c r="AR15" i="1"/>
  <c r="BH15" i="1" s="1"/>
  <c r="K15" i="4" s="1"/>
  <c r="AS15" i="1"/>
  <c r="BI15" i="1" s="1"/>
  <c r="L15" i="4" s="1"/>
  <c r="AV15" i="1"/>
  <c r="AT15" i="1"/>
  <c r="BJ15" i="1" s="1"/>
  <c r="M15" i="4" s="1"/>
  <c r="AX15" i="1"/>
  <c r="BE15" i="1" s="1"/>
  <c r="F15" i="4" s="1"/>
  <c r="AR290" i="1"/>
  <c r="BH290" i="1" s="1"/>
  <c r="K290" i="4" s="1"/>
  <c r="AS290" i="1"/>
  <c r="BI290" i="1" s="1"/>
  <c r="L290" i="4" s="1"/>
  <c r="AQ290" i="1"/>
  <c r="AV290" i="1"/>
  <c r="AX290" i="1"/>
  <c r="BE290" i="1" s="1"/>
  <c r="F290" i="4" s="1"/>
  <c r="AT290" i="1"/>
  <c r="BJ290" i="1" s="1"/>
  <c r="M290" i="4" s="1"/>
  <c r="AX446" i="1"/>
  <c r="BE446" i="1" s="1"/>
  <c r="F446" i="4" s="1"/>
  <c r="AV446" i="1"/>
  <c r="AQ446" i="1"/>
  <c r="AR446" i="1"/>
  <c r="BH446" i="1" s="1"/>
  <c r="K446" i="4" s="1"/>
  <c r="AT446" i="1"/>
  <c r="BJ446" i="1" s="1"/>
  <c r="M446" i="4" s="1"/>
  <c r="AS446" i="1"/>
  <c r="BI446" i="1" s="1"/>
  <c r="L446" i="4" s="1"/>
  <c r="AZ248" i="1"/>
  <c r="AY248" i="1"/>
  <c r="AZ269" i="1"/>
  <c r="AZ451" i="1"/>
  <c r="AP452" i="1"/>
  <c r="AU452" i="1" s="1"/>
  <c r="AZ498" i="1"/>
  <c r="AZ435" i="1"/>
  <c r="AZ373" i="1"/>
  <c r="AZ476" i="1"/>
  <c r="AZ154" i="1"/>
  <c r="AP296" i="1"/>
  <c r="AU296" i="1" s="1"/>
  <c r="AZ405" i="1"/>
  <c r="AZ382" i="1"/>
  <c r="BG154" i="1"/>
  <c r="J154" i="4" s="1"/>
  <c r="AW154" i="1"/>
  <c r="BG274" i="1"/>
  <c r="J274" i="4" s="1"/>
  <c r="AW274" i="1"/>
  <c r="BG405" i="1"/>
  <c r="J405" i="4" s="1"/>
  <c r="AW405" i="1"/>
  <c r="BG427" i="1"/>
  <c r="J427" i="4" s="1"/>
  <c r="AW427" i="1"/>
  <c r="BG336" i="1"/>
  <c r="J336" i="4" s="1"/>
  <c r="AW336" i="1"/>
  <c r="BG145" i="1"/>
  <c r="J145" i="4" s="1"/>
  <c r="AW145" i="1"/>
  <c r="BG498" i="1"/>
  <c r="J498" i="4" s="1"/>
  <c r="AW498" i="1"/>
  <c r="BG122" i="1"/>
  <c r="J122" i="4" s="1"/>
  <c r="AW122" i="1"/>
  <c r="BG94" i="1"/>
  <c r="J94" i="4" s="1"/>
  <c r="AW94" i="1"/>
  <c r="BG477" i="1"/>
  <c r="J477" i="4" s="1"/>
  <c r="AW477" i="1"/>
  <c r="BG93" i="1"/>
  <c r="J93" i="4" s="1"/>
  <c r="AW93" i="1"/>
  <c r="AY371" i="1"/>
  <c r="BD371" i="1"/>
  <c r="BE244" i="1"/>
  <c r="AZ244" i="1"/>
  <c r="AY81" i="1"/>
  <c r="BD81" i="1"/>
  <c r="BG433" i="1"/>
  <c r="J433" i="4" s="1"/>
  <c r="AW433" i="1"/>
  <c r="AT170" i="1"/>
  <c r="BJ170" i="1" s="1"/>
  <c r="M170" i="4" s="1"/>
  <c r="AS170" i="1"/>
  <c r="BI170" i="1" s="1"/>
  <c r="L170" i="4" s="1"/>
  <c r="AW58" i="1"/>
  <c r="BG58" i="1"/>
  <c r="J58" i="4" s="1"/>
  <c r="AW339" i="1"/>
  <c r="BG339" i="1"/>
  <c r="J339" i="4" s="1"/>
  <c r="BD65" i="1"/>
  <c r="AY65" i="1"/>
  <c r="BD444" i="1"/>
  <c r="AY444" i="1"/>
  <c r="AX361" i="1"/>
  <c r="BE361" i="1" s="1"/>
  <c r="F361" i="4" s="1"/>
  <c r="AQ361" i="1"/>
  <c r="AR361" i="1"/>
  <c r="BH361" i="1" s="1"/>
  <c r="K361" i="4" s="1"/>
  <c r="AS361" i="1"/>
  <c r="BI361" i="1" s="1"/>
  <c r="L361" i="4" s="1"/>
  <c r="AV361" i="1"/>
  <c r="AT361" i="1"/>
  <c r="BJ361" i="1" s="1"/>
  <c r="M361" i="4" s="1"/>
  <c r="AX44" i="1"/>
  <c r="BE44" i="1" s="1"/>
  <c r="F44" i="4" s="1"/>
  <c r="AV44" i="1"/>
  <c r="AR44" i="1"/>
  <c r="BH44" i="1" s="1"/>
  <c r="K44" i="4" s="1"/>
  <c r="AS44" i="1"/>
  <c r="BI44" i="1" s="1"/>
  <c r="L44" i="4" s="1"/>
  <c r="BE466" i="1"/>
  <c r="F466" i="4" s="1"/>
  <c r="AZ466" i="1"/>
  <c r="AW313" i="1"/>
  <c r="BG313" i="1"/>
  <c r="J313" i="4" s="1"/>
  <c r="BG422" i="1"/>
  <c r="J422" i="4" s="1"/>
  <c r="AW422" i="1"/>
  <c r="AY422" i="1" s="1"/>
  <c r="AY428" i="1"/>
  <c r="BD428" i="1"/>
  <c r="AY282" i="1"/>
  <c r="BD282" i="1"/>
  <c r="BG230" i="1"/>
  <c r="J230" i="4" s="1"/>
  <c r="AW230" i="1"/>
  <c r="BD230" i="1" s="1"/>
  <c r="BE483" i="1"/>
  <c r="F483" i="4" s="1"/>
  <c r="AZ483" i="1"/>
  <c r="AZ228" i="1"/>
  <c r="AZ139" i="1"/>
  <c r="BG27" i="1"/>
  <c r="J27" i="4" s="1"/>
  <c r="AY107" i="1"/>
  <c r="AW209" i="1"/>
  <c r="AZ402" i="1"/>
  <c r="AW50" i="1"/>
  <c r="AW210" i="1"/>
  <c r="AZ128" i="1"/>
  <c r="AZ389" i="1"/>
  <c r="AW429" i="1"/>
  <c r="AW430" i="1"/>
  <c r="AW416" i="1"/>
  <c r="AY416" i="1" s="1"/>
  <c r="AW293" i="1"/>
  <c r="AY293" i="1" s="1"/>
  <c r="AZ72" i="1"/>
  <c r="AZ377" i="1"/>
  <c r="AZ76" i="1"/>
  <c r="AQ193" i="1"/>
  <c r="AZ193" i="1" s="1"/>
  <c r="BA193" i="1" s="1"/>
  <c r="AW126" i="1"/>
  <c r="BG378" i="1"/>
  <c r="J378" i="4" s="1"/>
  <c r="AZ234" i="1"/>
  <c r="E333" i="4"/>
  <c r="BF333" i="1"/>
  <c r="AW156" i="1"/>
  <c r="AZ36" i="1"/>
  <c r="AT44" i="1"/>
  <c r="BJ44" i="1" s="1"/>
  <c r="M44" i="4" s="1"/>
  <c r="AW195" i="1"/>
  <c r="AZ265" i="1"/>
  <c r="AZ172" i="1"/>
  <c r="BD248" i="1"/>
  <c r="AT193" i="1"/>
  <c r="BJ193" i="1" s="1"/>
  <c r="M193" i="4" s="1"/>
  <c r="AZ293" i="1"/>
  <c r="AZ91" i="1"/>
  <c r="AZ161" i="1"/>
  <c r="AW307" i="1"/>
  <c r="AW164" i="1"/>
  <c r="AY164" i="1" s="1"/>
  <c r="BF42" i="1"/>
  <c r="E42" i="4"/>
  <c r="E253" i="4"/>
  <c r="BF253" i="1"/>
  <c r="E127" i="4"/>
  <c r="BF127" i="1"/>
  <c r="AZ440" i="1"/>
  <c r="AZ116" i="1"/>
  <c r="AW323" i="1"/>
  <c r="AY13" i="1"/>
  <c r="BD13" i="1"/>
  <c r="AW441" i="1"/>
  <c r="AZ208" i="1"/>
  <c r="AZ346" i="1"/>
  <c r="AZ53" i="1"/>
  <c r="AZ188" i="1"/>
  <c r="AZ328" i="1"/>
  <c r="AZ198" i="1"/>
  <c r="BF240" i="1"/>
  <c r="AZ230" i="1"/>
  <c r="AZ210" i="1"/>
  <c r="AW45" i="1"/>
  <c r="AZ126" i="1"/>
  <c r="AV193" i="1"/>
  <c r="AS193" i="1"/>
  <c r="BI193" i="1" s="1"/>
  <c r="L193" i="4" s="1"/>
  <c r="AZ323" i="1"/>
  <c r="AW125" i="1"/>
  <c r="AW479" i="1"/>
  <c r="BD479" i="1" s="1"/>
  <c r="AW414" i="1"/>
  <c r="AR193" i="1"/>
  <c r="BH193" i="1" s="1"/>
  <c r="K193" i="4" s="1"/>
  <c r="AW434" i="1"/>
  <c r="AW269" i="1"/>
  <c r="AZ245" i="1"/>
  <c r="AY285" i="1"/>
  <c r="AV170" i="1"/>
  <c r="AX170" i="1"/>
  <c r="BE170" i="1" s="1"/>
  <c r="F170" i="4" s="1"/>
  <c r="AW448" i="1"/>
  <c r="AW299" i="1"/>
  <c r="AW459" i="1"/>
  <c r="AW46" i="1"/>
  <c r="BD46" i="1" s="1"/>
  <c r="AZ434" i="1"/>
  <c r="AW139" i="1"/>
  <c r="BD139" i="1" s="1"/>
  <c r="AZ479" i="1"/>
  <c r="AZ378" i="1"/>
  <c r="AQ170" i="1"/>
  <c r="BF318" i="1"/>
  <c r="E318" i="4"/>
  <c r="AZ54" i="1"/>
  <c r="AW364" i="1"/>
  <c r="AZ50" i="1"/>
  <c r="AZ27" i="1"/>
  <c r="AZ166" i="1"/>
  <c r="AZ339" i="1"/>
  <c r="AW404" i="1"/>
  <c r="AR170" i="1"/>
  <c r="BH170" i="1" s="1"/>
  <c r="K170" i="4" s="1"/>
  <c r="AS308" i="1"/>
  <c r="BI308" i="1" s="1"/>
  <c r="L308" i="4" s="1"/>
  <c r="AV64" i="1"/>
  <c r="BD332" i="1"/>
  <c r="AY332" i="1"/>
  <c r="AZ443" i="1"/>
  <c r="BF487" i="1"/>
  <c r="E487" i="4"/>
  <c r="AY222" i="1"/>
  <c r="BD222" i="1"/>
  <c r="AY148" i="1"/>
  <c r="AP388" i="1"/>
  <c r="AU388" i="1" s="1"/>
  <c r="AZ313" i="1"/>
  <c r="AW175" i="1"/>
  <c r="AZ419" i="1"/>
  <c r="AZ300" i="1"/>
  <c r="AZ366" i="1"/>
  <c r="AZ114" i="1"/>
  <c r="AW300" i="1"/>
  <c r="AZ137" i="1"/>
  <c r="BG419" i="1"/>
  <c r="J419" i="4" s="1"/>
  <c r="AW419" i="1"/>
  <c r="AR84" i="1"/>
  <c r="BH84" i="1" s="1"/>
  <c r="K84" i="4" s="1"/>
  <c r="AX84" i="1"/>
  <c r="BE84" i="1" s="1"/>
  <c r="F84" i="4" s="1"/>
  <c r="AT84" i="1"/>
  <c r="BJ84" i="1" s="1"/>
  <c r="M84" i="4" s="1"/>
  <c r="AS84" i="1"/>
  <c r="BI84" i="1" s="1"/>
  <c r="L84" i="4" s="1"/>
  <c r="AQ84" i="1"/>
  <c r="AV84" i="1"/>
  <c r="AZ458" i="1"/>
  <c r="BD467" i="1"/>
  <c r="AY467" i="1"/>
  <c r="AR325" i="1"/>
  <c r="BH325" i="1" s="1"/>
  <c r="K325" i="4" s="1"/>
  <c r="AX325" i="1"/>
  <c r="BE325" i="1" s="1"/>
  <c r="F325" i="4" s="1"/>
  <c r="AT325" i="1"/>
  <c r="BJ325" i="1" s="1"/>
  <c r="M325" i="4" s="1"/>
  <c r="AS325" i="1"/>
  <c r="BI325" i="1" s="1"/>
  <c r="L325" i="4" s="1"/>
  <c r="AQ325" i="1"/>
  <c r="AV325" i="1"/>
  <c r="BF173" i="1"/>
  <c r="AZ439" i="1"/>
  <c r="AW344" i="1"/>
  <c r="AY344" i="1" s="1"/>
  <c r="AZ478" i="1"/>
  <c r="AW366" i="1"/>
  <c r="AZ420" i="1"/>
  <c r="AZ278" i="1"/>
  <c r="AZ3" i="1"/>
  <c r="AW208" i="1"/>
  <c r="AZ431" i="1"/>
  <c r="E82" i="4"/>
  <c r="BF82" i="1"/>
  <c r="BG3" i="1"/>
  <c r="J3" i="4" s="1"/>
  <c r="AW3" i="1"/>
  <c r="AW380" i="1"/>
  <c r="AY380" i="1" s="1"/>
  <c r="AY263" i="1"/>
  <c r="AW440" i="1"/>
  <c r="AX187" i="1"/>
  <c r="BE187" i="1" s="1"/>
  <c r="F187" i="4" s="1"/>
  <c r="AR187" i="1"/>
  <c r="BH187" i="1" s="1"/>
  <c r="K187" i="4" s="1"/>
  <c r="AZ410" i="1"/>
  <c r="AW431" i="1"/>
  <c r="BD431" i="1" s="1"/>
  <c r="BG161" i="1"/>
  <c r="J161" i="4" s="1"/>
  <c r="AW161" i="1"/>
  <c r="AW77" i="1"/>
  <c r="AS187" i="1"/>
  <c r="BI187" i="1" s="1"/>
  <c r="L187" i="4" s="1"/>
  <c r="AV187" i="1"/>
  <c r="AZ238" i="1"/>
  <c r="E25" i="4"/>
  <c r="BF25" i="1"/>
  <c r="BG346" i="1"/>
  <c r="J346" i="4" s="1"/>
  <c r="AW346" i="1"/>
  <c r="AQ187" i="1"/>
  <c r="AW80" i="1"/>
  <c r="AZ474" i="1"/>
  <c r="AZ2" i="1"/>
  <c r="E411" i="4"/>
  <c r="BF411" i="1"/>
  <c r="AZ450" i="1"/>
  <c r="AW458" i="1"/>
  <c r="BD458" i="1" s="1"/>
  <c r="AW138" i="1"/>
  <c r="BD138" i="1" s="1"/>
  <c r="E138" i="4" s="1"/>
  <c r="AW480" i="1"/>
  <c r="AW137" i="1"/>
  <c r="BD200" i="1"/>
  <c r="AY200" i="1"/>
  <c r="AW135" i="1"/>
  <c r="AW474" i="1"/>
  <c r="AZ459" i="1"/>
  <c r="AZ135" i="1"/>
  <c r="AP298" i="1"/>
  <c r="AU298" i="1" s="1"/>
  <c r="AZ364" i="1"/>
  <c r="AP140" i="1"/>
  <c r="AU140" i="1" s="1"/>
  <c r="AW410" i="1"/>
  <c r="AY410" i="1" s="1"/>
  <c r="AZ347" i="1"/>
  <c r="BG347" i="1"/>
  <c r="J347" i="4" s="1"/>
  <c r="AW347" i="1"/>
  <c r="BG492" i="1"/>
  <c r="J492" i="4" s="1"/>
  <c r="AW492" i="1"/>
  <c r="AY41" i="1"/>
  <c r="BD41" i="1"/>
  <c r="AY489" i="1"/>
  <c r="BD489" i="1"/>
  <c r="BD241" i="1"/>
  <c r="AY241" i="1"/>
  <c r="BG114" i="1"/>
  <c r="J114" i="4" s="1"/>
  <c r="AW114" i="1"/>
  <c r="AQ64" i="1"/>
  <c r="AR64" i="1"/>
  <c r="BH64" i="1" s="1"/>
  <c r="K64" i="4" s="1"/>
  <c r="AT64" i="1"/>
  <c r="BJ64" i="1" s="1"/>
  <c r="M64" i="4" s="1"/>
  <c r="AP472" i="1"/>
  <c r="AU472" i="1" s="1"/>
  <c r="AZ340" i="1"/>
  <c r="AP322" i="1"/>
  <c r="AU322" i="1" s="1"/>
  <c r="AW437" i="1"/>
  <c r="BD437" i="1" s="1"/>
  <c r="AZ202" i="1"/>
  <c r="AZ492" i="1"/>
  <c r="AZ47" i="1"/>
  <c r="AW202" i="1"/>
  <c r="BD202" i="1" s="1"/>
  <c r="AQ44" i="1"/>
  <c r="AP97" i="1"/>
  <c r="AU97" i="1" s="1"/>
  <c r="AP486" i="1"/>
  <c r="AU486" i="1" s="1"/>
  <c r="AZ390" i="1"/>
  <c r="AZ386" i="1"/>
  <c r="E189" i="4"/>
  <c r="BF189" i="1"/>
  <c r="AZ338" i="1"/>
  <c r="AZ288" i="1"/>
  <c r="AZ10" i="1"/>
  <c r="AW20" i="1"/>
  <c r="BG450" i="1"/>
  <c r="J450" i="4" s="1"/>
  <c r="AW450" i="1"/>
  <c r="AX308" i="1"/>
  <c r="AW71" i="1"/>
  <c r="AZ343" i="1"/>
  <c r="AW445" i="1"/>
  <c r="BD445" i="1" s="1"/>
  <c r="AZ225" i="1"/>
  <c r="AZ103" i="1"/>
  <c r="AZ136" i="1"/>
  <c r="AZ480" i="1"/>
  <c r="AZ437" i="1"/>
  <c r="E23" i="4"/>
  <c r="BF23" i="1"/>
  <c r="BG338" i="1"/>
  <c r="J338" i="4" s="1"/>
  <c r="AW338" i="1"/>
  <c r="AZ195" i="1"/>
  <c r="AW10" i="1"/>
  <c r="AY10" i="1" s="1"/>
  <c r="AZ292" i="1"/>
  <c r="AZ59" i="1"/>
  <c r="AW420" i="1"/>
  <c r="AY420" i="1" s="1"/>
  <c r="AZ184" i="1"/>
  <c r="BG103" i="1"/>
  <c r="J103" i="4" s="1"/>
  <c r="AW103" i="1"/>
  <c r="AY267" i="1"/>
  <c r="BD267" i="1"/>
  <c r="AZ445" i="1"/>
  <c r="BF214" i="1"/>
  <c r="E214" i="4"/>
  <c r="BG386" i="1"/>
  <c r="J386" i="4" s="1"/>
  <c r="AW386" i="1"/>
  <c r="AZ441" i="1"/>
  <c r="AZ49" i="1"/>
  <c r="AZ239" i="1"/>
  <c r="AP24" i="1"/>
  <c r="AU24" i="1" s="1"/>
  <c r="AW392" i="1"/>
  <c r="AZ271" i="1"/>
  <c r="BG390" i="1"/>
  <c r="J390" i="4" s="1"/>
  <c r="AW390" i="1"/>
  <c r="BG105" i="1"/>
  <c r="J105" i="4" s="1"/>
  <c r="AW105" i="1"/>
  <c r="AZ110" i="1"/>
  <c r="BG110" i="1"/>
  <c r="J110" i="4" s="1"/>
  <c r="AW110" i="1"/>
  <c r="AR171" i="1"/>
  <c r="BH171" i="1" s="1"/>
  <c r="K171" i="4" s="1"/>
  <c r="AW460" i="1"/>
  <c r="BD460" i="1" s="1"/>
  <c r="AZ422" i="1"/>
  <c r="BG128" i="1"/>
  <c r="J128" i="4" s="1"/>
  <c r="AV308" i="1"/>
  <c r="BG308" i="1" s="1"/>
  <c r="J308" i="4" s="1"/>
  <c r="AZ393" i="1"/>
  <c r="AW343" i="1"/>
  <c r="AZ201" i="1"/>
  <c r="AP52" i="1"/>
  <c r="AU52" i="1" s="1"/>
  <c r="AW239" i="1"/>
  <c r="AW147" i="1"/>
  <c r="AZ147" i="1"/>
  <c r="AP38" i="1"/>
  <c r="AU38" i="1" s="1"/>
  <c r="AS29" i="1"/>
  <c r="BI29" i="1" s="1"/>
  <c r="L29" i="4" s="1"/>
  <c r="AR29" i="1"/>
  <c r="BH29" i="1" s="1"/>
  <c r="K29" i="4" s="1"/>
  <c r="AQ29" i="1"/>
  <c r="AV29" i="1"/>
  <c r="BG29" i="1" s="1"/>
  <c r="J29" i="4" s="1"/>
  <c r="AT29" i="1"/>
  <c r="BJ29" i="1" s="1"/>
  <c r="M29" i="4" s="1"/>
  <c r="AX29" i="1"/>
  <c r="BE29" i="1" s="1"/>
  <c r="F29" i="4" s="1"/>
  <c r="BD358" i="1"/>
  <c r="AY358" i="1"/>
  <c r="BG157" i="1"/>
  <c r="J157" i="4" s="1"/>
  <c r="AW157" i="1"/>
  <c r="AP182" i="1"/>
  <c r="AU182" i="1" s="1"/>
  <c r="AY334" i="1"/>
  <c r="BD334" i="1"/>
  <c r="AY423" i="1"/>
  <c r="BD423" i="1"/>
  <c r="AW43" i="1"/>
  <c r="AZ264" i="1"/>
  <c r="AW394" i="1"/>
  <c r="AW278" i="1"/>
  <c r="BG278" i="1"/>
  <c r="J278" i="4" s="1"/>
  <c r="AZ113" i="1"/>
  <c r="AZ438" i="1"/>
  <c r="BD179" i="1"/>
  <c r="AY179" i="1"/>
  <c r="AW184" i="1"/>
  <c r="AW468" i="1"/>
  <c r="AZ468" i="1"/>
  <c r="AZ235" i="1"/>
  <c r="AZ310" i="1"/>
  <c r="BD408" i="1"/>
  <c r="AY408" i="1"/>
  <c r="BG264" i="1"/>
  <c r="J264" i="4" s="1"/>
  <c r="AW264" i="1"/>
  <c r="AV247" i="1"/>
  <c r="BG247" i="1" s="1"/>
  <c r="J247" i="4" s="1"/>
  <c r="AT247" i="1"/>
  <c r="BJ247" i="1" s="1"/>
  <c r="M247" i="4" s="1"/>
  <c r="AQ247" i="1"/>
  <c r="AR247" i="1"/>
  <c r="BH247" i="1" s="1"/>
  <c r="K247" i="4" s="1"/>
  <c r="AX247" i="1"/>
  <c r="BE247" i="1" s="1"/>
  <c r="F247" i="4" s="1"/>
  <c r="AS247" i="1"/>
  <c r="BI247" i="1" s="1"/>
  <c r="L247" i="4" s="1"/>
  <c r="BG310" i="1"/>
  <c r="J310" i="4" s="1"/>
  <c r="AW310" i="1"/>
  <c r="AW177" i="1"/>
  <c r="AZ177" i="1"/>
  <c r="BD301" i="1"/>
  <c r="AQ266" i="1"/>
  <c r="AR266" i="1"/>
  <c r="BH266" i="1" s="1"/>
  <c r="K266" i="4" s="1"/>
  <c r="AT266" i="1"/>
  <c r="BJ266" i="1" s="1"/>
  <c r="M266" i="4" s="1"/>
  <c r="AS266" i="1"/>
  <c r="BI266" i="1" s="1"/>
  <c r="L266" i="4" s="1"/>
  <c r="AX266" i="1"/>
  <c r="BE266" i="1" s="1"/>
  <c r="F266" i="4" s="1"/>
  <c r="AV266" i="1"/>
  <c r="BG266" i="1" s="1"/>
  <c r="J266" i="4" s="1"/>
  <c r="AZ20" i="1"/>
  <c r="BG225" i="1"/>
  <c r="J225" i="4" s="1"/>
  <c r="AW225" i="1"/>
  <c r="BD85" i="1"/>
  <c r="AY85" i="1"/>
  <c r="BD35" i="1"/>
  <c r="AY35" i="1"/>
  <c r="AP396" i="1"/>
  <c r="AU396" i="1" s="1"/>
  <c r="AZ157" i="1"/>
  <c r="AS327" i="1"/>
  <c r="BI327" i="1" s="1"/>
  <c r="L327" i="4" s="1"/>
  <c r="AQ327" i="1"/>
  <c r="AX327" i="1"/>
  <c r="BE327" i="1" s="1"/>
  <c r="F327" i="4" s="1"/>
  <c r="AV327" i="1"/>
  <c r="BG327" i="1" s="1"/>
  <c r="J327" i="4" s="1"/>
  <c r="AT327" i="1"/>
  <c r="BJ327" i="1" s="1"/>
  <c r="M327" i="4" s="1"/>
  <c r="AR327" i="1"/>
  <c r="BH327" i="1" s="1"/>
  <c r="K327" i="4" s="1"/>
  <c r="AR348" i="1"/>
  <c r="BH348" i="1" s="1"/>
  <c r="K348" i="4" s="1"/>
  <c r="AT348" i="1"/>
  <c r="BJ348" i="1" s="1"/>
  <c r="M348" i="4" s="1"/>
  <c r="AQ348" i="1"/>
  <c r="AX348" i="1"/>
  <c r="BE348" i="1" s="1"/>
  <c r="F348" i="4" s="1"/>
  <c r="AV348" i="1"/>
  <c r="BG348" i="1" s="1"/>
  <c r="J348" i="4" s="1"/>
  <c r="AS348" i="1"/>
  <c r="BI348" i="1" s="1"/>
  <c r="L348" i="4" s="1"/>
  <c r="AZ43" i="1"/>
  <c r="AT355" i="1"/>
  <c r="BJ355" i="1" s="1"/>
  <c r="M355" i="4" s="1"/>
  <c r="AX355" i="1"/>
  <c r="BE355" i="1" s="1"/>
  <c r="F355" i="4" s="1"/>
  <c r="AV355" i="1"/>
  <c r="BG355" i="1" s="1"/>
  <c r="J355" i="4" s="1"/>
  <c r="AS355" i="1"/>
  <c r="BI355" i="1" s="1"/>
  <c r="L355" i="4" s="1"/>
  <c r="AQ355" i="1"/>
  <c r="AR355" i="1"/>
  <c r="BH355" i="1" s="1"/>
  <c r="K355" i="4" s="1"/>
  <c r="E285" i="4"/>
  <c r="BF285" i="1"/>
  <c r="AY378" i="1"/>
  <c r="BD378" i="1"/>
  <c r="AP381" i="1"/>
  <c r="AU381" i="1" s="1"/>
  <c r="AP286" i="1"/>
  <c r="AU286" i="1" s="1"/>
  <c r="AW272" i="1"/>
  <c r="AZ272" i="1"/>
  <c r="AS217" i="1"/>
  <c r="BI217" i="1" s="1"/>
  <c r="L217" i="4" s="1"/>
  <c r="AT217" i="1"/>
  <c r="BJ217" i="1" s="1"/>
  <c r="M217" i="4" s="1"/>
  <c r="AV217" i="1"/>
  <c r="BG217" i="1" s="1"/>
  <c r="J217" i="4" s="1"/>
  <c r="AR217" i="1"/>
  <c r="BH217" i="1" s="1"/>
  <c r="K217" i="4" s="1"/>
  <c r="AX217" i="1"/>
  <c r="BE217" i="1" s="1"/>
  <c r="F217" i="4" s="1"/>
  <c r="AQ217" i="1"/>
  <c r="AW59" i="1"/>
  <c r="AQ249" i="1"/>
  <c r="AX249" i="1"/>
  <c r="BE249" i="1" s="1"/>
  <c r="F249" i="4" s="1"/>
  <c r="AS249" i="1"/>
  <c r="BI249" i="1" s="1"/>
  <c r="L249" i="4" s="1"/>
  <c r="AR249" i="1"/>
  <c r="BH249" i="1" s="1"/>
  <c r="K249" i="4" s="1"/>
  <c r="AV249" i="1"/>
  <c r="BG249" i="1" s="1"/>
  <c r="J249" i="4" s="1"/>
  <c r="AT249" i="1"/>
  <c r="BJ249" i="1" s="1"/>
  <c r="M249" i="4" s="1"/>
  <c r="AZ392" i="1"/>
  <c r="AW271" i="1"/>
  <c r="AZ394" i="1"/>
  <c r="AR398" i="1"/>
  <c r="BH398" i="1" s="1"/>
  <c r="K398" i="4" s="1"/>
  <c r="AX398" i="1"/>
  <c r="BE398" i="1" s="1"/>
  <c r="F398" i="4" s="1"/>
  <c r="AS398" i="1"/>
  <c r="BI398" i="1" s="1"/>
  <c r="L398" i="4" s="1"/>
  <c r="AQ398" i="1"/>
  <c r="AT398" i="1"/>
  <c r="BJ398" i="1" s="1"/>
  <c r="M398" i="4" s="1"/>
  <c r="AV398" i="1"/>
  <c r="BG398" i="1" s="1"/>
  <c r="J398" i="4" s="1"/>
  <c r="AS496" i="1"/>
  <c r="BI496" i="1" s="1"/>
  <c r="L496" i="4" s="1"/>
  <c r="AT496" i="1"/>
  <c r="BJ496" i="1" s="1"/>
  <c r="M496" i="4" s="1"/>
  <c r="AX496" i="1"/>
  <c r="BE496" i="1" s="1"/>
  <c r="F496" i="4" s="1"/>
  <c r="AR496" i="1"/>
  <c r="BH496" i="1" s="1"/>
  <c r="K496" i="4" s="1"/>
  <c r="AQ496" i="1"/>
  <c r="AV496" i="1"/>
  <c r="BG496" i="1" s="1"/>
  <c r="J496" i="4" s="1"/>
  <c r="AX372" i="1"/>
  <c r="BE372" i="1" s="1"/>
  <c r="F372" i="4" s="1"/>
  <c r="AR372" i="1"/>
  <c r="BH372" i="1" s="1"/>
  <c r="K372" i="4" s="1"/>
  <c r="AT372" i="1"/>
  <c r="BJ372" i="1" s="1"/>
  <c r="M372" i="4" s="1"/>
  <c r="AV372" i="1"/>
  <c r="BG372" i="1" s="1"/>
  <c r="J372" i="4" s="1"/>
  <c r="AS372" i="1"/>
  <c r="BI372" i="1" s="1"/>
  <c r="L372" i="4" s="1"/>
  <c r="AQ372" i="1"/>
  <c r="AT308" i="1"/>
  <c r="BJ308" i="1" s="1"/>
  <c r="M308" i="4" s="1"/>
  <c r="AR308" i="1"/>
  <c r="BH308" i="1" s="1"/>
  <c r="K308" i="4" s="1"/>
  <c r="AZ132" i="1"/>
  <c r="BG47" i="1"/>
  <c r="J47" i="4" s="1"/>
  <c r="AW47" i="1"/>
  <c r="BF89" i="1"/>
  <c r="E89" i="4"/>
  <c r="AZ146" i="1"/>
  <c r="AY324" i="1"/>
  <c r="BD324" i="1"/>
  <c r="AZ138" i="1"/>
  <c r="AZ299" i="1"/>
  <c r="BD111" i="1"/>
  <c r="AY111" i="1"/>
  <c r="AZ258" i="1"/>
  <c r="E4" i="4"/>
  <c r="BF4" i="1"/>
  <c r="BD377" i="1"/>
  <c r="AY377" i="1"/>
  <c r="BF107" i="1"/>
  <c r="E107" i="4"/>
  <c r="BG132" i="1"/>
  <c r="J132" i="4" s="1"/>
  <c r="AW132" i="1"/>
  <c r="E219" i="4"/>
  <c r="BF219" i="1"/>
  <c r="BG146" i="1"/>
  <c r="J146" i="4" s="1"/>
  <c r="AW146" i="1"/>
  <c r="AW252" i="1"/>
  <c r="AY252" i="1" s="1"/>
  <c r="AW16" i="1"/>
  <c r="BD16" i="1" s="1"/>
  <c r="BG49" i="1"/>
  <c r="J49" i="4" s="1"/>
  <c r="AW49" i="1"/>
  <c r="AW413" i="1"/>
  <c r="BD413" i="1" s="1"/>
  <c r="AZ156" i="1"/>
  <c r="AW228" i="1"/>
  <c r="AY228" i="1" s="1"/>
  <c r="AW425" i="1"/>
  <c r="AY425" i="1" s="1"/>
  <c r="AW87" i="1"/>
  <c r="AY87" i="1" s="1"/>
  <c r="AZ46" i="1"/>
  <c r="AZ409" i="1"/>
  <c r="AW143" i="1"/>
  <c r="BD143" i="1" s="1"/>
  <c r="AZ403" i="1"/>
  <c r="BF494" i="1"/>
  <c r="E494" i="4"/>
  <c r="BD26" i="1"/>
  <c r="AY26" i="1"/>
  <c r="BG2" i="1"/>
  <c r="J2" i="4" s="1"/>
  <c r="AW2" i="1"/>
  <c r="AW481" i="1"/>
  <c r="BD481" i="1" s="1"/>
  <c r="AW393" i="1"/>
  <c r="AW181" i="1"/>
  <c r="AY181" i="1" s="1"/>
  <c r="AW96" i="1"/>
  <c r="AY96" i="1" s="1"/>
  <c r="AZ221" i="1"/>
  <c r="AZ349" i="1"/>
  <c r="AZ344" i="1"/>
  <c r="BD331" i="1"/>
  <c r="AY331" i="1"/>
  <c r="BF374" i="1"/>
  <c r="E374" i="4"/>
  <c r="AZ51" i="1"/>
  <c r="E279" i="4"/>
  <c r="BF279" i="1"/>
  <c r="BG439" i="1"/>
  <c r="J439" i="4" s="1"/>
  <c r="AW439" i="1"/>
  <c r="AW463" i="1"/>
  <c r="AW124" i="1"/>
  <c r="BD124" i="1" s="1"/>
  <c r="AY128" i="1"/>
  <c r="BD128" i="1"/>
  <c r="BG335" i="1"/>
  <c r="J335" i="4" s="1"/>
  <c r="AW335" i="1"/>
  <c r="AW51" i="1"/>
  <c r="BD231" i="1"/>
  <c r="AY231" i="1"/>
  <c r="E461" i="4"/>
  <c r="BF461" i="1"/>
  <c r="AZ335" i="1"/>
  <c r="AZ357" i="1"/>
  <c r="AW62" i="1"/>
  <c r="AY62" i="1" s="1"/>
  <c r="BD106" i="1"/>
  <c r="AY106" i="1"/>
  <c r="BG91" i="1"/>
  <c r="J91" i="4" s="1"/>
  <c r="AW91" i="1"/>
  <c r="BF207" i="1"/>
  <c r="E207" i="4"/>
  <c r="AT171" i="1"/>
  <c r="BJ171" i="1" s="1"/>
  <c r="M171" i="4" s="1"/>
  <c r="AS171" i="1"/>
  <c r="BI171" i="1" s="1"/>
  <c r="L171" i="4" s="1"/>
  <c r="AY257" i="1"/>
  <c r="AZ481" i="1"/>
  <c r="AZ329" i="1"/>
  <c r="BG36" i="1"/>
  <c r="J36" i="4" s="1"/>
  <c r="AW36" i="1"/>
  <c r="AZ143" i="1"/>
  <c r="AW304" i="1"/>
  <c r="AZ124" i="1"/>
  <c r="AX171" i="1"/>
  <c r="BE171" i="1" s="1"/>
  <c r="F171" i="4" s="1"/>
  <c r="AZ363" i="1"/>
  <c r="AZ125" i="1"/>
  <c r="AZ199" i="1"/>
  <c r="BG409" i="1"/>
  <c r="J409" i="4" s="1"/>
  <c r="AW409" i="1"/>
  <c r="AT21" i="1"/>
  <c r="BJ21" i="1" s="1"/>
  <c r="M21" i="4" s="1"/>
  <c r="AR21" i="1"/>
  <c r="BH21" i="1" s="1"/>
  <c r="K21" i="4" s="1"/>
  <c r="AV21" i="1"/>
  <c r="BG21" i="1" s="1"/>
  <c r="J21" i="4" s="1"/>
  <c r="AQ21" i="1"/>
  <c r="AX21" i="1"/>
  <c r="BE21" i="1" s="1"/>
  <c r="F21" i="4" s="1"/>
  <c r="AS21" i="1"/>
  <c r="BI21" i="1" s="1"/>
  <c r="L21" i="4" s="1"/>
  <c r="AZ134" i="1"/>
  <c r="BG158" i="1"/>
  <c r="J158" i="4" s="1"/>
  <c r="AW158" i="1"/>
  <c r="AZ87" i="1"/>
  <c r="AW234" i="1"/>
  <c r="BD234" i="1" s="1"/>
  <c r="AV171" i="1"/>
  <c r="BG171" i="1" s="1"/>
  <c r="J171" i="4" s="1"/>
  <c r="AW14" i="1"/>
  <c r="AY14" i="1" s="1"/>
  <c r="AZ62" i="1"/>
  <c r="AZ96" i="1"/>
  <c r="AZ243" i="1"/>
  <c r="AW329" i="1"/>
  <c r="BD329" i="1" s="1"/>
  <c r="BG134" i="1"/>
  <c r="J134" i="4" s="1"/>
  <c r="AW134" i="1"/>
  <c r="AZ16" i="1"/>
  <c r="AW349" i="1"/>
  <c r="BG403" i="1"/>
  <c r="J403" i="4" s="1"/>
  <c r="AW403" i="1"/>
  <c r="AZ304" i="1"/>
  <c r="AW121" i="1"/>
  <c r="AY121" i="1" s="1"/>
  <c r="BD261" i="1"/>
  <c r="AY261" i="1"/>
  <c r="BG150" i="1"/>
  <c r="J150" i="4" s="1"/>
  <c r="AW150" i="1"/>
  <c r="E257" i="4"/>
  <c r="BF257" i="1"/>
  <c r="AZ216" i="1"/>
  <c r="AW482" i="1"/>
  <c r="AZ326" i="1"/>
  <c r="AW326" i="1"/>
  <c r="AZ14" i="1"/>
  <c r="AZ485" i="1"/>
  <c r="BD226" i="1"/>
  <c r="AY226" i="1"/>
  <c r="AW280" i="1"/>
  <c r="AZ252" i="1"/>
  <c r="AW221" i="1"/>
  <c r="AW100" i="1"/>
  <c r="AZ100" i="1"/>
  <c r="AY342" i="1"/>
  <c r="AZ280" i="1"/>
  <c r="AW436" i="1"/>
  <c r="AW75" i="1"/>
  <c r="AZ482" i="1"/>
  <c r="AZ436" i="1"/>
  <c r="BG288" i="1"/>
  <c r="J288" i="4" s="1"/>
  <c r="AW288" i="1"/>
  <c r="BG199" i="1"/>
  <c r="J199" i="4" s="1"/>
  <c r="AW199" i="1"/>
  <c r="AZ75" i="1"/>
  <c r="AX6" i="1"/>
  <c r="BE6" i="1" s="1"/>
  <c r="F6" i="4" s="1"/>
  <c r="AQ6" i="1"/>
  <c r="AV6" i="1"/>
  <c r="BG6" i="1" s="1"/>
  <c r="J6" i="4" s="1"/>
  <c r="AR6" i="1"/>
  <c r="BH6" i="1" s="1"/>
  <c r="K6" i="4" s="1"/>
  <c r="AS6" i="1"/>
  <c r="BI6" i="1" s="1"/>
  <c r="L6" i="4" s="1"/>
  <c r="AT6" i="1"/>
  <c r="BJ6" i="1" s="1"/>
  <c r="M6" i="4" s="1"/>
  <c r="BD186" i="1"/>
  <c r="BF186" i="1" s="1"/>
  <c r="AY227" i="1"/>
  <c r="BD227" i="1"/>
  <c r="AZ448" i="1"/>
  <c r="AY32" i="1"/>
  <c r="BD32" i="1"/>
  <c r="BD238" i="1"/>
  <c r="AY238" i="1"/>
  <c r="AZ463" i="1"/>
  <c r="BG216" i="1"/>
  <c r="J216" i="4" s="1"/>
  <c r="AW216" i="1"/>
  <c r="BG485" i="1"/>
  <c r="J485" i="4" s="1"/>
  <c r="AW485" i="1"/>
  <c r="AR68" i="1"/>
  <c r="BH68" i="1" s="1"/>
  <c r="K68" i="4" s="1"/>
  <c r="AT68" i="1"/>
  <c r="BJ68" i="1" s="1"/>
  <c r="M68" i="4" s="1"/>
  <c r="AV68" i="1"/>
  <c r="BG68" i="1" s="1"/>
  <c r="J68" i="4" s="1"/>
  <c r="AS68" i="1"/>
  <c r="BI68" i="1" s="1"/>
  <c r="L68" i="4" s="1"/>
  <c r="AQ68" i="1"/>
  <c r="AX68" i="1"/>
  <c r="BE68" i="1" s="1"/>
  <c r="F68" i="4" s="1"/>
  <c r="AY320" i="1"/>
  <c r="BD320" i="1"/>
  <c r="AZ101" i="1"/>
  <c r="AZ115" i="1"/>
  <c r="BG497" i="1"/>
  <c r="J497" i="4" s="1"/>
  <c r="AW497" i="1"/>
  <c r="AZ497" i="1"/>
  <c r="AW363" i="1"/>
  <c r="BD451" i="1"/>
  <c r="AY451" i="1"/>
  <c r="AY483" i="1"/>
  <c r="BD483" i="1"/>
  <c r="AZ400" i="1"/>
  <c r="AZ192" i="1"/>
  <c r="AY67" i="1"/>
  <c r="BD67" i="1"/>
  <c r="AZ163" i="1"/>
  <c r="AW163" i="1"/>
  <c r="BG115" i="1"/>
  <c r="J115" i="4" s="1"/>
  <c r="AW115" i="1"/>
  <c r="BG357" i="1"/>
  <c r="J357" i="4" s="1"/>
  <c r="AW357" i="1"/>
  <c r="BG192" i="1"/>
  <c r="J192" i="4" s="1"/>
  <c r="AW192" i="1"/>
  <c r="BF367" i="1"/>
  <c r="E367" i="4"/>
  <c r="BD251" i="1"/>
  <c r="AY251" i="1"/>
  <c r="BD27" i="1"/>
  <c r="AY27" i="1"/>
  <c r="E112" i="4"/>
  <c r="BF112" i="1"/>
  <c r="BG101" i="1"/>
  <c r="J101" i="4" s="1"/>
  <c r="AW101" i="1"/>
  <c r="BG196" i="1"/>
  <c r="J196" i="4" s="1"/>
  <c r="AW196" i="1"/>
  <c r="AZ196" i="1"/>
  <c r="AZ181" i="1"/>
  <c r="AZ77" i="1"/>
  <c r="AZ121" i="1"/>
  <c r="BD473" i="1"/>
  <c r="AY473" i="1"/>
  <c r="BG400" i="1"/>
  <c r="J400" i="4" s="1"/>
  <c r="AW400" i="1"/>
  <c r="BD362" i="1"/>
  <c r="AY362" i="1"/>
  <c r="BD268" i="1"/>
  <c r="AY268" i="1"/>
  <c r="BD116" i="1"/>
  <c r="AY116" i="1"/>
  <c r="AQ86" i="1"/>
  <c r="AV86" i="1"/>
  <c r="AW86" i="1" s="1"/>
  <c r="AS86" i="1"/>
  <c r="BI86" i="1" s="1"/>
  <c r="L86" i="4" s="1"/>
  <c r="AT86" i="1"/>
  <c r="AR86" i="1"/>
  <c r="BH86" i="1" s="1"/>
  <c r="K86" i="4" s="1"/>
  <c r="AX86" i="1"/>
  <c r="BD53" i="1"/>
  <c r="AY53" i="1"/>
  <c r="AW246" i="1"/>
  <c r="AY246" i="1" s="1"/>
  <c r="E55" i="4"/>
  <c r="BF55" i="1"/>
  <c r="E384" i="4"/>
  <c r="BF384" i="1"/>
  <c r="BD7" i="1"/>
  <c r="AY7" i="1"/>
  <c r="AZ246" i="1"/>
  <c r="BD185" i="1"/>
  <c r="AY185" i="1"/>
  <c r="E204" i="4"/>
  <c r="BF204" i="1"/>
  <c r="BD90" i="1"/>
  <c r="AY90" i="1"/>
  <c r="AY144" i="1"/>
  <c r="BD144" i="1"/>
  <c r="E289" i="4"/>
  <c r="BF289" i="1"/>
  <c r="BF291" i="1"/>
  <c r="E291" i="4"/>
  <c r="E263" i="4"/>
  <c r="BF263" i="1"/>
  <c r="G316" i="4"/>
  <c r="BK316" i="1"/>
  <c r="BM316" i="1"/>
  <c r="I316" i="4" s="1"/>
  <c r="E220" i="4"/>
  <c r="BF220" i="1"/>
  <c r="G442" i="4"/>
  <c r="BK442" i="1"/>
  <c r="BM442" i="1"/>
  <c r="I442" i="4" s="1"/>
  <c r="BD464" i="1"/>
  <c r="AY464" i="1"/>
  <c r="G168" i="4"/>
  <c r="BK168" i="1"/>
  <c r="BM168" i="1"/>
  <c r="I168" i="4" s="1"/>
  <c r="E342" i="4"/>
  <c r="BF342" i="1"/>
  <c r="G95" i="4"/>
  <c r="BM95" i="1"/>
  <c r="I95" i="4" s="1"/>
  <c r="BK95" i="1"/>
  <c r="BF242" i="1"/>
  <c r="E242" i="4"/>
  <c r="E148" i="4"/>
  <c r="BF148" i="1"/>
  <c r="E395" i="4"/>
  <c r="BF395" i="1"/>
  <c r="BK83" i="1"/>
  <c r="BM83" i="1"/>
  <c r="I83" i="4" s="1"/>
  <c r="G83" i="4"/>
  <c r="BF309" i="1"/>
  <c r="E309" i="4"/>
  <c r="BD92" i="1"/>
  <c r="AY92" i="1"/>
  <c r="BM102" i="1"/>
  <c r="I102" i="4" s="1"/>
  <c r="G102" i="4"/>
  <c r="BK102" i="1"/>
  <c r="E447" i="4"/>
  <c r="BF447" i="1"/>
  <c r="E104" i="4"/>
  <c r="BF104" i="1"/>
  <c r="BM490" i="1"/>
  <c r="I490" i="4" s="1"/>
  <c r="BK490" i="1"/>
  <c r="G490" i="4"/>
  <c r="AY421" i="1"/>
  <c r="BD421" i="1"/>
  <c r="BM319" i="1"/>
  <c r="I319" i="4" s="1"/>
  <c r="G319" i="4"/>
  <c r="BK319" i="1"/>
  <c r="BK284" i="1"/>
  <c r="G284" i="4"/>
  <c r="BM284" i="1"/>
  <c r="I284" i="4" s="1"/>
  <c r="E406" i="4"/>
  <c r="BF406" i="1"/>
  <c r="BK120" i="1"/>
  <c r="BM120" i="1"/>
  <c r="I120" i="4" s="1"/>
  <c r="G120" i="4"/>
  <c r="BF9" i="1"/>
  <c r="E9" i="4"/>
  <c r="G294" i="4"/>
  <c r="BK294" i="1"/>
  <c r="BM294" i="1"/>
  <c r="I294" i="4" s="1"/>
  <c r="BK155" i="1"/>
  <c r="BM155" i="1"/>
  <c r="I155" i="4" s="1"/>
  <c r="G155" i="4"/>
  <c r="E317" i="4"/>
  <c r="BF317" i="1"/>
  <c r="BF205" i="1"/>
  <c r="E205" i="4"/>
  <c r="E63" i="4"/>
  <c r="BF63" i="1"/>
  <c r="BA99" i="1" l="1"/>
  <c r="BD79" i="1"/>
  <c r="E79" i="4" s="1"/>
  <c r="E345" i="4"/>
  <c r="BB303" i="1"/>
  <c r="E281" i="4"/>
  <c r="BF224" i="1"/>
  <c r="BK224" i="1" s="1"/>
  <c r="BM273" i="1"/>
  <c r="I273" i="4" s="1"/>
  <c r="AZ491" i="1"/>
  <c r="BA491" i="1" s="1"/>
  <c r="BF160" i="1"/>
  <c r="G160" i="4" s="1"/>
  <c r="G273" i="4"/>
  <c r="AZ229" i="1"/>
  <c r="BA229" i="1" s="1"/>
  <c r="BF456" i="1"/>
  <c r="G456" i="4" s="1"/>
  <c r="BC267" i="1"/>
  <c r="BA79" i="1"/>
  <c r="BC79" i="1" s="1"/>
  <c r="G56" i="4"/>
  <c r="G133" i="4"/>
  <c r="E133" i="4"/>
  <c r="AY470" i="1"/>
  <c r="BK133" i="1"/>
  <c r="BM56" i="1"/>
  <c r="I56" i="4" s="1"/>
  <c r="E56" i="4"/>
  <c r="BF60" i="1"/>
  <c r="G60" i="4" s="1"/>
  <c r="BB85" i="1"/>
  <c r="BC85" i="1" s="1"/>
  <c r="BA297" i="1"/>
  <c r="BC297" i="1" s="1"/>
  <c r="AZ187" i="1"/>
  <c r="BB187" i="1" s="1"/>
  <c r="AZ446" i="1"/>
  <c r="BA446" i="1" s="1"/>
  <c r="BC32" i="1"/>
  <c r="AW383" i="1"/>
  <c r="AY383" i="1" s="1"/>
  <c r="AW491" i="1"/>
  <c r="BD491" i="1" s="1"/>
  <c r="E491" i="4" s="1"/>
  <c r="BB176" i="1"/>
  <c r="BC176" i="1" s="1"/>
  <c r="BC457" i="1"/>
  <c r="E255" i="4"/>
  <c r="AY340" i="1"/>
  <c r="BM360" i="1"/>
  <c r="I360" i="4" s="1"/>
  <c r="BC263" i="1"/>
  <c r="BB399" i="1"/>
  <c r="BC399" i="1" s="1"/>
  <c r="BF457" i="1"/>
  <c r="BK457" i="1" s="1"/>
  <c r="E469" i="4"/>
  <c r="G360" i="4"/>
  <c r="AZ325" i="1"/>
  <c r="BB325" i="1" s="1"/>
  <c r="BC342" i="1"/>
  <c r="BC283" i="1"/>
  <c r="BM484" i="1"/>
  <c r="I484" i="4" s="1"/>
  <c r="BM223" i="1"/>
  <c r="I223" i="4" s="1"/>
  <c r="BA57" i="1"/>
  <c r="BC57" i="1" s="1"/>
  <c r="BK223" i="1"/>
  <c r="AY201" i="1"/>
  <c r="AZ361" i="1"/>
  <c r="BB361" i="1" s="1"/>
  <c r="BB379" i="1"/>
  <c r="BC379" i="1" s="1"/>
  <c r="BB69" i="1"/>
  <c r="BC69" i="1" s="1"/>
  <c r="BC412" i="1"/>
  <c r="BD435" i="1"/>
  <c r="BF435" i="1" s="1"/>
  <c r="BB470" i="1"/>
  <c r="BC470" i="1" s="1"/>
  <c r="BK484" i="1"/>
  <c r="AY136" i="1"/>
  <c r="BC358" i="1"/>
  <c r="E484" i="4"/>
  <c r="AY69" i="1"/>
  <c r="BC99" i="1"/>
  <c r="BA145" i="1"/>
  <c r="BC145" i="1" s="1"/>
  <c r="BA276" i="1"/>
  <c r="BC276" i="1" s="1"/>
  <c r="E215" i="4"/>
  <c r="BC185" i="1"/>
  <c r="BC160" i="1"/>
  <c r="BC320" i="1"/>
  <c r="BC204" i="1"/>
  <c r="BC41" i="1"/>
  <c r="BC25" i="1"/>
  <c r="BB336" i="1"/>
  <c r="BC336" i="1" s="1"/>
  <c r="AZ383" i="1"/>
  <c r="BA383" i="1" s="1"/>
  <c r="BK151" i="1"/>
  <c r="G151" i="4"/>
  <c r="BC7" i="1"/>
  <c r="BC259" i="1"/>
  <c r="BF203" i="1"/>
  <c r="BK203" i="1" s="1"/>
  <c r="BF78" i="1"/>
  <c r="G78" i="4" s="1"/>
  <c r="BB449" i="1"/>
  <c r="BC449" i="1" s="1"/>
  <c r="BD243" i="1"/>
  <c r="E243" i="4" s="1"/>
  <c r="BD330" i="1"/>
  <c r="E330" i="4" s="1"/>
  <c r="BA17" i="1"/>
  <c r="BC17" i="1" s="1"/>
  <c r="AY424" i="1"/>
  <c r="BD72" i="1"/>
  <c r="BF72" i="1" s="1"/>
  <c r="BB193" i="1"/>
  <c r="BC193" i="1" s="1"/>
  <c r="AX295" i="1"/>
  <c r="BE295" i="1" s="1"/>
  <c r="F295" i="4" s="1"/>
  <c r="BA424" i="1"/>
  <c r="BC424" i="1" s="1"/>
  <c r="BF30" i="1"/>
  <c r="BM30" i="1" s="1"/>
  <c r="I30" i="4" s="1"/>
  <c r="BD426" i="1"/>
  <c r="E426" i="4" s="1"/>
  <c r="AW302" i="1"/>
  <c r="BD302" i="1" s="1"/>
  <c r="AS295" i="1"/>
  <c r="BI295" i="1" s="1"/>
  <c r="L295" i="4" s="1"/>
  <c r="E360" i="4"/>
  <c r="BA473" i="1"/>
  <c r="BC473" i="1" s="1"/>
  <c r="BF376" i="1"/>
  <c r="G376" i="4" s="1"/>
  <c r="AQ295" i="1"/>
  <c r="BA312" i="1"/>
  <c r="BC312" i="1" s="1"/>
  <c r="BC183" i="1"/>
  <c r="BB427" i="1"/>
  <c r="BC427" i="1" s="1"/>
  <c r="BA332" i="1"/>
  <c r="BC332" i="1" s="1"/>
  <c r="BC92" i="1"/>
  <c r="BA231" i="1"/>
  <c r="BC231" i="1" s="1"/>
  <c r="BF391" i="1"/>
  <c r="BK391" i="1" s="1"/>
  <c r="BA471" i="1"/>
  <c r="BC471" i="1" s="1"/>
  <c r="BC120" i="1"/>
  <c r="BD98" i="1"/>
  <c r="E98" i="4" s="1"/>
  <c r="BB213" i="1"/>
  <c r="BC213" i="1" s="1"/>
  <c r="BB426" i="1"/>
  <c r="BC426" i="1" s="1"/>
  <c r="BM305" i="1"/>
  <c r="I305" i="4" s="1"/>
  <c r="BM254" i="1"/>
  <c r="I254" i="4" s="1"/>
  <c r="BD370" i="1"/>
  <c r="BF370" i="1" s="1"/>
  <c r="BF303" i="1"/>
  <c r="G303" i="4" s="1"/>
  <c r="AT295" i="1"/>
  <c r="BJ295" i="1" s="1"/>
  <c r="M295" i="4" s="1"/>
  <c r="BA212" i="1"/>
  <c r="BC212" i="1" s="1"/>
  <c r="BB380" i="1"/>
  <c r="BC380" i="1" s="1"/>
  <c r="G254" i="4"/>
  <c r="AZ64" i="1"/>
  <c r="BA64" i="1" s="1"/>
  <c r="BF73" i="1"/>
  <c r="G73" i="4" s="1"/>
  <c r="BA232" i="1"/>
  <c r="BC232" i="1" s="1"/>
  <c r="BK305" i="1"/>
  <c r="BB219" i="1"/>
  <c r="BC219" i="1" s="1"/>
  <c r="BM149" i="1"/>
  <c r="I149" i="4" s="1"/>
  <c r="G281" i="4"/>
  <c r="BK281" i="1"/>
  <c r="BM281" i="1"/>
  <c r="I281" i="4" s="1"/>
  <c r="BK149" i="1"/>
  <c r="AY303" i="1"/>
  <c r="BC251" i="1"/>
  <c r="BC67" i="1"/>
  <c r="BC331" i="1"/>
  <c r="BC467" i="1"/>
  <c r="BC455" i="1"/>
  <c r="AW229" i="1"/>
  <c r="BD229" i="1" s="1"/>
  <c r="BC119" i="1"/>
  <c r="BA141" i="1"/>
  <c r="BC141" i="1" s="1"/>
  <c r="AW237" i="1"/>
  <c r="BD237" i="1" s="1"/>
  <c r="BA179" i="1"/>
  <c r="BC179" i="1" s="1"/>
  <c r="BB302" i="1"/>
  <c r="BC302" i="1" s="1"/>
  <c r="BB274" i="1"/>
  <c r="BC274" i="1" s="1"/>
  <c r="G321" i="4"/>
  <c r="BK314" i="1"/>
  <c r="BD17" i="1"/>
  <c r="BF17" i="1" s="1"/>
  <c r="BB233" i="1"/>
  <c r="BC233" i="1" s="1"/>
  <c r="BA19" i="1"/>
  <c r="BC19" i="1" s="1"/>
  <c r="BD178" i="1"/>
  <c r="E178" i="4" s="1"/>
  <c r="AY176" i="1"/>
  <c r="K55" i="2"/>
  <c r="K61" i="2" s="1"/>
  <c r="AW311" i="1"/>
  <c r="AY311" i="1" s="1"/>
  <c r="BB167" i="1"/>
  <c r="BC167" i="1" s="1"/>
  <c r="BC415" i="1"/>
  <c r="BK321" i="1"/>
  <c r="AY99" i="1"/>
  <c r="BD99" i="1"/>
  <c r="BA209" i="1"/>
  <c r="BC209" i="1" s="1"/>
  <c r="BD475" i="1"/>
  <c r="E475" i="4" s="1"/>
  <c r="BB385" i="1"/>
  <c r="BC385" i="1" s="1"/>
  <c r="BA261" i="1"/>
  <c r="BC261" i="1" s="1"/>
  <c r="BA375" i="1"/>
  <c r="BC375" i="1" s="1"/>
  <c r="BF174" i="1"/>
  <c r="E174" i="4"/>
  <c r="BC78" i="1"/>
  <c r="BA178" i="1"/>
  <c r="BC178" i="1" s="1"/>
  <c r="BD19" i="1"/>
  <c r="BF19" i="1" s="1"/>
  <c r="BK19" i="1" s="1"/>
  <c r="BC13" i="1"/>
  <c r="BB150" i="1"/>
  <c r="BC150" i="1" s="1"/>
  <c r="E287" i="4"/>
  <c r="BD432" i="1"/>
  <c r="BF432" i="1" s="1"/>
  <c r="BF359" i="1"/>
  <c r="G359" i="4" s="1"/>
  <c r="AY453" i="1"/>
  <c r="BA307" i="1"/>
  <c r="BC307" i="1" s="1"/>
  <c r="BA430" i="1"/>
  <c r="BC430" i="1" s="1"/>
  <c r="AY165" i="1"/>
  <c r="BB341" i="1"/>
  <c r="BC341" i="1" s="1"/>
  <c r="AY230" i="1"/>
  <c r="AY402" i="1"/>
  <c r="BA236" i="1"/>
  <c r="BC236" i="1" s="1"/>
  <c r="BB98" i="1"/>
  <c r="BC98" i="1" s="1"/>
  <c r="BK418" i="1"/>
  <c r="AY245" i="1"/>
  <c r="AY244" i="1"/>
  <c r="E61" i="4"/>
  <c r="BF61" i="1"/>
  <c r="G495" i="4"/>
  <c r="AY276" i="1"/>
  <c r="BA105" i="1"/>
  <c r="BB105" i="1"/>
  <c r="BB180" i="1"/>
  <c r="BC180" i="1" s="1"/>
  <c r="BF109" i="1"/>
  <c r="BM109" i="1" s="1"/>
  <c r="I109" i="4" s="1"/>
  <c r="BK206" i="1"/>
  <c r="BM418" i="1"/>
  <c r="I418" i="4" s="1"/>
  <c r="BA425" i="1"/>
  <c r="BC425" i="1" s="1"/>
  <c r="E123" i="4"/>
  <c r="BF123" i="1"/>
  <c r="BF337" i="1"/>
  <c r="BM337" i="1" s="1"/>
  <c r="I337" i="4" s="1"/>
  <c r="BA370" i="1"/>
  <c r="BC370" i="1" s="1"/>
  <c r="BF12" i="1"/>
  <c r="BM12" i="1" s="1"/>
  <c r="I12" i="4" s="1"/>
  <c r="BA71" i="1"/>
  <c r="BB71" i="1"/>
  <c r="BB315" i="1"/>
  <c r="BC315" i="1" s="1"/>
  <c r="BD312" i="1"/>
  <c r="BF312" i="1" s="1"/>
  <c r="G312" i="4" s="1"/>
  <c r="E194" i="4"/>
  <c r="BM314" i="1"/>
  <c r="I314" i="4" s="1"/>
  <c r="AZ142" i="1"/>
  <c r="BB142" i="1" s="1"/>
  <c r="BC90" i="1"/>
  <c r="BC460" i="1"/>
  <c r="BC117" i="1"/>
  <c r="AY212" i="1"/>
  <c r="AY471" i="1"/>
  <c r="BB162" i="1"/>
  <c r="BC162" i="1" s="1"/>
  <c r="BB268" i="1"/>
  <c r="BC268" i="1" s="1"/>
  <c r="BB350" i="1"/>
  <c r="BC350" i="1" s="1"/>
  <c r="BB330" i="1"/>
  <c r="BA330" i="1"/>
  <c r="G206" i="4"/>
  <c r="BA158" i="1"/>
  <c r="BC158" i="1" s="1"/>
  <c r="BD232" i="1"/>
  <c r="BF232" i="1" s="1"/>
  <c r="BM232" i="1" s="1"/>
  <c r="I232" i="4" s="1"/>
  <c r="BD236" i="1"/>
  <c r="BF236" i="1" s="1"/>
  <c r="BM236" i="1" s="1"/>
  <c r="I236" i="4" s="1"/>
  <c r="BG352" i="1"/>
  <c r="J352" i="4" s="1"/>
  <c r="AY328" i="1"/>
  <c r="AY113" i="1"/>
  <c r="BD39" i="1"/>
  <c r="BF39" i="1" s="1"/>
  <c r="BC227" i="1"/>
  <c r="BB93" i="1"/>
  <c r="BC93" i="1" s="1"/>
  <c r="BB414" i="1"/>
  <c r="BC414" i="1" s="1"/>
  <c r="BA404" i="1"/>
  <c r="BC404" i="1" s="1"/>
  <c r="BC153" i="1"/>
  <c r="BA218" i="1"/>
  <c r="BC218" i="1" s="1"/>
  <c r="BC356" i="1"/>
  <c r="BB94" i="1"/>
  <c r="BA94" i="1"/>
  <c r="G169" i="4"/>
  <c r="BM169" i="1"/>
  <c r="I169" i="4" s="1"/>
  <c r="BA130" i="1"/>
  <c r="BC130" i="1" s="1"/>
  <c r="BD399" i="1"/>
  <c r="E399" i="4" s="1"/>
  <c r="BD188" i="1"/>
  <c r="BF188" i="1" s="1"/>
  <c r="AW108" i="1"/>
  <c r="AY108" i="1" s="1"/>
  <c r="E159" i="4"/>
  <c r="BD375" i="1"/>
  <c r="E375" i="4" s="1"/>
  <c r="BA477" i="1"/>
  <c r="BC477" i="1" s="1"/>
  <c r="BB416" i="1"/>
  <c r="BM260" i="1"/>
  <c r="I260" i="4" s="1"/>
  <c r="BF453" i="1"/>
  <c r="BK453" i="1" s="1"/>
  <c r="BD33" i="1"/>
  <c r="E33" i="4" s="1"/>
  <c r="G260" i="4"/>
  <c r="BD57" i="1"/>
  <c r="BF57" i="1" s="1"/>
  <c r="AY256" i="1"/>
  <c r="BF79" i="1"/>
  <c r="BM79" i="1" s="1"/>
  <c r="I79" i="4" s="1"/>
  <c r="BG167" i="1"/>
  <c r="J167" i="4" s="1"/>
  <c r="AW167" i="1"/>
  <c r="BD172" i="1"/>
  <c r="BF172" i="1" s="1"/>
  <c r="BD31" i="1"/>
  <c r="BF31" i="1" s="1"/>
  <c r="BA475" i="1"/>
  <c r="BC475" i="1" s="1"/>
  <c r="BB256" i="1"/>
  <c r="BC256" i="1" s="1"/>
  <c r="BA164" i="1"/>
  <c r="BC164" i="1" s="1"/>
  <c r="BB131" i="1"/>
  <c r="BC131" i="1" s="1"/>
  <c r="BA413" i="1"/>
  <c r="BC413" i="1" s="1"/>
  <c r="AZ70" i="1"/>
  <c r="BA70" i="1" s="1"/>
  <c r="AW29" i="1"/>
  <c r="AY29" i="1" s="1"/>
  <c r="BD233" i="1"/>
  <c r="BF233" i="1" s="1"/>
  <c r="BM233" i="1" s="1"/>
  <c r="I233" i="4" s="1"/>
  <c r="BF18" i="1"/>
  <c r="G18" i="4" s="1"/>
  <c r="AY141" i="1"/>
  <c r="BC423" i="1"/>
  <c r="BA129" i="1"/>
  <c r="BC129" i="1" s="1"/>
  <c r="AR295" i="1"/>
  <c r="BH295" i="1" s="1"/>
  <c r="K295" i="4" s="1"/>
  <c r="BC416" i="1"/>
  <c r="AX401" i="1"/>
  <c r="BE401" i="1" s="1"/>
  <c r="F401" i="4" s="1"/>
  <c r="AQ401" i="1"/>
  <c r="BB453" i="1"/>
  <c r="BC453" i="1" s="1"/>
  <c r="AZ352" i="1"/>
  <c r="BA352" i="1" s="1"/>
  <c r="BD438" i="1"/>
  <c r="BF438" i="1" s="1"/>
  <c r="BF470" i="1"/>
  <c r="BM470" i="1" s="1"/>
  <c r="I470" i="4" s="1"/>
  <c r="AY183" i="1"/>
  <c r="AT401" i="1"/>
  <c r="BJ401" i="1" s="1"/>
  <c r="M401" i="4" s="1"/>
  <c r="BD476" i="1"/>
  <c r="BF476" i="1" s="1"/>
  <c r="BA35" i="1"/>
  <c r="BC35" i="1" s="1"/>
  <c r="AZ351" i="1"/>
  <c r="BA351" i="1" s="1"/>
  <c r="BD415" i="1"/>
  <c r="BF415" i="1" s="1"/>
  <c r="BD54" i="1"/>
  <c r="BF54" i="1" s="1"/>
  <c r="BF462" i="1"/>
  <c r="E462" i="4"/>
  <c r="BD164" i="1"/>
  <c r="BF164" i="1" s="1"/>
  <c r="BM164" i="1" s="1"/>
  <c r="I164" i="4" s="1"/>
  <c r="BM275" i="1"/>
  <c r="I275" i="4" s="1"/>
  <c r="BC262" i="1"/>
  <c r="BD235" i="1"/>
  <c r="BF235" i="1" s="1"/>
  <c r="BD416" i="1"/>
  <c r="E416" i="4" s="1"/>
  <c r="G277" i="4"/>
  <c r="BK191" i="1"/>
  <c r="BD258" i="1"/>
  <c r="E258" i="4" s="1"/>
  <c r="BD417" i="1"/>
  <c r="BF417" i="1" s="1"/>
  <c r="AY190" i="1"/>
  <c r="AZ311" i="1"/>
  <c r="AS401" i="1"/>
  <c r="BI401" i="1" s="1"/>
  <c r="L401" i="4" s="1"/>
  <c r="BB74" i="1"/>
  <c r="BC74" i="1" s="1"/>
  <c r="BD385" i="1"/>
  <c r="BF385" i="1" s="1"/>
  <c r="G275" i="4"/>
  <c r="BM277" i="1"/>
  <c r="I277" i="4" s="1"/>
  <c r="BM28" i="1"/>
  <c r="I28" i="4" s="1"/>
  <c r="AY292" i="1"/>
  <c r="BK368" i="1"/>
  <c r="G28" i="4"/>
  <c r="BM495" i="1"/>
  <c r="I495" i="4" s="1"/>
  <c r="BM191" i="1"/>
  <c r="I191" i="4" s="1"/>
  <c r="BF66" i="1"/>
  <c r="BK66" i="1" s="1"/>
  <c r="BF455" i="1"/>
  <c r="BM455" i="1" s="1"/>
  <c r="I455" i="4" s="1"/>
  <c r="BD198" i="1"/>
  <c r="E198" i="4" s="1"/>
  <c r="BD422" i="1"/>
  <c r="E422" i="4" s="1"/>
  <c r="AW6" i="1"/>
  <c r="AY6" i="1" s="1"/>
  <c r="BF118" i="1"/>
  <c r="BM118" i="1" s="1"/>
  <c r="I118" i="4" s="1"/>
  <c r="AY16" i="1"/>
  <c r="AY180" i="1"/>
  <c r="AV401" i="1"/>
  <c r="AW401" i="1" s="1"/>
  <c r="BA33" i="1"/>
  <c r="BC33" i="1" s="1"/>
  <c r="BA289" i="1"/>
  <c r="BC289" i="1" s="1"/>
  <c r="G368" i="4"/>
  <c r="E314" i="4"/>
  <c r="AW142" i="1"/>
  <c r="AY142" i="1" s="1"/>
  <c r="AZ108" i="1"/>
  <c r="BA108" i="1" s="1"/>
  <c r="BB31" i="1"/>
  <c r="BA31" i="1"/>
  <c r="BA39" i="1"/>
  <c r="BB39" i="1"/>
  <c r="BA432" i="1"/>
  <c r="BB432" i="1"/>
  <c r="BM5" i="1"/>
  <c r="I5" i="4" s="1"/>
  <c r="BK5" i="1"/>
  <c r="G5" i="4"/>
  <c r="BC429" i="1"/>
  <c r="BC285" i="1"/>
  <c r="BC314" i="1"/>
  <c r="E8" i="4"/>
  <c r="BF8" i="1"/>
  <c r="G8" i="4" s="1"/>
  <c r="BK159" i="1"/>
  <c r="BM159" i="1"/>
  <c r="I159" i="4" s="1"/>
  <c r="G159" i="4"/>
  <c r="G345" i="4"/>
  <c r="BM345" i="1"/>
  <c r="I345" i="4" s="1"/>
  <c r="BK345" i="1"/>
  <c r="BD259" i="1"/>
  <c r="E259" i="4" s="1"/>
  <c r="AY259" i="1"/>
  <c r="BF153" i="1"/>
  <c r="BK153" i="1" s="1"/>
  <c r="E153" i="4"/>
  <c r="BG70" i="1"/>
  <c r="J70" i="4" s="1"/>
  <c r="AW70" i="1"/>
  <c r="AY70" i="1" s="1"/>
  <c r="AY313" i="1"/>
  <c r="BD313" i="1"/>
  <c r="BF313" i="1" s="1"/>
  <c r="BD209" i="1"/>
  <c r="E209" i="4" s="1"/>
  <c r="AY209" i="1"/>
  <c r="AY50" i="1"/>
  <c r="BD50" i="1"/>
  <c r="E50" i="4" s="1"/>
  <c r="AY156" i="1"/>
  <c r="BD156" i="1"/>
  <c r="BF156" i="1" s="1"/>
  <c r="BD307" i="1"/>
  <c r="AY307" i="1"/>
  <c r="BD441" i="1"/>
  <c r="AY441" i="1"/>
  <c r="BM240" i="1"/>
  <c r="I240" i="4" s="1"/>
  <c r="BK240" i="1"/>
  <c r="BC253" i="1"/>
  <c r="BC421" i="1"/>
  <c r="BC186" i="1"/>
  <c r="BC324" i="1"/>
  <c r="BC334" i="1"/>
  <c r="BF353" i="1"/>
  <c r="E353" i="4"/>
  <c r="AZ48" i="1"/>
  <c r="BE48" i="1"/>
  <c r="F48" i="4" s="1"/>
  <c r="BG48" i="1"/>
  <c r="J48" i="4" s="1"/>
  <c r="AW48" i="1"/>
  <c r="G119" i="4"/>
  <c r="BM119" i="1"/>
  <c r="I119" i="4" s="1"/>
  <c r="BK119" i="1"/>
  <c r="BA190" i="1"/>
  <c r="BB190" i="1"/>
  <c r="BA175" i="1"/>
  <c r="BB175" i="1"/>
  <c r="BK40" i="1"/>
  <c r="BM40" i="1"/>
  <c r="I40" i="4" s="1"/>
  <c r="G40" i="4"/>
  <c r="BC428" i="1"/>
  <c r="BC241" i="1"/>
  <c r="BC367" i="1"/>
  <c r="BC81" i="1"/>
  <c r="BC65" i="1"/>
  <c r="BC226" i="1"/>
  <c r="BC148" i="1"/>
  <c r="BC26" i="1"/>
  <c r="BC303" i="1"/>
  <c r="BC301" i="1"/>
  <c r="BD449" i="1"/>
  <c r="BF449" i="1" s="1"/>
  <c r="AY449" i="1"/>
  <c r="AY297" i="1"/>
  <c r="BD297" i="1"/>
  <c r="E297" i="4" s="1"/>
  <c r="AY350" i="1"/>
  <c r="BD350" i="1"/>
  <c r="E350" i="4" s="1"/>
  <c r="AY389" i="1"/>
  <c r="BD389" i="1"/>
  <c r="E389" i="4" s="1"/>
  <c r="AY76" i="1"/>
  <c r="BD76" i="1"/>
  <c r="BF76" i="1" s="1"/>
  <c r="AY265" i="1"/>
  <c r="BD265" i="1"/>
  <c r="BD443" i="1"/>
  <c r="AY443" i="1"/>
  <c r="AY466" i="1"/>
  <c r="BD466" i="1"/>
  <c r="BF466" i="1" s="1"/>
  <c r="AY166" i="1"/>
  <c r="BD166" i="1"/>
  <c r="E166" i="4" s="1"/>
  <c r="BD478" i="1"/>
  <c r="E478" i="4" s="1"/>
  <c r="AY478" i="1"/>
  <c r="E250" i="4"/>
  <c r="BF250" i="1"/>
  <c r="BK250" i="1" s="1"/>
  <c r="BG387" i="1"/>
  <c r="J387" i="4" s="1"/>
  <c r="AW387" i="1"/>
  <c r="AY387" i="1" s="1"/>
  <c r="BG465" i="1"/>
  <c r="J465" i="4" s="1"/>
  <c r="AW465" i="1"/>
  <c r="AY465" i="1" s="1"/>
  <c r="BG37" i="1"/>
  <c r="J37" i="4" s="1"/>
  <c r="AW37" i="1"/>
  <c r="AY37" i="1" s="1"/>
  <c r="BG290" i="1"/>
  <c r="J290" i="4" s="1"/>
  <c r="AW290" i="1"/>
  <c r="AY290" i="1" s="1"/>
  <c r="BD477" i="1"/>
  <c r="E477" i="4" s="1"/>
  <c r="AY477" i="1"/>
  <c r="E371" i="4"/>
  <c r="BF371" i="1"/>
  <c r="G371" i="4" s="1"/>
  <c r="F244" i="4"/>
  <c r="BF244" i="1"/>
  <c r="BM244" i="1" s="1"/>
  <c r="I244" i="4" s="1"/>
  <c r="BD434" i="1"/>
  <c r="AY434" i="1"/>
  <c r="AY364" i="1"/>
  <c r="BD364" i="1"/>
  <c r="BF364" i="1" s="1"/>
  <c r="BM173" i="1"/>
  <c r="I173" i="4" s="1"/>
  <c r="BK173" i="1"/>
  <c r="G173" i="4"/>
  <c r="AX140" i="1"/>
  <c r="BE140" i="1" s="1"/>
  <c r="F140" i="4" s="1"/>
  <c r="AR140" i="1"/>
  <c r="BH140" i="1" s="1"/>
  <c r="K140" i="4" s="1"/>
  <c r="AR472" i="1"/>
  <c r="BH472" i="1" s="1"/>
  <c r="K472" i="4" s="1"/>
  <c r="AQ472" i="1"/>
  <c r="AR322" i="1"/>
  <c r="BH322" i="1" s="1"/>
  <c r="K322" i="4" s="1"/>
  <c r="AV322" i="1"/>
  <c r="BG322" i="1" s="1"/>
  <c r="J322" i="4" s="1"/>
  <c r="AQ322" i="1"/>
  <c r="AX322" i="1"/>
  <c r="BE322" i="1" s="1"/>
  <c r="F322" i="4" s="1"/>
  <c r="AS322" i="1"/>
  <c r="BI322" i="1" s="1"/>
  <c r="L322" i="4" s="1"/>
  <c r="AT322" i="1"/>
  <c r="BJ322" i="1" s="1"/>
  <c r="M322" i="4" s="1"/>
  <c r="AQ97" i="1"/>
  <c r="AV97" i="1"/>
  <c r="AT97" i="1"/>
  <c r="BJ97" i="1" s="1"/>
  <c r="M97" i="4" s="1"/>
  <c r="AR97" i="1"/>
  <c r="BH97" i="1" s="1"/>
  <c r="K97" i="4" s="1"/>
  <c r="AX97" i="1"/>
  <c r="BE97" i="1" s="1"/>
  <c r="F97" i="4" s="1"/>
  <c r="AY20" i="1"/>
  <c r="BD20" i="1"/>
  <c r="BE308" i="1"/>
  <c r="F308" i="4" s="1"/>
  <c r="AZ308" i="1"/>
  <c r="BA308" i="1" s="1"/>
  <c r="BK11" i="1"/>
  <c r="G11" i="4"/>
  <c r="BM11" i="1"/>
  <c r="I11" i="4" s="1"/>
  <c r="BF270" i="1"/>
  <c r="E270" i="4"/>
  <c r="G488" i="4"/>
  <c r="BM488" i="1"/>
  <c r="I488" i="4" s="1"/>
  <c r="BK488" i="1"/>
  <c r="E354" i="4"/>
  <c r="BF354" i="1"/>
  <c r="BD283" i="1"/>
  <c r="AY283" i="1"/>
  <c r="BB58" i="1"/>
  <c r="BA58" i="1"/>
  <c r="BA80" i="1"/>
  <c r="BB80" i="1"/>
  <c r="BA45" i="1"/>
  <c r="BB45" i="1"/>
  <c r="BB165" i="1"/>
  <c r="BA165" i="1"/>
  <c r="BA122" i="1"/>
  <c r="BB122" i="1"/>
  <c r="BD379" i="1"/>
  <c r="AY379" i="1"/>
  <c r="AY341" i="1"/>
  <c r="BD341" i="1"/>
  <c r="BB417" i="1"/>
  <c r="BA417" i="1"/>
  <c r="BA433" i="1"/>
  <c r="BB433" i="1"/>
  <c r="BC464" i="1"/>
  <c r="AZ387" i="1"/>
  <c r="AZ465" i="1"/>
  <c r="AZ407" i="1"/>
  <c r="AZ37" i="1"/>
  <c r="AZ44" i="1"/>
  <c r="BC391" i="1"/>
  <c r="BC30" i="1"/>
  <c r="BC107" i="1"/>
  <c r="BC371" i="1"/>
  <c r="BC376" i="1"/>
  <c r="BC214" i="1"/>
  <c r="BC106" i="1"/>
  <c r="BC291" i="1"/>
  <c r="BC489" i="1"/>
  <c r="BC200" i="1"/>
  <c r="BC250" i="1"/>
  <c r="BC282" i="1"/>
  <c r="BD315" i="1"/>
  <c r="AY315" i="1"/>
  <c r="AY130" i="1"/>
  <c r="BD130" i="1"/>
  <c r="BD129" i="1"/>
  <c r="AY129" i="1"/>
  <c r="BD162" i="1"/>
  <c r="AY162" i="1"/>
  <c r="BG351" i="1"/>
  <c r="J351" i="4" s="1"/>
  <c r="AW351" i="1"/>
  <c r="BD351" i="1" s="1"/>
  <c r="BA248" i="1"/>
  <c r="BB248" i="1"/>
  <c r="BB269" i="1"/>
  <c r="BA269" i="1"/>
  <c r="BB451" i="1"/>
  <c r="BA451" i="1"/>
  <c r="BB498" i="1"/>
  <c r="BA498" i="1"/>
  <c r="BB435" i="1"/>
  <c r="BA435" i="1"/>
  <c r="BB373" i="1"/>
  <c r="BA373" i="1"/>
  <c r="BB476" i="1"/>
  <c r="BA476" i="1"/>
  <c r="BA154" i="1"/>
  <c r="BB154" i="1"/>
  <c r="BA405" i="1"/>
  <c r="BB405" i="1"/>
  <c r="BA382" i="1"/>
  <c r="BB382" i="1"/>
  <c r="BB244" i="1"/>
  <c r="BA244" i="1"/>
  <c r="BD58" i="1"/>
  <c r="AY58" i="1"/>
  <c r="BD339" i="1"/>
  <c r="AY339" i="1"/>
  <c r="E65" i="4"/>
  <c r="BF65" i="1"/>
  <c r="E444" i="4"/>
  <c r="BF444" i="1"/>
  <c r="E190" i="4"/>
  <c r="BF190" i="1"/>
  <c r="BG44" i="1"/>
  <c r="J44" i="4" s="1"/>
  <c r="AW44" i="1"/>
  <c r="BA466" i="1"/>
  <c r="BB466" i="1"/>
  <c r="E428" i="4"/>
  <c r="BF428" i="1"/>
  <c r="BM428" i="1" s="1"/>
  <c r="I428" i="4" s="1"/>
  <c r="BB483" i="1"/>
  <c r="BA483" i="1"/>
  <c r="BA228" i="1"/>
  <c r="BB228" i="1"/>
  <c r="BA139" i="1"/>
  <c r="BB139" i="1"/>
  <c r="BA402" i="1"/>
  <c r="BB402" i="1"/>
  <c r="BA128" i="1"/>
  <c r="BB128" i="1"/>
  <c r="BA389" i="1"/>
  <c r="BB389" i="1"/>
  <c r="BA72" i="1"/>
  <c r="BB72" i="1"/>
  <c r="BB377" i="1"/>
  <c r="BA377" i="1"/>
  <c r="BB76" i="1"/>
  <c r="BA76" i="1"/>
  <c r="AY126" i="1"/>
  <c r="BD126" i="1"/>
  <c r="BA234" i="1"/>
  <c r="BB234" i="1"/>
  <c r="BA36" i="1"/>
  <c r="BB36" i="1"/>
  <c r="BD195" i="1"/>
  <c r="BF195" i="1" s="1"/>
  <c r="AY195" i="1"/>
  <c r="BB265" i="1"/>
  <c r="BA265" i="1"/>
  <c r="BB172" i="1"/>
  <c r="BA172" i="1"/>
  <c r="E248" i="4"/>
  <c r="BF248" i="1"/>
  <c r="BA293" i="1"/>
  <c r="BB293" i="1"/>
  <c r="BB91" i="1"/>
  <c r="BA91" i="1"/>
  <c r="BB161" i="1"/>
  <c r="BA161" i="1"/>
  <c r="BB440" i="1"/>
  <c r="BA440" i="1"/>
  <c r="BA116" i="1"/>
  <c r="BB116" i="1"/>
  <c r="BA208" i="1"/>
  <c r="BB208" i="1"/>
  <c r="BA346" i="1"/>
  <c r="BB346" i="1"/>
  <c r="BB53" i="1"/>
  <c r="BA53" i="1"/>
  <c r="BA188" i="1"/>
  <c r="BB188" i="1"/>
  <c r="BB328" i="1"/>
  <c r="BA328" i="1"/>
  <c r="BB198" i="1"/>
  <c r="BA198" i="1"/>
  <c r="BB230" i="1"/>
  <c r="BA230" i="1"/>
  <c r="BB210" i="1"/>
  <c r="BA210" i="1"/>
  <c r="BD45" i="1"/>
  <c r="E45" i="4" s="1"/>
  <c r="AY45" i="1"/>
  <c r="BB126" i="1"/>
  <c r="BA126" i="1"/>
  <c r="AW193" i="1"/>
  <c r="BG193" i="1"/>
  <c r="J193" i="4" s="1"/>
  <c r="BB323" i="1"/>
  <c r="BA323" i="1"/>
  <c r="BF479" i="1"/>
  <c r="BM479" i="1" s="1"/>
  <c r="I479" i="4" s="1"/>
  <c r="E479" i="4"/>
  <c r="BD269" i="1"/>
  <c r="BF269" i="1" s="1"/>
  <c r="AY269" i="1"/>
  <c r="BB245" i="1"/>
  <c r="BA245" i="1"/>
  <c r="AY299" i="1"/>
  <c r="BD299" i="1"/>
  <c r="AY459" i="1"/>
  <c r="BD459" i="1"/>
  <c r="BB434" i="1"/>
  <c r="BA434" i="1"/>
  <c r="BA479" i="1"/>
  <c r="BB479" i="1"/>
  <c r="BB378" i="1"/>
  <c r="BA378" i="1"/>
  <c r="BA54" i="1"/>
  <c r="BB54" i="1"/>
  <c r="BA50" i="1"/>
  <c r="BB50" i="1"/>
  <c r="BB27" i="1"/>
  <c r="BA27" i="1"/>
  <c r="BB166" i="1"/>
  <c r="BA166" i="1"/>
  <c r="BA339" i="1"/>
  <c r="BB339" i="1"/>
  <c r="BA443" i="1"/>
  <c r="BB443" i="1"/>
  <c r="BB313" i="1"/>
  <c r="BA313" i="1"/>
  <c r="BB419" i="1"/>
  <c r="BA419" i="1"/>
  <c r="BA300" i="1"/>
  <c r="BB300" i="1"/>
  <c r="BB366" i="1"/>
  <c r="BA366" i="1"/>
  <c r="BB114" i="1"/>
  <c r="BA114" i="1"/>
  <c r="BB137" i="1"/>
  <c r="BA137" i="1"/>
  <c r="BB458" i="1"/>
  <c r="BA458" i="1"/>
  <c r="BA439" i="1"/>
  <c r="BB439" i="1"/>
  <c r="BA478" i="1"/>
  <c r="BB478" i="1"/>
  <c r="BB420" i="1"/>
  <c r="BA420" i="1"/>
  <c r="BA278" i="1"/>
  <c r="BB278" i="1"/>
  <c r="BA3" i="1"/>
  <c r="BB3" i="1"/>
  <c r="AY208" i="1"/>
  <c r="BD208" i="1"/>
  <c r="BB431" i="1"/>
  <c r="BA431" i="1"/>
  <c r="BD440" i="1"/>
  <c r="BF440" i="1" s="1"/>
  <c r="AY440" i="1"/>
  <c r="BA410" i="1"/>
  <c r="BB410" i="1"/>
  <c r="AY77" i="1"/>
  <c r="BD77" i="1"/>
  <c r="BG187" i="1"/>
  <c r="J187" i="4" s="1"/>
  <c r="AW187" i="1"/>
  <c r="BB238" i="1"/>
  <c r="BA238" i="1"/>
  <c r="BB474" i="1"/>
  <c r="BA474" i="1"/>
  <c r="BA2" i="1"/>
  <c r="BB2" i="1"/>
  <c r="BB450" i="1"/>
  <c r="BA450" i="1"/>
  <c r="BB459" i="1"/>
  <c r="BA459" i="1"/>
  <c r="BA135" i="1"/>
  <c r="BB135" i="1"/>
  <c r="AV298" i="1"/>
  <c r="AT298" i="1"/>
  <c r="BJ298" i="1" s="1"/>
  <c r="M298" i="4" s="1"/>
  <c r="AS298" i="1"/>
  <c r="BI298" i="1" s="1"/>
  <c r="L298" i="4" s="1"/>
  <c r="AR298" i="1"/>
  <c r="BH298" i="1" s="1"/>
  <c r="K298" i="4" s="1"/>
  <c r="AQ298" i="1"/>
  <c r="AX298" i="1"/>
  <c r="BE298" i="1" s="1"/>
  <c r="F298" i="4" s="1"/>
  <c r="BA364" i="1"/>
  <c r="BB364" i="1"/>
  <c r="BB347" i="1"/>
  <c r="BA347" i="1"/>
  <c r="BB340" i="1"/>
  <c r="BA340" i="1"/>
  <c r="BA202" i="1"/>
  <c r="BB202" i="1"/>
  <c r="BB492" i="1"/>
  <c r="BA492" i="1"/>
  <c r="BA47" i="1"/>
  <c r="BB47" i="1"/>
  <c r="AT486" i="1"/>
  <c r="BJ486" i="1" s="1"/>
  <c r="M486" i="4" s="1"/>
  <c r="AR486" i="1"/>
  <c r="BH486" i="1" s="1"/>
  <c r="K486" i="4" s="1"/>
  <c r="BA390" i="1"/>
  <c r="BB390" i="1"/>
  <c r="BB386" i="1"/>
  <c r="BA386" i="1"/>
  <c r="BA338" i="1"/>
  <c r="BB338" i="1"/>
  <c r="BA288" i="1"/>
  <c r="BB288" i="1"/>
  <c r="BB10" i="1"/>
  <c r="BA10" i="1"/>
  <c r="BD71" i="1"/>
  <c r="BF71" i="1" s="1"/>
  <c r="AY71" i="1"/>
  <c r="BA343" i="1"/>
  <c r="BB343" i="1"/>
  <c r="BB225" i="1"/>
  <c r="BA225" i="1"/>
  <c r="BB103" i="1"/>
  <c r="BA103" i="1"/>
  <c r="BA136" i="1"/>
  <c r="BB136" i="1"/>
  <c r="BA480" i="1"/>
  <c r="BB480" i="1"/>
  <c r="BA437" i="1"/>
  <c r="BB437" i="1"/>
  <c r="BA195" i="1"/>
  <c r="BB195" i="1"/>
  <c r="BB292" i="1"/>
  <c r="BA292" i="1"/>
  <c r="BA59" i="1"/>
  <c r="BB59" i="1"/>
  <c r="BB184" i="1"/>
  <c r="BA184" i="1"/>
  <c r="BA445" i="1"/>
  <c r="BB445" i="1"/>
  <c r="BA441" i="1"/>
  <c r="BB441" i="1"/>
  <c r="BB49" i="1"/>
  <c r="BA49" i="1"/>
  <c r="BA239" i="1"/>
  <c r="BB239" i="1"/>
  <c r="AY392" i="1"/>
  <c r="BD392" i="1"/>
  <c r="BB271" i="1"/>
  <c r="BA271" i="1"/>
  <c r="BB110" i="1"/>
  <c r="BA110" i="1"/>
  <c r="BA422" i="1"/>
  <c r="BB422" i="1"/>
  <c r="BB393" i="1"/>
  <c r="BA393" i="1"/>
  <c r="BA201" i="1"/>
  <c r="BB201" i="1"/>
  <c r="BB147" i="1"/>
  <c r="BA147" i="1"/>
  <c r="BB264" i="1"/>
  <c r="BA264" i="1"/>
  <c r="BA113" i="1"/>
  <c r="BB113" i="1"/>
  <c r="BA438" i="1"/>
  <c r="BB438" i="1"/>
  <c r="BB468" i="1"/>
  <c r="BA468" i="1"/>
  <c r="BA235" i="1"/>
  <c r="BB235" i="1"/>
  <c r="BA310" i="1"/>
  <c r="BB310" i="1"/>
  <c r="BB177" i="1"/>
  <c r="BA177" i="1"/>
  <c r="BA20" i="1"/>
  <c r="BB20" i="1"/>
  <c r="BB157" i="1"/>
  <c r="BA157" i="1"/>
  <c r="BA43" i="1"/>
  <c r="BB43" i="1"/>
  <c r="BB272" i="1"/>
  <c r="BA272" i="1"/>
  <c r="BA392" i="1"/>
  <c r="BB392" i="1"/>
  <c r="BA394" i="1"/>
  <c r="BB394" i="1"/>
  <c r="BB132" i="1"/>
  <c r="BA132" i="1"/>
  <c r="BA146" i="1"/>
  <c r="BB146" i="1"/>
  <c r="BA138" i="1"/>
  <c r="BB138" i="1"/>
  <c r="BA299" i="1"/>
  <c r="BB299" i="1"/>
  <c r="BA258" i="1"/>
  <c r="BB258" i="1"/>
  <c r="BB156" i="1"/>
  <c r="BA156" i="1"/>
  <c r="BB46" i="1"/>
  <c r="BA46" i="1"/>
  <c r="BA409" i="1"/>
  <c r="BB409" i="1"/>
  <c r="BB403" i="1"/>
  <c r="BA403" i="1"/>
  <c r="BB221" i="1"/>
  <c r="BA221" i="1"/>
  <c r="BB349" i="1"/>
  <c r="BA349" i="1"/>
  <c r="BB344" i="1"/>
  <c r="BA344" i="1"/>
  <c r="BB51" i="1"/>
  <c r="BA51" i="1"/>
  <c r="BA335" i="1"/>
  <c r="BB335" i="1"/>
  <c r="BB357" i="1"/>
  <c r="BA357" i="1"/>
  <c r="BA481" i="1"/>
  <c r="BB481" i="1"/>
  <c r="BB329" i="1"/>
  <c r="BA329" i="1"/>
  <c r="BB143" i="1"/>
  <c r="BA143" i="1"/>
  <c r="BB124" i="1"/>
  <c r="BA124" i="1"/>
  <c r="BB363" i="1"/>
  <c r="BA363" i="1"/>
  <c r="BA125" i="1"/>
  <c r="BB125" i="1"/>
  <c r="BB199" i="1"/>
  <c r="BA199" i="1"/>
  <c r="BA134" i="1"/>
  <c r="BB134" i="1"/>
  <c r="BA87" i="1"/>
  <c r="BB87" i="1"/>
  <c r="BA62" i="1"/>
  <c r="BB62" i="1"/>
  <c r="BA96" i="1"/>
  <c r="BB96" i="1"/>
  <c r="BA243" i="1"/>
  <c r="BB243" i="1"/>
  <c r="BA16" i="1"/>
  <c r="BB16" i="1"/>
  <c r="BA304" i="1"/>
  <c r="BB304" i="1"/>
  <c r="BB216" i="1"/>
  <c r="BA216" i="1"/>
  <c r="BA326" i="1"/>
  <c r="BB326" i="1"/>
  <c r="BB14" i="1"/>
  <c r="BA14" i="1"/>
  <c r="BB485" i="1"/>
  <c r="BA485" i="1"/>
  <c r="BA252" i="1"/>
  <c r="BB252" i="1"/>
  <c r="BB100" i="1"/>
  <c r="BA100" i="1"/>
  <c r="BA280" i="1"/>
  <c r="BB280" i="1"/>
  <c r="BB482" i="1"/>
  <c r="BA482" i="1"/>
  <c r="BB436" i="1"/>
  <c r="BA436" i="1"/>
  <c r="BB75" i="1"/>
  <c r="BA75" i="1"/>
  <c r="BA448" i="1"/>
  <c r="BB448" i="1"/>
  <c r="BB463" i="1"/>
  <c r="BA463" i="1"/>
  <c r="BB101" i="1"/>
  <c r="BA101" i="1"/>
  <c r="BA115" i="1"/>
  <c r="BB115" i="1"/>
  <c r="BB497" i="1"/>
  <c r="BA497" i="1"/>
  <c r="BB400" i="1"/>
  <c r="BA400" i="1"/>
  <c r="BA192" i="1"/>
  <c r="BB192" i="1"/>
  <c r="BB163" i="1"/>
  <c r="BA163" i="1"/>
  <c r="BA196" i="1"/>
  <c r="BB196" i="1"/>
  <c r="BB181" i="1"/>
  <c r="BA181" i="1"/>
  <c r="BB77" i="1"/>
  <c r="BA77" i="1"/>
  <c r="BA121" i="1"/>
  <c r="BB121" i="1"/>
  <c r="BB246" i="1"/>
  <c r="BA246" i="1"/>
  <c r="BD382" i="1"/>
  <c r="AY382" i="1"/>
  <c r="BF262" i="1"/>
  <c r="E262" i="4"/>
  <c r="BK22" i="1"/>
  <c r="G22" i="4"/>
  <c r="BM22" i="1"/>
  <c r="I22" i="4" s="1"/>
  <c r="BF117" i="1"/>
  <c r="E117" i="4"/>
  <c r="AY131" i="1"/>
  <c r="BD131" i="1"/>
  <c r="E34" i="4"/>
  <c r="BF34" i="1"/>
  <c r="E412" i="4"/>
  <c r="BF412" i="1"/>
  <c r="BF88" i="1"/>
  <c r="E88" i="4"/>
  <c r="AY218" i="1"/>
  <c r="BD218" i="1"/>
  <c r="BF493" i="1"/>
  <c r="E493" i="4"/>
  <c r="BF306" i="1"/>
  <c r="E306" i="4"/>
  <c r="BF365" i="1"/>
  <c r="E365" i="4"/>
  <c r="BF211" i="1"/>
  <c r="E211" i="4"/>
  <c r="AY373" i="1"/>
  <c r="BD373" i="1"/>
  <c r="E180" i="4"/>
  <c r="BF180" i="1"/>
  <c r="BD74" i="1"/>
  <c r="AY74" i="1"/>
  <c r="BD213" i="1"/>
  <c r="AY213" i="1"/>
  <c r="BK197" i="1"/>
  <c r="G197" i="4"/>
  <c r="BM197" i="1"/>
  <c r="I197" i="4" s="1"/>
  <c r="AW407" i="1"/>
  <c r="BG407" i="1"/>
  <c r="J407" i="4" s="1"/>
  <c r="AQ452" i="1"/>
  <c r="AS452" i="1"/>
  <c r="BI452" i="1" s="1"/>
  <c r="L452" i="4" s="1"/>
  <c r="AX452" i="1"/>
  <c r="BE452" i="1" s="1"/>
  <c r="F452" i="4" s="1"/>
  <c r="AR452" i="1"/>
  <c r="BH452" i="1" s="1"/>
  <c r="K452" i="4" s="1"/>
  <c r="AT452" i="1"/>
  <c r="BJ452" i="1" s="1"/>
  <c r="M452" i="4" s="1"/>
  <c r="AV452" i="1"/>
  <c r="AV296" i="1"/>
  <c r="AT296" i="1"/>
  <c r="BJ296" i="1" s="1"/>
  <c r="M296" i="4" s="1"/>
  <c r="AS296" i="1"/>
  <c r="BI296" i="1" s="1"/>
  <c r="L296" i="4" s="1"/>
  <c r="AX296" i="1"/>
  <c r="BE296" i="1" s="1"/>
  <c r="F296" i="4" s="1"/>
  <c r="AQ296" i="1"/>
  <c r="AR296" i="1"/>
  <c r="BH296" i="1" s="1"/>
  <c r="K296" i="4" s="1"/>
  <c r="AY154" i="1"/>
  <c r="BD154" i="1"/>
  <c r="BD274" i="1"/>
  <c r="AY274" i="1"/>
  <c r="AY405" i="1"/>
  <c r="BD405" i="1"/>
  <c r="BD427" i="1"/>
  <c r="AY427" i="1"/>
  <c r="BD336" i="1"/>
  <c r="AY336" i="1"/>
  <c r="BD145" i="1"/>
  <c r="AY145" i="1"/>
  <c r="BD498" i="1"/>
  <c r="AY498" i="1"/>
  <c r="AY122" i="1"/>
  <c r="BD122" i="1"/>
  <c r="BD94" i="1"/>
  <c r="AY94" i="1"/>
  <c r="AZ152" i="1"/>
  <c r="AZ369" i="1"/>
  <c r="AZ15" i="1"/>
  <c r="AZ290" i="1"/>
  <c r="AZ397" i="1"/>
  <c r="AZ237" i="1"/>
  <c r="BG295" i="1"/>
  <c r="J295" i="4" s="1"/>
  <c r="AW295" i="1"/>
  <c r="BG397" i="1"/>
  <c r="J397" i="4" s="1"/>
  <c r="AW397" i="1"/>
  <c r="BG152" i="1"/>
  <c r="J152" i="4" s="1"/>
  <c r="AW152" i="1"/>
  <c r="BG369" i="1"/>
  <c r="J369" i="4" s="1"/>
  <c r="AW369" i="1"/>
  <c r="BG15" i="1"/>
  <c r="J15" i="4" s="1"/>
  <c r="AW15" i="1"/>
  <c r="BG446" i="1"/>
  <c r="J446" i="4" s="1"/>
  <c r="AW446" i="1"/>
  <c r="AY93" i="1"/>
  <c r="BD93" i="1"/>
  <c r="E81" i="4"/>
  <c r="BF81" i="1"/>
  <c r="AY433" i="1"/>
  <c r="BD433" i="1"/>
  <c r="BG361" i="1"/>
  <c r="J361" i="4" s="1"/>
  <c r="AW361" i="1"/>
  <c r="E282" i="4"/>
  <c r="BF282" i="1"/>
  <c r="AY210" i="1"/>
  <c r="BD210" i="1"/>
  <c r="E210" i="4" s="1"/>
  <c r="BD125" i="1"/>
  <c r="E125" i="4" s="1"/>
  <c r="AY125" i="1"/>
  <c r="BG170" i="1"/>
  <c r="J170" i="4" s="1"/>
  <c r="AW170" i="1"/>
  <c r="AY170" i="1" s="1"/>
  <c r="BD448" i="1"/>
  <c r="BF448" i="1" s="1"/>
  <c r="AY448" i="1"/>
  <c r="BD404" i="1"/>
  <c r="AY404" i="1"/>
  <c r="AY480" i="1"/>
  <c r="BD480" i="1"/>
  <c r="BF460" i="1"/>
  <c r="BK460" i="1" s="1"/>
  <c r="E460" i="4"/>
  <c r="E301" i="4"/>
  <c r="BF301" i="1"/>
  <c r="BM301" i="1" s="1"/>
  <c r="I301" i="4" s="1"/>
  <c r="AY463" i="1"/>
  <c r="BD463" i="1"/>
  <c r="BF463" i="1" s="1"/>
  <c r="G240" i="4"/>
  <c r="BD380" i="1"/>
  <c r="BD293" i="1"/>
  <c r="E293" i="4" s="1"/>
  <c r="AS24" i="1"/>
  <c r="BI24" i="1" s="1"/>
  <c r="L24" i="4" s="1"/>
  <c r="BD430" i="1"/>
  <c r="AY430" i="1"/>
  <c r="BD410" i="1"/>
  <c r="AY429" i="1"/>
  <c r="BD429" i="1"/>
  <c r="AZ170" i="1"/>
  <c r="AY479" i="1"/>
  <c r="BM333" i="1"/>
  <c r="I333" i="4" s="1"/>
  <c r="BK333" i="1"/>
  <c r="G333" i="4"/>
  <c r="BM253" i="1"/>
  <c r="I253" i="4" s="1"/>
  <c r="G253" i="4"/>
  <c r="BK253" i="1"/>
  <c r="BF13" i="1"/>
  <c r="E13" i="4"/>
  <c r="G127" i="4"/>
  <c r="BK127" i="1"/>
  <c r="BM127" i="1"/>
  <c r="I127" i="4" s="1"/>
  <c r="AY323" i="1"/>
  <c r="BD323" i="1"/>
  <c r="G42" i="4"/>
  <c r="BK42" i="1"/>
  <c r="BM42" i="1"/>
  <c r="I42" i="4" s="1"/>
  <c r="BD121" i="1"/>
  <c r="AZ171" i="1"/>
  <c r="BD414" i="1"/>
  <c r="AY414" i="1"/>
  <c r="AV486" i="1"/>
  <c r="AQ140" i="1"/>
  <c r="AS140" i="1"/>
  <c r="BI140" i="1" s="1"/>
  <c r="L140" i="4" s="1"/>
  <c r="AY431" i="1"/>
  <c r="BF138" i="1"/>
  <c r="AY46" i="1"/>
  <c r="AY139" i="1"/>
  <c r="BD344" i="1"/>
  <c r="AS486" i="1"/>
  <c r="BI486" i="1" s="1"/>
  <c r="L486" i="4" s="1"/>
  <c r="AX486" i="1"/>
  <c r="BE486" i="1" s="1"/>
  <c r="F486" i="4" s="1"/>
  <c r="AY202" i="1"/>
  <c r="AV140" i="1"/>
  <c r="BD420" i="1"/>
  <c r="E420" i="4" s="1"/>
  <c r="AQ486" i="1"/>
  <c r="AT140" i="1"/>
  <c r="BJ140" i="1" s="1"/>
  <c r="M140" i="4" s="1"/>
  <c r="AT472" i="1"/>
  <c r="BJ472" i="1" s="1"/>
  <c r="M472" i="4" s="1"/>
  <c r="AY138" i="1"/>
  <c r="G318" i="4"/>
  <c r="BM318" i="1"/>
  <c r="I318" i="4" s="1"/>
  <c r="BK318" i="1"/>
  <c r="BG64" i="1"/>
  <c r="J64" i="4" s="1"/>
  <c r="AW64" i="1"/>
  <c r="AY458" i="1"/>
  <c r="AT388" i="1"/>
  <c r="BJ388" i="1" s="1"/>
  <c r="M388" i="4" s="1"/>
  <c r="AV388" i="1"/>
  <c r="BG388" i="1" s="1"/>
  <c r="J388" i="4" s="1"/>
  <c r="G487" i="4"/>
  <c r="BM487" i="1"/>
  <c r="I487" i="4" s="1"/>
  <c r="BK487" i="1"/>
  <c r="AR388" i="1"/>
  <c r="BH388" i="1" s="1"/>
  <c r="K388" i="4" s="1"/>
  <c r="AX388" i="1"/>
  <c r="BE388" i="1" s="1"/>
  <c r="F388" i="4" s="1"/>
  <c r="AQ388" i="1"/>
  <c r="E332" i="4"/>
  <c r="BF332" i="1"/>
  <c r="AS388" i="1"/>
  <c r="BI388" i="1" s="1"/>
  <c r="L388" i="4" s="1"/>
  <c r="AY329" i="1"/>
  <c r="BF222" i="1"/>
  <c r="E222" i="4"/>
  <c r="BD175" i="1"/>
  <c r="AY175" i="1"/>
  <c r="AY437" i="1"/>
  <c r="AY124" i="1"/>
  <c r="AY300" i="1"/>
  <c r="BD300" i="1"/>
  <c r="AY143" i="1"/>
  <c r="AZ6" i="1"/>
  <c r="E467" i="4"/>
  <c r="BF467" i="1"/>
  <c r="AZ84" i="1"/>
  <c r="AY445" i="1"/>
  <c r="BG325" i="1"/>
  <c r="J325" i="4" s="1"/>
  <c r="AW325" i="1"/>
  <c r="AW84" i="1"/>
  <c r="BG84" i="1"/>
  <c r="J84" i="4" s="1"/>
  <c r="BD419" i="1"/>
  <c r="AY419" i="1"/>
  <c r="BD3" i="1"/>
  <c r="AY3" i="1"/>
  <c r="BD366" i="1"/>
  <c r="AY366" i="1"/>
  <c r="BM82" i="1"/>
  <c r="I82" i="4" s="1"/>
  <c r="G82" i="4"/>
  <c r="BK82" i="1"/>
  <c r="AW327" i="1"/>
  <c r="BM411" i="1"/>
  <c r="I411" i="4" s="1"/>
  <c r="BK411" i="1"/>
  <c r="G411" i="4"/>
  <c r="AX472" i="1"/>
  <c r="BE472" i="1" s="1"/>
  <c r="F472" i="4" s="1"/>
  <c r="AT24" i="1"/>
  <c r="BJ24" i="1" s="1"/>
  <c r="M24" i="4" s="1"/>
  <c r="G25" i="4"/>
  <c r="BK25" i="1"/>
  <c r="BM25" i="1"/>
  <c r="I25" i="4" s="1"/>
  <c r="AZ327" i="1"/>
  <c r="AW266" i="1"/>
  <c r="BD266" i="1" s="1"/>
  <c r="AZ266" i="1"/>
  <c r="AV472" i="1"/>
  <c r="AQ24" i="1"/>
  <c r="BD161" i="1"/>
  <c r="AY161" i="1"/>
  <c r="E402" i="4"/>
  <c r="BF402" i="1"/>
  <c r="AY460" i="1"/>
  <c r="AS472" i="1"/>
  <c r="BI472" i="1" s="1"/>
  <c r="L472" i="4" s="1"/>
  <c r="BD80" i="1"/>
  <c r="AY80" i="1"/>
  <c r="AY346" i="1"/>
  <c r="BD346" i="1"/>
  <c r="BF200" i="1"/>
  <c r="E200" i="4"/>
  <c r="BD137" i="1"/>
  <c r="AY137" i="1"/>
  <c r="AY474" i="1"/>
  <c r="BD474" i="1"/>
  <c r="BF431" i="1"/>
  <c r="E431" i="4"/>
  <c r="BD135" i="1"/>
  <c r="AY135" i="1"/>
  <c r="E41" i="4"/>
  <c r="BF41" i="1"/>
  <c r="AY347" i="1"/>
  <c r="BD347" i="1"/>
  <c r="E241" i="4"/>
  <c r="BF241" i="1"/>
  <c r="BF458" i="1"/>
  <c r="E458" i="4"/>
  <c r="AY114" i="1"/>
  <c r="BD114" i="1"/>
  <c r="E489" i="4"/>
  <c r="BF489" i="1"/>
  <c r="AY492" i="1"/>
  <c r="BD492" i="1"/>
  <c r="AY450" i="1"/>
  <c r="BD450" i="1"/>
  <c r="BD181" i="1"/>
  <c r="E181" i="4" s="1"/>
  <c r="BD10" i="1"/>
  <c r="AW355" i="1"/>
  <c r="AY355" i="1" s="1"/>
  <c r="G23" i="4"/>
  <c r="BK23" i="1"/>
  <c r="BM23" i="1"/>
  <c r="I23" i="4" s="1"/>
  <c r="BD14" i="1"/>
  <c r="AW308" i="1"/>
  <c r="BD308" i="1" s="1"/>
  <c r="E308" i="4" s="1"/>
  <c r="AZ217" i="1"/>
  <c r="AS97" i="1"/>
  <c r="BI97" i="1" s="1"/>
  <c r="L97" i="4" s="1"/>
  <c r="AR24" i="1"/>
  <c r="BH24" i="1" s="1"/>
  <c r="K24" i="4" s="1"/>
  <c r="AY338" i="1"/>
  <c r="BD338" i="1"/>
  <c r="E437" i="4"/>
  <c r="BF437" i="1"/>
  <c r="BK189" i="1"/>
  <c r="G189" i="4"/>
  <c r="BM189" i="1"/>
  <c r="I189" i="4" s="1"/>
  <c r="AY413" i="1"/>
  <c r="AY234" i="1"/>
  <c r="AZ496" i="1"/>
  <c r="AX24" i="1"/>
  <c r="BE24" i="1" s="1"/>
  <c r="F24" i="4" s="1"/>
  <c r="AY390" i="1"/>
  <c r="BD390" i="1"/>
  <c r="AY386" i="1"/>
  <c r="BD386" i="1"/>
  <c r="G214" i="4"/>
  <c r="BK214" i="1"/>
  <c r="BM214" i="1"/>
  <c r="I214" i="4" s="1"/>
  <c r="E267" i="4"/>
  <c r="BF267" i="1"/>
  <c r="AY103" i="1"/>
  <c r="BD103" i="1"/>
  <c r="E136" i="4"/>
  <c r="BF136" i="1"/>
  <c r="BD252" i="1"/>
  <c r="E252" i="4" s="1"/>
  <c r="AZ372" i="1"/>
  <c r="AW496" i="1"/>
  <c r="BD496" i="1" s="1"/>
  <c r="AZ247" i="1"/>
  <c r="AV24" i="1"/>
  <c r="BG24" i="1" s="1"/>
  <c r="J24" i="4" s="1"/>
  <c r="AY110" i="1"/>
  <c r="BD110" i="1"/>
  <c r="BD105" i="1"/>
  <c r="AY105" i="1"/>
  <c r="E183" i="4"/>
  <c r="BF183" i="1"/>
  <c r="AW398" i="1"/>
  <c r="AZ398" i="1"/>
  <c r="AW249" i="1"/>
  <c r="AZ249" i="1"/>
  <c r="E292" i="4"/>
  <c r="BF292" i="1"/>
  <c r="E378" i="4"/>
  <c r="BF378" i="1"/>
  <c r="AZ355" i="1"/>
  <c r="AW348" i="1"/>
  <c r="AZ348" i="1"/>
  <c r="AR396" i="1"/>
  <c r="BH396" i="1" s="1"/>
  <c r="K396" i="4" s="1"/>
  <c r="AQ396" i="1"/>
  <c r="AT396" i="1"/>
  <c r="BJ396" i="1" s="1"/>
  <c r="M396" i="4" s="1"/>
  <c r="AS396" i="1"/>
  <c r="BI396" i="1" s="1"/>
  <c r="L396" i="4" s="1"/>
  <c r="AX396" i="1"/>
  <c r="BE396" i="1" s="1"/>
  <c r="F396" i="4" s="1"/>
  <c r="AV396" i="1"/>
  <c r="BG396" i="1" s="1"/>
  <c r="J396" i="4" s="1"/>
  <c r="E85" i="4"/>
  <c r="BF85" i="1"/>
  <c r="BD177" i="1"/>
  <c r="AY177" i="1"/>
  <c r="AW247" i="1"/>
  <c r="BF340" i="1"/>
  <c r="E340" i="4"/>
  <c r="AY184" i="1"/>
  <c r="BD184" i="1"/>
  <c r="BF423" i="1"/>
  <c r="E423" i="4"/>
  <c r="AY59" i="1"/>
  <c r="BD59" i="1"/>
  <c r="BD272" i="1"/>
  <c r="AY272" i="1"/>
  <c r="AQ381" i="1"/>
  <c r="AV381" i="1"/>
  <c r="BG381" i="1" s="1"/>
  <c r="J381" i="4" s="1"/>
  <c r="AX381" i="1"/>
  <c r="BE381" i="1" s="1"/>
  <c r="F381" i="4" s="1"/>
  <c r="AR381" i="1"/>
  <c r="BH381" i="1" s="1"/>
  <c r="K381" i="4" s="1"/>
  <c r="AS381" i="1"/>
  <c r="BI381" i="1" s="1"/>
  <c r="L381" i="4" s="1"/>
  <c r="AT381" i="1"/>
  <c r="BJ381" i="1" s="1"/>
  <c r="M381" i="4" s="1"/>
  <c r="BD225" i="1"/>
  <c r="AY225" i="1"/>
  <c r="E445" i="4"/>
  <c r="BF445" i="1"/>
  <c r="AY310" i="1"/>
  <c r="BD310" i="1"/>
  <c r="E408" i="4"/>
  <c r="BF408" i="1"/>
  <c r="E113" i="4"/>
  <c r="BF113" i="1"/>
  <c r="AT38" i="1"/>
  <c r="BJ38" i="1" s="1"/>
  <c r="M38" i="4" s="1"/>
  <c r="AR38" i="1"/>
  <c r="BH38" i="1" s="1"/>
  <c r="K38" i="4" s="1"/>
  <c r="AQ38" i="1"/>
  <c r="AS38" i="1"/>
  <c r="BI38" i="1" s="1"/>
  <c r="L38" i="4" s="1"/>
  <c r="AX38" i="1"/>
  <c r="BE38" i="1" s="1"/>
  <c r="F38" i="4" s="1"/>
  <c r="AV38" i="1"/>
  <c r="BG38" i="1" s="1"/>
  <c r="J38" i="4" s="1"/>
  <c r="AY147" i="1"/>
  <c r="BD147" i="1"/>
  <c r="AY343" i="1"/>
  <c r="BD343" i="1"/>
  <c r="E186" i="4"/>
  <c r="BD228" i="1"/>
  <c r="BF228" i="1" s="1"/>
  <c r="BD87" i="1"/>
  <c r="E87" i="4" s="1"/>
  <c r="AW372" i="1"/>
  <c r="BD271" i="1"/>
  <c r="AY271" i="1"/>
  <c r="AW217" i="1"/>
  <c r="E202" i="4"/>
  <c r="BF202" i="1"/>
  <c r="AR286" i="1"/>
  <c r="BH286" i="1" s="1"/>
  <c r="K286" i="4" s="1"/>
  <c r="AS286" i="1"/>
  <c r="BI286" i="1" s="1"/>
  <c r="L286" i="4" s="1"/>
  <c r="AT286" i="1"/>
  <c r="BJ286" i="1" s="1"/>
  <c r="M286" i="4" s="1"/>
  <c r="AX286" i="1"/>
  <c r="BE286" i="1" s="1"/>
  <c r="F286" i="4" s="1"/>
  <c r="AQ286" i="1"/>
  <c r="AV286" i="1"/>
  <c r="BG286" i="1" s="1"/>
  <c r="J286" i="4" s="1"/>
  <c r="G285" i="4"/>
  <c r="BK285" i="1"/>
  <c r="BM285" i="1"/>
  <c r="I285" i="4" s="1"/>
  <c r="E328" i="4"/>
  <c r="BF328" i="1"/>
  <c r="BF35" i="1"/>
  <c r="E35" i="4"/>
  <c r="BF424" i="1"/>
  <c r="E424" i="4"/>
  <c r="BD264" i="1"/>
  <c r="AY264" i="1"/>
  <c r="E179" i="4"/>
  <c r="BF179" i="1"/>
  <c r="AY278" i="1"/>
  <c r="BD278" i="1"/>
  <c r="E334" i="4"/>
  <c r="BF334" i="1"/>
  <c r="AS182" i="1"/>
  <c r="BI182" i="1" s="1"/>
  <c r="L182" i="4" s="1"/>
  <c r="AX182" i="1"/>
  <c r="BE182" i="1" s="1"/>
  <c r="F182" i="4" s="1"/>
  <c r="AV182" i="1"/>
  <c r="BG182" i="1" s="1"/>
  <c r="J182" i="4" s="1"/>
  <c r="AQ182" i="1"/>
  <c r="AT182" i="1"/>
  <c r="BJ182" i="1" s="1"/>
  <c r="M182" i="4" s="1"/>
  <c r="AR182" i="1"/>
  <c r="BH182" i="1" s="1"/>
  <c r="K182" i="4" s="1"/>
  <c r="BF358" i="1"/>
  <c r="E358" i="4"/>
  <c r="AZ29" i="1"/>
  <c r="AY239" i="1"/>
  <c r="BD239" i="1"/>
  <c r="BD352" i="1"/>
  <c r="AY352" i="1"/>
  <c r="E176" i="4"/>
  <c r="BF176" i="1"/>
  <c r="E276" i="4"/>
  <c r="BF276" i="1"/>
  <c r="E201" i="4"/>
  <c r="BF201" i="1"/>
  <c r="BF141" i="1"/>
  <c r="E141" i="4"/>
  <c r="BD468" i="1"/>
  <c r="AY468" i="1"/>
  <c r="AY394" i="1"/>
  <c r="BD394" i="1"/>
  <c r="AY43" i="1"/>
  <c r="BD43" i="1"/>
  <c r="AY157" i="1"/>
  <c r="BD157" i="1"/>
  <c r="AS52" i="1"/>
  <c r="BI52" i="1" s="1"/>
  <c r="L52" i="4" s="1"/>
  <c r="AT52" i="1"/>
  <c r="BJ52" i="1" s="1"/>
  <c r="M52" i="4" s="1"/>
  <c r="AX52" i="1"/>
  <c r="BE52" i="1" s="1"/>
  <c r="F52" i="4" s="1"/>
  <c r="AR52" i="1"/>
  <c r="BH52" i="1" s="1"/>
  <c r="K52" i="4" s="1"/>
  <c r="AQ52" i="1"/>
  <c r="AV52" i="1"/>
  <c r="BG52" i="1" s="1"/>
  <c r="J52" i="4" s="1"/>
  <c r="G219" i="4"/>
  <c r="BK219" i="1"/>
  <c r="BM219" i="1"/>
  <c r="I219" i="4" s="1"/>
  <c r="AY47" i="1"/>
  <c r="BD47" i="1"/>
  <c r="BM107" i="1"/>
  <c r="I107" i="4" s="1"/>
  <c r="G107" i="4"/>
  <c r="BK107" i="1"/>
  <c r="E377" i="4"/>
  <c r="BF377" i="1"/>
  <c r="BD146" i="1"/>
  <c r="AY146" i="1"/>
  <c r="AY132" i="1"/>
  <c r="BD132" i="1"/>
  <c r="G4" i="4"/>
  <c r="BK4" i="1"/>
  <c r="BM4" i="1"/>
  <c r="I4" i="4" s="1"/>
  <c r="E111" i="4"/>
  <c r="BF111" i="1"/>
  <c r="E165" i="4"/>
  <c r="BF165" i="1"/>
  <c r="E324" i="4"/>
  <c r="BF324" i="1"/>
  <c r="BK89" i="1"/>
  <c r="BM89" i="1"/>
  <c r="I89" i="4" s="1"/>
  <c r="G89" i="4"/>
  <c r="G494" i="4"/>
  <c r="BK494" i="1"/>
  <c r="BM494" i="1"/>
  <c r="I494" i="4" s="1"/>
  <c r="G287" i="4"/>
  <c r="BK287" i="1"/>
  <c r="BM287" i="1"/>
  <c r="I287" i="4" s="1"/>
  <c r="BD49" i="1"/>
  <c r="AY49" i="1"/>
  <c r="AY481" i="1"/>
  <c r="G374" i="4"/>
  <c r="BM374" i="1"/>
  <c r="I374" i="4" s="1"/>
  <c r="BK374" i="1"/>
  <c r="BD2" i="1"/>
  <c r="AY2" i="1"/>
  <c r="BF26" i="1"/>
  <c r="E26" i="4"/>
  <c r="BD96" i="1"/>
  <c r="E96" i="4" s="1"/>
  <c r="BD62" i="1"/>
  <c r="E62" i="4" s="1"/>
  <c r="BD425" i="1"/>
  <c r="E425" i="4" s="1"/>
  <c r="AZ68" i="1"/>
  <c r="E331" i="4"/>
  <c r="BF331" i="1"/>
  <c r="BD393" i="1"/>
  <c r="AY393" i="1"/>
  <c r="BD91" i="1"/>
  <c r="AY91" i="1"/>
  <c r="BF231" i="1"/>
  <c r="E231" i="4"/>
  <c r="E128" i="4"/>
  <c r="BF128" i="1"/>
  <c r="BK279" i="1"/>
  <c r="G279" i="4"/>
  <c r="BM279" i="1"/>
  <c r="I279" i="4" s="1"/>
  <c r="BM461" i="1"/>
  <c r="I461" i="4" s="1"/>
  <c r="BK461" i="1"/>
  <c r="G461" i="4"/>
  <c r="BD51" i="1"/>
  <c r="AY51" i="1"/>
  <c r="AY335" i="1"/>
  <c r="BD335" i="1"/>
  <c r="AY439" i="1"/>
  <c r="BD439" i="1"/>
  <c r="E106" i="4"/>
  <c r="BF106" i="1"/>
  <c r="AY158" i="1"/>
  <c r="BD158" i="1"/>
  <c r="AY409" i="1"/>
  <c r="BD409" i="1"/>
  <c r="BD349" i="1"/>
  <c r="AY349" i="1"/>
  <c r="BD134" i="1"/>
  <c r="AY134" i="1"/>
  <c r="E143" i="4"/>
  <c r="BF143" i="1"/>
  <c r="AY36" i="1"/>
  <c r="BD36" i="1"/>
  <c r="E16" i="4"/>
  <c r="BF16" i="1"/>
  <c r="E256" i="4"/>
  <c r="BF256" i="1"/>
  <c r="E124" i="4"/>
  <c r="BF124" i="1"/>
  <c r="E245" i="4"/>
  <c r="BF245" i="1"/>
  <c r="AW68" i="1"/>
  <c r="BD68" i="1" s="1"/>
  <c r="BD403" i="1"/>
  <c r="AY403" i="1"/>
  <c r="AW171" i="1"/>
  <c r="AW21" i="1"/>
  <c r="AZ21" i="1"/>
  <c r="AY304" i="1"/>
  <c r="BD304" i="1"/>
  <c r="G207" i="4"/>
  <c r="BK207" i="1"/>
  <c r="BM207" i="1"/>
  <c r="I207" i="4" s="1"/>
  <c r="BF32" i="1"/>
  <c r="E32" i="4"/>
  <c r="AY199" i="1"/>
  <c r="BD199" i="1"/>
  <c r="E329" i="4"/>
  <c r="BF329" i="1"/>
  <c r="BD436" i="1"/>
  <c r="AY436" i="1"/>
  <c r="AY280" i="1"/>
  <c r="BD280" i="1"/>
  <c r="BD485" i="1"/>
  <c r="AY485" i="1"/>
  <c r="AY216" i="1"/>
  <c r="BD216" i="1"/>
  <c r="BD288" i="1"/>
  <c r="AY288" i="1"/>
  <c r="BF139" i="1"/>
  <c r="E139" i="4"/>
  <c r="AY100" i="1"/>
  <c r="BD100" i="1"/>
  <c r="BD326" i="1"/>
  <c r="AY326" i="1"/>
  <c r="BK257" i="1"/>
  <c r="BM257" i="1"/>
  <c r="I257" i="4" s="1"/>
  <c r="G257" i="4"/>
  <c r="E320" i="4"/>
  <c r="BF320" i="1"/>
  <c r="BF481" i="1"/>
  <c r="E481" i="4"/>
  <c r="BD221" i="1"/>
  <c r="AY221" i="1"/>
  <c r="E226" i="4"/>
  <c r="BF226" i="1"/>
  <c r="E261" i="4"/>
  <c r="BF261" i="1"/>
  <c r="BF238" i="1"/>
  <c r="E238" i="4"/>
  <c r="E227" i="4"/>
  <c r="BF227" i="1"/>
  <c r="BD75" i="1"/>
  <c r="AY75" i="1"/>
  <c r="AY482" i="1"/>
  <c r="BD482" i="1"/>
  <c r="AY150" i="1"/>
  <c r="BD150" i="1"/>
  <c r="BD86" i="1"/>
  <c r="AY86" i="1"/>
  <c r="BF53" i="1"/>
  <c r="E53" i="4"/>
  <c r="BJ86" i="1"/>
  <c r="M86" i="4" s="1"/>
  <c r="AZ86" i="1"/>
  <c r="E116" i="4"/>
  <c r="BF116" i="1"/>
  <c r="E268" i="4"/>
  <c r="BF268" i="1"/>
  <c r="E362" i="4"/>
  <c r="BF362" i="1"/>
  <c r="BK112" i="1"/>
  <c r="BM112" i="1"/>
  <c r="I112" i="4" s="1"/>
  <c r="G112" i="4"/>
  <c r="E413" i="4"/>
  <c r="BF413" i="1"/>
  <c r="AY357" i="1"/>
  <c r="BD357" i="1"/>
  <c r="BD163" i="1"/>
  <c r="AY163" i="1"/>
  <c r="BF451" i="1"/>
  <c r="E451" i="4"/>
  <c r="BE86" i="1"/>
  <c r="F86" i="4" s="1"/>
  <c r="AY400" i="1"/>
  <c r="BD400" i="1"/>
  <c r="BF251" i="1"/>
  <c r="E251" i="4"/>
  <c r="E212" i="4"/>
  <c r="BF212" i="1"/>
  <c r="BM367" i="1"/>
  <c r="I367" i="4" s="1"/>
  <c r="G367" i="4"/>
  <c r="BK367" i="1"/>
  <c r="BK194" i="1"/>
  <c r="BM194" i="1"/>
  <c r="I194" i="4" s="1"/>
  <c r="G194" i="4"/>
  <c r="E483" i="4"/>
  <c r="BF483" i="1"/>
  <c r="AY363" i="1"/>
  <c r="BD363" i="1"/>
  <c r="BD246" i="1"/>
  <c r="E246" i="4" s="1"/>
  <c r="BG86" i="1"/>
  <c r="J86" i="4" s="1"/>
  <c r="BF473" i="1"/>
  <c r="E473" i="4"/>
  <c r="BF46" i="1"/>
  <c r="E46" i="4"/>
  <c r="BD196" i="1"/>
  <c r="AY196" i="1"/>
  <c r="BD101" i="1"/>
  <c r="AY101" i="1"/>
  <c r="E230" i="4"/>
  <c r="BF230" i="1"/>
  <c r="AY192" i="1"/>
  <c r="BD192" i="1"/>
  <c r="BD115" i="1"/>
  <c r="AY115" i="1"/>
  <c r="BF67" i="1"/>
  <c r="E67" i="4"/>
  <c r="E27" i="4"/>
  <c r="BF27" i="1"/>
  <c r="AY497" i="1"/>
  <c r="BD497" i="1"/>
  <c r="BF471" i="1"/>
  <c r="E471" i="4"/>
  <c r="BK384" i="1"/>
  <c r="G384" i="4"/>
  <c r="BM384" i="1"/>
  <c r="I384" i="4" s="1"/>
  <c r="BK215" i="1"/>
  <c r="BM215" i="1"/>
  <c r="I215" i="4" s="1"/>
  <c r="G215" i="4"/>
  <c r="BK55" i="1"/>
  <c r="BM55" i="1"/>
  <c r="I55" i="4" s="1"/>
  <c r="G55" i="4"/>
  <c r="G255" i="4"/>
  <c r="BM255" i="1"/>
  <c r="I255" i="4" s="1"/>
  <c r="BK255" i="1"/>
  <c r="E185" i="4"/>
  <c r="BF185" i="1"/>
  <c r="BF234" i="1"/>
  <c r="E234" i="4"/>
  <c r="E7" i="4"/>
  <c r="BF7" i="1"/>
  <c r="G289" i="4"/>
  <c r="BK289" i="1"/>
  <c r="BM289" i="1"/>
  <c r="I289" i="4" s="1"/>
  <c r="BM204" i="1"/>
  <c r="I204" i="4" s="1"/>
  <c r="BK204" i="1"/>
  <c r="G204" i="4"/>
  <c r="BK291" i="1"/>
  <c r="G291" i="4"/>
  <c r="BM291" i="1"/>
  <c r="I291" i="4" s="1"/>
  <c r="E144" i="4"/>
  <c r="BF144" i="1"/>
  <c r="E90" i="4"/>
  <c r="BF90" i="1"/>
  <c r="G309" i="4"/>
  <c r="BK309" i="1"/>
  <c r="BM309" i="1"/>
  <c r="I309" i="4" s="1"/>
  <c r="BK395" i="1"/>
  <c r="BM395" i="1"/>
  <c r="I395" i="4" s="1"/>
  <c r="G395" i="4"/>
  <c r="G342" i="4"/>
  <c r="BM342" i="1"/>
  <c r="I342" i="4" s="1"/>
  <c r="BK342" i="1"/>
  <c r="G220" i="4"/>
  <c r="BK220" i="1"/>
  <c r="BM220" i="1"/>
  <c r="I220" i="4" s="1"/>
  <c r="G205" i="4"/>
  <c r="BM205" i="1"/>
  <c r="I205" i="4" s="1"/>
  <c r="BK205" i="1"/>
  <c r="G406" i="4"/>
  <c r="BK406" i="1"/>
  <c r="BM406" i="1"/>
  <c r="I406" i="4" s="1"/>
  <c r="BM447" i="1"/>
  <c r="I447" i="4" s="1"/>
  <c r="G447" i="4"/>
  <c r="BK447" i="1"/>
  <c r="E92" i="4"/>
  <c r="BF92" i="1"/>
  <c r="E69" i="4"/>
  <c r="BF69" i="1"/>
  <c r="BK242" i="1"/>
  <c r="BM242" i="1"/>
  <c r="I242" i="4" s="1"/>
  <c r="G242" i="4"/>
  <c r="G186" i="4"/>
  <c r="BM186" i="1"/>
  <c r="I186" i="4" s="1"/>
  <c r="BK186" i="1"/>
  <c r="BK63" i="1"/>
  <c r="BM63" i="1"/>
  <c r="I63" i="4" s="1"/>
  <c r="G63" i="4"/>
  <c r="BM317" i="1"/>
  <c r="I317" i="4" s="1"/>
  <c r="BK317" i="1"/>
  <c r="G317" i="4"/>
  <c r="G9" i="4"/>
  <c r="BM9" i="1"/>
  <c r="I9" i="4" s="1"/>
  <c r="BK9" i="1"/>
  <c r="E421" i="4"/>
  <c r="BF421" i="1"/>
  <c r="G148" i="4"/>
  <c r="BK148" i="1"/>
  <c r="BM148" i="1"/>
  <c r="I148" i="4" s="1"/>
  <c r="BK469" i="1"/>
  <c r="BM469" i="1"/>
  <c r="I469" i="4" s="1"/>
  <c r="G469" i="4"/>
  <c r="BK104" i="1"/>
  <c r="G104" i="4"/>
  <c r="BM104" i="1"/>
  <c r="I104" i="4" s="1"/>
  <c r="E464" i="4"/>
  <c r="BF464" i="1"/>
  <c r="BK263" i="1"/>
  <c r="BM263" i="1"/>
  <c r="I263" i="4" s="1"/>
  <c r="G263" i="4"/>
  <c r="BM224" i="1" l="1"/>
  <c r="I224" i="4" s="1"/>
  <c r="BM160" i="1"/>
  <c r="I160" i="4" s="1"/>
  <c r="BK160" i="1"/>
  <c r="BB229" i="1"/>
  <c r="BC229" i="1" s="1"/>
  <c r="BM456" i="1"/>
  <c r="I456" i="4" s="1"/>
  <c r="BK456" i="1"/>
  <c r="E466" i="4"/>
  <c r="G224" i="4"/>
  <c r="BC323" i="1"/>
  <c r="BC198" i="1"/>
  <c r="BC116" i="1"/>
  <c r="BC172" i="1"/>
  <c r="BB491" i="1"/>
  <c r="BC491" i="1" s="1"/>
  <c r="BA187" i="1"/>
  <c r="BC187" i="1" s="1"/>
  <c r="E448" i="4"/>
  <c r="BC435" i="1"/>
  <c r="BD383" i="1"/>
  <c r="BF383" i="1" s="1"/>
  <c r="BC103" i="1"/>
  <c r="BC431" i="1"/>
  <c r="BB446" i="1"/>
  <c r="BC446" i="1" s="1"/>
  <c r="BK60" i="1"/>
  <c r="G457" i="4"/>
  <c r="BM60" i="1"/>
  <c r="I60" i="4" s="1"/>
  <c r="G391" i="4"/>
  <c r="BC76" i="1"/>
  <c r="AY491" i="1"/>
  <c r="BF259" i="1"/>
  <c r="BM259" i="1" s="1"/>
  <c r="I259" i="4" s="1"/>
  <c r="BD37" i="1"/>
  <c r="BF37" i="1" s="1"/>
  <c r="BF491" i="1"/>
  <c r="G491" i="4" s="1"/>
  <c r="BC101" i="1"/>
  <c r="BC216" i="1"/>
  <c r="BC143" i="1"/>
  <c r="BC344" i="1"/>
  <c r="BC156" i="1"/>
  <c r="BC328" i="1"/>
  <c r="BC440" i="1"/>
  <c r="BC265" i="1"/>
  <c r="BC377" i="1"/>
  <c r="BM457" i="1"/>
  <c r="I457" i="4" s="1"/>
  <c r="BB383" i="1"/>
  <c r="BC383" i="1" s="1"/>
  <c r="AZ295" i="1"/>
  <c r="BA295" i="1" s="1"/>
  <c r="BM73" i="1"/>
  <c r="I73" i="4" s="1"/>
  <c r="BK73" i="1"/>
  <c r="BA325" i="1"/>
  <c r="G109" i="4"/>
  <c r="BM78" i="1"/>
  <c r="I78" i="4" s="1"/>
  <c r="BF426" i="1"/>
  <c r="G426" i="4" s="1"/>
  <c r="BD355" i="1"/>
  <c r="E355" i="4" s="1"/>
  <c r="BA361" i="1"/>
  <c r="BC361" i="1" s="1"/>
  <c r="G203" i="4"/>
  <c r="E435" i="4"/>
  <c r="E72" i="4"/>
  <c r="BC292" i="1"/>
  <c r="BC225" i="1"/>
  <c r="BC386" i="1"/>
  <c r="BC340" i="1"/>
  <c r="BC238" i="1"/>
  <c r="BC325" i="1"/>
  <c r="BC419" i="1"/>
  <c r="BC269" i="1"/>
  <c r="BK236" i="1"/>
  <c r="E31" i="4"/>
  <c r="BF243" i="1"/>
  <c r="BK243" i="1" s="1"/>
  <c r="AY302" i="1"/>
  <c r="BB64" i="1"/>
  <c r="BC64" i="1" s="1"/>
  <c r="G236" i="4"/>
  <c r="BM391" i="1"/>
  <c r="I391" i="4" s="1"/>
  <c r="G453" i="4"/>
  <c r="BK78" i="1"/>
  <c r="BC181" i="1"/>
  <c r="BC482" i="1"/>
  <c r="BC124" i="1"/>
  <c r="BC51" i="1"/>
  <c r="BC46" i="1"/>
  <c r="BC132" i="1"/>
  <c r="BC157" i="1"/>
  <c r="BF330" i="1"/>
  <c r="BK330" i="1" s="1"/>
  <c r="BM203" i="1"/>
  <c r="I203" i="4" s="1"/>
  <c r="BF50" i="1"/>
  <c r="G50" i="4" s="1"/>
  <c r="BK244" i="1"/>
  <c r="E432" i="4"/>
  <c r="AY308" i="1"/>
  <c r="BM303" i="1"/>
  <c r="I303" i="4" s="1"/>
  <c r="E370" i="4"/>
  <c r="BK376" i="1"/>
  <c r="BF98" i="1"/>
  <c r="G98" i="4" s="1"/>
  <c r="BK30" i="1"/>
  <c r="BK303" i="1"/>
  <c r="BM376" i="1"/>
  <c r="I376" i="4" s="1"/>
  <c r="G30" i="4"/>
  <c r="E383" i="4"/>
  <c r="BC393" i="1"/>
  <c r="BB70" i="1"/>
  <c r="BC70" i="1" s="1"/>
  <c r="E269" i="4"/>
  <c r="E449" i="4"/>
  <c r="BK109" i="1"/>
  <c r="G244" i="4"/>
  <c r="BC58" i="1"/>
  <c r="BF45" i="1"/>
  <c r="BM45" i="1" s="1"/>
  <c r="I45" i="4" s="1"/>
  <c r="BK359" i="1"/>
  <c r="AY237" i="1"/>
  <c r="AY229" i="1"/>
  <c r="G470" i="4"/>
  <c r="BM359" i="1"/>
  <c r="I359" i="4" s="1"/>
  <c r="BK337" i="1"/>
  <c r="E417" i="4"/>
  <c r="BD311" i="1"/>
  <c r="BF311" i="1" s="1"/>
  <c r="BC246" i="1"/>
  <c r="BC199" i="1"/>
  <c r="BC221" i="1"/>
  <c r="BC498" i="1"/>
  <c r="BA142" i="1"/>
  <c r="BC142" i="1" s="1"/>
  <c r="BK79" i="1"/>
  <c r="BK428" i="1"/>
  <c r="E188" i="4"/>
  <c r="G428" i="4"/>
  <c r="BF389" i="1"/>
  <c r="BK389" i="1" s="1"/>
  <c r="BC94" i="1"/>
  <c r="E312" i="4"/>
  <c r="AY351" i="1"/>
  <c r="E19" i="4"/>
  <c r="BK12" i="1"/>
  <c r="BD6" i="1"/>
  <c r="BF6" i="1" s="1"/>
  <c r="BF178" i="1"/>
  <c r="G178" i="4" s="1"/>
  <c r="BF475" i="1"/>
  <c r="BM475" i="1" s="1"/>
  <c r="I475" i="4" s="1"/>
  <c r="BC476" i="1"/>
  <c r="E232" i="4"/>
  <c r="BC330" i="1"/>
  <c r="E99" i="4"/>
  <c r="BF99" i="1"/>
  <c r="E17" i="4"/>
  <c r="BM8" i="1"/>
  <c r="I8" i="4" s="1"/>
  <c r="BF308" i="1"/>
  <c r="BK308" i="1" s="1"/>
  <c r="BC463" i="1"/>
  <c r="BC100" i="1"/>
  <c r="BC329" i="1"/>
  <c r="BC349" i="1"/>
  <c r="G174" i="4"/>
  <c r="BM174" i="1"/>
  <c r="I174" i="4" s="1"/>
  <c r="BK174" i="1"/>
  <c r="BF350" i="1"/>
  <c r="G350" i="4" s="1"/>
  <c r="BK470" i="1"/>
  <c r="BF125" i="1"/>
  <c r="G125" i="4" s="1"/>
  <c r="G337" i="4"/>
  <c r="BC31" i="1"/>
  <c r="G479" i="4"/>
  <c r="BF258" i="1"/>
  <c r="G258" i="4" s="1"/>
  <c r="BM153" i="1"/>
  <c r="I153" i="4" s="1"/>
  <c r="BF477" i="1"/>
  <c r="BK477" i="1" s="1"/>
  <c r="BD29" i="1"/>
  <c r="E29" i="4" s="1"/>
  <c r="E236" i="4"/>
  <c r="E164" i="4"/>
  <c r="BB352" i="1"/>
  <c r="BC352" i="1" s="1"/>
  <c r="E440" i="4"/>
  <c r="G118" i="4"/>
  <c r="BD170" i="1"/>
  <c r="BF170" i="1" s="1"/>
  <c r="BC71" i="1"/>
  <c r="BG401" i="1"/>
  <c r="J401" i="4" s="1"/>
  <c r="G12" i="4"/>
  <c r="BK164" i="1"/>
  <c r="BK118" i="1"/>
  <c r="E364" i="4"/>
  <c r="BB108" i="1"/>
  <c r="BC108" i="1" s="1"/>
  <c r="BC271" i="1"/>
  <c r="BC10" i="1"/>
  <c r="BC420" i="1"/>
  <c r="BC114" i="1"/>
  <c r="BC210" i="1"/>
  <c r="BC105" i="1"/>
  <c r="E438" i="4"/>
  <c r="G123" i="4"/>
  <c r="BM123" i="1"/>
  <c r="I123" i="4" s="1"/>
  <c r="BK123" i="1"/>
  <c r="G79" i="4"/>
  <c r="E76" i="4"/>
  <c r="BD108" i="1"/>
  <c r="BF108" i="1" s="1"/>
  <c r="BD290" i="1"/>
  <c r="E290" i="4" s="1"/>
  <c r="AZ140" i="1"/>
  <c r="BB140" i="1" s="1"/>
  <c r="G61" i="4"/>
  <c r="BM61" i="1"/>
  <c r="I61" i="4" s="1"/>
  <c r="BK61" i="1"/>
  <c r="BM371" i="1"/>
  <c r="I371" i="4" s="1"/>
  <c r="AZ296" i="1"/>
  <c r="BA296" i="1" s="1"/>
  <c r="BF375" i="1"/>
  <c r="BM375" i="1" s="1"/>
  <c r="I375" i="4" s="1"/>
  <c r="BC77" i="1"/>
  <c r="BC497" i="1"/>
  <c r="BC436" i="1"/>
  <c r="BC147" i="1"/>
  <c r="BC184" i="1"/>
  <c r="BC366" i="1"/>
  <c r="BC166" i="1"/>
  <c r="BC434" i="1"/>
  <c r="BC230" i="1"/>
  <c r="BC165" i="1"/>
  <c r="E233" i="4"/>
  <c r="E57" i="4"/>
  <c r="BC36" i="1"/>
  <c r="BK301" i="1"/>
  <c r="BD465" i="1"/>
  <c r="E465" i="4" s="1"/>
  <c r="BF33" i="1"/>
  <c r="G33" i="4" s="1"/>
  <c r="G301" i="4"/>
  <c r="E71" i="4"/>
  <c r="BM19" i="1"/>
  <c r="I19" i="4" s="1"/>
  <c r="AY167" i="1"/>
  <c r="BD167" i="1"/>
  <c r="BK18" i="1"/>
  <c r="E172" i="4"/>
  <c r="BM66" i="1"/>
  <c r="I66" i="4" s="1"/>
  <c r="BF210" i="1"/>
  <c r="BK210" i="1" s="1"/>
  <c r="G19" i="4"/>
  <c r="G164" i="4"/>
  <c r="BF399" i="1"/>
  <c r="G399" i="4" s="1"/>
  <c r="E235" i="4"/>
  <c r="E229" i="4"/>
  <c r="BF229" i="1"/>
  <c r="BM18" i="1"/>
  <c r="I18" i="4" s="1"/>
  <c r="G66" i="4"/>
  <c r="BM460" i="1"/>
  <c r="I460" i="4" s="1"/>
  <c r="E195" i="4"/>
  <c r="BK233" i="1"/>
  <c r="BK312" i="1"/>
  <c r="BD387" i="1"/>
  <c r="E387" i="4" s="1"/>
  <c r="E39" i="4"/>
  <c r="BM453" i="1"/>
  <c r="I453" i="4" s="1"/>
  <c r="G460" i="4"/>
  <c r="E313" i="4"/>
  <c r="G233" i="4"/>
  <c r="BM312" i="1"/>
  <c r="I312" i="4" s="1"/>
  <c r="G153" i="4"/>
  <c r="E156" i="4"/>
  <c r="BF198" i="1"/>
  <c r="BM198" i="1" s="1"/>
  <c r="I198" i="4" s="1"/>
  <c r="BC373" i="1"/>
  <c r="AZ401" i="1"/>
  <c r="BB401" i="1" s="1"/>
  <c r="G415" i="4"/>
  <c r="BM415" i="1"/>
  <c r="I415" i="4" s="1"/>
  <c r="BK415" i="1"/>
  <c r="G54" i="4"/>
  <c r="BK54" i="1"/>
  <c r="BM54" i="1"/>
  <c r="I54" i="4" s="1"/>
  <c r="G462" i="4"/>
  <c r="BK462" i="1"/>
  <c r="BM462" i="1"/>
  <c r="I462" i="4" s="1"/>
  <c r="BM250" i="1"/>
  <c r="I250" i="4" s="1"/>
  <c r="BK8" i="1"/>
  <c r="E463" i="4"/>
  <c r="E385" i="4"/>
  <c r="G455" i="4"/>
  <c r="BF166" i="1"/>
  <c r="BM166" i="1" s="1"/>
  <c r="I166" i="4" s="1"/>
  <c r="BF478" i="1"/>
  <c r="BK478" i="1" s="1"/>
  <c r="AZ97" i="1"/>
  <c r="BB97" i="1" s="1"/>
  <c r="BK232" i="1"/>
  <c r="BD142" i="1"/>
  <c r="BF142" i="1" s="1"/>
  <c r="BC400" i="1"/>
  <c r="BC75" i="1"/>
  <c r="BC485" i="1"/>
  <c r="BC357" i="1"/>
  <c r="BC403" i="1"/>
  <c r="BB308" i="1"/>
  <c r="BC308" i="1" s="1"/>
  <c r="BC49" i="1"/>
  <c r="BC347" i="1"/>
  <c r="BC459" i="1"/>
  <c r="BC458" i="1"/>
  <c r="BC313" i="1"/>
  <c r="BC126" i="1"/>
  <c r="BC161" i="1"/>
  <c r="BC483" i="1"/>
  <c r="BF416" i="1"/>
  <c r="BD70" i="1"/>
  <c r="BF70" i="1" s="1"/>
  <c r="BB311" i="1"/>
  <c r="BA311" i="1"/>
  <c r="AW322" i="1"/>
  <c r="BD322" i="1" s="1"/>
  <c r="BK455" i="1"/>
  <c r="BF422" i="1"/>
  <c r="BK422" i="1" s="1"/>
  <c r="G232" i="4"/>
  <c r="E476" i="4"/>
  <c r="E415" i="4"/>
  <c r="E54" i="4"/>
  <c r="G250" i="4"/>
  <c r="BB351" i="1"/>
  <c r="BC351" i="1" s="1"/>
  <c r="BK371" i="1"/>
  <c r="BK479" i="1"/>
  <c r="BF297" i="1"/>
  <c r="BM297" i="1" s="1"/>
  <c r="I297" i="4" s="1"/>
  <c r="BC14" i="1"/>
  <c r="BC363" i="1"/>
  <c r="BC272" i="1"/>
  <c r="BC177" i="1"/>
  <c r="BC264" i="1"/>
  <c r="BC450" i="1"/>
  <c r="BC137" i="1"/>
  <c r="BC378" i="1"/>
  <c r="BC245" i="1"/>
  <c r="BC53" i="1"/>
  <c r="BC432" i="1"/>
  <c r="BC402" i="1"/>
  <c r="BF209" i="1"/>
  <c r="BM209" i="1" s="1"/>
  <c r="I209" i="4" s="1"/>
  <c r="BC451" i="1"/>
  <c r="BC417" i="1"/>
  <c r="BC492" i="1"/>
  <c r="BC122" i="1"/>
  <c r="BC39" i="1"/>
  <c r="AZ322" i="1"/>
  <c r="BB322" i="1" s="1"/>
  <c r="BC72" i="1"/>
  <c r="BC474" i="1"/>
  <c r="E307" i="4"/>
  <c r="BF307" i="1"/>
  <c r="G307" i="4" s="1"/>
  <c r="E441" i="4"/>
  <c r="BF441" i="1"/>
  <c r="G441" i="4" s="1"/>
  <c r="BF265" i="1"/>
  <c r="BM265" i="1" s="1"/>
  <c r="I265" i="4" s="1"/>
  <c r="E265" i="4"/>
  <c r="E443" i="4"/>
  <c r="BF443" i="1"/>
  <c r="BK443" i="1" s="1"/>
  <c r="E434" i="4"/>
  <c r="BF434" i="1"/>
  <c r="BM434" i="1" s="1"/>
  <c r="I434" i="4" s="1"/>
  <c r="E20" i="4"/>
  <c r="BF20" i="1"/>
  <c r="G20" i="4" s="1"/>
  <c r="BF315" i="1"/>
  <c r="G315" i="4" s="1"/>
  <c r="E315" i="4"/>
  <c r="BF130" i="1"/>
  <c r="G130" i="4" s="1"/>
  <c r="E130" i="4"/>
  <c r="E129" i="4"/>
  <c r="BF129" i="1"/>
  <c r="G129" i="4" s="1"/>
  <c r="E162" i="4"/>
  <c r="BF162" i="1"/>
  <c r="BM162" i="1" s="1"/>
  <c r="I162" i="4" s="1"/>
  <c r="E58" i="4"/>
  <c r="BF58" i="1"/>
  <c r="BM58" i="1" s="1"/>
  <c r="I58" i="4" s="1"/>
  <c r="E339" i="4"/>
  <c r="BF339" i="1"/>
  <c r="G339" i="4" s="1"/>
  <c r="BK65" i="1"/>
  <c r="G65" i="4"/>
  <c r="BM65" i="1"/>
  <c r="I65" i="4" s="1"/>
  <c r="BK444" i="1"/>
  <c r="G444" i="4"/>
  <c r="BM444" i="1"/>
  <c r="I444" i="4" s="1"/>
  <c r="BK190" i="1"/>
  <c r="BM190" i="1"/>
  <c r="I190" i="4" s="1"/>
  <c r="G190" i="4"/>
  <c r="E126" i="4"/>
  <c r="BF126" i="1"/>
  <c r="BK126" i="1" s="1"/>
  <c r="BF459" i="1"/>
  <c r="G459" i="4" s="1"/>
  <c r="E459" i="4"/>
  <c r="BF77" i="1"/>
  <c r="G77" i="4" s="1"/>
  <c r="E77" i="4"/>
  <c r="BK81" i="1"/>
  <c r="G81" i="4"/>
  <c r="BM81" i="1"/>
  <c r="I81" i="4" s="1"/>
  <c r="BF380" i="1"/>
  <c r="BM380" i="1" s="1"/>
  <c r="I380" i="4" s="1"/>
  <c r="E380" i="4"/>
  <c r="BF14" i="1"/>
  <c r="BK14" i="1" s="1"/>
  <c r="E14" i="4"/>
  <c r="BC392" i="1"/>
  <c r="BC299" i="1"/>
  <c r="BC244" i="1"/>
  <c r="BC91" i="1"/>
  <c r="G353" i="4"/>
  <c r="BM353" i="1"/>
  <c r="I353" i="4" s="1"/>
  <c r="BK353" i="1"/>
  <c r="BA48" i="1"/>
  <c r="BB48" i="1"/>
  <c r="BD48" i="1"/>
  <c r="AY48" i="1"/>
  <c r="BC248" i="1"/>
  <c r="BC154" i="1"/>
  <c r="BC382" i="1"/>
  <c r="BC228" i="1"/>
  <c r="BC54" i="1"/>
  <c r="BC50" i="1"/>
  <c r="BC339" i="1"/>
  <c r="BC443" i="1"/>
  <c r="BC439" i="1"/>
  <c r="BC478" i="1"/>
  <c r="BC278" i="1"/>
  <c r="BC3" i="1"/>
  <c r="BC410" i="1"/>
  <c r="BC135" i="1"/>
  <c r="AZ298" i="1"/>
  <c r="BA298" i="1" s="1"/>
  <c r="BC364" i="1"/>
  <c r="BC110" i="1"/>
  <c r="BC163" i="1"/>
  <c r="AZ452" i="1"/>
  <c r="AZ24" i="1"/>
  <c r="BB24" i="1" s="1"/>
  <c r="BC433" i="1"/>
  <c r="BC128" i="1"/>
  <c r="BC234" i="1"/>
  <c r="BC138" i="1"/>
  <c r="BC258" i="1"/>
  <c r="BC409" i="1"/>
  <c r="BC468" i="1"/>
  <c r="BC394" i="1"/>
  <c r="BC190" i="1"/>
  <c r="BC175" i="1"/>
  <c r="BG97" i="1"/>
  <c r="J97" i="4" s="1"/>
  <c r="AW97" i="1"/>
  <c r="BD97" i="1" s="1"/>
  <c r="G248" i="4"/>
  <c r="BK248" i="1"/>
  <c r="BM248" i="1"/>
  <c r="I248" i="4" s="1"/>
  <c r="AY193" i="1"/>
  <c r="BD193" i="1"/>
  <c r="E193" i="4" s="1"/>
  <c r="E208" i="4"/>
  <c r="BF208" i="1"/>
  <c r="G208" i="4" s="1"/>
  <c r="BD187" i="1"/>
  <c r="AY187" i="1"/>
  <c r="E392" i="4"/>
  <c r="BF392" i="1"/>
  <c r="BM392" i="1" s="1"/>
  <c r="I392" i="4" s="1"/>
  <c r="E404" i="4"/>
  <c r="BF404" i="1"/>
  <c r="BK404" i="1" s="1"/>
  <c r="BF410" i="1"/>
  <c r="BK410" i="1" s="1"/>
  <c r="E410" i="4"/>
  <c r="BK270" i="1"/>
  <c r="G270" i="4"/>
  <c r="BM270" i="1"/>
  <c r="I270" i="4" s="1"/>
  <c r="G354" i="4"/>
  <c r="BK354" i="1"/>
  <c r="BM354" i="1"/>
  <c r="I354" i="4" s="1"/>
  <c r="BF283" i="1"/>
  <c r="E283" i="4"/>
  <c r="BF379" i="1"/>
  <c r="E379" i="4"/>
  <c r="BF341" i="1"/>
  <c r="E341" i="4"/>
  <c r="BA387" i="1"/>
  <c r="BB387" i="1"/>
  <c r="BA465" i="1"/>
  <c r="BB465" i="1"/>
  <c r="BB407" i="1"/>
  <c r="BA407" i="1"/>
  <c r="BB37" i="1"/>
  <c r="BA37" i="1"/>
  <c r="BB44" i="1"/>
  <c r="BA44" i="1"/>
  <c r="AY44" i="1"/>
  <c r="BD44" i="1"/>
  <c r="BC293" i="1"/>
  <c r="BC208" i="1"/>
  <c r="BC346" i="1"/>
  <c r="BC188" i="1"/>
  <c r="BC202" i="1"/>
  <c r="BC47" i="1"/>
  <c r="BC390" i="1"/>
  <c r="BC338" i="1"/>
  <c r="BC288" i="1"/>
  <c r="BC343" i="1"/>
  <c r="BC136" i="1"/>
  <c r="BC480" i="1"/>
  <c r="BC437" i="1"/>
  <c r="BC195" i="1"/>
  <c r="BC59" i="1"/>
  <c r="BC445" i="1"/>
  <c r="BC441" i="1"/>
  <c r="BC239" i="1"/>
  <c r="BC422" i="1"/>
  <c r="BC201" i="1"/>
  <c r="BC113" i="1"/>
  <c r="BC438" i="1"/>
  <c r="BC235" i="1"/>
  <c r="BC310" i="1"/>
  <c r="BC20" i="1"/>
  <c r="BC43" i="1"/>
  <c r="BC335" i="1"/>
  <c r="BC481" i="1"/>
  <c r="BC125" i="1"/>
  <c r="BC134" i="1"/>
  <c r="BC87" i="1"/>
  <c r="BC62" i="1"/>
  <c r="BC96" i="1"/>
  <c r="BC243" i="1"/>
  <c r="BC16" i="1"/>
  <c r="BC304" i="1"/>
  <c r="BC326" i="1"/>
  <c r="BC252" i="1"/>
  <c r="BC280" i="1"/>
  <c r="BC448" i="1"/>
  <c r="BC115" i="1"/>
  <c r="BC192" i="1"/>
  <c r="BC196" i="1"/>
  <c r="BC121" i="1"/>
  <c r="BC146" i="1"/>
  <c r="BC80" i="1"/>
  <c r="BC479" i="1"/>
  <c r="BC300" i="1"/>
  <c r="BC2" i="1"/>
  <c r="BC45" i="1"/>
  <c r="BC466" i="1"/>
  <c r="BC139" i="1"/>
  <c r="BC389" i="1"/>
  <c r="BC27" i="1"/>
  <c r="BC405" i="1"/>
  <c r="E299" i="4"/>
  <c r="BF299" i="1"/>
  <c r="BM299" i="1" s="1"/>
  <c r="I299" i="4" s="1"/>
  <c r="BG298" i="1"/>
  <c r="J298" i="4" s="1"/>
  <c r="AW298" i="1"/>
  <c r="BG452" i="1"/>
  <c r="J452" i="4" s="1"/>
  <c r="AW452" i="1"/>
  <c r="BA152" i="1"/>
  <c r="BB152" i="1"/>
  <c r="BA369" i="1"/>
  <c r="BB369" i="1"/>
  <c r="BA15" i="1"/>
  <c r="BB15" i="1"/>
  <c r="BA290" i="1"/>
  <c r="BB290" i="1"/>
  <c r="BA397" i="1"/>
  <c r="BB397" i="1"/>
  <c r="BB237" i="1"/>
  <c r="BA237" i="1"/>
  <c r="BM282" i="1"/>
  <c r="I282" i="4" s="1"/>
  <c r="G282" i="4"/>
  <c r="BK282" i="1"/>
  <c r="BF480" i="1"/>
  <c r="E480" i="4"/>
  <c r="BA170" i="1"/>
  <c r="BB170" i="1"/>
  <c r="E121" i="4"/>
  <c r="BF121" i="1"/>
  <c r="BK121" i="1" s="1"/>
  <c r="BB171" i="1"/>
  <c r="BA171" i="1"/>
  <c r="G138" i="4"/>
  <c r="BM138" i="1"/>
  <c r="I138" i="4" s="1"/>
  <c r="BK138" i="1"/>
  <c r="BF344" i="1"/>
  <c r="BM344" i="1" s="1"/>
  <c r="I344" i="4" s="1"/>
  <c r="E344" i="4"/>
  <c r="BG140" i="1"/>
  <c r="J140" i="4" s="1"/>
  <c r="AW140" i="1"/>
  <c r="BA6" i="1"/>
  <c r="BB6" i="1"/>
  <c r="BB84" i="1"/>
  <c r="BA84" i="1"/>
  <c r="BB327" i="1"/>
  <c r="BA327" i="1"/>
  <c r="BC327" i="1" s="1"/>
  <c r="BA266" i="1"/>
  <c r="BB266" i="1"/>
  <c r="BG472" i="1"/>
  <c r="J472" i="4" s="1"/>
  <c r="AW472" i="1"/>
  <c r="BB217" i="1"/>
  <c r="BA217" i="1"/>
  <c r="BA496" i="1"/>
  <c r="BB496" i="1"/>
  <c r="BA372" i="1"/>
  <c r="BB372" i="1"/>
  <c r="BA247" i="1"/>
  <c r="BB247" i="1"/>
  <c r="BB398" i="1"/>
  <c r="BA398" i="1"/>
  <c r="BB249" i="1"/>
  <c r="BA249" i="1"/>
  <c r="BB355" i="1"/>
  <c r="BA355" i="1"/>
  <c r="BA348" i="1"/>
  <c r="BB348" i="1"/>
  <c r="BB29" i="1"/>
  <c r="BA29" i="1"/>
  <c r="BA68" i="1"/>
  <c r="BB68" i="1"/>
  <c r="BB21" i="1"/>
  <c r="BA21" i="1"/>
  <c r="BB86" i="1"/>
  <c r="BA86" i="1"/>
  <c r="E382" i="4"/>
  <c r="BF382" i="1"/>
  <c r="G262" i="4"/>
  <c r="BK262" i="1"/>
  <c r="BM262" i="1"/>
  <c r="I262" i="4" s="1"/>
  <c r="BK117" i="1"/>
  <c r="BM117" i="1"/>
  <c r="I117" i="4" s="1"/>
  <c r="G117" i="4"/>
  <c r="BF131" i="1"/>
  <c r="E131" i="4"/>
  <c r="BM34" i="1"/>
  <c r="I34" i="4" s="1"/>
  <c r="G34" i="4"/>
  <c r="BK34" i="1"/>
  <c r="BK412" i="1"/>
  <c r="BM412" i="1"/>
  <c r="I412" i="4" s="1"/>
  <c r="G412" i="4"/>
  <c r="G88" i="4"/>
  <c r="BM88" i="1"/>
  <c r="I88" i="4" s="1"/>
  <c r="BK88" i="1"/>
  <c r="BF218" i="1"/>
  <c r="E218" i="4"/>
  <c r="BK493" i="1"/>
  <c r="G493" i="4"/>
  <c r="BM493" i="1"/>
  <c r="I493" i="4" s="1"/>
  <c r="BK306" i="1"/>
  <c r="BM306" i="1"/>
  <c r="I306" i="4" s="1"/>
  <c r="G306" i="4"/>
  <c r="BM365" i="1"/>
  <c r="I365" i="4" s="1"/>
  <c r="G365" i="4"/>
  <c r="BK365" i="1"/>
  <c r="BK211" i="1"/>
  <c r="BM211" i="1"/>
  <c r="I211" i="4" s="1"/>
  <c r="G211" i="4"/>
  <c r="G435" i="4"/>
  <c r="BK435" i="1"/>
  <c r="BM435" i="1"/>
  <c r="I435" i="4" s="1"/>
  <c r="BF373" i="1"/>
  <c r="E373" i="4"/>
  <c r="BK476" i="1"/>
  <c r="BM476" i="1"/>
  <c r="I476" i="4" s="1"/>
  <c r="G476" i="4"/>
  <c r="BM383" i="1"/>
  <c r="I383" i="4" s="1"/>
  <c r="BK383" i="1"/>
  <c r="G383" i="4"/>
  <c r="G31" i="4"/>
  <c r="BK31" i="1"/>
  <c r="BM31" i="1"/>
  <c r="I31" i="4" s="1"/>
  <c r="BM180" i="1"/>
  <c r="I180" i="4" s="1"/>
  <c r="G180" i="4"/>
  <c r="BK180" i="1"/>
  <c r="G39" i="4"/>
  <c r="BM39" i="1"/>
  <c r="I39" i="4" s="1"/>
  <c r="BK39" i="1"/>
  <c r="BF74" i="1"/>
  <c r="E74" i="4"/>
  <c r="BF213" i="1"/>
  <c r="E213" i="4"/>
  <c r="BF237" i="1"/>
  <c r="E237" i="4"/>
  <c r="AY407" i="1"/>
  <c r="BD407" i="1"/>
  <c r="BF154" i="1"/>
  <c r="E154" i="4"/>
  <c r="BF274" i="1"/>
  <c r="E274" i="4"/>
  <c r="BF405" i="1"/>
  <c r="E405" i="4"/>
  <c r="BF427" i="1"/>
  <c r="E427" i="4"/>
  <c r="BF336" i="1"/>
  <c r="E336" i="4"/>
  <c r="BF145" i="1"/>
  <c r="E145" i="4"/>
  <c r="BF498" i="1"/>
  <c r="E498" i="4"/>
  <c r="BF122" i="1"/>
  <c r="E122" i="4"/>
  <c r="BF302" i="1"/>
  <c r="E302" i="4"/>
  <c r="E94" i="4"/>
  <c r="BF94" i="1"/>
  <c r="BD295" i="1"/>
  <c r="AY295" i="1"/>
  <c r="AY401" i="1"/>
  <c r="BD401" i="1"/>
  <c r="BD397" i="1"/>
  <c r="AY397" i="1"/>
  <c r="AY152" i="1"/>
  <c r="BD152" i="1"/>
  <c r="BD369" i="1"/>
  <c r="AY369" i="1"/>
  <c r="AY15" i="1"/>
  <c r="BD15" i="1"/>
  <c r="BD446" i="1"/>
  <c r="AY446" i="1"/>
  <c r="BF433" i="1"/>
  <c r="E433" i="4"/>
  <c r="BD361" i="1"/>
  <c r="AY361" i="1"/>
  <c r="BG296" i="1"/>
  <c r="J296" i="4" s="1"/>
  <c r="AW296" i="1"/>
  <c r="E93" i="4"/>
  <c r="BF93" i="1"/>
  <c r="BG486" i="1"/>
  <c r="J486" i="4" s="1"/>
  <c r="AW486" i="1"/>
  <c r="BD327" i="1"/>
  <c r="AY327" i="1"/>
  <c r="BF10" i="1"/>
  <c r="E10" i="4"/>
  <c r="E430" i="4"/>
  <c r="BF430" i="1"/>
  <c r="AY496" i="1"/>
  <c r="AZ472" i="1"/>
  <c r="BF293" i="1"/>
  <c r="BF429" i="1"/>
  <c r="E429" i="4"/>
  <c r="AY266" i="1"/>
  <c r="AW388" i="1"/>
  <c r="BF246" i="1"/>
  <c r="BM13" i="1"/>
  <c r="I13" i="4" s="1"/>
  <c r="BK13" i="1"/>
  <c r="G13" i="4"/>
  <c r="E323" i="4"/>
  <c r="BF323" i="1"/>
  <c r="BK370" i="1"/>
  <c r="G370" i="4"/>
  <c r="BM370" i="1"/>
  <c r="I370" i="4" s="1"/>
  <c r="BF414" i="1"/>
  <c r="E414" i="4"/>
  <c r="AZ486" i="1"/>
  <c r="BF96" i="1"/>
  <c r="BF420" i="1"/>
  <c r="G420" i="4" s="1"/>
  <c r="BD64" i="1"/>
  <c r="AY64" i="1"/>
  <c r="AZ388" i="1"/>
  <c r="BM332" i="1"/>
  <c r="I332" i="4" s="1"/>
  <c r="G332" i="4"/>
  <c r="BK332" i="1"/>
  <c r="BF181" i="1"/>
  <c r="BF62" i="1"/>
  <c r="G62" i="4" s="1"/>
  <c r="BF252" i="1"/>
  <c r="BF87" i="1"/>
  <c r="BM87" i="1" s="1"/>
  <c r="I87" i="4" s="1"/>
  <c r="BK222" i="1"/>
  <c r="G222" i="4"/>
  <c r="BM222" i="1"/>
  <c r="I222" i="4" s="1"/>
  <c r="BF175" i="1"/>
  <c r="E175" i="4"/>
  <c r="BF425" i="1"/>
  <c r="BF300" i="1"/>
  <c r="E300" i="4"/>
  <c r="E419" i="4"/>
  <c r="BF419" i="1"/>
  <c r="AY84" i="1"/>
  <c r="BD84" i="1"/>
  <c r="AY325" i="1"/>
  <c r="BD325" i="1"/>
  <c r="BM467" i="1"/>
  <c r="I467" i="4" s="1"/>
  <c r="G467" i="4"/>
  <c r="BK467" i="1"/>
  <c r="BF366" i="1"/>
  <c r="E366" i="4"/>
  <c r="E3" i="4"/>
  <c r="BF3" i="1"/>
  <c r="E228" i="4"/>
  <c r="E161" i="4"/>
  <c r="BF161" i="1"/>
  <c r="E80" i="4"/>
  <c r="BF80" i="1"/>
  <c r="BM402" i="1"/>
  <c r="I402" i="4" s="1"/>
  <c r="BK402" i="1"/>
  <c r="G402" i="4"/>
  <c r="E346" i="4"/>
  <c r="BF346" i="1"/>
  <c r="AW24" i="1"/>
  <c r="BD24" i="1" s="1"/>
  <c r="BF135" i="1"/>
  <c r="E135" i="4"/>
  <c r="BK200" i="1"/>
  <c r="G200" i="4"/>
  <c r="BM200" i="1"/>
  <c r="I200" i="4" s="1"/>
  <c r="K64" i="2"/>
  <c r="G431" i="4"/>
  <c r="BM431" i="1"/>
  <c r="I431" i="4" s="1"/>
  <c r="BK431" i="1"/>
  <c r="BF474" i="1"/>
  <c r="E474" i="4"/>
  <c r="E137" i="4"/>
  <c r="BF137" i="1"/>
  <c r="AZ52" i="1"/>
  <c r="BF492" i="1"/>
  <c r="E492" i="4"/>
  <c r="BF114" i="1"/>
  <c r="E114" i="4"/>
  <c r="BK241" i="1"/>
  <c r="BM241" i="1"/>
  <c r="I241" i="4" s="1"/>
  <c r="G241" i="4"/>
  <c r="G41" i="4"/>
  <c r="BK41" i="1"/>
  <c r="BM41" i="1"/>
  <c r="I41" i="4" s="1"/>
  <c r="BM489" i="1"/>
  <c r="I489" i="4" s="1"/>
  <c r="G489" i="4"/>
  <c r="BK489" i="1"/>
  <c r="E347" i="4"/>
  <c r="BF347" i="1"/>
  <c r="BK458" i="1"/>
  <c r="BM458" i="1"/>
  <c r="I458" i="4" s="1"/>
  <c r="G458" i="4"/>
  <c r="AZ182" i="1"/>
  <c r="BF450" i="1"/>
  <c r="E450" i="4"/>
  <c r="K65" i="2"/>
  <c r="K74" i="2"/>
  <c r="K63" i="2"/>
  <c r="BK437" i="1"/>
  <c r="BM437" i="1"/>
  <c r="I437" i="4" s="1"/>
  <c r="G437" i="4"/>
  <c r="E338" i="4"/>
  <c r="BF338" i="1"/>
  <c r="BF105" i="1"/>
  <c r="E105" i="4"/>
  <c r="E386" i="4"/>
  <c r="BF386" i="1"/>
  <c r="BK432" i="1"/>
  <c r="G432" i="4"/>
  <c r="BM432" i="1"/>
  <c r="I432" i="4" s="1"/>
  <c r="BF110" i="1"/>
  <c r="E110" i="4"/>
  <c r="E103" i="4"/>
  <c r="BF103" i="1"/>
  <c r="K62" i="2"/>
  <c r="AW52" i="1"/>
  <c r="AW182" i="1"/>
  <c r="AY182" i="1" s="1"/>
  <c r="AZ286" i="1"/>
  <c r="AW381" i="1"/>
  <c r="BD381" i="1" s="1"/>
  <c r="AZ381" i="1"/>
  <c r="E390" i="4"/>
  <c r="BF390" i="1"/>
  <c r="K68" i="2"/>
  <c r="BM183" i="1"/>
  <c r="I183" i="4" s="1"/>
  <c r="G183" i="4"/>
  <c r="BK183" i="1"/>
  <c r="BM136" i="1"/>
  <c r="I136" i="4" s="1"/>
  <c r="G136" i="4"/>
  <c r="BK136" i="1"/>
  <c r="BM267" i="1"/>
  <c r="I267" i="4" s="1"/>
  <c r="BK267" i="1"/>
  <c r="G267" i="4"/>
  <c r="E157" i="4"/>
  <c r="BF157" i="1"/>
  <c r="BF394" i="1"/>
  <c r="E394" i="4"/>
  <c r="BF468" i="1"/>
  <c r="E468" i="4"/>
  <c r="BM141" i="1"/>
  <c r="I141" i="4" s="1"/>
  <c r="BK141" i="1"/>
  <c r="G141" i="4"/>
  <c r="BF239" i="1"/>
  <c r="E239" i="4"/>
  <c r="BM334" i="1"/>
  <c r="I334" i="4" s="1"/>
  <c r="BK334" i="1"/>
  <c r="G334" i="4"/>
  <c r="BF278" i="1"/>
  <c r="E278" i="4"/>
  <c r="BF264" i="1"/>
  <c r="E264" i="4"/>
  <c r="G424" i="4"/>
  <c r="BK424" i="1"/>
  <c r="BM424" i="1"/>
  <c r="I424" i="4" s="1"/>
  <c r="AY372" i="1"/>
  <c r="BD372" i="1"/>
  <c r="BF147" i="1"/>
  <c r="E147" i="4"/>
  <c r="AZ38" i="1"/>
  <c r="E310" i="4"/>
  <c r="BF310" i="1"/>
  <c r="E59" i="4"/>
  <c r="BF59" i="1"/>
  <c r="G466" i="4"/>
  <c r="BK466" i="1"/>
  <c r="BM466" i="1"/>
  <c r="I466" i="4" s="1"/>
  <c r="BK340" i="1"/>
  <c r="G340" i="4"/>
  <c r="BM340" i="1"/>
  <c r="I340" i="4" s="1"/>
  <c r="G85" i="4"/>
  <c r="BK85" i="1"/>
  <c r="BM85" i="1"/>
  <c r="I85" i="4" s="1"/>
  <c r="BD348" i="1"/>
  <c r="AY348" i="1"/>
  <c r="G378" i="4"/>
  <c r="BM378" i="1"/>
  <c r="I378" i="4" s="1"/>
  <c r="BK378" i="1"/>
  <c r="G72" i="4"/>
  <c r="BK72" i="1"/>
  <c r="BM72" i="1"/>
  <c r="I72" i="4" s="1"/>
  <c r="E496" i="4"/>
  <c r="BF496" i="1"/>
  <c r="G328" i="4"/>
  <c r="BK328" i="1"/>
  <c r="BM328" i="1"/>
  <c r="I328" i="4" s="1"/>
  <c r="AY217" i="1"/>
  <c r="BD217" i="1"/>
  <c r="E351" i="4"/>
  <c r="BF351" i="1"/>
  <c r="BK408" i="1"/>
  <c r="G408" i="4"/>
  <c r="BM408" i="1"/>
  <c r="I408" i="4" s="1"/>
  <c r="G438" i="4"/>
  <c r="BK438" i="1"/>
  <c r="BM438" i="1"/>
  <c r="I438" i="4" s="1"/>
  <c r="E225" i="4"/>
  <c r="BF225" i="1"/>
  <c r="BM417" i="1"/>
  <c r="I417" i="4" s="1"/>
  <c r="G417" i="4"/>
  <c r="BK417" i="1"/>
  <c r="AY247" i="1"/>
  <c r="BD247" i="1"/>
  <c r="AZ396" i="1"/>
  <c r="BD249" i="1"/>
  <c r="AY249" i="1"/>
  <c r="E43" i="4"/>
  <c r="BF43" i="1"/>
  <c r="BF266" i="1"/>
  <c r="E266" i="4"/>
  <c r="BK358" i="1"/>
  <c r="BM358" i="1"/>
  <c r="I358" i="4" s="1"/>
  <c r="G358" i="4"/>
  <c r="G179" i="4"/>
  <c r="BK179" i="1"/>
  <c r="BM179" i="1"/>
  <c r="I179" i="4" s="1"/>
  <c r="BM35" i="1"/>
  <c r="I35" i="4" s="1"/>
  <c r="G35" i="4"/>
  <c r="BK35" i="1"/>
  <c r="AW286" i="1"/>
  <c r="E343" i="4"/>
  <c r="BF343" i="1"/>
  <c r="AW38" i="1"/>
  <c r="BM76" i="1"/>
  <c r="I76" i="4" s="1"/>
  <c r="BK76" i="1"/>
  <c r="G76" i="4"/>
  <c r="G445" i="4"/>
  <c r="BM445" i="1"/>
  <c r="I445" i="4" s="1"/>
  <c r="BK445" i="1"/>
  <c r="BK423" i="1"/>
  <c r="G423" i="4"/>
  <c r="BM423" i="1"/>
  <c r="I423" i="4" s="1"/>
  <c r="BK364" i="1"/>
  <c r="G364" i="4"/>
  <c r="BM364" i="1"/>
  <c r="I364" i="4" s="1"/>
  <c r="BM292" i="1"/>
  <c r="I292" i="4" s="1"/>
  <c r="BK292" i="1"/>
  <c r="G292" i="4"/>
  <c r="BD398" i="1"/>
  <c r="AY398" i="1"/>
  <c r="BK201" i="1"/>
  <c r="G201" i="4"/>
  <c r="BM201" i="1"/>
  <c r="I201" i="4" s="1"/>
  <c r="BK276" i="1"/>
  <c r="BM276" i="1"/>
  <c r="I276" i="4" s="1"/>
  <c r="G276" i="4"/>
  <c r="BK176" i="1"/>
  <c r="BM176" i="1"/>
  <c r="I176" i="4" s="1"/>
  <c r="G176" i="4"/>
  <c r="BF352" i="1"/>
  <c r="E352" i="4"/>
  <c r="BM449" i="1"/>
  <c r="I449" i="4" s="1"/>
  <c r="BK449" i="1"/>
  <c r="G449" i="4"/>
  <c r="BM202" i="1"/>
  <c r="I202" i="4" s="1"/>
  <c r="G202" i="4"/>
  <c r="BK202" i="1"/>
  <c r="BF271" i="1"/>
  <c r="E271" i="4"/>
  <c r="G113" i="4"/>
  <c r="BK113" i="1"/>
  <c r="BM113" i="1"/>
  <c r="I113" i="4" s="1"/>
  <c r="E272" i="4"/>
  <c r="BF272" i="1"/>
  <c r="BF184" i="1"/>
  <c r="E184" i="4"/>
  <c r="BM235" i="1"/>
  <c r="I235" i="4" s="1"/>
  <c r="G235" i="4"/>
  <c r="BK235" i="1"/>
  <c r="E177" i="4"/>
  <c r="BF177" i="1"/>
  <c r="AW396" i="1"/>
  <c r="BK324" i="1"/>
  <c r="G324" i="4"/>
  <c r="BM324" i="1"/>
  <c r="I324" i="4" s="1"/>
  <c r="G111" i="4"/>
  <c r="BM111" i="1"/>
  <c r="I111" i="4" s="1"/>
  <c r="BK111" i="1"/>
  <c r="E132" i="4"/>
  <c r="BF132" i="1"/>
  <c r="BM377" i="1"/>
  <c r="I377" i="4" s="1"/>
  <c r="G377" i="4"/>
  <c r="BK377" i="1"/>
  <c r="E47" i="4"/>
  <c r="BF47" i="1"/>
  <c r="BM165" i="1"/>
  <c r="I165" i="4" s="1"/>
  <c r="BK165" i="1"/>
  <c r="G165" i="4"/>
  <c r="E146" i="4"/>
  <c r="BF146" i="1"/>
  <c r="BK71" i="1"/>
  <c r="G71" i="4"/>
  <c r="BM71" i="1"/>
  <c r="I71" i="4" s="1"/>
  <c r="G331" i="4"/>
  <c r="BK331" i="1"/>
  <c r="BM331" i="1"/>
  <c r="I331" i="4" s="1"/>
  <c r="BF49" i="1"/>
  <c r="E49" i="4"/>
  <c r="G26" i="4"/>
  <c r="BM26" i="1"/>
  <c r="I26" i="4" s="1"/>
  <c r="BK26" i="1"/>
  <c r="BF2" i="1"/>
  <c r="E2" i="4"/>
  <c r="BF393" i="1"/>
  <c r="E393" i="4"/>
  <c r="AY68" i="1"/>
  <c r="G128" i="4"/>
  <c r="BK128" i="1"/>
  <c r="BM128" i="1"/>
  <c r="I128" i="4" s="1"/>
  <c r="E439" i="4"/>
  <c r="BF439" i="1"/>
  <c r="E51" i="4"/>
  <c r="BF51" i="1"/>
  <c r="BM106" i="1"/>
  <c r="I106" i="4" s="1"/>
  <c r="BK106" i="1"/>
  <c r="G106" i="4"/>
  <c r="E335" i="4"/>
  <c r="BF335" i="1"/>
  <c r="BM231" i="1"/>
  <c r="I231" i="4" s="1"/>
  <c r="G231" i="4"/>
  <c r="BK231" i="1"/>
  <c r="E91" i="4"/>
  <c r="BF91" i="1"/>
  <c r="E403" i="4"/>
  <c r="BF403" i="1"/>
  <c r="BM16" i="1"/>
  <c r="I16" i="4" s="1"/>
  <c r="G16" i="4"/>
  <c r="BK16" i="1"/>
  <c r="BM269" i="1"/>
  <c r="I269" i="4" s="1"/>
  <c r="G269" i="4"/>
  <c r="BK269" i="1"/>
  <c r="E349" i="4"/>
  <c r="BF349" i="1"/>
  <c r="BK124" i="1"/>
  <c r="BM124" i="1"/>
  <c r="I124" i="4" s="1"/>
  <c r="G124" i="4"/>
  <c r="BF409" i="1"/>
  <c r="E409" i="4"/>
  <c r="AY21" i="1"/>
  <c r="BD21" i="1"/>
  <c r="BM195" i="1"/>
  <c r="I195" i="4" s="1"/>
  <c r="BK195" i="1"/>
  <c r="G195" i="4"/>
  <c r="BM256" i="1"/>
  <c r="I256" i="4" s="1"/>
  <c r="BK256" i="1"/>
  <c r="G256" i="4"/>
  <c r="E36" i="4"/>
  <c r="BF36" i="1"/>
  <c r="BM143" i="1"/>
  <c r="I143" i="4" s="1"/>
  <c r="G143" i="4"/>
  <c r="BK143" i="1"/>
  <c r="BF134" i="1"/>
  <c r="E134" i="4"/>
  <c r="E158" i="4"/>
  <c r="BF158" i="1"/>
  <c r="BF304" i="1"/>
  <c r="E304" i="4"/>
  <c r="BD171" i="1"/>
  <c r="AY171" i="1"/>
  <c r="BK245" i="1"/>
  <c r="BM245" i="1"/>
  <c r="I245" i="4" s="1"/>
  <c r="G245" i="4"/>
  <c r="E150" i="4"/>
  <c r="BF150" i="1"/>
  <c r="G261" i="4"/>
  <c r="BK261" i="1"/>
  <c r="BM261" i="1"/>
  <c r="I261" i="4" s="1"/>
  <c r="BF326" i="1"/>
  <c r="E326" i="4"/>
  <c r="E100" i="4"/>
  <c r="BF100" i="1"/>
  <c r="BK228" i="1"/>
  <c r="G228" i="4"/>
  <c r="BM228" i="1"/>
  <c r="I228" i="4" s="1"/>
  <c r="E216" i="4"/>
  <c r="BF216" i="1"/>
  <c r="E199" i="4"/>
  <c r="BF199" i="1"/>
  <c r="G32" i="4"/>
  <c r="BK32" i="1"/>
  <c r="BM32" i="1"/>
  <c r="I32" i="4" s="1"/>
  <c r="G448" i="4"/>
  <c r="BK448" i="1"/>
  <c r="BM448" i="1"/>
  <c r="I448" i="4" s="1"/>
  <c r="BF221" i="1"/>
  <c r="E221" i="4"/>
  <c r="G481" i="4"/>
  <c r="BM481" i="1"/>
  <c r="I481" i="4" s="1"/>
  <c r="BK481" i="1"/>
  <c r="E288" i="4"/>
  <c r="BF288" i="1"/>
  <c r="E485" i="4"/>
  <c r="BF485" i="1"/>
  <c r="E436" i="4"/>
  <c r="BF436" i="1"/>
  <c r="E482" i="4"/>
  <c r="BF482" i="1"/>
  <c r="E75" i="4"/>
  <c r="BF75" i="1"/>
  <c r="G238" i="4"/>
  <c r="BK238" i="1"/>
  <c r="BM238" i="1"/>
  <c r="I238" i="4" s="1"/>
  <c r="G226" i="4"/>
  <c r="BM226" i="1"/>
  <c r="I226" i="4" s="1"/>
  <c r="BK226" i="1"/>
  <c r="BK320" i="1"/>
  <c r="BM320" i="1"/>
  <c r="I320" i="4" s="1"/>
  <c r="G320" i="4"/>
  <c r="G313" i="4"/>
  <c r="BK313" i="1"/>
  <c r="BM313" i="1"/>
  <c r="I313" i="4" s="1"/>
  <c r="E68" i="4"/>
  <c r="BF68" i="1"/>
  <c r="BK329" i="1"/>
  <c r="G329" i="4"/>
  <c r="BM329" i="1"/>
  <c r="I329" i="4" s="1"/>
  <c r="BM227" i="1"/>
  <c r="I227" i="4" s="1"/>
  <c r="BK227" i="1"/>
  <c r="G227" i="4"/>
  <c r="G139" i="4"/>
  <c r="BM139" i="1"/>
  <c r="I139" i="4" s="1"/>
  <c r="BK139" i="1"/>
  <c r="G463" i="4"/>
  <c r="BM463" i="1"/>
  <c r="I463" i="4" s="1"/>
  <c r="BK463" i="1"/>
  <c r="E280" i="4"/>
  <c r="BF280" i="1"/>
  <c r="BK172" i="1"/>
  <c r="BM172" i="1"/>
  <c r="I172" i="4" s="1"/>
  <c r="G172" i="4"/>
  <c r="BM27" i="1"/>
  <c r="I27" i="4" s="1"/>
  <c r="G27" i="4"/>
  <c r="BK27" i="1"/>
  <c r="BK67" i="1"/>
  <c r="BM67" i="1"/>
  <c r="I67" i="4" s="1"/>
  <c r="G67" i="4"/>
  <c r="E115" i="4"/>
  <c r="BF115" i="1"/>
  <c r="BM156" i="1"/>
  <c r="I156" i="4" s="1"/>
  <c r="G156" i="4"/>
  <c r="BK156" i="1"/>
  <c r="E101" i="4"/>
  <c r="BF101" i="1"/>
  <c r="BM57" i="1"/>
  <c r="I57" i="4" s="1"/>
  <c r="BK57" i="1"/>
  <c r="G57" i="4"/>
  <c r="BF400" i="1"/>
  <c r="E400" i="4"/>
  <c r="E163" i="4"/>
  <c r="BF163" i="1"/>
  <c r="G362" i="4"/>
  <c r="BK362" i="1"/>
  <c r="BM362" i="1"/>
  <c r="I362" i="4" s="1"/>
  <c r="BM116" i="1"/>
  <c r="I116" i="4" s="1"/>
  <c r="BK116" i="1"/>
  <c r="G116" i="4"/>
  <c r="BM188" i="1"/>
  <c r="I188" i="4" s="1"/>
  <c r="G188" i="4"/>
  <c r="BK188" i="1"/>
  <c r="E192" i="4"/>
  <c r="BF192" i="1"/>
  <c r="G17" i="4"/>
  <c r="BM17" i="1"/>
  <c r="I17" i="4" s="1"/>
  <c r="BK17" i="1"/>
  <c r="BK483" i="1"/>
  <c r="BM483" i="1"/>
  <c r="I483" i="4" s="1"/>
  <c r="G483" i="4"/>
  <c r="BK413" i="1"/>
  <c r="G413" i="4"/>
  <c r="BM413" i="1"/>
  <c r="I413" i="4" s="1"/>
  <c r="G53" i="4"/>
  <c r="BM53" i="1"/>
  <c r="I53" i="4" s="1"/>
  <c r="BK53" i="1"/>
  <c r="G471" i="4"/>
  <c r="BK471" i="1"/>
  <c r="BM471" i="1"/>
  <c r="I471" i="4" s="1"/>
  <c r="BF196" i="1"/>
  <c r="E196" i="4"/>
  <c r="G46" i="4"/>
  <c r="BM46" i="1"/>
  <c r="I46" i="4" s="1"/>
  <c r="BK46" i="1"/>
  <c r="BK440" i="1"/>
  <c r="G440" i="4"/>
  <c r="BM440" i="1"/>
  <c r="I440" i="4" s="1"/>
  <c r="BM251" i="1"/>
  <c r="I251" i="4" s="1"/>
  <c r="G251" i="4"/>
  <c r="BK251" i="1"/>
  <c r="G268" i="4"/>
  <c r="BM268" i="1"/>
  <c r="I268" i="4" s="1"/>
  <c r="BK268" i="1"/>
  <c r="E497" i="4"/>
  <c r="BF497" i="1"/>
  <c r="G230" i="4"/>
  <c r="BK230" i="1"/>
  <c r="BM230" i="1"/>
  <c r="I230" i="4" s="1"/>
  <c r="BF363" i="1"/>
  <c r="E363" i="4"/>
  <c r="G212" i="4"/>
  <c r="BM212" i="1"/>
  <c r="I212" i="4" s="1"/>
  <c r="BK212" i="1"/>
  <c r="BM451" i="1"/>
  <c r="I451" i="4" s="1"/>
  <c r="G451" i="4"/>
  <c r="BK451" i="1"/>
  <c r="E357" i="4"/>
  <c r="BF357" i="1"/>
  <c r="E86" i="4"/>
  <c r="BF86" i="1"/>
  <c r="BM473" i="1"/>
  <c r="I473" i="4" s="1"/>
  <c r="BK473" i="1"/>
  <c r="G473" i="4"/>
  <c r="G7" i="4"/>
  <c r="BK7" i="1"/>
  <c r="BM7" i="1"/>
  <c r="I7" i="4" s="1"/>
  <c r="BM234" i="1"/>
  <c r="I234" i="4" s="1"/>
  <c r="G234" i="4"/>
  <c r="BK234" i="1"/>
  <c r="G185" i="4"/>
  <c r="BM185" i="1"/>
  <c r="I185" i="4" s="1"/>
  <c r="BK185" i="1"/>
  <c r="BK144" i="1"/>
  <c r="G144" i="4"/>
  <c r="BM144" i="1"/>
  <c r="I144" i="4" s="1"/>
  <c r="G90" i="4"/>
  <c r="BM90" i="1"/>
  <c r="I90" i="4" s="1"/>
  <c r="BK90" i="1"/>
  <c r="G421" i="4"/>
  <c r="BM421" i="1"/>
  <c r="I421" i="4" s="1"/>
  <c r="BK421" i="1"/>
  <c r="G69" i="4"/>
  <c r="BM69" i="1"/>
  <c r="I69" i="4" s="1"/>
  <c r="BK69" i="1"/>
  <c r="G464" i="4"/>
  <c r="BK464" i="1"/>
  <c r="BM464" i="1"/>
  <c r="I464" i="4" s="1"/>
  <c r="BM385" i="1"/>
  <c r="I385" i="4" s="1"/>
  <c r="G385" i="4"/>
  <c r="BK385" i="1"/>
  <c r="BK92" i="1"/>
  <c r="BM92" i="1"/>
  <c r="I92" i="4" s="1"/>
  <c r="G92" i="4"/>
  <c r="BB295" i="1" l="1"/>
  <c r="BC295" i="1" s="1"/>
  <c r="BK259" i="1"/>
  <c r="BM50" i="1"/>
  <c r="I50" i="4" s="1"/>
  <c r="BM491" i="1"/>
  <c r="I491" i="4" s="1"/>
  <c r="G259" i="4"/>
  <c r="BK50" i="1"/>
  <c r="BK491" i="1"/>
  <c r="G210" i="4"/>
  <c r="E37" i="4"/>
  <c r="BK426" i="1"/>
  <c r="BF355" i="1"/>
  <c r="BK355" i="1" s="1"/>
  <c r="BM98" i="1"/>
  <c r="I98" i="4" s="1"/>
  <c r="G404" i="4"/>
  <c r="BM404" i="1"/>
  <c r="I404" i="4" s="1"/>
  <c r="BK258" i="1"/>
  <c r="BM426" i="1"/>
  <c r="I426" i="4" s="1"/>
  <c r="BM258" i="1"/>
  <c r="I258" i="4" s="1"/>
  <c r="G330" i="4"/>
  <c r="BM243" i="1"/>
  <c r="I243" i="4" s="1"/>
  <c r="G243" i="4"/>
  <c r="BM443" i="1"/>
  <c r="I443" i="4" s="1"/>
  <c r="BM125" i="1"/>
  <c r="I125" i="4" s="1"/>
  <c r="G308" i="4"/>
  <c r="G443" i="4"/>
  <c r="BM330" i="1"/>
  <c r="I330" i="4" s="1"/>
  <c r="BK475" i="1"/>
  <c r="BK350" i="1"/>
  <c r="BC86" i="1"/>
  <c r="BC44" i="1"/>
  <c r="BM14" i="1"/>
  <c r="I14" i="4" s="1"/>
  <c r="BM308" i="1"/>
  <c r="I308" i="4" s="1"/>
  <c r="E6" i="4"/>
  <c r="G434" i="4"/>
  <c r="G58" i="4"/>
  <c r="G45" i="4"/>
  <c r="G14" i="4"/>
  <c r="BK178" i="1"/>
  <c r="BK45" i="1"/>
  <c r="BK434" i="1"/>
  <c r="BK98" i="1"/>
  <c r="G126" i="4"/>
  <c r="AY97" i="1"/>
  <c r="BC29" i="1"/>
  <c r="BB296" i="1"/>
  <c r="BC296" i="1" s="1"/>
  <c r="BM126" i="1"/>
  <c r="I126" i="4" s="1"/>
  <c r="BK125" i="1"/>
  <c r="G380" i="4"/>
  <c r="G209" i="4"/>
  <c r="G477" i="4"/>
  <c r="BF29" i="1"/>
  <c r="G29" i="4" s="1"/>
  <c r="BM389" i="1"/>
  <c r="I389" i="4" s="1"/>
  <c r="BM410" i="1"/>
  <c r="I410" i="4" s="1"/>
  <c r="E311" i="4"/>
  <c r="BA24" i="1"/>
  <c r="BC24" i="1" s="1"/>
  <c r="BK380" i="1"/>
  <c r="G389" i="4"/>
  <c r="G410" i="4"/>
  <c r="BK209" i="1"/>
  <c r="BF387" i="1"/>
  <c r="BK387" i="1" s="1"/>
  <c r="BC398" i="1"/>
  <c r="BK297" i="1"/>
  <c r="G475" i="4"/>
  <c r="BK375" i="1"/>
  <c r="BM121" i="1"/>
  <c r="I121" i="4" s="1"/>
  <c r="G121" i="4"/>
  <c r="BK20" i="1"/>
  <c r="BK198" i="1"/>
  <c r="G198" i="4"/>
  <c r="BF193" i="1"/>
  <c r="BK193" i="1" s="1"/>
  <c r="G375" i="4"/>
  <c r="BK33" i="1"/>
  <c r="BM210" i="1"/>
  <c r="I210" i="4" s="1"/>
  <c r="BM178" i="1"/>
  <c r="I178" i="4" s="1"/>
  <c r="BM477" i="1"/>
  <c r="I477" i="4" s="1"/>
  <c r="BK58" i="1"/>
  <c r="BM350" i="1"/>
  <c r="I350" i="4" s="1"/>
  <c r="BA401" i="1"/>
  <c r="BC401" i="1" s="1"/>
  <c r="G99" i="4"/>
  <c r="BK99" i="1"/>
  <c r="BM99" i="1"/>
  <c r="I99" i="4" s="1"/>
  <c r="E108" i="4"/>
  <c r="BK166" i="1"/>
  <c r="BK265" i="1"/>
  <c r="G166" i="4"/>
  <c r="E170" i="4"/>
  <c r="G478" i="4"/>
  <c r="BM20" i="1"/>
  <c r="I20" i="4" s="1"/>
  <c r="BA97" i="1"/>
  <c r="BC97" i="1" s="1"/>
  <c r="G422" i="4"/>
  <c r="BF465" i="1"/>
  <c r="BK465" i="1" s="1"/>
  <c r="BA140" i="1"/>
  <c r="BC140" i="1" s="1"/>
  <c r="BM478" i="1"/>
  <c r="I478" i="4" s="1"/>
  <c r="BK344" i="1"/>
  <c r="BK339" i="1"/>
  <c r="AY322" i="1"/>
  <c r="BF290" i="1"/>
  <c r="BK290" i="1" s="1"/>
  <c r="G344" i="4"/>
  <c r="BM339" i="1"/>
  <c r="I339" i="4" s="1"/>
  <c r="BK315" i="1"/>
  <c r="BC355" i="1"/>
  <c r="BC217" i="1"/>
  <c r="BM307" i="1"/>
  <c r="I307" i="4" s="1"/>
  <c r="BC171" i="1"/>
  <c r="BK399" i="1"/>
  <c r="G229" i="4"/>
  <c r="BM229" i="1"/>
  <c r="I229" i="4" s="1"/>
  <c r="BK229" i="1"/>
  <c r="BK77" i="1"/>
  <c r="E142" i="4"/>
  <c r="BM441" i="1"/>
  <c r="I441" i="4" s="1"/>
  <c r="BM422" i="1"/>
  <c r="I422" i="4" s="1"/>
  <c r="G265" i="4"/>
  <c r="BM315" i="1"/>
  <c r="I315" i="4" s="1"/>
  <c r="BK307" i="1"/>
  <c r="BC84" i="1"/>
  <c r="BC37" i="1"/>
  <c r="BM399" i="1"/>
  <c r="I399" i="4" s="1"/>
  <c r="BM33" i="1"/>
  <c r="I33" i="4" s="1"/>
  <c r="BF167" i="1"/>
  <c r="E167" i="4"/>
  <c r="BM77" i="1"/>
  <c r="I77" i="4" s="1"/>
  <c r="BK441" i="1"/>
  <c r="G297" i="4"/>
  <c r="BK70" i="1"/>
  <c r="G70" i="4"/>
  <c r="BM70" i="1"/>
  <c r="I70" i="4" s="1"/>
  <c r="BC68" i="1"/>
  <c r="G416" i="4"/>
  <c r="BK416" i="1"/>
  <c r="BM416" i="1"/>
  <c r="I416" i="4" s="1"/>
  <c r="G162" i="4"/>
  <c r="G392" i="4"/>
  <c r="BK162" i="1"/>
  <c r="BK392" i="1"/>
  <c r="G299" i="4"/>
  <c r="BK299" i="1"/>
  <c r="BM129" i="1"/>
  <c r="I129" i="4" s="1"/>
  <c r="BK130" i="1"/>
  <c r="BA322" i="1"/>
  <c r="BC322" i="1" s="1"/>
  <c r="BK129" i="1"/>
  <c r="BM130" i="1"/>
  <c r="I130" i="4" s="1"/>
  <c r="BK459" i="1"/>
  <c r="E70" i="4"/>
  <c r="BM459" i="1"/>
  <c r="I459" i="4" s="1"/>
  <c r="BB298" i="1"/>
  <c r="BC298" i="1" s="1"/>
  <c r="BC465" i="1"/>
  <c r="BC311" i="1"/>
  <c r="O64" i="2"/>
  <c r="O65" i="2" s="1"/>
  <c r="K67" i="2"/>
  <c r="BC372" i="1"/>
  <c r="BM208" i="1"/>
  <c r="I208" i="4" s="1"/>
  <c r="BK208" i="1"/>
  <c r="E187" i="4"/>
  <c r="BF187" i="1"/>
  <c r="AY452" i="1"/>
  <c r="BD452" i="1"/>
  <c r="E452" i="4" s="1"/>
  <c r="BD472" i="1"/>
  <c r="E472" i="4" s="1"/>
  <c r="AY472" i="1"/>
  <c r="BC369" i="1"/>
  <c r="BC407" i="1"/>
  <c r="BF48" i="1"/>
  <c r="E48" i="4"/>
  <c r="BB452" i="1"/>
  <c r="BA452" i="1"/>
  <c r="BC6" i="1"/>
  <c r="BC266" i="1"/>
  <c r="BC247" i="1"/>
  <c r="BC48" i="1"/>
  <c r="BC387" i="1"/>
  <c r="BC496" i="1"/>
  <c r="BC397" i="1"/>
  <c r="BC170" i="1"/>
  <c r="BD298" i="1"/>
  <c r="BF298" i="1" s="1"/>
  <c r="AY298" i="1"/>
  <c r="G480" i="4"/>
  <c r="BM480" i="1"/>
  <c r="I480" i="4" s="1"/>
  <c r="BK480" i="1"/>
  <c r="G93" i="4"/>
  <c r="BM93" i="1"/>
  <c r="I93" i="4" s="1"/>
  <c r="BK93" i="1"/>
  <c r="G246" i="4"/>
  <c r="BM246" i="1"/>
  <c r="I246" i="4" s="1"/>
  <c r="BK246" i="1"/>
  <c r="G96" i="4"/>
  <c r="BM96" i="1"/>
  <c r="I96" i="4" s="1"/>
  <c r="BK96" i="1"/>
  <c r="BK181" i="1"/>
  <c r="G181" i="4"/>
  <c r="BM181" i="1"/>
  <c r="I181" i="4" s="1"/>
  <c r="BM252" i="1"/>
  <c r="I252" i="4" s="1"/>
  <c r="BK252" i="1"/>
  <c r="G252" i="4"/>
  <c r="BK425" i="1"/>
  <c r="G425" i="4"/>
  <c r="BM425" i="1"/>
  <c r="I425" i="4" s="1"/>
  <c r="BK283" i="1"/>
  <c r="G283" i="4"/>
  <c r="BM283" i="1"/>
  <c r="I283" i="4" s="1"/>
  <c r="BK379" i="1"/>
  <c r="BM379" i="1"/>
  <c r="I379" i="4" s="1"/>
  <c r="G379" i="4"/>
  <c r="G341" i="4"/>
  <c r="BK341" i="1"/>
  <c r="BM341" i="1"/>
  <c r="I341" i="4" s="1"/>
  <c r="E44" i="4"/>
  <c r="BF44" i="1"/>
  <c r="BC152" i="1"/>
  <c r="BC15" i="1"/>
  <c r="BC237" i="1"/>
  <c r="BC348" i="1"/>
  <c r="BC290" i="1"/>
  <c r="BC249" i="1"/>
  <c r="BD140" i="1"/>
  <c r="AY140" i="1"/>
  <c r="BC21" i="1"/>
  <c r="BD486" i="1"/>
  <c r="AY486" i="1"/>
  <c r="E327" i="4"/>
  <c r="BF327" i="1"/>
  <c r="G327" i="4" s="1"/>
  <c r="BF97" i="1"/>
  <c r="E97" i="4"/>
  <c r="BM10" i="1"/>
  <c r="I10" i="4" s="1"/>
  <c r="G10" i="4"/>
  <c r="BK10" i="1"/>
  <c r="BA472" i="1"/>
  <c r="BB472" i="1"/>
  <c r="G293" i="4"/>
  <c r="BM293" i="1"/>
  <c r="I293" i="4" s="1"/>
  <c r="BK293" i="1"/>
  <c r="BD388" i="1"/>
  <c r="AY388" i="1"/>
  <c r="BA486" i="1"/>
  <c r="BB486" i="1"/>
  <c r="BB388" i="1"/>
  <c r="BA388" i="1"/>
  <c r="BA52" i="1"/>
  <c r="BB52" i="1"/>
  <c r="BA182" i="1"/>
  <c r="BB182" i="1"/>
  <c r="BB286" i="1"/>
  <c r="BA286" i="1"/>
  <c r="BA381" i="1"/>
  <c r="BB381" i="1"/>
  <c r="BA38" i="1"/>
  <c r="BB38" i="1"/>
  <c r="K82" i="2" s="1"/>
  <c r="BA396" i="1"/>
  <c r="BB396" i="1"/>
  <c r="BK382" i="1"/>
  <c r="BM382" i="1"/>
  <c r="I382" i="4" s="1"/>
  <c r="G382" i="4"/>
  <c r="BK131" i="1"/>
  <c r="BM131" i="1"/>
  <c r="I131" i="4" s="1"/>
  <c r="G131" i="4"/>
  <c r="BM218" i="1"/>
  <c r="I218" i="4" s="1"/>
  <c r="BK218" i="1"/>
  <c r="G218" i="4"/>
  <c r="BK373" i="1"/>
  <c r="G373" i="4"/>
  <c r="BM373" i="1"/>
  <c r="I373" i="4" s="1"/>
  <c r="BK74" i="1"/>
  <c r="G74" i="4"/>
  <c r="BM74" i="1"/>
  <c r="I74" i="4" s="1"/>
  <c r="BM213" i="1"/>
  <c r="I213" i="4" s="1"/>
  <c r="G213" i="4"/>
  <c r="BK213" i="1"/>
  <c r="BM142" i="1"/>
  <c r="I142" i="4" s="1"/>
  <c r="G142" i="4"/>
  <c r="BK142" i="1"/>
  <c r="G311" i="4"/>
  <c r="BM311" i="1"/>
  <c r="I311" i="4" s="1"/>
  <c r="BK311" i="1"/>
  <c r="G237" i="4"/>
  <c r="BM237" i="1"/>
  <c r="I237" i="4" s="1"/>
  <c r="BK237" i="1"/>
  <c r="BF407" i="1"/>
  <c r="E407" i="4"/>
  <c r="BK37" i="1"/>
  <c r="BM37" i="1"/>
  <c r="I37" i="4" s="1"/>
  <c r="G37" i="4"/>
  <c r="BM154" i="1"/>
  <c r="I154" i="4" s="1"/>
  <c r="BK154" i="1"/>
  <c r="G154" i="4"/>
  <c r="BM274" i="1"/>
  <c r="I274" i="4" s="1"/>
  <c r="BK274" i="1"/>
  <c r="G274" i="4"/>
  <c r="G405" i="4"/>
  <c r="BM405" i="1"/>
  <c r="I405" i="4" s="1"/>
  <c r="BK405" i="1"/>
  <c r="BM427" i="1"/>
  <c r="I427" i="4" s="1"/>
  <c r="BK427" i="1"/>
  <c r="G427" i="4"/>
  <c r="BM336" i="1"/>
  <c r="I336" i="4" s="1"/>
  <c r="BK336" i="1"/>
  <c r="G336" i="4"/>
  <c r="BM145" i="1"/>
  <c r="I145" i="4" s="1"/>
  <c r="G145" i="4"/>
  <c r="BK145" i="1"/>
  <c r="BK498" i="1"/>
  <c r="G498" i="4"/>
  <c r="BM498" i="1"/>
  <c r="I498" i="4" s="1"/>
  <c r="G122" i="4"/>
  <c r="BM122" i="1"/>
  <c r="I122" i="4" s="1"/>
  <c r="BK122" i="1"/>
  <c r="G302" i="4"/>
  <c r="BM302" i="1"/>
  <c r="I302" i="4" s="1"/>
  <c r="BK302" i="1"/>
  <c r="BM94" i="1"/>
  <c r="I94" i="4" s="1"/>
  <c r="BK94" i="1"/>
  <c r="G94" i="4"/>
  <c r="E295" i="4"/>
  <c r="BF295" i="1"/>
  <c r="E401" i="4"/>
  <c r="BF401" i="1"/>
  <c r="E397" i="4"/>
  <c r="BF397" i="1"/>
  <c r="BF152" i="1"/>
  <c r="E152" i="4"/>
  <c r="E369" i="4"/>
  <c r="BF369" i="1"/>
  <c r="BF15" i="1"/>
  <c r="E15" i="4"/>
  <c r="BF446" i="1"/>
  <c r="E446" i="4"/>
  <c r="BM433" i="1"/>
  <c r="I433" i="4" s="1"/>
  <c r="BK433" i="1"/>
  <c r="G433" i="4"/>
  <c r="BF361" i="1"/>
  <c r="E361" i="4"/>
  <c r="BD296" i="1"/>
  <c r="AY296" i="1"/>
  <c r="AY52" i="1"/>
  <c r="BD52" i="1"/>
  <c r="BF52" i="1" s="1"/>
  <c r="BK87" i="1"/>
  <c r="G87" i="4"/>
  <c r="AY24" i="1"/>
  <c r="BK429" i="1"/>
  <c r="G429" i="4"/>
  <c r="BM429" i="1"/>
  <c r="I429" i="4" s="1"/>
  <c r="G430" i="4"/>
  <c r="BK430" i="1"/>
  <c r="BM430" i="1"/>
  <c r="I430" i="4" s="1"/>
  <c r="BK420" i="1"/>
  <c r="BK323" i="1"/>
  <c r="BM323" i="1"/>
  <c r="I323" i="4" s="1"/>
  <c r="G323" i="4"/>
  <c r="BK414" i="1"/>
  <c r="G414" i="4"/>
  <c r="BM414" i="1"/>
  <c r="I414" i="4" s="1"/>
  <c r="BM62" i="1"/>
  <c r="I62" i="4" s="1"/>
  <c r="BM420" i="1"/>
  <c r="I420" i="4" s="1"/>
  <c r="BK62" i="1"/>
  <c r="BD182" i="1"/>
  <c r="E182" i="4" s="1"/>
  <c r="BF64" i="1"/>
  <c r="E64" i="4"/>
  <c r="G175" i="4"/>
  <c r="BK175" i="1"/>
  <c r="BM175" i="1"/>
  <c r="I175" i="4" s="1"/>
  <c r="G300" i="4"/>
  <c r="BK300" i="1"/>
  <c r="BM300" i="1"/>
  <c r="I300" i="4" s="1"/>
  <c r="AY381" i="1"/>
  <c r="BF84" i="1"/>
  <c r="E84" i="4"/>
  <c r="BM419" i="1"/>
  <c r="I419" i="4" s="1"/>
  <c r="G419" i="4"/>
  <c r="BK419" i="1"/>
  <c r="BF325" i="1"/>
  <c r="E325" i="4"/>
  <c r="G366" i="4"/>
  <c r="BM366" i="1"/>
  <c r="I366" i="4" s="1"/>
  <c r="BK366" i="1"/>
  <c r="BM3" i="1"/>
  <c r="I3" i="4" s="1"/>
  <c r="BK3" i="1"/>
  <c r="G3" i="4"/>
  <c r="BM80" i="1"/>
  <c r="I80" i="4" s="1"/>
  <c r="BK80" i="1"/>
  <c r="G80" i="4"/>
  <c r="G346" i="4"/>
  <c r="BM346" i="1"/>
  <c r="I346" i="4" s="1"/>
  <c r="BK346" i="1"/>
  <c r="G161" i="4"/>
  <c r="BM161" i="1"/>
  <c r="I161" i="4" s="1"/>
  <c r="BK161" i="1"/>
  <c r="G170" i="4"/>
  <c r="BK170" i="1"/>
  <c r="BM170" i="1"/>
  <c r="I170" i="4" s="1"/>
  <c r="BM474" i="1"/>
  <c r="I474" i="4" s="1"/>
  <c r="G474" i="4"/>
  <c r="BK474" i="1"/>
  <c r="BM137" i="1"/>
  <c r="I137" i="4" s="1"/>
  <c r="G137" i="4"/>
  <c r="BK137" i="1"/>
  <c r="BM135" i="1"/>
  <c r="I135" i="4" s="1"/>
  <c r="G135" i="4"/>
  <c r="BK135" i="1"/>
  <c r="BK492" i="1"/>
  <c r="G492" i="4"/>
  <c r="BM492" i="1"/>
  <c r="I492" i="4" s="1"/>
  <c r="G347" i="4"/>
  <c r="BM347" i="1"/>
  <c r="I347" i="4" s="1"/>
  <c r="BK347" i="1"/>
  <c r="BK114" i="1"/>
  <c r="G114" i="4"/>
  <c r="BM114" i="1"/>
  <c r="I114" i="4" s="1"/>
  <c r="G338" i="4"/>
  <c r="BM338" i="1"/>
  <c r="I338" i="4" s="1"/>
  <c r="BK338" i="1"/>
  <c r="K80" i="2"/>
  <c r="BK450" i="1"/>
  <c r="BM450" i="1"/>
  <c r="I450" i="4" s="1"/>
  <c r="G450" i="4"/>
  <c r="G110" i="4"/>
  <c r="BK110" i="1"/>
  <c r="BM110" i="1"/>
  <c r="I110" i="4" s="1"/>
  <c r="BK386" i="1"/>
  <c r="G386" i="4"/>
  <c r="BM386" i="1"/>
  <c r="I386" i="4" s="1"/>
  <c r="G103" i="4"/>
  <c r="BK103" i="1"/>
  <c r="BM103" i="1"/>
  <c r="I103" i="4" s="1"/>
  <c r="BK390" i="1"/>
  <c r="G390" i="4"/>
  <c r="BM390" i="1"/>
  <c r="I390" i="4" s="1"/>
  <c r="G105" i="4"/>
  <c r="BK105" i="1"/>
  <c r="BM105" i="1"/>
  <c r="I105" i="4" s="1"/>
  <c r="BD396" i="1"/>
  <c r="AY396" i="1"/>
  <c r="BD286" i="1"/>
  <c r="AY286" i="1"/>
  <c r="E247" i="4"/>
  <c r="BF247" i="1"/>
  <c r="BM310" i="1"/>
  <c r="I310" i="4" s="1"/>
  <c r="BK310" i="1"/>
  <c r="G310" i="4"/>
  <c r="G147" i="4"/>
  <c r="BK147" i="1"/>
  <c r="BM147" i="1"/>
  <c r="I147" i="4" s="1"/>
  <c r="G264" i="4"/>
  <c r="BK264" i="1"/>
  <c r="BM264" i="1"/>
  <c r="I264" i="4" s="1"/>
  <c r="G239" i="4"/>
  <c r="BM239" i="1"/>
  <c r="I239" i="4" s="1"/>
  <c r="BK239" i="1"/>
  <c r="BM272" i="1"/>
  <c r="I272" i="4" s="1"/>
  <c r="BK272" i="1"/>
  <c r="G272" i="4"/>
  <c r="AY38" i="1"/>
  <c r="BD38" i="1"/>
  <c r="BF24" i="1"/>
  <c r="E24" i="4"/>
  <c r="E217" i="4"/>
  <c r="BF217" i="1"/>
  <c r="BM496" i="1"/>
  <c r="I496" i="4" s="1"/>
  <c r="G496" i="4"/>
  <c r="BK496" i="1"/>
  <c r="E348" i="4"/>
  <c r="BF348" i="1"/>
  <c r="E372" i="4"/>
  <c r="BF372" i="1"/>
  <c r="BK394" i="1"/>
  <c r="BM394" i="1"/>
  <c r="I394" i="4" s="1"/>
  <c r="G394" i="4"/>
  <c r="G177" i="4"/>
  <c r="BM177" i="1"/>
  <c r="I177" i="4" s="1"/>
  <c r="BK177" i="1"/>
  <c r="G271" i="4"/>
  <c r="BK271" i="1"/>
  <c r="BM271" i="1"/>
  <c r="I271" i="4" s="1"/>
  <c r="BF398" i="1"/>
  <c r="E398" i="4"/>
  <c r="BK108" i="1"/>
  <c r="BM108" i="1"/>
  <c r="I108" i="4" s="1"/>
  <c r="G108" i="4"/>
  <c r="BK343" i="1"/>
  <c r="G343" i="4"/>
  <c r="BM343" i="1"/>
  <c r="I343" i="4" s="1"/>
  <c r="BM266" i="1"/>
  <c r="I266" i="4" s="1"/>
  <c r="G266" i="4"/>
  <c r="BK266" i="1"/>
  <c r="BF249" i="1"/>
  <c r="E249" i="4"/>
  <c r="E381" i="4"/>
  <c r="BF381" i="1"/>
  <c r="G278" i="4"/>
  <c r="BK278" i="1"/>
  <c r="BM278" i="1"/>
  <c r="I278" i="4" s="1"/>
  <c r="BM157" i="1"/>
  <c r="I157" i="4" s="1"/>
  <c r="BK157" i="1"/>
  <c r="G157" i="4"/>
  <c r="G184" i="4"/>
  <c r="BM184" i="1"/>
  <c r="I184" i="4" s="1"/>
  <c r="BK184" i="1"/>
  <c r="BM352" i="1"/>
  <c r="I352" i="4" s="1"/>
  <c r="BK352" i="1"/>
  <c r="G352" i="4"/>
  <c r="BK43" i="1"/>
  <c r="BM43" i="1"/>
  <c r="I43" i="4" s="1"/>
  <c r="G43" i="4"/>
  <c r="BF322" i="1"/>
  <c r="E322" i="4"/>
  <c r="BK225" i="1"/>
  <c r="G225" i="4"/>
  <c r="BM225" i="1"/>
  <c r="I225" i="4" s="1"/>
  <c r="G351" i="4"/>
  <c r="BM351" i="1"/>
  <c r="I351" i="4" s="1"/>
  <c r="BK351" i="1"/>
  <c r="G59" i="4"/>
  <c r="BM59" i="1"/>
  <c r="I59" i="4" s="1"/>
  <c r="BK59" i="1"/>
  <c r="BM468" i="1"/>
  <c r="I468" i="4" s="1"/>
  <c r="G468" i="4"/>
  <c r="BK468" i="1"/>
  <c r="G47" i="4"/>
  <c r="BK47" i="1"/>
  <c r="BM47" i="1"/>
  <c r="I47" i="4" s="1"/>
  <c r="G132" i="4"/>
  <c r="BK132" i="1"/>
  <c r="BM132" i="1"/>
  <c r="I132" i="4" s="1"/>
  <c r="BK146" i="1"/>
  <c r="BM146" i="1"/>
  <c r="I146" i="4" s="1"/>
  <c r="G146" i="4"/>
  <c r="BK2" i="1"/>
  <c r="BM2" i="1"/>
  <c r="I2" i="4" s="1"/>
  <c r="G2" i="4"/>
  <c r="BK393" i="1"/>
  <c r="BM393" i="1"/>
  <c r="I393" i="4" s="1"/>
  <c r="G393" i="4"/>
  <c r="G49" i="4"/>
  <c r="BK49" i="1"/>
  <c r="BM49" i="1"/>
  <c r="I49" i="4" s="1"/>
  <c r="G91" i="4"/>
  <c r="BM91" i="1"/>
  <c r="I91" i="4" s="1"/>
  <c r="BK91" i="1"/>
  <c r="G335" i="4"/>
  <c r="BK335" i="1"/>
  <c r="BM335" i="1"/>
  <c r="I335" i="4" s="1"/>
  <c r="BK51" i="1"/>
  <c r="G51" i="4"/>
  <c r="BM51" i="1"/>
  <c r="I51" i="4" s="1"/>
  <c r="G439" i="4"/>
  <c r="BK439" i="1"/>
  <c r="BM439" i="1"/>
  <c r="I439" i="4" s="1"/>
  <c r="G304" i="4"/>
  <c r="BM304" i="1"/>
  <c r="I304" i="4" s="1"/>
  <c r="BK304" i="1"/>
  <c r="BK134" i="1"/>
  <c r="G134" i="4"/>
  <c r="BM134" i="1"/>
  <c r="I134" i="4" s="1"/>
  <c r="BK36" i="1"/>
  <c r="BM36" i="1"/>
  <c r="I36" i="4" s="1"/>
  <c r="G36" i="4"/>
  <c r="BF21" i="1"/>
  <c r="E21" i="4"/>
  <c r="BM158" i="1"/>
  <c r="I158" i="4" s="1"/>
  <c r="G158" i="4"/>
  <c r="BK158" i="1"/>
  <c r="BF171" i="1"/>
  <c r="E171" i="4"/>
  <c r="BM349" i="1"/>
  <c r="I349" i="4" s="1"/>
  <c r="G349" i="4"/>
  <c r="BK349" i="1"/>
  <c r="BK403" i="1"/>
  <c r="G403" i="4"/>
  <c r="BM403" i="1"/>
  <c r="I403" i="4" s="1"/>
  <c r="BK409" i="1"/>
  <c r="BM409" i="1"/>
  <c r="I409" i="4" s="1"/>
  <c r="G409" i="4"/>
  <c r="BM6" i="1"/>
  <c r="I6" i="4" s="1"/>
  <c r="G6" i="4"/>
  <c r="BK6" i="1"/>
  <c r="BK68" i="1"/>
  <c r="G68" i="4"/>
  <c r="BM68" i="1"/>
  <c r="I68" i="4" s="1"/>
  <c r="BM482" i="1"/>
  <c r="I482" i="4" s="1"/>
  <c r="G482" i="4"/>
  <c r="BK482" i="1"/>
  <c r="BM436" i="1"/>
  <c r="I436" i="4" s="1"/>
  <c r="BK436" i="1"/>
  <c r="G436" i="4"/>
  <c r="G288" i="4"/>
  <c r="BM288" i="1"/>
  <c r="I288" i="4" s="1"/>
  <c r="BK288" i="1"/>
  <c r="BK199" i="1"/>
  <c r="G199" i="4"/>
  <c r="BM199" i="1"/>
  <c r="I199" i="4" s="1"/>
  <c r="BM221" i="1"/>
  <c r="I221" i="4" s="1"/>
  <c r="BK221" i="1"/>
  <c r="G221" i="4"/>
  <c r="G150" i="4"/>
  <c r="BK150" i="1"/>
  <c r="BM150" i="1"/>
  <c r="I150" i="4" s="1"/>
  <c r="G75" i="4"/>
  <c r="BK75" i="1"/>
  <c r="BM75" i="1"/>
  <c r="I75" i="4" s="1"/>
  <c r="G485" i="4"/>
  <c r="BK485" i="1"/>
  <c r="BM485" i="1"/>
  <c r="I485" i="4" s="1"/>
  <c r="G216" i="4"/>
  <c r="BK216" i="1"/>
  <c r="BM216" i="1"/>
  <c r="I216" i="4" s="1"/>
  <c r="BM326" i="1"/>
  <c r="I326" i="4" s="1"/>
  <c r="BK326" i="1"/>
  <c r="G326" i="4"/>
  <c r="BK280" i="1"/>
  <c r="BM280" i="1"/>
  <c r="I280" i="4" s="1"/>
  <c r="G280" i="4"/>
  <c r="G100" i="4"/>
  <c r="BK100" i="1"/>
  <c r="BM100" i="1"/>
  <c r="I100" i="4" s="1"/>
  <c r="G86" i="4"/>
  <c r="BK86" i="1"/>
  <c r="BM86" i="1"/>
  <c r="I86" i="4" s="1"/>
  <c r="G357" i="4"/>
  <c r="BM357" i="1"/>
  <c r="I357" i="4" s="1"/>
  <c r="BK357" i="1"/>
  <c r="BM400" i="1"/>
  <c r="I400" i="4" s="1"/>
  <c r="G400" i="4"/>
  <c r="BK400" i="1"/>
  <c r="G101" i="4"/>
  <c r="BK101" i="1"/>
  <c r="BM101" i="1"/>
  <c r="I101" i="4" s="1"/>
  <c r="BK363" i="1"/>
  <c r="G363" i="4"/>
  <c r="BM363" i="1"/>
  <c r="I363" i="4" s="1"/>
  <c r="BK497" i="1"/>
  <c r="G497" i="4"/>
  <c r="BM497" i="1"/>
  <c r="I497" i="4" s="1"/>
  <c r="G163" i="4"/>
  <c r="BM163" i="1"/>
  <c r="I163" i="4" s="1"/>
  <c r="BK163" i="1"/>
  <c r="BK115" i="1"/>
  <c r="G115" i="4"/>
  <c r="BM115" i="1"/>
  <c r="I115" i="4" s="1"/>
  <c r="G196" i="4"/>
  <c r="BM196" i="1"/>
  <c r="I196" i="4" s="1"/>
  <c r="BK196" i="1"/>
  <c r="BM192" i="1"/>
  <c r="I192" i="4" s="1"/>
  <c r="G192" i="4"/>
  <c r="BK192" i="1"/>
  <c r="G355" i="4" l="1"/>
  <c r="BM355" i="1"/>
  <c r="I355" i="4" s="1"/>
  <c r="BC452" i="1"/>
  <c r="BK29" i="1"/>
  <c r="BM29" i="1"/>
  <c r="I29" i="4" s="1"/>
  <c r="BM387" i="1"/>
  <c r="I387" i="4" s="1"/>
  <c r="G387" i="4"/>
  <c r="BM193" i="1"/>
  <c r="I193" i="4" s="1"/>
  <c r="G193" i="4"/>
  <c r="G465" i="4"/>
  <c r="G290" i="4"/>
  <c r="BM465" i="1"/>
  <c r="I465" i="4" s="1"/>
  <c r="E52" i="4"/>
  <c r="BM290" i="1"/>
  <c r="I290" i="4" s="1"/>
  <c r="BC388" i="1"/>
  <c r="G167" i="4"/>
  <c r="BM167" i="1"/>
  <c r="I167" i="4" s="1"/>
  <c r="BK167" i="1"/>
  <c r="BC286" i="1"/>
  <c r="BF452" i="1"/>
  <c r="G452" i="4" s="1"/>
  <c r="BK327" i="1"/>
  <c r="BM327" i="1"/>
  <c r="I327" i="4" s="1"/>
  <c r="E298" i="4"/>
  <c r="BF472" i="1"/>
  <c r="BK187" i="1"/>
  <c r="G187" i="4"/>
  <c r="BM187" i="1"/>
  <c r="I187" i="4" s="1"/>
  <c r="BC182" i="1"/>
  <c r="K71" i="2"/>
  <c r="K76" i="2" s="1"/>
  <c r="G62" i="2"/>
  <c r="BC486" i="1"/>
  <c r="BM48" i="1"/>
  <c r="I48" i="4" s="1"/>
  <c r="BK48" i="1"/>
  <c r="G48" i="4"/>
  <c r="BF140" i="1"/>
  <c r="E140" i="4"/>
  <c r="BK97" i="1"/>
  <c r="G97" i="4"/>
  <c r="BM97" i="1"/>
  <c r="I97" i="4" s="1"/>
  <c r="G44" i="4"/>
  <c r="BM44" i="1"/>
  <c r="I44" i="4" s="1"/>
  <c r="BK44" i="1"/>
  <c r="E486" i="4"/>
  <c r="BF486" i="1"/>
  <c r="BC396" i="1"/>
  <c r="BC472" i="1"/>
  <c r="BC52" i="1"/>
  <c r="BC381" i="1"/>
  <c r="BF388" i="1"/>
  <c r="G388" i="4" s="1"/>
  <c r="E388" i="4"/>
  <c r="BC38" i="1"/>
  <c r="K84" i="2" s="1"/>
  <c r="K85" i="2" s="1"/>
  <c r="K81" i="2"/>
  <c r="BM407" i="1"/>
  <c r="I407" i="4" s="1"/>
  <c r="G407" i="4"/>
  <c r="BK407" i="1"/>
  <c r="BK452" i="1"/>
  <c r="BM452" i="1"/>
  <c r="I452" i="4" s="1"/>
  <c r="BM295" i="1"/>
  <c r="I295" i="4" s="1"/>
  <c r="BK295" i="1"/>
  <c r="G295" i="4"/>
  <c r="G401" i="4"/>
  <c r="BK401" i="1"/>
  <c r="BM401" i="1"/>
  <c r="I401" i="4" s="1"/>
  <c r="BK397" i="1"/>
  <c r="BM397" i="1"/>
  <c r="I397" i="4" s="1"/>
  <c r="G397" i="4"/>
  <c r="BK152" i="1"/>
  <c r="BM152" i="1"/>
  <c r="I152" i="4" s="1"/>
  <c r="G152" i="4"/>
  <c r="BK369" i="1"/>
  <c r="G369" i="4"/>
  <c r="BM369" i="1"/>
  <c r="I369" i="4" s="1"/>
  <c r="BM15" i="1"/>
  <c r="I15" i="4" s="1"/>
  <c r="BK15" i="1"/>
  <c r="G15" i="4"/>
  <c r="BM446" i="1"/>
  <c r="I446" i="4" s="1"/>
  <c r="BK446" i="1"/>
  <c r="G446" i="4"/>
  <c r="BK361" i="1"/>
  <c r="BM361" i="1"/>
  <c r="I361" i="4" s="1"/>
  <c r="G361" i="4"/>
  <c r="BF296" i="1"/>
  <c r="E296" i="4"/>
  <c r="BF182" i="1"/>
  <c r="BM64" i="1"/>
  <c r="I64" i="4" s="1"/>
  <c r="G64" i="4"/>
  <c r="BK64" i="1"/>
  <c r="G325" i="4"/>
  <c r="BK325" i="1"/>
  <c r="BM325" i="1"/>
  <c r="I325" i="4" s="1"/>
  <c r="G84" i="4"/>
  <c r="BM84" i="1"/>
  <c r="I84" i="4" s="1"/>
  <c r="BK84" i="1"/>
  <c r="BK322" i="1"/>
  <c r="G322" i="4"/>
  <c r="BM322" i="1"/>
  <c r="I322" i="4" s="1"/>
  <c r="G298" i="4"/>
  <c r="BK298" i="1"/>
  <c r="BM298" i="1"/>
  <c r="I298" i="4" s="1"/>
  <c r="E396" i="4"/>
  <c r="BF396" i="1"/>
  <c r="BM381" i="1"/>
  <c r="I381" i="4" s="1"/>
  <c r="G381" i="4"/>
  <c r="BK381" i="1"/>
  <c r="G348" i="4"/>
  <c r="BK348" i="1"/>
  <c r="BM348" i="1"/>
  <c r="I348" i="4" s="1"/>
  <c r="BK24" i="1"/>
  <c r="G24" i="4"/>
  <c r="BM24" i="1"/>
  <c r="I24" i="4" s="1"/>
  <c r="BM247" i="1"/>
  <c r="I247" i="4" s="1"/>
  <c r="G247" i="4"/>
  <c r="BK247" i="1"/>
  <c r="BM398" i="1"/>
  <c r="I398" i="4" s="1"/>
  <c r="BK398" i="1"/>
  <c r="G398" i="4"/>
  <c r="BK217" i="1"/>
  <c r="G217" i="4"/>
  <c r="BM217" i="1"/>
  <c r="I217" i="4" s="1"/>
  <c r="E38" i="4"/>
  <c r="BF38" i="1"/>
  <c r="BM52" i="1"/>
  <c r="I52" i="4" s="1"/>
  <c r="G52" i="4"/>
  <c r="BK52" i="1"/>
  <c r="G249" i="4"/>
  <c r="BM249" i="1"/>
  <c r="I249" i="4" s="1"/>
  <c r="BK249" i="1"/>
  <c r="BK372" i="1"/>
  <c r="G372" i="4"/>
  <c r="BM372" i="1"/>
  <c r="I372" i="4" s="1"/>
  <c r="E286" i="4"/>
  <c r="BF286" i="1"/>
  <c r="BK171" i="1"/>
  <c r="G171" i="4"/>
  <c r="BM171" i="1"/>
  <c r="I171" i="4" s="1"/>
  <c r="G21" i="4"/>
  <c r="BM21" i="1"/>
  <c r="I21" i="4" s="1"/>
  <c r="BK21" i="1"/>
  <c r="BM388" i="1" l="1"/>
  <c r="I388" i="4" s="1"/>
  <c r="BK388" i="1"/>
  <c r="BK472" i="1"/>
  <c r="BM472" i="1"/>
  <c r="I472" i="4" s="1"/>
  <c r="G472" i="4"/>
  <c r="BM140" i="1"/>
  <c r="I140" i="4" s="1"/>
  <c r="BK140" i="1"/>
  <c r="G140" i="4"/>
  <c r="BK182" i="1"/>
  <c r="BM182" i="1"/>
  <c r="I182" i="4" s="1"/>
  <c r="BK486" i="1"/>
  <c r="G486" i="4"/>
  <c r="BM486" i="1"/>
  <c r="I486" i="4" s="1"/>
  <c r="BM296" i="1"/>
  <c r="I296" i="4" s="1"/>
  <c r="BK296" i="1"/>
  <c r="G296" i="4"/>
  <c r="G182" i="4"/>
  <c r="BK38" i="1"/>
  <c r="G38" i="4"/>
  <c r="BM38" i="1"/>
  <c r="I38" i="4" s="1"/>
  <c r="BM396" i="1"/>
  <c r="I396" i="4" s="1"/>
  <c r="BK396" i="1"/>
  <c r="G396" i="4"/>
  <c r="BK286" i="1"/>
  <c r="BM286" i="1"/>
  <c r="I286" i="4" s="1"/>
  <c r="G286" i="4"/>
</calcChain>
</file>

<file path=xl/sharedStrings.xml><?xml version="1.0" encoding="utf-8"?>
<sst xmlns="http://schemas.openxmlformats.org/spreadsheetml/2006/main" count="194" uniqueCount="137">
  <si>
    <t>Valor Unit. Sem Impostos</t>
  </si>
  <si>
    <t>Credito Unit. ICMS</t>
  </si>
  <si>
    <t>Credito Unit. Cofins</t>
  </si>
  <si>
    <t>Credito Unit PIS</t>
  </si>
  <si>
    <t>Credito Unit. IPI</t>
  </si>
  <si>
    <t>Valor Final C/Desc.</t>
  </si>
  <si>
    <t>Desconto</t>
  </si>
  <si>
    <t>LUCRO LIQUIDO</t>
  </si>
  <si>
    <t>CSLL</t>
  </si>
  <si>
    <t>IR</t>
  </si>
  <si>
    <t>LUCRO BRUTO OPERAÇÃO</t>
  </si>
  <si>
    <t>VALOR A PAGAR</t>
  </si>
  <si>
    <t>DESC. COMERCIAL</t>
  </si>
  <si>
    <t>NOTA FISCAL DE SAÍDA:</t>
  </si>
  <si>
    <t>IPI DESTACADO</t>
  </si>
  <si>
    <t>VALOR SEM IPI</t>
  </si>
  <si>
    <t>DÉBITO ICMS</t>
  </si>
  <si>
    <t>DÉBITO COFINS</t>
  </si>
  <si>
    <t>DÉBITO PIS</t>
  </si>
  <si>
    <t>CUSTO TRADING</t>
  </si>
  <si>
    <t>CUSTO DE ESTOQUE</t>
  </si>
  <si>
    <t>CRÉDITO ICMS</t>
  </si>
  <si>
    <t>CRÉDITO IPI</t>
  </si>
  <si>
    <t>CRÉDITO COFINS</t>
  </si>
  <si>
    <t>CRÉDITO PIS</t>
  </si>
  <si>
    <t>CUSTO TOTAL DA OPERAÇÃO:</t>
  </si>
  <si>
    <t>DESPESAS OPERACIONAIS:</t>
  </si>
  <si>
    <t>IMPOSTOS NACIONALIZAÇÃO:</t>
  </si>
  <si>
    <t>ICMS</t>
  </si>
  <si>
    <t>IPI</t>
  </si>
  <si>
    <t>COFINS</t>
  </si>
  <si>
    <t>PIS</t>
  </si>
  <si>
    <t>II</t>
  </si>
  <si>
    <t>DESPESAS ADUANEIRAS:</t>
  </si>
  <si>
    <t>OUTRAS DESP. ADUANEIRAS</t>
  </si>
  <si>
    <t>MARINHA MERCANTE</t>
  </si>
  <si>
    <t>SISCOMEX</t>
  </si>
  <si>
    <t>VALOR ADUANEIRO:</t>
  </si>
  <si>
    <t>FRETE INTERNACIONAL</t>
  </si>
  <si>
    <t>VALOR FOB</t>
  </si>
  <si>
    <t>PESO TOTAL</t>
  </si>
  <si>
    <t>PREÇO POR KG</t>
  </si>
  <si>
    <t>PESO UNITÁRIO</t>
  </si>
  <si>
    <t>VALOR UNITÁRIO</t>
  </si>
  <si>
    <t>NCM</t>
  </si>
  <si>
    <t>DESCRIÇÃO</t>
  </si>
  <si>
    <t>PRODUTO</t>
  </si>
  <si>
    <t>MARINHA MERCANTE - AFRMM</t>
  </si>
  <si>
    <t>FECHAMENTO:</t>
  </si>
  <si>
    <t>OPERAÇÃO:</t>
  </si>
  <si>
    <t>CLIENTE:</t>
  </si>
  <si>
    <t>FECHAMENTO / ESTIMATIVA DE OPERAÇÃO - MEMÓRIAS DE CÁLCULO</t>
  </si>
  <si>
    <t>Peso Total</t>
  </si>
  <si>
    <t>Valor Total</t>
  </si>
  <si>
    <t>CONTA</t>
  </si>
  <si>
    <t>REFERÊNCIAS</t>
  </si>
  <si>
    <t>VALOR</t>
  </si>
  <si>
    <t>Qtde</t>
  </si>
  <si>
    <t>Valor</t>
  </si>
  <si>
    <t>Moeda</t>
  </si>
  <si>
    <t>VALOR ADUANEIRO</t>
  </si>
  <si>
    <t>CUSTO FOB</t>
  </si>
  <si>
    <t>IMPOSTOS</t>
  </si>
  <si>
    <t>IMPOSTO DE IMPORTAÇÃO - II</t>
  </si>
  <si>
    <t>PROG. INTEGRAÇÃO SOCIAL - PIS</t>
  </si>
  <si>
    <t>CONTRIB. FINANC. SEGURIDADE SOCIAL - COFINS</t>
  </si>
  <si>
    <t>IMPOSTO PRODUTOS INDUSTRIALIZADOS - IPI</t>
  </si>
  <si>
    <t>IMPOSTO CIRCULAÇÃO MERCADORIA - ICMS</t>
  </si>
  <si>
    <t>DESPESAS OPERACIONAIS</t>
  </si>
  <si>
    <t>ARMAZENAGEM - ZONA PRIMÁRIA</t>
  </si>
  <si>
    <t>DESPACHANTE</t>
  </si>
  <si>
    <t>TAXAS BL</t>
  </si>
  <si>
    <t>TARIFA CAMBIAL</t>
  </si>
  <si>
    <t>TAXA DE EXPEDIENTE</t>
  </si>
  <si>
    <t>FRETE AO CLIENTE</t>
  </si>
  <si>
    <t>OPERAÇÃO TRADING</t>
  </si>
  <si>
    <t>Valor a Pagar</t>
  </si>
  <si>
    <t>DESCRICAO</t>
  </si>
  <si>
    <t>QTDE</t>
  </si>
  <si>
    <t>UNIDADE</t>
  </si>
  <si>
    <t>PESOTOT</t>
  </si>
  <si>
    <t>FOBTOT</t>
  </si>
  <si>
    <t>NOTA FISCAL DE SAÍDA / VENDA</t>
  </si>
  <si>
    <t>MARKUP</t>
  </si>
  <si>
    <t>TIPO OPERAÇÃO</t>
  </si>
  <si>
    <t>Qtde Containers</t>
  </si>
  <si>
    <t>BENEFICIO IPI</t>
  </si>
  <si>
    <t>LUCRO</t>
  </si>
  <si>
    <t>MVA AJUSTADO</t>
  </si>
  <si>
    <t>Dumping</t>
  </si>
  <si>
    <t>DIFERENÇA FRETE INTERNACIONAL</t>
  </si>
  <si>
    <t>Dólar DI:</t>
  </si>
  <si>
    <t>Dolar Cambio</t>
  </si>
  <si>
    <t>VARIAÇÃO CAMBIAL</t>
  </si>
  <si>
    <t>DUMPING</t>
  </si>
  <si>
    <t>ST</t>
  </si>
  <si>
    <t>CONSUMIDOR</t>
  </si>
  <si>
    <t>Pag.Efetivo</t>
  </si>
  <si>
    <t>Pag.Desembaraço</t>
  </si>
  <si>
    <t>Desconto comercial (ICMS)</t>
  </si>
  <si>
    <t>P.JURIDICA</t>
  </si>
  <si>
    <t>ICMS ESTADO DESTINO</t>
  </si>
  <si>
    <t>PEÇAS</t>
  </si>
  <si>
    <t>RATEIO</t>
  </si>
  <si>
    <t>CUBAGEM UNITARIA</t>
  </si>
  <si>
    <t>CUBAGEM TOTAL</t>
  </si>
  <si>
    <t>FRETE INTERNACIONAL/PESO</t>
  </si>
  <si>
    <t>FRETE INTERNACIONAL/CUBAGEM</t>
  </si>
  <si>
    <t>CAPATAZIA/PESO</t>
  </si>
  <si>
    <t>CAPATAZIA/CUBAGEM</t>
  </si>
  <si>
    <t>TRADING</t>
  </si>
  <si>
    <t>NÃO</t>
  </si>
  <si>
    <t>PESO</t>
  </si>
  <si>
    <t xml:space="preserve">CERTIFICAÇÃO </t>
  </si>
  <si>
    <t>CUSTO EXTRA</t>
  </si>
  <si>
    <t>COMPRA E VENDA</t>
  </si>
  <si>
    <t>FOB SEM DESCONTO</t>
  </si>
  <si>
    <t>MINIMO</t>
  </si>
  <si>
    <t>MEDIO</t>
  </si>
  <si>
    <t>1x40</t>
  </si>
  <si>
    <t>MARCHA</t>
  </si>
  <si>
    <t>PESO BRUTO</t>
  </si>
  <si>
    <t>CXAS</t>
  </si>
  <si>
    <t>TAXA DUIMP</t>
  </si>
  <si>
    <t>HC-021</t>
  </si>
  <si>
    <t>0488/26</t>
  </si>
  <si>
    <t>DEPOSITAR NEEMAN: DESPESAS ADUANEIRAS + IMPOSTOS DE NACIONALIZAÇÃO + DESPESAS OPERACIONAIS</t>
  </si>
  <si>
    <t>REAL</t>
  </si>
  <si>
    <t>FOTO</t>
  </si>
  <si>
    <t>ALIQ. II</t>
  </si>
  <si>
    <t>ALIQ. IPI</t>
  </si>
  <si>
    <t>ALIQ PIS</t>
  </si>
  <si>
    <t>ALIQ. COFINS</t>
  </si>
  <si>
    <t>PESO./UNIT</t>
  </si>
  <si>
    <t>PREÇO UNIT.</t>
  </si>
  <si>
    <t>Dumping/Kg</t>
  </si>
  <si>
    <t>Cubagem/Unit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</si>
</sst>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3" formatCode="_-* #,##0.00_-;\-* #,##0.00_-;_-* &quot;-&quot;??_-;_-@_-"/>
    <numFmt numFmtId="164" formatCode="&quot;R$&quot;#,##0.00;[Red]\-&quot;R$&quot;#,##0.00"/>
    <numFmt numFmtId="165" formatCode="_-&quot;R$&quot;* #,##0.00_-;\-&quot;R$&quot;* #,##0.00_-;_-&quot;R$&quot;* &quot;-&quot;??_-;_-@_-"/>
    <numFmt numFmtId="166" formatCode="_(&quot;R$&quot;* #,##0.00_);_(&quot;R$&quot;* \(#,##0.00\);_(&quot;R$&quot;* &quot;-&quot;??_);_(@_)"/>
    <numFmt numFmtId="167" formatCode="_(* #,##0.00_);_(* \(#,##0.00\);_(* &quot;-&quot;??_);_(@_)"/>
    <numFmt numFmtId="168" formatCode="_([$$-409]* #,##0.00_);_([$$-409]* \(#,##0.00\);_([$$-409]* &quot;-&quot;??_);_(@_)"/>
    <numFmt numFmtId="169" formatCode="#,##0.0000"/>
    <numFmt numFmtId="170" formatCode="_-* #,##0.0000_-;\-* #,##0.0000_-;_-* &quot;-&quot;??_-;_-@_-"/>
    <numFmt numFmtId="171" formatCode="0.0000"/>
    <numFmt numFmtId="172" formatCode="dd/mm/yy;@"/>
    <numFmt numFmtId="173" formatCode="0.0%"/>
    <numFmt numFmtId="174" formatCode="_-[$$-409]* #,##0.00_ ;_-[$$-409]* \-#,##0.00\ ;_-[$$-409]* &quot;-&quot;??_ ;_-@_ "/>
    <numFmt numFmtId="175" formatCode="_-[$R$-416]\ * #,##0.00_-;\-[$R$-416]\ * #,##0.00_-;_-[$R$-416]\ * &quot;-&quot;??_-;_-@_-"/>
    <numFmt numFmtId="176" formatCode="0.000"/>
    <numFmt numFmtId="177" formatCode="_([$$-409]* #,##0.000_);_([$$-409]* \(#,##0.000\);_([$$-409]* &quot;-&quot;??_);_(@_)"/>
    <numFmt numFmtId="178" formatCode="0.00000000"/>
    <numFmt numFmtId="179" formatCode="0.000000000"/>
    <numFmt numFmtId="180" formatCode="0.00000"/>
    <numFmt numFmtId="181" formatCode="#,##0.000"/>
    <numFmt numFmtId="182" formatCode="_-* #,##0.0000_-;\-* #,##0.0000_-;_-* &quot;-&quot;????_-;_-@_-"/>
    <numFmt numFmtId="183" formatCode="0.000E+00"/>
  </numFmts>
  <fonts count="28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3" tint="-0.249977111117893"/>
      <name val="Calibri"/>
      <family val="2"/>
      <scheme val="minor"/>
    </font>
    <font>
      <sz val="12"/>
      <color theme="3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2"/>
      <color theme="4" tint="0.79998168889431442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sz val="12"/>
      <color theme="3" tint="-0.499984740745262"/>
      <name val="Calibri"/>
      <family val="2"/>
      <scheme val="minor"/>
    </font>
    <font>
      <b/>
      <sz val="10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6"/>
      <color theme="3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theme="2" tint="-0.499984740745262"/>
      </left>
      <right/>
      <top style="double">
        <color theme="2" tint="-0.499984740745262"/>
      </top>
      <bottom/>
      <diagonal/>
    </border>
    <border>
      <left/>
      <right/>
      <top style="double">
        <color theme="2" tint="-0.499984740745262"/>
      </top>
      <bottom/>
      <diagonal/>
    </border>
    <border>
      <left/>
      <right style="double">
        <color theme="2" tint="-0.499984740745262"/>
      </right>
      <top style="double">
        <color theme="2" tint="-0.499984740745262"/>
      </top>
      <bottom/>
      <diagonal/>
    </border>
    <border>
      <left style="double">
        <color theme="2" tint="-0.499984740745262"/>
      </left>
      <right/>
      <top/>
      <bottom/>
      <diagonal/>
    </border>
    <border>
      <left style="thin">
        <color theme="2" tint="-0.499984740745262"/>
      </left>
      <right/>
      <top/>
      <bottom/>
      <diagonal/>
    </border>
    <border>
      <left/>
      <right style="double">
        <color theme="2" tint="-0.499984740745262"/>
      </right>
      <top/>
      <bottom/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theme="2" tint="-0.499984740745262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double">
        <color theme="2" tint="-0.499984740745262"/>
      </left>
      <right/>
      <top/>
      <bottom style="double">
        <color theme="2" tint="-0.499984740745262"/>
      </bottom>
      <diagonal/>
    </border>
    <border>
      <left/>
      <right/>
      <top/>
      <bottom style="double">
        <color theme="2" tint="-0.499984740745262"/>
      </bottom>
      <diagonal/>
    </border>
    <border>
      <left/>
      <right style="double">
        <color theme="2" tint="-0.499984740745262"/>
      </right>
      <top/>
      <bottom style="double">
        <color theme="2" tint="-0.499984740745262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1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1" fillId="0" borderId="0">
      <alignment vertical="center"/>
    </xf>
  </cellStyleXfs>
  <cellXfs count="293">
    <xf numFmtId="0" fontId="0" fillId="0" borderId="0" xfId="0"/>
    <xf numFmtId="0" fontId="3" fillId="0" borderId="0" xfId="0" applyFont="1"/>
    <xf numFmtId="166" fontId="4" fillId="2" borderId="1" xfId="0" applyNumberFormat="1" applyFont="1" applyFill="1" applyBorder="1"/>
    <xf numFmtId="166" fontId="3" fillId="2" borderId="1" xfId="0" applyNumberFormat="1" applyFont="1" applyFill="1" applyBorder="1"/>
    <xf numFmtId="166" fontId="3" fillId="3" borderId="1" xfId="0" applyNumberFormat="1" applyFont="1" applyFill="1" applyBorder="1"/>
    <xf numFmtId="0" fontId="3" fillId="0" borderId="1" xfId="0" applyFont="1" applyBorder="1"/>
    <xf numFmtId="166" fontId="3" fillId="0" borderId="1" xfId="0" applyNumberFormat="1" applyFont="1" applyBorder="1"/>
    <xf numFmtId="167" fontId="3" fillId="3" borderId="1" xfId="0" applyNumberFormat="1" applyFont="1" applyFill="1" applyBorder="1"/>
    <xf numFmtId="166" fontId="4" fillId="3" borderId="1" xfId="0" applyNumberFormat="1" applyFont="1" applyFill="1" applyBorder="1"/>
    <xf numFmtId="0" fontId="3" fillId="2" borderId="1" xfId="0" applyFont="1" applyFill="1" applyBorder="1"/>
    <xf numFmtId="167" fontId="4" fillId="3" borderId="1" xfId="0" applyNumberFormat="1" applyFont="1" applyFill="1" applyBorder="1"/>
    <xf numFmtId="0" fontId="4" fillId="5" borderId="1" xfId="3" applyFont="1" applyFill="1" applyBorder="1"/>
    <xf numFmtId="0" fontId="7" fillId="5" borderId="0" xfId="3" applyFont="1" applyFill="1"/>
    <xf numFmtId="0" fontId="7" fillId="2" borderId="2" xfId="3" applyFont="1" applyFill="1" applyBorder="1"/>
    <xf numFmtId="0" fontId="7" fillId="2" borderId="3" xfId="3" applyFont="1" applyFill="1" applyBorder="1"/>
    <xf numFmtId="0" fontId="7" fillId="2" borderId="4" xfId="3" applyFont="1" applyFill="1" applyBorder="1"/>
    <xf numFmtId="0" fontId="7" fillId="2" borderId="5" xfId="3" applyFont="1" applyFill="1" applyBorder="1"/>
    <xf numFmtId="0" fontId="8" fillId="2" borderId="7" xfId="3" applyFont="1" applyFill="1" applyBorder="1"/>
    <xf numFmtId="0" fontId="7" fillId="2" borderId="0" xfId="3" applyFont="1" applyFill="1"/>
    <xf numFmtId="0" fontId="7" fillId="2" borderId="7" xfId="3" applyFont="1" applyFill="1" applyBorder="1"/>
    <xf numFmtId="0" fontId="7" fillId="5" borderId="8" xfId="3" applyFont="1" applyFill="1" applyBorder="1"/>
    <xf numFmtId="0" fontId="7" fillId="5" borderId="9" xfId="3" applyFont="1" applyFill="1" applyBorder="1"/>
    <xf numFmtId="0" fontId="7" fillId="5" borderId="10" xfId="3" applyFont="1" applyFill="1" applyBorder="1"/>
    <xf numFmtId="0" fontId="5" fillId="5" borderId="8" xfId="3" applyFont="1" applyFill="1" applyBorder="1" applyAlignment="1">
      <alignment horizontal="right"/>
    </xf>
    <xf numFmtId="0" fontId="5" fillId="5" borderId="9" xfId="3" applyFont="1" applyFill="1" applyBorder="1" applyAlignment="1">
      <alignment horizontal="left"/>
    </xf>
    <xf numFmtId="0" fontId="7" fillId="5" borderId="6" xfId="3" applyFont="1" applyFill="1" applyBorder="1"/>
    <xf numFmtId="0" fontId="7" fillId="5" borderId="12" xfId="3" applyFont="1" applyFill="1" applyBorder="1"/>
    <xf numFmtId="0" fontId="5" fillId="5" borderId="6" xfId="3" applyFont="1" applyFill="1" applyBorder="1" applyAlignment="1">
      <alignment horizontal="right"/>
    </xf>
    <xf numFmtId="0" fontId="5" fillId="5" borderId="0" xfId="3" applyFont="1" applyFill="1"/>
    <xf numFmtId="0" fontId="5" fillId="5" borderId="0" xfId="3" applyFont="1" applyFill="1" applyAlignment="1">
      <alignment horizontal="left"/>
    </xf>
    <xf numFmtId="0" fontId="5" fillId="5" borderId="12" xfId="3" applyFont="1" applyFill="1" applyBorder="1" applyAlignment="1">
      <alignment horizontal="center"/>
    </xf>
    <xf numFmtId="3" fontId="5" fillId="5" borderId="0" xfId="3" quotePrefix="1" applyNumberFormat="1" applyFont="1" applyFill="1" applyAlignment="1">
      <alignment horizontal="left"/>
    </xf>
    <xf numFmtId="169" fontId="5" fillId="5" borderId="12" xfId="1" applyNumberFormat="1" applyFont="1" applyFill="1" applyBorder="1" applyAlignment="1">
      <alignment horizontal="center"/>
    </xf>
    <xf numFmtId="0" fontId="7" fillId="5" borderId="14" xfId="3" applyFont="1" applyFill="1" applyBorder="1"/>
    <xf numFmtId="0" fontId="7" fillId="5" borderId="15" xfId="3" applyFont="1" applyFill="1" applyBorder="1"/>
    <xf numFmtId="0" fontId="7" fillId="5" borderId="16" xfId="3" applyFont="1" applyFill="1" applyBorder="1"/>
    <xf numFmtId="0" fontId="5" fillId="5" borderId="14" xfId="3" applyFont="1" applyFill="1" applyBorder="1" applyAlignment="1">
      <alignment horizontal="right"/>
    </xf>
    <xf numFmtId="0" fontId="9" fillId="2" borderId="5" xfId="3" applyFont="1" applyFill="1" applyBorder="1"/>
    <xf numFmtId="0" fontId="9" fillId="2" borderId="9" xfId="3" applyFont="1" applyFill="1" applyBorder="1"/>
    <xf numFmtId="0" fontId="9" fillId="2" borderId="0" xfId="3" applyFont="1" applyFill="1"/>
    <xf numFmtId="0" fontId="11" fillId="8" borderId="23" xfId="3" applyFont="1" applyFill="1" applyBorder="1" applyAlignment="1">
      <alignment horizontal="center"/>
    </xf>
    <xf numFmtId="0" fontId="11" fillId="8" borderId="24" xfId="3" applyFont="1" applyFill="1" applyBorder="1" applyAlignment="1">
      <alignment horizontal="center"/>
    </xf>
    <xf numFmtId="0" fontId="11" fillId="8" borderId="25" xfId="3" applyFont="1" applyFill="1" applyBorder="1" applyAlignment="1">
      <alignment horizontal="center"/>
    </xf>
    <xf numFmtId="0" fontId="6" fillId="5" borderId="26" xfId="3" applyFont="1" applyFill="1" applyBorder="1"/>
    <xf numFmtId="4" fontId="13" fillId="5" borderId="8" xfId="5" applyNumberFormat="1" applyFont="1" applyFill="1" applyBorder="1" applyAlignment="1">
      <alignment horizontal="center"/>
    </xf>
    <xf numFmtId="43" fontId="13" fillId="5" borderId="9" xfId="5" applyFont="1" applyFill="1" applyBorder="1" applyAlignment="1">
      <alignment horizontal="center"/>
    </xf>
    <xf numFmtId="170" fontId="13" fillId="5" borderId="10" xfId="5" applyNumberFormat="1" applyFont="1" applyFill="1" applyBorder="1" applyAlignment="1">
      <alignment horizontal="center"/>
    </xf>
    <xf numFmtId="43" fontId="6" fillId="9" borderId="26" xfId="5" applyFont="1" applyFill="1" applyBorder="1"/>
    <xf numFmtId="0" fontId="6" fillId="5" borderId="28" xfId="3" applyFont="1" applyFill="1" applyBorder="1"/>
    <xf numFmtId="170" fontId="13" fillId="5" borderId="12" xfId="5" applyNumberFormat="1" applyFont="1" applyFill="1" applyBorder="1" applyAlignment="1">
      <alignment horizontal="center"/>
    </xf>
    <xf numFmtId="43" fontId="6" fillId="9" borderId="28" xfId="5" applyFont="1" applyFill="1" applyBorder="1"/>
    <xf numFmtId="0" fontId="6" fillId="5" borderId="29" xfId="3" applyFont="1" applyFill="1" applyBorder="1"/>
    <xf numFmtId="0" fontId="11" fillId="8" borderId="30" xfId="3" applyFont="1" applyFill="1" applyBorder="1"/>
    <xf numFmtId="0" fontId="11" fillId="2" borderId="0" xfId="3" applyFont="1" applyFill="1"/>
    <xf numFmtId="0" fontId="11" fillId="8" borderId="31" xfId="3" applyFont="1" applyFill="1" applyBorder="1"/>
    <xf numFmtId="0" fontId="11" fillId="8" borderId="32" xfId="3" applyFont="1" applyFill="1" applyBorder="1"/>
    <xf numFmtId="0" fontId="11" fillId="8" borderId="33" xfId="3" applyFont="1" applyFill="1" applyBorder="1"/>
    <xf numFmtId="43" fontId="11" fillId="8" borderId="30" xfId="3" applyNumberFormat="1" applyFont="1" applyFill="1" applyBorder="1"/>
    <xf numFmtId="43" fontId="11" fillId="2" borderId="7" xfId="3" applyNumberFormat="1" applyFont="1" applyFill="1" applyBorder="1"/>
    <xf numFmtId="10" fontId="13" fillId="5" borderId="8" xfId="6" applyNumberFormat="1" applyFont="1" applyFill="1" applyBorder="1" applyAlignment="1">
      <alignment horizontal="center"/>
    </xf>
    <xf numFmtId="43" fontId="14" fillId="9" borderId="26" xfId="5" applyFont="1" applyFill="1" applyBorder="1"/>
    <xf numFmtId="10" fontId="13" fillId="5" borderId="6" xfId="6" applyNumberFormat="1" applyFont="1" applyFill="1" applyBorder="1" applyAlignment="1">
      <alignment horizontal="center"/>
    </xf>
    <xf numFmtId="43" fontId="13" fillId="5" borderId="12" xfId="1" applyFont="1" applyFill="1" applyBorder="1" applyAlignment="1">
      <alignment horizontal="center"/>
    </xf>
    <xf numFmtId="43" fontId="14" fillId="9" borderId="28" xfId="1" applyFont="1" applyFill="1" applyBorder="1"/>
    <xf numFmtId="172" fontId="13" fillId="5" borderId="14" xfId="3" applyNumberFormat="1" applyFont="1" applyFill="1" applyBorder="1" applyAlignment="1">
      <alignment horizontal="center"/>
    </xf>
    <xf numFmtId="170" fontId="13" fillId="5" borderId="16" xfId="5" applyNumberFormat="1" applyFont="1" applyFill="1" applyBorder="1" applyAlignment="1">
      <alignment horizontal="center"/>
    </xf>
    <xf numFmtId="43" fontId="14" fillId="9" borderId="29" xfId="5" applyFont="1" applyFill="1" applyBorder="1"/>
    <xf numFmtId="172" fontId="14" fillId="2" borderId="0" xfId="3" applyNumberFormat="1" applyFont="1" applyFill="1"/>
    <xf numFmtId="43" fontId="14" fillId="2" borderId="0" xfId="5" applyFont="1" applyFill="1"/>
    <xf numFmtId="170" fontId="14" fillId="2" borderId="0" xfId="5" applyNumberFormat="1" applyFont="1" applyFill="1"/>
    <xf numFmtId="0" fontId="13" fillId="5" borderId="10" xfId="3" applyFont="1" applyFill="1" applyBorder="1" applyAlignment="1">
      <alignment horizontal="center"/>
    </xf>
    <xf numFmtId="43" fontId="7" fillId="9" borderId="26" xfId="5" applyFont="1" applyFill="1" applyBorder="1"/>
    <xf numFmtId="43" fontId="13" fillId="5" borderId="0" xfId="5" applyFont="1" applyFill="1" applyAlignment="1">
      <alignment horizontal="center"/>
    </xf>
    <xf numFmtId="0" fontId="13" fillId="5" borderId="12" xfId="3" applyFont="1" applyFill="1" applyBorder="1" applyAlignment="1">
      <alignment horizontal="center"/>
    </xf>
    <xf numFmtId="43" fontId="7" fillId="9" borderId="28" xfId="5" applyFont="1" applyFill="1" applyBorder="1"/>
    <xf numFmtId="10" fontId="13" fillId="5" borderId="14" xfId="6" applyNumberFormat="1" applyFont="1" applyFill="1" applyBorder="1" applyAlignment="1">
      <alignment horizontal="center"/>
    </xf>
    <xf numFmtId="0" fontId="13" fillId="5" borderId="16" xfId="3" applyFont="1" applyFill="1" applyBorder="1" applyAlignment="1">
      <alignment horizontal="center"/>
    </xf>
    <xf numFmtId="43" fontId="7" fillId="9" borderId="29" xfId="5" applyFont="1" applyFill="1" applyBorder="1"/>
    <xf numFmtId="43" fontId="13" fillId="5" borderId="8" xfId="1" applyFont="1" applyFill="1" applyBorder="1" applyAlignment="1">
      <alignment horizontal="center"/>
    </xf>
    <xf numFmtId="43" fontId="13" fillId="5" borderId="6" xfId="1" applyFont="1" applyFill="1" applyBorder="1" applyAlignment="1">
      <alignment horizontal="center"/>
    </xf>
    <xf numFmtId="43" fontId="13" fillId="5" borderId="14" xfId="1" applyFont="1" applyFill="1" applyBorder="1" applyAlignment="1">
      <alignment horizontal="center"/>
    </xf>
    <xf numFmtId="0" fontId="11" fillId="6" borderId="30" xfId="3" applyFont="1" applyFill="1" applyBorder="1"/>
    <xf numFmtId="0" fontId="11" fillId="6" borderId="31" xfId="3" applyFont="1" applyFill="1" applyBorder="1"/>
    <xf numFmtId="0" fontId="11" fillId="6" borderId="32" xfId="3" applyFont="1" applyFill="1" applyBorder="1"/>
    <xf numFmtId="0" fontId="11" fillId="6" borderId="33" xfId="3" applyFont="1" applyFill="1" applyBorder="1"/>
    <xf numFmtId="43" fontId="11" fillId="6" borderId="30" xfId="3" applyNumberFormat="1" applyFont="1" applyFill="1" applyBorder="1"/>
    <xf numFmtId="0" fontId="13" fillId="5" borderId="8" xfId="3" applyFont="1" applyFill="1" applyBorder="1"/>
    <xf numFmtId="0" fontId="13" fillId="5" borderId="9" xfId="3" applyFont="1" applyFill="1" applyBorder="1"/>
    <xf numFmtId="0" fontId="13" fillId="5" borderId="10" xfId="3" applyFont="1" applyFill="1" applyBorder="1"/>
    <xf numFmtId="0" fontId="13" fillId="5" borderId="6" xfId="3" applyFont="1" applyFill="1" applyBorder="1"/>
    <xf numFmtId="0" fontId="13" fillId="5" borderId="0" xfId="3" applyFont="1" applyFill="1"/>
    <xf numFmtId="0" fontId="13" fillId="5" borderId="12" xfId="3" applyFont="1" applyFill="1" applyBorder="1"/>
    <xf numFmtId="10" fontId="13" fillId="5" borderId="6" xfId="6" applyNumberFormat="1" applyFont="1" applyFill="1" applyBorder="1"/>
    <xf numFmtId="10" fontId="13" fillId="5" borderId="14" xfId="6" applyNumberFormat="1" applyFont="1" applyFill="1" applyBorder="1"/>
    <xf numFmtId="10" fontId="13" fillId="5" borderId="15" xfId="6" applyNumberFormat="1" applyFont="1" applyFill="1" applyBorder="1"/>
    <xf numFmtId="0" fontId="13" fillId="5" borderId="16" xfId="3" applyFont="1" applyFill="1" applyBorder="1"/>
    <xf numFmtId="0" fontId="7" fillId="10" borderId="0" xfId="3" applyFont="1" applyFill="1"/>
    <xf numFmtId="43" fontId="11" fillId="6" borderId="33" xfId="3" applyNumberFormat="1" applyFont="1" applyFill="1" applyBorder="1"/>
    <xf numFmtId="0" fontId="7" fillId="2" borderId="34" xfId="3" applyFont="1" applyFill="1" applyBorder="1"/>
    <xf numFmtId="0" fontId="7" fillId="2" borderId="35" xfId="3" applyFont="1" applyFill="1" applyBorder="1"/>
    <xf numFmtId="0" fontId="7" fillId="2" borderId="36" xfId="3" applyFont="1" applyFill="1" applyBorder="1"/>
    <xf numFmtId="43" fontId="7" fillId="5" borderId="0" xfId="1" applyFont="1" applyFill="1"/>
    <xf numFmtId="0" fontId="7" fillId="5" borderId="35" xfId="3" applyFont="1" applyFill="1" applyBorder="1"/>
    <xf numFmtId="43" fontId="7" fillId="5" borderId="35" xfId="1" applyFont="1" applyFill="1" applyBorder="1"/>
    <xf numFmtId="173" fontId="7" fillId="2" borderId="35" xfId="2" applyNumberFormat="1" applyFont="1" applyFill="1" applyBorder="1"/>
    <xf numFmtId="164" fontId="7" fillId="5" borderId="0" xfId="3" applyNumberFormat="1" applyFont="1" applyFill="1" applyAlignment="1">
      <alignment horizontal="right"/>
    </xf>
    <xf numFmtId="164" fontId="7" fillId="5" borderId="0" xfId="3" applyNumberFormat="1" applyFont="1" applyFill="1"/>
    <xf numFmtId="14" fontId="7" fillId="5" borderId="0" xfId="3" applyNumberFormat="1" applyFont="1" applyFill="1"/>
    <xf numFmtId="4" fontId="13" fillId="5" borderId="6" xfId="1" applyNumberFormat="1" applyFont="1" applyFill="1" applyBorder="1" applyAlignment="1">
      <alignment horizontal="center"/>
    </xf>
    <xf numFmtId="2" fontId="13" fillId="5" borderId="14" xfId="1" applyNumberFormat="1" applyFont="1" applyFill="1" applyBorder="1" applyAlignment="1">
      <alignment horizontal="center" vertical="center"/>
    </xf>
    <xf numFmtId="171" fontId="13" fillId="5" borderId="16" xfId="3" applyNumberFormat="1" applyFont="1" applyFill="1" applyBorder="1" applyAlignment="1">
      <alignment horizontal="right"/>
    </xf>
    <xf numFmtId="43" fontId="14" fillId="9" borderId="11" xfId="5" applyFont="1" applyFill="1" applyBorder="1"/>
    <xf numFmtId="43" fontId="14" fillId="9" borderId="13" xfId="5" applyFont="1" applyFill="1" applyBorder="1"/>
    <xf numFmtId="43" fontId="14" fillId="9" borderId="17" xfId="5" applyFont="1" applyFill="1" applyBorder="1"/>
    <xf numFmtId="0" fontId="3" fillId="5" borderId="1" xfId="3" applyFill="1" applyBorder="1"/>
    <xf numFmtId="168" fontId="3" fillId="5" borderId="1" xfId="3" applyNumberFormat="1" applyFill="1" applyBorder="1"/>
    <xf numFmtId="3" fontId="3" fillId="5" borderId="1" xfId="3" applyNumberFormat="1" applyFill="1" applyBorder="1"/>
    <xf numFmtId="175" fontId="7" fillId="2" borderId="0" xfId="3" applyNumberFormat="1" applyFont="1" applyFill="1"/>
    <xf numFmtId="168" fontId="5" fillId="5" borderId="0" xfId="3" quotePrefix="1" applyNumberFormat="1" applyFont="1" applyFill="1" applyAlignment="1">
      <alignment horizontal="left"/>
    </xf>
    <xf numFmtId="10" fontId="2" fillId="5" borderId="0" xfId="2" applyNumberFormat="1" applyFont="1" applyFill="1"/>
    <xf numFmtId="10" fontId="7" fillId="5" borderId="35" xfId="2" applyNumberFormat="1" applyFont="1" applyFill="1" applyBorder="1"/>
    <xf numFmtId="0" fontId="11" fillId="6" borderId="0" xfId="3" applyFont="1" applyFill="1"/>
    <xf numFmtId="43" fontId="11" fillId="6" borderId="0" xfId="3" applyNumberFormat="1" applyFont="1" applyFill="1"/>
    <xf numFmtId="165" fontId="2" fillId="0" borderId="15" xfId="4" applyFont="1" applyBorder="1" applyAlignment="1">
      <alignment horizontal="center"/>
    </xf>
    <xf numFmtId="10" fontId="2" fillId="5" borderId="6" xfId="6" applyNumberFormat="1" applyFont="1" applyFill="1" applyBorder="1"/>
    <xf numFmtId="0" fontId="13" fillId="5" borderId="0" xfId="3" applyFont="1" applyFill="1" applyAlignment="1">
      <alignment horizontal="right"/>
    </xf>
    <xf numFmtId="43" fontId="0" fillId="2" borderId="1" xfId="0" applyNumberFormat="1" applyFill="1" applyBorder="1"/>
    <xf numFmtId="0" fontId="0" fillId="4" borderId="1" xfId="3" applyFont="1" applyFill="1" applyBorder="1" applyProtection="1">
      <protection locked="0"/>
    </xf>
    <xf numFmtId="9" fontId="0" fillId="4" borderId="1" xfId="3" applyNumberFormat="1" applyFont="1" applyFill="1" applyBorder="1" applyProtection="1">
      <protection locked="0"/>
    </xf>
    <xf numFmtId="9" fontId="3" fillId="4" borderId="1" xfId="3" applyNumberFormat="1" applyFill="1" applyBorder="1" applyProtection="1">
      <protection locked="0"/>
    </xf>
    <xf numFmtId="169" fontId="5" fillId="7" borderId="12" xfId="1" applyNumberFormat="1" applyFont="1" applyFill="1" applyBorder="1" applyAlignment="1" applyProtection="1">
      <alignment horizontal="center"/>
      <protection locked="0"/>
    </xf>
    <xf numFmtId="0" fontId="7" fillId="4" borderId="0" xfId="3" applyFont="1" applyFill="1" applyProtection="1">
      <protection locked="0"/>
    </xf>
    <xf numFmtId="3" fontId="5" fillId="4" borderId="0" xfId="3" quotePrefix="1" applyNumberFormat="1" applyFont="1" applyFill="1" applyAlignment="1" applyProtection="1">
      <alignment horizontal="left"/>
      <protection locked="0"/>
    </xf>
    <xf numFmtId="174" fontId="2" fillId="4" borderId="0" xfId="5" applyNumberFormat="1" applyFont="1" applyFill="1" applyAlignment="1" applyProtection="1">
      <alignment horizontal="center"/>
      <protection locked="0"/>
    </xf>
    <xf numFmtId="175" fontId="2" fillId="4" borderId="15" xfId="3" applyNumberFormat="1" applyFont="1" applyFill="1" applyBorder="1" applyAlignment="1" applyProtection="1">
      <alignment horizontal="right"/>
      <protection locked="0"/>
    </xf>
    <xf numFmtId="175" fontId="2" fillId="4" borderId="0" xfId="1" applyNumberFormat="1" applyFont="1" applyFill="1" applyAlignment="1" applyProtection="1">
      <alignment horizontal="center"/>
      <protection locked="0"/>
    </xf>
    <xf numFmtId="43" fontId="2" fillId="4" borderId="15" xfId="5" applyFont="1" applyFill="1" applyBorder="1" applyAlignment="1" applyProtection="1">
      <alignment horizontal="center"/>
      <protection locked="0"/>
    </xf>
    <xf numFmtId="175" fontId="2" fillId="4" borderId="0" xfId="5" applyNumberFormat="1" applyFont="1" applyFill="1" applyAlignment="1" applyProtection="1">
      <alignment horizontal="center"/>
      <protection locked="0"/>
    </xf>
    <xf numFmtId="175" fontId="2" fillId="4" borderId="15" xfId="5" applyNumberFormat="1" applyFont="1" applyFill="1" applyBorder="1" applyAlignment="1" applyProtection="1">
      <alignment horizontal="center"/>
      <protection locked="0"/>
    </xf>
    <xf numFmtId="10" fontId="2" fillId="4" borderId="6" xfId="6" applyNumberFormat="1" applyFont="1" applyFill="1" applyBorder="1" applyProtection="1">
      <protection locked="0"/>
    </xf>
    <xf numFmtId="10" fontId="2" fillId="4" borderId="12" xfId="3" applyNumberFormat="1" applyFont="1" applyFill="1" applyBorder="1" applyAlignment="1" applyProtection="1">
      <alignment horizontal="left"/>
      <protection locked="0"/>
    </xf>
    <xf numFmtId="10" fontId="2" fillId="4" borderId="14" xfId="6" applyNumberFormat="1" applyFont="1" applyFill="1" applyBorder="1" applyProtection="1">
      <protection locked="0"/>
    </xf>
    <xf numFmtId="0" fontId="0" fillId="0" borderId="1" xfId="0" applyBorder="1" applyAlignment="1">
      <alignment vertical="center" wrapText="1"/>
    </xf>
    <xf numFmtId="168" fontId="3" fillId="11" borderId="1" xfId="3" applyNumberFormat="1" applyFill="1" applyBorder="1"/>
    <xf numFmtId="0" fontId="0" fillId="4" borderId="1" xfId="3" applyFont="1" applyFill="1" applyBorder="1" applyAlignment="1" applyProtection="1">
      <alignment horizontal="center" vertical="center"/>
      <protection locked="0"/>
    </xf>
    <xf numFmtId="3" fontId="3" fillId="5" borderId="1" xfId="3" applyNumberFormat="1" applyFill="1" applyBorder="1" applyAlignment="1">
      <alignment horizontal="center" vertical="center"/>
    </xf>
    <xf numFmtId="0" fontId="3" fillId="4" borderId="1" xfId="3" applyFill="1" applyBorder="1" applyAlignment="1" applyProtection="1">
      <alignment horizontal="center" vertical="center"/>
      <protection locked="0"/>
    </xf>
    <xf numFmtId="177" fontId="3" fillId="11" borderId="1" xfId="3" applyNumberFormat="1" applyFill="1" applyBorder="1" applyAlignment="1">
      <alignment horizontal="center" vertical="center"/>
    </xf>
    <xf numFmtId="168" fontId="3" fillId="11" borderId="1" xfId="3" applyNumberFormat="1" applyFill="1" applyBorder="1" applyAlignment="1">
      <alignment horizontal="center" vertical="center"/>
    </xf>
    <xf numFmtId="0" fontId="4" fillId="5" borderId="1" xfId="3" applyFont="1" applyFill="1" applyBorder="1" applyAlignment="1">
      <alignment horizontal="center"/>
    </xf>
    <xf numFmtId="9" fontId="3" fillId="5" borderId="1" xfId="3" applyNumberFormat="1" applyFill="1" applyBorder="1" applyAlignment="1">
      <alignment horizontal="center"/>
    </xf>
    <xf numFmtId="10" fontId="3" fillId="5" borderId="1" xfId="3" applyNumberFormat="1" applyFill="1" applyBorder="1" applyAlignment="1">
      <alignment horizontal="center"/>
    </xf>
    <xf numFmtId="43" fontId="3" fillId="5" borderId="1" xfId="1" applyFill="1" applyBorder="1" applyAlignment="1">
      <alignment horizontal="center"/>
    </xf>
    <xf numFmtId="0" fontId="0" fillId="0" borderId="0" xfId="0" applyAlignment="1">
      <alignment horizontal="center"/>
    </xf>
    <xf numFmtId="0" fontId="4" fillId="4" borderId="1" xfId="3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175" fontId="0" fillId="0" borderId="1" xfId="1" applyNumberFormat="1" applyFont="1" applyBorder="1" applyAlignment="1">
      <alignment horizontal="center" vertical="center"/>
    </xf>
    <xf numFmtId="175" fontId="0" fillId="5" borderId="1" xfId="1" applyNumberFormat="1" applyFont="1" applyFill="1" applyBorder="1" applyAlignment="1">
      <alignment horizontal="center" vertical="center"/>
    </xf>
    <xf numFmtId="175" fontId="0" fillId="0" borderId="0" xfId="1" applyNumberFormat="1" applyFont="1" applyAlignment="1">
      <alignment horizontal="center" vertical="center"/>
    </xf>
    <xf numFmtId="0" fontId="0" fillId="4" borderId="0" xfId="0" applyFill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9" fontId="3" fillId="5" borderId="1" xfId="3" applyNumberFormat="1" applyFill="1" applyBorder="1" applyAlignment="1">
      <alignment horizontal="center" vertical="center"/>
    </xf>
    <xf numFmtId="10" fontId="3" fillId="5" borderId="1" xfId="3" applyNumberFormat="1" applyFill="1" applyBorder="1" applyAlignment="1">
      <alignment horizontal="center" vertical="center"/>
    </xf>
    <xf numFmtId="43" fontId="3" fillId="5" borderId="1" xfId="1" applyFill="1" applyBorder="1" applyAlignment="1">
      <alignment horizontal="center" vertical="center"/>
    </xf>
    <xf numFmtId="166" fontId="3" fillId="2" borderId="1" xfId="0" applyNumberFormat="1" applyFont="1" applyFill="1" applyBorder="1" applyAlignment="1">
      <alignment vertical="center"/>
    </xf>
    <xf numFmtId="166" fontId="3" fillId="3" borderId="1" xfId="0" applyNumberFormat="1" applyFont="1" applyFill="1" applyBorder="1" applyAlignment="1">
      <alignment vertical="center"/>
    </xf>
    <xf numFmtId="166" fontId="4" fillId="2" borderId="1" xfId="0" applyNumberFormat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3" fillId="5" borderId="1" xfId="3" applyFill="1" applyBorder="1" applyAlignment="1">
      <alignment horizontal="left" vertical="center" wrapText="1"/>
    </xf>
    <xf numFmtId="0" fontId="3" fillId="5" borderId="1" xfId="3" applyFill="1" applyBorder="1" applyAlignment="1">
      <alignment horizontal="center" vertical="center"/>
    </xf>
    <xf numFmtId="178" fontId="3" fillId="5" borderId="1" xfId="3" applyNumberFormat="1" applyFill="1" applyBorder="1" applyAlignment="1">
      <alignment horizontal="center" vertical="center"/>
    </xf>
    <xf numFmtId="9" fontId="0" fillId="4" borderId="1" xfId="3" applyNumberFormat="1" applyFont="1" applyFill="1" applyBorder="1" applyAlignment="1" applyProtection="1">
      <alignment horizontal="center" vertical="center"/>
      <protection locked="0"/>
    </xf>
    <xf numFmtId="10" fontId="3" fillId="4" borderId="1" xfId="3" applyNumberForma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>
      <alignment horizontal="center" vertical="center"/>
    </xf>
    <xf numFmtId="166" fontId="3" fillId="2" borderId="1" xfId="0" applyNumberFormat="1" applyFont="1" applyFill="1" applyBorder="1" applyAlignment="1">
      <alignment horizontal="center" vertical="center"/>
    </xf>
    <xf numFmtId="167" fontId="3" fillId="2" borderId="1" xfId="0" applyNumberFormat="1" applyFont="1" applyFill="1" applyBorder="1" applyAlignment="1">
      <alignment horizontal="center" vertical="center"/>
    </xf>
    <xf numFmtId="166" fontId="4" fillId="3" borderId="1" xfId="0" applyNumberFormat="1" applyFont="1" applyFill="1" applyBorder="1" applyAlignment="1">
      <alignment horizontal="center" vertical="center"/>
    </xf>
    <xf numFmtId="167" fontId="4" fillId="3" borderId="1" xfId="0" applyNumberFormat="1" applyFont="1" applyFill="1" applyBorder="1" applyAlignment="1">
      <alignment horizontal="center" vertical="center"/>
    </xf>
    <xf numFmtId="43" fontId="0" fillId="2" borderId="1" xfId="0" applyNumberForma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horizontal="center" vertical="center"/>
    </xf>
    <xf numFmtId="166" fontId="3" fillId="3" borderId="1" xfId="0" applyNumberFormat="1" applyFont="1" applyFill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9" fontId="3" fillId="4" borderId="1" xfId="3" applyNumberFormat="1" applyFill="1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176" fontId="3" fillId="5" borderId="1" xfId="3" applyNumberFormat="1" applyFill="1" applyBorder="1" applyAlignment="1">
      <alignment horizontal="center" vertical="center"/>
    </xf>
    <xf numFmtId="170" fontId="5" fillId="4" borderId="15" xfId="1" applyNumberFormat="1" applyFont="1" applyFill="1" applyBorder="1"/>
    <xf numFmtId="0" fontId="4" fillId="5" borderId="1" xfId="3" applyFont="1" applyFill="1" applyBorder="1" applyAlignment="1">
      <alignment vertical="center"/>
    </xf>
    <xf numFmtId="0" fontId="4" fillId="11" borderId="1" xfId="3" applyFont="1" applyFill="1" applyBorder="1" applyAlignment="1">
      <alignment vertical="center"/>
    </xf>
    <xf numFmtId="0" fontId="4" fillId="5" borderId="1" xfId="3" applyFont="1" applyFill="1" applyBorder="1" applyAlignment="1">
      <alignment horizontal="center" vertical="center" wrapText="1"/>
    </xf>
    <xf numFmtId="0" fontId="4" fillId="5" borderId="1" xfId="3" applyFont="1" applyFill="1" applyBorder="1" applyAlignment="1">
      <alignment horizontal="center" vertical="center"/>
    </xf>
    <xf numFmtId="0" fontId="4" fillId="5" borderId="1" xfId="3" applyFont="1" applyFill="1" applyBorder="1" applyAlignment="1">
      <alignment vertical="center" wrapText="1"/>
    </xf>
    <xf numFmtId="0" fontId="4" fillId="2" borderId="1" xfId="3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175" fontId="1" fillId="4" borderId="9" xfId="5" applyNumberFormat="1" applyFont="1" applyFill="1" applyBorder="1" applyAlignment="1" applyProtection="1">
      <alignment horizontal="center"/>
      <protection locked="0"/>
    </xf>
    <xf numFmtId="175" fontId="0" fillId="0" borderId="0" xfId="0" applyNumberFormat="1" applyAlignment="1">
      <alignment vertical="center"/>
    </xf>
    <xf numFmtId="175" fontId="0" fillId="0" borderId="0" xfId="0" applyNumberFormat="1"/>
    <xf numFmtId="0" fontId="18" fillId="5" borderId="1" xfId="0" applyFont="1" applyFill="1" applyBorder="1" applyAlignment="1">
      <alignment horizontal="center" vertical="center"/>
    </xf>
    <xf numFmtId="14" fontId="22" fillId="5" borderId="0" xfId="3" quotePrefix="1" applyNumberFormat="1" applyFont="1" applyFill="1"/>
    <xf numFmtId="176" fontId="0" fillId="0" borderId="1" xfId="0" applyNumberFormat="1" applyBorder="1" applyAlignment="1">
      <alignment horizontal="right" vertical="center"/>
    </xf>
    <xf numFmtId="0" fontId="23" fillId="5" borderId="0" xfId="3" applyFont="1" applyFill="1" applyAlignment="1">
      <alignment horizontal="center" wrapText="1"/>
    </xf>
    <xf numFmtId="2" fontId="0" fillId="0" borderId="1" xfId="0" applyNumberFormat="1" applyBorder="1" applyAlignment="1">
      <alignment horizontal="center" vertical="center"/>
    </xf>
    <xf numFmtId="181" fontId="5" fillId="5" borderId="0" xfId="3" quotePrefix="1" applyNumberFormat="1" applyFont="1" applyFill="1" applyAlignment="1">
      <alignment horizontal="left"/>
    </xf>
    <xf numFmtId="173" fontId="0" fillId="4" borderId="1" xfId="0" applyNumberFormat="1" applyFill="1" applyBorder="1" applyAlignment="1" applyProtection="1">
      <alignment horizontal="center" vertical="center" wrapText="1"/>
      <protection locked="0"/>
    </xf>
    <xf numFmtId="0" fontId="0" fillId="4" borderId="1" xfId="3" applyFont="1" applyFill="1" applyBorder="1" applyAlignment="1" applyProtection="1">
      <alignment horizontal="center"/>
      <protection locked="0"/>
    </xf>
    <xf numFmtId="0" fontId="1" fillId="5" borderId="0" xfId="3" applyFont="1" applyFill="1"/>
    <xf numFmtId="43" fontId="1" fillId="5" borderId="0" xfId="1" applyFont="1" applyFill="1"/>
    <xf numFmtId="43" fontId="1" fillId="5" borderId="0" xfId="3" applyNumberFormat="1" applyFont="1" applyFill="1"/>
    <xf numFmtId="167" fontId="1" fillId="5" borderId="0" xfId="3" applyNumberFormat="1" applyFont="1" applyFill="1"/>
    <xf numFmtId="10" fontId="1" fillId="5" borderId="0" xfId="3" applyNumberFormat="1" applyFont="1" applyFill="1"/>
    <xf numFmtId="9" fontId="1" fillId="5" borderId="0" xfId="2" applyFont="1" applyFill="1"/>
    <xf numFmtId="182" fontId="1" fillId="5" borderId="0" xfId="3" applyNumberFormat="1" applyFont="1" applyFill="1"/>
    <xf numFmtId="0" fontId="22" fillId="5" borderId="9" xfId="3" applyFont="1" applyFill="1" applyBorder="1" applyAlignment="1">
      <alignment horizontal="left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80" fontId="18" fillId="5" borderId="1" xfId="0" applyNumberFormat="1" applyFont="1" applyFill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5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74" fontId="0" fillId="0" borderId="0" xfId="0" applyNumberFormat="1" applyAlignment="1" applyProtection="1">
      <alignment horizontal="center" vertical="center"/>
      <protection locked="0"/>
    </xf>
    <xf numFmtId="49" fontId="0" fillId="5" borderId="1" xfId="0" applyNumberFormat="1" applyFill="1" applyBorder="1" applyAlignment="1">
      <alignment horizontal="center" vertical="center" wrapText="1"/>
    </xf>
    <xf numFmtId="180" fontId="0" fillId="5" borderId="1" xfId="0" applyNumberFormat="1" applyFill="1" applyBorder="1" applyAlignment="1">
      <alignment horizontal="center" vertical="center"/>
    </xf>
    <xf numFmtId="176" fontId="0" fillId="5" borderId="1" xfId="0" applyNumberFormat="1" applyFill="1" applyBorder="1" applyAlignment="1" applyProtection="1">
      <alignment horizontal="center" vertical="center"/>
      <protection locked="0"/>
    </xf>
    <xf numFmtId="49" fontId="0" fillId="0" borderId="1" xfId="0" applyNumberFormat="1" applyBorder="1" applyAlignment="1" applyProtection="1">
      <alignment horizontal="center" vertical="center"/>
      <protection locked="0"/>
    </xf>
    <xf numFmtId="171" fontId="0" fillId="0" borderId="1" xfId="0" applyNumberFormat="1" applyBorder="1" applyAlignment="1" applyProtection="1">
      <alignment horizontal="center" vertical="center"/>
      <protection locked="0"/>
    </xf>
    <xf numFmtId="49" fontId="0" fillId="0" borderId="1" xfId="0" applyNumberFormat="1" applyBorder="1" applyAlignment="1">
      <alignment horizontal="center" vertical="center" wrapText="1"/>
    </xf>
    <xf numFmtId="180" fontId="18" fillId="0" borderId="1" xfId="0" applyNumberFormat="1" applyFont="1" applyBorder="1" applyAlignment="1">
      <alignment horizontal="center" vertical="center"/>
    </xf>
    <xf numFmtId="176" fontId="0" fillId="0" borderId="1" xfId="0" applyNumberFormat="1" applyBorder="1" applyAlignment="1" applyProtection="1">
      <alignment horizontal="center" vertical="center"/>
      <protection locked="0"/>
    </xf>
    <xf numFmtId="179" fontId="0" fillId="0" borderId="1" xfId="0" applyNumberFormat="1" applyBorder="1" applyAlignment="1" applyProtection="1">
      <alignment horizontal="center" vertical="center"/>
      <protection locked="0"/>
    </xf>
    <xf numFmtId="180" fontId="0" fillId="0" borderId="1" xfId="0" applyNumberFormat="1" applyBorder="1" applyAlignment="1">
      <alignment horizontal="center" vertical="center" wrapText="1"/>
    </xf>
    <xf numFmtId="0" fontId="18" fillId="5" borderId="1" xfId="10" applyFont="1" applyFill="1" applyBorder="1" applyAlignment="1">
      <alignment horizontal="center" vertical="center"/>
    </xf>
    <xf numFmtId="2" fontId="0" fillId="5" borderId="1" xfId="0" applyNumberFormat="1" applyFill="1" applyBorder="1" applyAlignment="1" applyProtection="1">
      <alignment horizontal="center" vertical="center"/>
      <protection locked="0"/>
    </xf>
    <xf numFmtId="171" fontId="18" fillId="5" borderId="1" xfId="1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171" fontId="18" fillId="0" borderId="1" xfId="10" applyNumberFormat="1" applyFont="1" applyBorder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80" fontId="0" fillId="0" borderId="1" xfId="0" applyNumberFormat="1" applyBorder="1" applyAlignment="1">
      <alignment horizontal="center" vertical="center"/>
    </xf>
    <xf numFmtId="183" fontId="0" fillId="0" borderId="1" xfId="0" applyNumberFormat="1" applyBorder="1" applyAlignment="1" applyProtection="1">
      <alignment horizontal="center" vertical="center"/>
      <protection locked="0"/>
    </xf>
    <xf numFmtId="0" fontId="25" fillId="0" borderId="1" xfId="0" applyFont="1" applyBorder="1" applyAlignment="1" applyProtection="1">
      <alignment horizontal="center" vertical="center" shrinkToFit="1"/>
      <protection locked="0"/>
    </xf>
    <xf numFmtId="0" fontId="0" fillId="0" borderId="11" xfId="0" applyBorder="1" applyAlignment="1">
      <alignment vertical="center" wrapText="1"/>
    </xf>
    <xf numFmtId="173" fontId="0" fillId="4" borderId="11" xfId="0" applyNumberFormat="1" applyFill="1" applyBorder="1" applyAlignment="1" applyProtection="1">
      <alignment horizontal="center" vertical="center" wrapText="1"/>
      <protection locked="0"/>
    </xf>
    <xf numFmtId="175" fontId="0" fillId="0" borderId="11" xfId="1" applyNumberFormat="1" applyFont="1" applyBorder="1" applyAlignment="1">
      <alignment horizontal="center" vertical="center"/>
    </xf>
    <xf numFmtId="175" fontId="0" fillId="5" borderId="11" xfId="1" applyNumberFormat="1" applyFont="1" applyFill="1" applyBorder="1" applyAlignment="1">
      <alignment horizontal="center" vertical="center"/>
    </xf>
    <xf numFmtId="0" fontId="0" fillId="0" borderId="17" xfId="0" applyBorder="1" applyAlignment="1">
      <alignment vertical="center" wrapText="1"/>
    </xf>
    <xf numFmtId="175" fontId="0" fillId="0" borderId="17" xfId="1" applyNumberFormat="1" applyFont="1" applyBorder="1" applyAlignment="1">
      <alignment horizontal="center" vertical="center"/>
    </xf>
    <xf numFmtId="175" fontId="0" fillId="5" borderId="17" xfId="1" applyNumberFormat="1" applyFont="1" applyFill="1" applyBorder="1" applyAlignment="1">
      <alignment horizontal="center" vertical="center"/>
    </xf>
    <xf numFmtId="0" fontId="0" fillId="4" borderId="1" xfId="0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81" fontId="1" fillId="5" borderId="0" xfId="3" applyNumberFormat="1" applyFont="1" applyFill="1"/>
    <xf numFmtId="165" fontId="2" fillId="4" borderId="9" xfId="4" applyFont="1" applyFill="1" applyBorder="1" applyAlignment="1" applyProtection="1">
      <alignment horizontal="center"/>
      <protection locked="0"/>
    </xf>
    <xf numFmtId="2" fontId="0" fillId="0" borderId="1" xfId="0" applyNumberForma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wrapText="1"/>
    </xf>
    <xf numFmtId="0" fontId="3" fillId="5" borderId="1" xfId="3" applyFill="1" applyBorder="1" applyAlignment="1">
      <alignment horizontal="center" vertical="center" wrapText="1"/>
    </xf>
    <xf numFmtId="2" fontId="3" fillId="4" borderId="1" xfId="3" applyNumberFormat="1" applyFill="1" applyBorder="1" applyAlignment="1" applyProtection="1">
      <alignment horizontal="center" vertical="center"/>
      <protection locked="0"/>
    </xf>
    <xf numFmtId="0" fontId="12" fillId="6" borderId="18" xfId="3" applyFont="1" applyFill="1" applyBorder="1" applyAlignment="1">
      <alignment horizontal="center" vertical="center" textRotation="90" wrapText="1"/>
    </xf>
    <xf numFmtId="0" fontId="12" fillId="6" borderId="27" xfId="3" applyFont="1" applyFill="1" applyBorder="1" applyAlignment="1">
      <alignment horizontal="center" vertical="center" textRotation="90" wrapText="1"/>
    </xf>
    <xf numFmtId="0" fontId="12" fillId="6" borderId="22" xfId="3" applyFont="1" applyFill="1" applyBorder="1" applyAlignment="1">
      <alignment horizontal="center" vertical="center" textRotation="90" wrapText="1"/>
    </xf>
    <xf numFmtId="169" fontId="23" fillId="5" borderId="0" xfId="1" applyNumberFormat="1" applyFont="1" applyFill="1" applyBorder="1" applyAlignment="1">
      <alignment horizontal="center" vertical="center" wrapText="1"/>
    </xf>
    <xf numFmtId="169" fontId="23" fillId="5" borderId="12" xfId="1" applyNumberFormat="1" applyFont="1" applyFill="1" applyBorder="1" applyAlignment="1">
      <alignment horizontal="center" vertical="center" wrapText="1"/>
    </xf>
    <xf numFmtId="169" fontId="23" fillId="5" borderId="15" xfId="1" applyNumberFormat="1" applyFont="1" applyFill="1" applyBorder="1" applyAlignment="1">
      <alignment horizontal="center" vertical="center" wrapText="1"/>
    </xf>
    <xf numFmtId="169" fontId="23" fillId="5" borderId="16" xfId="1" applyNumberFormat="1" applyFont="1" applyFill="1" applyBorder="1" applyAlignment="1">
      <alignment horizontal="center" vertical="center" wrapText="1"/>
    </xf>
    <xf numFmtId="0" fontId="26" fillId="5" borderId="10" xfId="3" applyFont="1" applyFill="1" applyBorder="1" applyAlignment="1">
      <alignment horizontal="center" vertical="center"/>
    </xf>
    <xf numFmtId="0" fontId="26" fillId="5" borderId="12" xfId="3" applyFont="1" applyFill="1" applyBorder="1" applyAlignment="1">
      <alignment horizontal="center" vertical="center"/>
    </xf>
    <xf numFmtId="0" fontId="8" fillId="6" borderId="6" xfId="3" applyFont="1" applyFill="1" applyBorder="1" applyAlignment="1">
      <alignment horizontal="center"/>
    </xf>
    <xf numFmtId="0" fontId="8" fillId="6" borderId="0" xfId="3" applyFont="1" applyFill="1" applyAlignment="1">
      <alignment horizontal="center"/>
    </xf>
    <xf numFmtId="0" fontId="5" fillId="5" borderId="0" xfId="3" applyFont="1" applyFill="1" applyAlignment="1">
      <alignment horizontal="left"/>
    </xf>
    <xf numFmtId="0" fontId="10" fillId="8" borderId="18" xfId="3" applyFont="1" applyFill="1" applyBorder="1" applyAlignment="1">
      <alignment horizontal="center" vertical="center"/>
    </xf>
    <xf numFmtId="0" fontId="10" fillId="8" borderId="22" xfId="3" applyFont="1" applyFill="1" applyBorder="1" applyAlignment="1">
      <alignment horizontal="center" vertical="center"/>
    </xf>
    <xf numFmtId="0" fontId="10" fillId="8" borderId="19" xfId="3" applyFont="1" applyFill="1" applyBorder="1" applyAlignment="1">
      <alignment horizontal="center"/>
    </xf>
    <xf numFmtId="0" fontId="10" fillId="8" borderId="20" xfId="3" applyFont="1" applyFill="1" applyBorder="1" applyAlignment="1">
      <alignment horizontal="center"/>
    </xf>
    <xf numFmtId="0" fontId="10" fillId="8" borderId="21" xfId="3" applyFont="1" applyFill="1" applyBorder="1" applyAlignment="1">
      <alignment horizontal="center"/>
    </xf>
    <xf numFmtId="0" fontId="10" fillId="6" borderId="37" xfId="3" applyFont="1" applyFill="1" applyBorder="1" applyAlignment="1">
      <alignment horizontal="center" vertical="center"/>
    </xf>
    <xf numFmtId="0" fontId="10" fillId="6" borderId="38" xfId="3" applyFont="1" applyFill="1" applyBorder="1" applyAlignment="1">
      <alignment horizontal="center" vertical="center"/>
    </xf>
    <xf numFmtId="165" fontId="27" fillId="6" borderId="37" xfId="4" applyFont="1" applyFill="1" applyBorder="1" applyAlignment="1">
      <alignment horizontal="center" vertical="center"/>
    </xf>
    <xf numFmtId="165" fontId="27" fillId="6" borderId="38" xfId="4" applyFont="1" applyFill="1" applyBorder="1" applyAlignment="1">
      <alignment horizontal="center" vertical="center"/>
    </xf>
    <xf numFmtId="165" fontId="27" fillId="6" borderId="39" xfId="4" applyFont="1" applyFill="1" applyBorder="1" applyAlignment="1">
      <alignment horizontal="center" vertical="center"/>
    </xf>
    <xf numFmtId="0" fontId="15" fillId="6" borderId="18" xfId="3" applyFont="1" applyFill="1" applyBorder="1" applyAlignment="1">
      <alignment horizontal="center" vertical="center" textRotation="90"/>
    </xf>
    <xf numFmtId="0" fontId="15" fillId="6" borderId="27" xfId="3" applyFont="1" applyFill="1" applyBorder="1" applyAlignment="1">
      <alignment horizontal="center" vertical="center" textRotation="90"/>
    </xf>
    <xf numFmtId="0" fontId="15" fillId="6" borderId="22" xfId="3" applyFont="1" applyFill="1" applyBorder="1" applyAlignment="1">
      <alignment horizontal="center" vertical="center" textRotation="90"/>
    </xf>
    <xf numFmtId="0" fontId="15" fillId="6" borderId="18" xfId="3" applyFont="1" applyFill="1" applyBorder="1" applyAlignment="1">
      <alignment horizontal="center" vertical="center" textRotation="90" wrapText="1"/>
    </xf>
    <xf numFmtId="0" fontId="15" fillId="6" borderId="27" xfId="3" applyFont="1" applyFill="1" applyBorder="1" applyAlignment="1">
      <alignment horizontal="center" vertical="center" textRotation="90" wrapText="1"/>
    </xf>
    <xf numFmtId="0" fontId="15" fillId="6" borderId="22" xfId="3" applyFont="1" applyFill="1" applyBorder="1" applyAlignment="1">
      <alignment horizontal="center" vertical="center" textRotation="90" wrapText="1"/>
    </xf>
  </cellXfs>
  <cellStyles count="13">
    <cellStyle name="Hiperlink" xfId="7" builtinId="8" hidden="1"/>
    <cellStyle name="Hiperlink Visitado" xfId="8" builtinId="9" hidden="1"/>
    <cellStyle name="Moeda" xfId="4" builtinId="4"/>
    <cellStyle name="Normal" xfId="0" builtinId="0"/>
    <cellStyle name="Normal 2" xfId="3" xr:uid="{00000000-0005-0000-0000-000004000000}"/>
    <cellStyle name="Normal 2 2" xfId="9" xr:uid="{00000000-0005-0000-0000-000005000000}"/>
    <cellStyle name="Normal 2 2 2" xfId="11" xr:uid="{00000000-0005-0000-0000-000006000000}"/>
    <cellStyle name="Normal 2 3 2 2" xfId="10" xr:uid="{00000000-0005-0000-0000-000007000000}"/>
    <cellStyle name="Porcentagem" xfId="2" builtinId="5"/>
    <cellStyle name="Porcentagem 2" xfId="6" xr:uid="{00000000-0005-0000-0000-000009000000}"/>
    <cellStyle name="Vírgula" xfId="1" builtinId="3"/>
    <cellStyle name="Vírgula 2" xfId="5" xr:uid="{00000000-0005-0000-0000-00000B000000}"/>
    <cellStyle name="常规 58 2 2" xfId="12" xr:uid="{00000000-0005-0000-0000-00000C000000}"/>
  </cellStyles>
  <dxfs count="1"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149678</xdr:colOff>
      <xdr:row>4</xdr:row>
      <xdr:rowOff>68036</xdr:rowOff>
    </xdr:from>
    <xdr:to>
      <xdr:col>5</xdr:col>
      <xdr:colOff>40821</xdr:colOff>
      <xdr:row>15</xdr:row>
      <xdr:rowOff>0</xdr:rowOff>
    </xdr:to>
    <xdr:pic>
      <xdr:nvPicPr>
        <xdr:cNvPr id="4" name="Imagem 3" descr="C:\Users\karla.vicente\AppData\Local\Microsoft\Windows\INetCache\Content.Word\Logomarca final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6571" y="707572"/>
          <a:ext cx="4245429" cy="217714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9"/>
  <sheetViews>
    <sheetView tabSelected="1" zoomScaleNormal="100" workbookViewId="0">
      <selection activeCell="J10" sqref="J10"/>
    </sheetView>
  </sheetViews>
  <sheetFormatPr defaultColWidth="10" defaultRowHeight="15"/>
  <cols>
    <col min="1" max="1" width="20.28515625" style="226" bestFit="1" customWidth="1"/>
    <col min="2" max="2" width="10.140625" style="243" bestFit="1" customWidth="1"/>
    <col min="3" max="3" width="7" style="226" bestFit="1" customWidth="1"/>
    <col min="4" max="4" width="8" style="226" bestFit="1" customWidth="1"/>
    <col min="5" max="5" width="7.7109375" style="226" bestFit="1" customWidth="1"/>
    <col min="6" max="6" width="12" style="226" bestFit="1" customWidth="1"/>
    <col min="7" max="7" width="47.7109375" style="226" customWidth="1"/>
    <col min="8" max="8" width="10.7109375" style="226" bestFit="1" customWidth="1"/>
    <col min="9" max="9" width="11.7109375" style="225" bestFit="1" customWidth="1"/>
    <col min="10" max="10" width="16.5703125" style="226" bestFit="1" customWidth="1"/>
    <col min="11" max="11" width="12.7109375" style="226" bestFit="1" customWidth="1"/>
    <col min="12" max="12" width="14.42578125" style="226" customWidth="1"/>
    <col min="13" max="13" width="2.85546875" style="226" customWidth="1"/>
    <col min="14" max="14" width="19.140625" style="226" hidden="1" customWidth="1"/>
    <col min="15" max="15" width="8.42578125" style="226" hidden="1" customWidth="1"/>
    <col min="16" max="16" width="7" style="226" hidden="1" customWidth="1"/>
    <col min="17" max="17" width="2.7109375" style="226" customWidth="1"/>
    <col min="18" max="16384" width="10" style="226"/>
  </cols>
  <sheetData>
    <row r="1" spans="1:16">
      <c r="A1" s="223" t="s">
        <v>46</v>
      </c>
      <c r="B1" s="242" t="s">
        <v>44</v>
      </c>
      <c r="C1" s="223" t="s">
        <v>129</v>
      </c>
      <c r="D1" s="223" t="s">
        <v>130</v>
      </c>
      <c r="E1" s="223" t="s">
        <v>131</v>
      </c>
      <c r="F1" s="223" t="s">
        <v>132</v>
      </c>
      <c r="G1" s="223" t="s">
        <v>77</v>
      </c>
      <c r="H1" s="223" t="s">
        <v>133</v>
      </c>
      <c r="I1" s="224" t="s">
        <v>134</v>
      </c>
      <c r="J1" s="223" t="s">
        <v>135</v>
      </c>
      <c r="K1" s="223" t="s">
        <v>136</v>
      </c>
      <c r="L1" s="225"/>
      <c r="N1" s="226" t="s">
        <v>116</v>
      </c>
      <c r="O1" s="226" t="s">
        <v>117</v>
      </c>
      <c r="P1" s="226" t="s">
        <v>118</v>
      </c>
    </row>
    <row r="2" spans="1:16">
      <c r="A2" s="223"/>
      <c r="B2" s="241"/>
      <c r="C2" s="244"/>
      <c r="D2" s="244"/>
      <c r="E2" s="244"/>
      <c r="F2" s="244"/>
      <c r="G2" s="221"/>
      <c r="H2" s="234"/>
      <c r="I2" s="261"/>
      <c r="J2" s="223"/>
      <c r="K2" s="223"/>
      <c r="L2" s="245" t="e">
        <f>I2/H2</f>
        <v>#DIV/0!</v>
      </c>
      <c r="N2" s="227">
        <v>7.48</v>
      </c>
    </row>
    <row r="3" spans="1:16">
      <c r="A3" s="223"/>
      <c r="B3" s="241"/>
      <c r="C3" s="244"/>
      <c r="D3" s="244"/>
      <c r="E3" s="244"/>
      <c r="F3" s="244"/>
      <c r="G3" s="221"/>
      <c r="H3" s="234"/>
      <c r="I3" s="261"/>
      <c r="J3" s="223"/>
      <c r="K3" s="247"/>
      <c r="L3" s="245" t="e">
        <f t="shared" ref="L3:L19" si="0">I3/H3</f>
        <v>#DIV/0!</v>
      </c>
      <c r="N3" s="227">
        <v>7.48</v>
      </c>
    </row>
    <row r="4" spans="1:16">
      <c r="A4" s="223"/>
      <c r="B4" s="241"/>
      <c r="C4" s="244"/>
      <c r="D4" s="244"/>
      <c r="E4" s="244"/>
      <c r="F4" s="244"/>
      <c r="G4" s="262"/>
      <c r="H4" s="234"/>
      <c r="I4" s="261"/>
      <c r="J4" s="223"/>
      <c r="K4" s="223"/>
      <c r="L4" s="245" t="e">
        <f t="shared" si="0"/>
        <v>#DIV/0!</v>
      </c>
      <c r="N4" s="227">
        <v>1.8</v>
      </c>
    </row>
    <row r="5" spans="1:16">
      <c r="A5" s="223"/>
      <c r="B5" s="241"/>
      <c r="C5" s="244"/>
      <c r="D5" s="244"/>
      <c r="E5" s="244"/>
      <c r="F5" s="244"/>
      <c r="G5" s="262"/>
      <c r="H5" s="234"/>
      <c r="I5" s="261"/>
      <c r="J5" s="223"/>
      <c r="K5" s="223"/>
      <c r="L5" s="245" t="e">
        <f t="shared" si="0"/>
        <v>#DIV/0!</v>
      </c>
      <c r="N5" s="227">
        <v>1.8</v>
      </c>
    </row>
    <row r="6" spans="1:16">
      <c r="A6" s="223"/>
      <c r="B6" s="248"/>
      <c r="C6" s="244"/>
      <c r="D6" s="244"/>
      <c r="E6" s="244"/>
      <c r="F6" s="244"/>
      <c r="G6" s="221"/>
      <c r="H6" s="234"/>
      <c r="I6" s="261"/>
      <c r="J6" s="223"/>
      <c r="K6" s="223"/>
      <c r="L6" s="245" t="e">
        <f t="shared" si="0"/>
        <v>#DIV/0!</v>
      </c>
      <c r="N6" s="227">
        <v>4.24</v>
      </c>
    </row>
    <row r="7" spans="1:16">
      <c r="A7" s="223"/>
      <c r="B7" s="248"/>
      <c r="C7" s="244"/>
      <c r="D7" s="244"/>
      <c r="E7" s="244"/>
      <c r="F7" s="244"/>
      <c r="G7" s="221"/>
      <c r="H7" s="234"/>
      <c r="I7" s="261"/>
      <c r="J7" s="223"/>
      <c r="K7" s="223"/>
      <c r="L7" s="245" t="e">
        <f t="shared" si="0"/>
        <v>#DIV/0!</v>
      </c>
      <c r="N7" s="227">
        <v>4.24</v>
      </c>
    </row>
    <row r="8" spans="1:16">
      <c r="A8" s="223"/>
      <c r="B8" s="248"/>
      <c r="C8" s="244"/>
      <c r="D8" s="244"/>
      <c r="E8" s="244"/>
      <c r="F8" s="244"/>
      <c r="G8" s="221"/>
      <c r="H8" s="234"/>
      <c r="I8" s="261"/>
      <c r="J8" s="223"/>
      <c r="K8" s="223"/>
      <c r="L8" s="245" t="e">
        <f t="shared" si="0"/>
        <v>#DIV/0!</v>
      </c>
      <c r="N8" s="227">
        <v>4.07</v>
      </c>
    </row>
    <row r="9" spans="1:16">
      <c r="A9" s="223"/>
      <c r="B9" s="248"/>
      <c r="C9" s="244"/>
      <c r="D9" s="244"/>
      <c r="E9" s="244"/>
      <c r="F9" s="244"/>
      <c r="G9" s="221"/>
      <c r="H9" s="234"/>
      <c r="I9" s="261"/>
      <c r="J9" s="223"/>
      <c r="K9" s="223"/>
      <c r="L9" s="245" t="e">
        <f t="shared" si="0"/>
        <v>#DIV/0!</v>
      </c>
      <c r="N9" s="227">
        <v>4.24</v>
      </c>
    </row>
    <row r="10" spans="1:16">
      <c r="A10" s="223"/>
      <c r="B10" s="241"/>
      <c r="C10" s="244"/>
      <c r="D10" s="244"/>
      <c r="E10" s="244"/>
      <c r="F10" s="244"/>
      <c r="G10" s="262"/>
      <c r="H10" s="234"/>
      <c r="I10" s="261"/>
      <c r="J10" s="223"/>
      <c r="K10" s="223"/>
      <c r="L10" s="245" t="e">
        <f t="shared" si="0"/>
        <v>#DIV/0!</v>
      </c>
      <c r="N10" s="227">
        <v>0.98</v>
      </c>
    </row>
    <row r="11" spans="1:16">
      <c r="A11" s="223"/>
      <c r="B11" s="241"/>
      <c r="C11" s="244"/>
      <c r="D11" s="244"/>
      <c r="E11" s="244"/>
      <c r="F11" s="244"/>
      <c r="G11" s="221"/>
      <c r="H11" s="246"/>
      <c r="I11" s="261"/>
      <c r="J11" s="223"/>
      <c r="K11" s="223"/>
      <c r="L11" s="245" t="e">
        <f t="shared" si="0"/>
        <v>#DIV/0!</v>
      </c>
      <c r="N11" s="227">
        <v>3.6</v>
      </c>
    </row>
    <row r="12" spans="1:16">
      <c r="A12" s="223"/>
      <c r="B12" s="241"/>
      <c r="C12" s="244"/>
      <c r="D12" s="244"/>
      <c r="E12" s="244"/>
      <c r="F12" s="244"/>
      <c r="G12" s="221"/>
      <c r="H12" s="246"/>
      <c r="I12" s="261"/>
      <c r="J12" s="223"/>
      <c r="K12" s="223"/>
      <c r="L12" s="245" t="e">
        <f t="shared" si="0"/>
        <v>#DIV/0!</v>
      </c>
      <c r="N12" s="227">
        <v>3.6</v>
      </c>
    </row>
    <row r="13" spans="1:16">
      <c r="A13" s="223"/>
      <c r="B13" s="241"/>
      <c r="C13" s="244"/>
      <c r="D13" s="244"/>
      <c r="E13" s="244"/>
      <c r="F13" s="244"/>
      <c r="G13" s="262"/>
      <c r="H13" s="246"/>
      <c r="I13" s="261"/>
      <c r="J13" s="223"/>
      <c r="K13" s="223"/>
      <c r="L13" s="245" t="e">
        <f t="shared" si="0"/>
        <v>#DIV/0!</v>
      </c>
      <c r="N13" s="227">
        <v>2.33</v>
      </c>
    </row>
    <row r="14" spans="1:16">
      <c r="A14" s="223"/>
      <c r="B14" s="241"/>
      <c r="C14" s="244"/>
      <c r="D14" s="244"/>
      <c r="E14" s="244"/>
      <c r="F14" s="244"/>
      <c r="G14" s="262"/>
      <c r="H14" s="234"/>
      <c r="I14" s="261"/>
      <c r="J14" s="223"/>
      <c r="K14" s="223"/>
      <c r="L14" s="245" t="e">
        <f t="shared" si="0"/>
        <v>#DIV/0!</v>
      </c>
      <c r="N14" s="227">
        <v>2.33</v>
      </c>
    </row>
    <row r="15" spans="1:16">
      <c r="A15" s="231"/>
      <c r="B15" s="241"/>
      <c r="C15" s="244"/>
      <c r="D15" s="244"/>
      <c r="E15" s="244"/>
      <c r="F15" s="244"/>
      <c r="G15" s="221"/>
      <c r="H15" s="234"/>
      <c r="I15" s="261"/>
      <c r="J15" s="223"/>
      <c r="K15" s="236"/>
      <c r="L15" s="245" t="e">
        <f t="shared" si="0"/>
        <v>#DIV/0!</v>
      </c>
      <c r="N15" s="227">
        <v>2.2000000000000002</v>
      </c>
    </row>
    <row r="16" spans="1:16">
      <c r="A16" s="231"/>
      <c r="B16" s="241"/>
      <c r="C16" s="244"/>
      <c r="D16" s="244"/>
      <c r="E16" s="244"/>
      <c r="F16" s="244"/>
      <c r="G16" s="262"/>
      <c r="H16" s="234"/>
      <c r="I16" s="261"/>
      <c r="J16" s="223"/>
      <c r="K16" s="236"/>
      <c r="L16" s="245" t="e">
        <f t="shared" si="0"/>
        <v>#DIV/0!</v>
      </c>
      <c r="N16" s="227">
        <v>2.2599999999999998</v>
      </c>
    </row>
    <row r="17" spans="1:14">
      <c r="A17" s="231"/>
      <c r="B17" s="241"/>
      <c r="C17" s="244"/>
      <c r="D17" s="244"/>
      <c r="E17" s="244"/>
      <c r="F17" s="244"/>
      <c r="G17" s="221"/>
      <c r="H17" s="234"/>
      <c r="I17" s="261"/>
      <c r="J17" s="223"/>
      <c r="K17" s="236"/>
      <c r="L17" s="245" t="e">
        <f t="shared" si="0"/>
        <v>#DIV/0!</v>
      </c>
      <c r="N17" s="227">
        <v>4.17</v>
      </c>
    </row>
    <row r="18" spans="1:14">
      <c r="A18" s="223"/>
      <c r="B18" s="241"/>
      <c r="C18" s="244"/>
      <c r="D18" s="244"/>
      <c r="E18" s="244"/>
      <c r="F18" s="244"/>
      <c r="G18" s="221"/>
      <c r="H18" s="234"/>
      <c r="I18" s="261"/>
      <c r="J18" s="223"/>
      <c r="K18" s="223"/>
      <c r="L18" s="245" t="e">
        <f t="shared" si="0"/>
        <v>#DIV/0!</v>
      </c>
      <c r="N18" s="227">
        <v>4.17</v>
      </c>
    </row>
    <row r="19" spans="1:14">
      <c r="A19" s="231"/>
      <c r="B19" s="241"/>
      <c r="C19" s="244"/>
      <c r="D19" s="244"/>
      <c r="E19" s="244"/>
      <c r="F19" s="244"/>
      <c r="G19" s="221"/>
      <c r="H19" s="234"/>
      <c r="I19" s="261"/>
      <c r="J19" s="223"/>
      <c r="K19" s="236"/>
      <c r="L19" s="245" t="e">
        <f t="shared" si="0"/>
        <v>#DIV/0!</v>
      </c>
      <c r="N19" s="227">
        <v>2.8</v>
      </c>
    </row>
    <row r="20" spans="1:14">
      <c r="A20" s="223"/>
      <c r="B20" s="241"/>
      <c r="C20" s="244"/>
      <c r="D20" s="244"/>
      <c r="E20" s="244"/>
      <c r="F20" s="244"/>
      <c r="G20" s="233"/>
      <c r="H20" s="246"/>
      <c r="I20" s="232"/>
      <c r="J20" s="223"/>
      <c r="K20" s="223"/>
      <c r="L20" s="245"/>
      <c r="N20" s="227"/>
    </row>
    <row r="21" spans="1:14">
      <c r="A21" s="223"/>
      <c r="B21" s="241"/>
      <c r="C21" s="244"/>
      <c r="D21" s="244"/>
      <c r="E21" s="244"/>
      <c r="F21" s="244"/>
      <c r="G21" s="223"/>
      <c r="H21" s="234"/>
      <c r="I21" s="232"/>
      <c r="J21" s="223"/>
      <c r="K21" s="223"/>
      <c r="L21" s="245"/>
      <c r="N21" s="227"/>
    </row>
    <row r="22" spans="1:14">
      <c r="A22" s="223"/>
      <c r="B22" s="241"/>
      <c r="C22" s="244"/>
      <c r="D22" s="244"/>
      <c r="E22" s="244"/>
      <c r="F22" s="244"/>
      <c r="G22" s="233"/>
      <c r="H22" s="246"/>
      <c r="I22" s="232"/>
      <c r="J22" s="223"/>
      <c r="K22" s="223"/>
      <c r="L22" s="245"/>
      <c r="N22" s="227"/>
    </row>
    <row r="23" spans="1:14">
      <c r="A23" s="223"/>
      <c r="B23" s="241"/>
      <c r="C23" s="244"/>
      <c r="D23" s="244"/>
      <c r="E23" s="244"/>
      <c r="F23" s="244"/>
      <c r="G23" s="233"/>
      <c r="H23" s="246"/>
      <c r="I23" s="232"/>
      <c r="J23" s="223"/>
      <c r="K23" s="223"/>
      <c r="L23" s="245"/>
      <c r="N23" s="227"/>
    </row>
    <row r="24" spans="1:14">
      <c r="A24" s="223"/>
      <c r="B24" s="241"/>
      <c r="C24" s="244"/>
      <c r="D24" s="244"/>
      <c r="E24" s="244"/>
      <c r="F24" s="244"/>
      <c r="G24" s="233"/>
      <c r="H24" s="246"/>
      <c r="I24" s="232"/>
      <c r="J24" s="223"/>
      <c r="K24" s="223"/>
      <c r="L24" s="245"/>
      <c r="N24" s="227"/>
    </row>
    <row r="25" spans="1:14">
      <c r="A25" s="223"/>
      <c r="B25" s="241"/>
      <c r="C25" s="244"/>
      <c r="D25" s="244"/>
      <c r="E25" s="244"/>
      <c r="F25" s="244"/>
      <c r="G25" s="223"/>
      <c r="H25" s="234"/>
      <c r="I25" s="232"/>
      <c r="J25" s="223"/>
      <c r="K25" s="223"/>
      <c r="L25" s="245"/>
      <c r="N25" s="227"/>
    </row>
    <row r="26" spans="1:14">
      <c r="A26" s="223"/>
      <c r="B26" s="241"/>
      <c r="C26" s="244"/>
      <c r="D26" s="244"/>
      <c r="E26" s="244"/>
      <c r="F26" s="244"/>
      <c r="G26" s="223"/>
      <c r="H26" s="234"/>
      <c r="I26" s="232"/>
      <c r="J26" s="223"/>
      <c r="K26" s="223"/>
      <c r="L26" s="245"/>
      <c r="N26" s="227"/>
    </row>
    <row r="27" spans="1:14">
      <c r="A27" s="223"/>
      <c r="B27" s="241"/>
      <c r="C27" s="244"/>
      <c r="D27" s="244"/>
      <c r="E27" s="244"/>
      <c r="F27" s="244"/>
      <c r="G27" s="233"/>
      <c r="H27" s="246"/>
      <c r="I27" s="232"/>
      <c r="J27" s="223"/>
      <c r="K27" s="223"/>
      <c r="N27" s="227"/>
    </row>
    <row r="28" spans="1:14">
      <c r="A28" s="223"/>
      <c r="B28" s="241"/>
      <c r="C28" s="244"/>
      <c r="D28" s="244"/>
      <c r="E28" s="244"/>
      <c r="F28" s="244"/>
      <c r="G28" s="233"/>
      <c r="H28" s="246"/>
      <c r="I28" s="232"/>
      <c r="J28" s="223"/>
      <c r="K28" s="223"/>
      <c r="N28" s="227"/>
    </row>
    <row r="29" spans="1:14">
      <c r="A29" s="223"/>
      <c r="B29" s="241"/>
      <c r="C29" s="244"/>
      <c r="D29" s="244"/>
      <c r="E29" s="244"/>
      <c r="F29" s="244"/>
      <c r="G29" s="233"/>
      <c r="H29" s="246"/>
      <c r="I29" s="232"/>
      <c r="J29" s="223"/>
      <c r="K29" s="223"/>
      <c r="N29" s="227"/>
    </row>
    <row r="30" spans="1:14">
      <c r="A30" s="223"/>
      <c r="B30" s="241"/>
      <c r="C30" s="244"/>
      <c r="D30" s="244"/>
      <c r="E30" s="244"/>
      <c r="F30" s="244"/>
      <c r="G30" s="233"/>
      <c r="H30" s="246"/>
      <c r="I30" s="232"/>
      <c r="J30" s="223"/>
      <c r="K30" s="223"/>
      <c r="N30" s="227"/>
    </row>
    <row r="31" spans="1:14">
      <c r="A31" s="223"/>
      <c r="B31" s="241"/>
      <c r="C31" s="232"/>
      <c r="D31" s="232"/>
      <c r="E31" s="232"/>
      <c r="F31" s="232"/>
      <c r="G31" s="233"/>
      <c r="H31" s="234"/>
      <c r="I31" s="232"/>
      <c r="J31" s="223"/>
      <c r="K31" s="223"/>
      <c r="N31" s="227"/>
    </row>
    <row r="32" spans="1:14">
      <c r="B32" s="241"/>
      <c r="C32" s="232"/>
      <c r="D32" s="232"/>
      <c r="E32" s="232"/>
      <c r="F32" s="232"/>
      <c r="G32" s="233"/>
      <c r="H32" s="234"/>
      <c r="I32" s="232"/>
      <c r="J32" s="223"/>
      <c r="K32" s="223"/>
      <c r="N32" s="227"/>
    </row>
    <row r="33" spans="1:14">
      <c r="A33" s="223"/>
      <c r="B33" s="241"/>
      <c r="C33" s="244"/>
      <c r="D33" s="244"/>
      <c r="E33" s="244"/>
      <c r="F33" s="244"/>
      <c r="G33" s="233"/>
      <c r="H33" s="234"/>
      <c r="I33" s="232"/>
      <c r="J33" s="223"/>
      <c r="K33" s="223"/>
      <c r="N33" s="227"/>
    </row>
    <row r="34" spans="1:14">
      <c r="A34" s="223"/>
      <c r="B34" s="241"/>
      <c r="C34" s="244"/>
      <c r="D34" s="244"/>
      <c r="E34" s="244"/>
      <c r="F34" s="244"/>
      <c r="G34" s="233"/>
      <c r="H34" s="234"/>
      <c r="I34" s="232"/>
      <c r="J34" s="223"/>
      <c r="K34" s="223"/>
      <c r="N34" s="227"/>
    </row>
    <row r="35" spans="1:14">
      <c r="A35" s="223"/>
      <c r="B35" s="241"/>
      <c r="C35" s="244"/>
      <c r="D35" s="244"/>
      <c r="E35" s="244"/>
      <c r="F35" s="244"/>
      <c r="G35" s="223"/>
      <c r="H35" s="234"/>
      <c r="I35" s="232"/>
      <c r="J35" s="223"/>
      <c r="K35" s="223"/>
      <c r="N35" s="227"/>
    </row>
    <row r="36" spans="1:14">
      <c r="A36" s="223"/>
      <c r="B36" s="241"/>
      <c r="C36" s="244"/>
      <c r="D36" s="244"/>
      <c r="E36" s="244"/>
      <c r="F36" s="244"/>
      <c r="G36" s="223"/>
      <c r="H36" s="234"/>
      <c r="I36" s="232"/>
      <c r="J36" s="223"/>
      <c r="K36" s="223"/>
      <c r="N36" s="227"/>
    </row>
    <row r="37" spans="1:14">
      <c r="A37" s="231"/>
      <c r="B37" s="241"/>
      <c r="C37" s="244"/>
      <c r="D37" s="244"/>
      <c r="E37" s="244"/>
      <c r="F37" s="244"/>
      <c r="G37" s="233"/>
      <c r="H37" s="234"/>
      <c r="I37" s="232"/>
      <c r="J37" s="223"/>
      <c r="K37" s="236"/>
      <c r="N37" s="227"/>
    </row>
    <row r="38" spans="1:14">
      <c r="A38" s="223"/>
      <c r="B38" s="241"/>
      <c r="C38" s="244"/>
      <c r="D38" s="244"/>
      <c r="E38" s="244"/>
      <c r="F38" s="244"/>
      <c r="G38" s="233"/>
      <c r="H38" s="234"/>
      <c r="I38" s="232"/>
      <c r="J38" s="223"/>
      <c r="K38" s="223"/>
      <c r="N38" s="227"/>
    </row>
    <row r="39" spans="1:14">
      <c r="A39" s="223"/>
      <c r="B39" s="241"/>
      <c r="C39" s="244"/>
      <c r="D39" s="244"/>
      <c r="E39" s="244"/>
      <c r="F39" s="244"/>
      <c r="G39" s="223"/>
      <c r="H39" s="234"/>
      <c r="I39" s="232"/>
      <c r="J39" s="223"/>
      <c r="K39" s="223"/>
      <c r="N39" s="227"/>
    </row>
    <row r="40" spans="1:14">
      <c r="A40" s="223"/>
      <c r="B40" s="241"/>
      <c r="C40" s="244"/>
      <c r="D40" s="244"/>
      <c r="E40" s="244"/>
      <c r="F40" s="244"/>
      <c r="G40" s="223"/>
      <c r="H40" s="234"/>
      <c r="I40" s="232"/>
      <c r="J40" s="223"/>
      <c r="K40" s="223"/>
      <c r="N40" s="227"/>
    </row>
    <row r="41" spans="1:14">
      <c r="A41" s="223"/>
      <c r="B41" s="241"/>
      <c r="C41" s="244"/>
      <c r="D41" s="244"/>
      <c r="E41" s="244"/>
      <c r="F41" s="244"/>
      <c r="G41" s="223"/>
      <c r="H41" s="234"/>
      <c r="I41" s="232"/>
      <c r="J41" s="223"/>
      <c r="K41" s="223"/>
      <c r="N41" s="227"/>
    </row>
    <row r="42" spans="1:14">
      <c r="A42" s="223"/>
      <c r="B42" s="241"/>
      <c r="C42" s="244"/>
      <c r="D42" s="244"/>
      <c r="E42" s="244"/>
      <c r="F42" s="244"/>
      <c r="G42" s="233"/>
      <c r="H42" s="246"/>
      <c r="I42" s="232"/>
      <c r="J42" s="223"/>
      <c r="K42" s="223"/>
      <c r="N42" s="227"/>
    </row>
    <row r="43" spans="1:14">
      <c r="A43" s="223"/>
      <c r="B43" s="241"/>
      <c r="C43" s="244"/>
      <c r="D43" s="244"/>
      <c r="E43" s="244"/>
      <c r="F43" s="244"/>
      <c r="G43" s="233"/>
      <c r="H43" s="246"/>
      <c r="I43" s="232"/>
      <c r="J43" s="223"/>
      <c r="K43" s="223"/>
      <c r="N43" s="227"/>
    </row>
    <row r="44" spans="1:14">
      <c r="A44" s="223"/>
      <c r="B44" s="241"/>
      <c r="C44" s="244"/>
      <c r="D44" s="244"/>
      <c r="E44" s="244"/>
      <c r="F44" s="244"/>
      <c r="G44" s="223"/>
      <c r="H44" s="234"/>
      <c r="I44" s="232"/>
      <c r="J44" s="223"/>
      <c r="K44" s="223"/>
      <c r="N44" s="227"/>
    </row>
    <row r="45" spans="1:14">
      <c r="A45" s="223"/>
      <c r="B45" s="241"/>
      <c r="C45" s="244"/>
      <c r="D45" s="244"/>
      <c r="E45" s="244"/>
      <c r="F45" s="244"/>
      <c r="G45" s="233"/>
      <c r="H45" s="246"/>
      <c r="I45" s="232"/>
      <c r="J45" s="223"/>
      <c r="K45" s="223"/>
      <c r="N45" s="227"/>
    </row>
    <row r="46" spans="1:14">
      <c r="A46" s="223"/>
      <c r="B46" s="241"/>
      <c r="C46" s="232"/>
      <c r="D46" s="232"/>
      <c r="E46" s="232"/>
      <c r="F46" s="232"/>
      <c r="G46" s="233"/>
      <c r="H46" s="246"/>
      <c r="I46" s="232"/>
      <c r="J46" s="223"/>
      <c r="K46" s="223"/>
      <c r="N46" s="227"/>
    </row>
    <row r="47" spans="1:14">
      <c r="A47" s="223"/>
      <c r="B47" s="241"/>
      <c r="C47" s="232"/>
      <c r="D47" s="232"/>
      <c r="E47" s="232"/>
      <c r="F47" s="232"/>
      <c r="G47" s="233"/>
      <c r="H47" s="246"/>
      <c r="I47" s="232"/>
      <c r="J47" s="223"/>
      <c r="K47" s="223"/>
      <c r="N47" s="227"/>
    </row>
    <row r="48" spans="1:14">
      <c r="A48" s="223"/>
      <c r="B48" s="241"/>
      <c r="C48" s="232"/>
      <c r="D48" s="232"/>
      <c r="E48" s="232"/>
      <c r="F48" s="232"/>
      <c r="G48" s="233"/>
      <c r="H48" s="246"/>
      <c r="I48" s="232"/>
      <c r="J48" s="223"/>
      <c r="K48" s="223"/>
      <c r="N48" s="227"/>
    </row>
    <row r="49" spans="1:14">
      <c r="A49" s="223"/>
      <c r="B49" s="241"/>
      <c r="C49" s="232"/>
      <c r="D49" s="232"/>
      <c r="E49" s="232"/>
      <c r="F49" s="232"/>
      <c r="G49" s="233"/>
      <c r="H49" s="234"/>
      <c r="I49" s="232"/>
      <c r="J49" s="223"/>
      <c r="K49" s="223"/>
      <c r="N49" s="227"/>
    </row>
    <row r="50" spans="1:14">
      <c r="A50" s="223"/>
      <c r="B50" s="241"/>
      <c r="C50" s="232"/>
      <c r="D50" s="232"/>
      <c r="E50" s="232"/>
      <c r="F50" s="232"/>
      <c r="G50" s="223"/>
      <c r="H50" s="234"/>
      <c r="I50" s="232"/>
      <c r="J50" s="223"/>
      <c r="K50" s="223"/>
      <c r="N50" s="227"/>
    </row>
    <row r="51" spans="1:14">
      <c r="A51" s="223"/>
      <c r="B51" s="241"/>
      <c r="C51" s="232"/>
      <c r="D51" s="232"/>
      <c r="E51" s="232"/>
      <c r="F51" s="232"/>
      <c r="G51" s="223"/>
      <c r="H51" s="234"/>
      <c r="I51" s="232"/>
      <c r="J51" s="223"/>
      <c r="K51" s="223"/>
      <c r="N51" s="227"/>
    </row>
    <row r="52" spans="1:14">
      <c r="A52" s="223"/>
      <c r="B52" s="241"/>
      <c r="C52" s="232"/>
      <c r="D52" s="232"/>
      <c r="E52" s="232"/>
      <c r="F52" s="232"/>
      <c r="G52" s="233"/>
      <c r="H52" s="234"/>
      <c r="I52" s="232"/>
      <c r="J52" s="223"/>
      <c r="K52" s="223"/>
      <c r="N52" s="227"/>
    </row>
    <row r="53" spans="1:14">
      <c r="A53" s="223"/>
      <c r="B53" s="241"/>
      <c r="C53" s="244"/>
      <c r="D53" s="244"/>
      <c r="E53" s="244"/>
      <c r="F53" s="244"/>
      <c r="G53" s="233"/>
      <c r="H53" s="246"/>
      <c r="I53" s="232"/>
      <c r="J53" s="223"/>
      <c r="K53" s="223"/>
      <c r="N53" s="227"/>
    </row>
    <row r="54" spans="1:14">
      <c r="A54" s="223"/>
      <c r="B54" s="241"/>
      <c r="C54" s="244"/>
      <c r="D54" s="244"/>
      <c r="E54" s="244"/>
      <c r="F54" s="244"/>
      <c r="G54" s="233"/>
      <c r="H54" s="234"/>
      <c r="I54" s="232"/>
      <c r="J54" s="223"/>
      <c r="K54" s="223"/>
      <c r="N54" s="227"/>
    </row>
    <row r="55" spans="1:14">
      <c r="A55" s="223"/>
      <c r="B55" s="241"/>
      <c r="C55" s="244"/>
      <c r="D55" s="244"/>
      <c r="E55" s="244"/>
      <c r="F55" s="244"/>
      <c r="G55" s="233"/>
      <c r="H55" s="234"/>
      <c r="I55" s="232"/>
      <c r="J55" s="223"/>
      <c r="K55" s="223"/>
      <c r="N55" s="227"/>
    </row>
    <row r="56" spans="1:14">
      <c r="A56" s="223"/>
      <c r="B56" s="241"/>
      <c r="C56" s="244"/>
      <c r="D56" s="244"/>
      <c r="E56" s="244"/>
      <c r="F56" s="244"/>
      <c r="G56" s="233"/>
      <c r="H56" s="246"/>
      <c r="I56" s="232"/>
      <c r="J56" s="223"/>
      <c r="K56" s="223"/>
      <c r="N56" s="227"/>
    </row>
    <row r="57" spans="1:14">
      <c r="A57" s="223"/>
      <c r="B57" s="241"/>
      <c r="C57" s="244"/>
      <c r="D57" s="244"/>
      <c r="E57" s="244"/>
      <c r="F57" s="244"/>
      <c r="G57" s="233"/>
      <c r="H57" s="234"/>
      <c r="I57" s="232"/>
      <c r="J57" s="223"/>
      <c r="K57" s="223"/>
      <c r="N57" s="227"/>
    </row>
    <row r="58" spans="1:14">
      <c r="A58" s="223"/>
      <c r="B58" s="241"/>
      <c r="C58" s="244"/>
      <c r="D58" s="244"/>
      <c r="E58" s="244"/>
      <c r="F58" s="244"/>
      <c r="G58" s="233"/>
      <c r="H58" s="246"/>
      <c r="I58" s="232"/>
      <c r="J58" s="223"/>
      <c r="K58" s="223"/>
      <c r="N58" s="227"/>
    </row>
    <row r="59" spans="1:14">
      <c r="A59" s="223"/>
      <c r="B59" s="241"/>
      <c r="C59" s="244"/>
      <c r="D59" s="244"/>
      <c r="E59" s="244"/>
      <c r="F59" s="244"/>
      <c r="G59" s="223"/>
      <c r="H59" s="234"/>
      <c r="I59" s="232"/>
      <c r="J59" s="223"/>
      <c r="K59" s="223"/>
      <c r="N59" s="227"/>
    </row>
    <row r="60" spans="1:14">
      <c r="A60" s="231"/>
      <c r="B60" s="241"/>
      <c r="C60" s="232"/>
      <c r="D60" s="232"/>
      <c r="E60" s="232"/>
      <c r="F60" s="232"/>
      <c r="G60" s="233"/>
      <c r="H60" s="234"/>
      <c r="I60" s="232"/>
      <c r="J60" s="223"/>
      <c r="K60" s="236"/>
      <c r="N60" s="227"/>
    </row>
    <row r="61" spans="1:14">
      <c r="A61" s="231"/>
      <c r="B61" s="241"/>
      <c r="C61" s="232"/>
      <c r="D61" s="232"/>
      <c r="E61" s="232"/>
      <c r="F61" s="232"/>
      <c r="G61" s="233"/>
      <c r="H61" s="234"/>
      <c r="I61" s="232"/>
      <c r="J61" s="223"/>
      <c r="K61" s="236"/>
      <c r="N61" s="227"/>
    </row>
    <row r="62" spans="1:14">
      <c r="A62" s="223"/>
      <c r="B62" s="241"/>
      <c r="C62" s="232"/>
      <c r="D62" s="232"/>
      <c r="E62" s="232"/>
      <c r="F62" s="232"/>
      <c r="G62" s="233"/>
      <c r="H62" s="237"/>
      <c r="I62" s="232"/>
      <c r="J62" s="223"/>
      <c r="K62" s="223"/>
      <c r="N62" s="227"/>
    </row>
    <row r="63" spans="1:14">
      <c r="A63" s="223"/>
      <c r="B63" s="241"/>
      <c r="C63" s="244"/>
      <c r="D63" s="244"/>
      <c r="E63" s="244"/>
      <c r="F63" s="244"/>
      <c r="G63" s="233"/>
      <c r="H63" s="246"/>
      <c r="I63" s="235"/>
      <c r="J63" s="223"/>
      <c r="K63" s="223"/>
      <c r="N63" s="227"/>
    </row>
    <row r="64" spans="1:14">
      <c r="A64" s="231"/>
      <c r="B64" s="241"/>
      <c r="C64" s="232"/>
      <c r="D64" s="232"/>
      <c r="E64" s="232"/>
      <c r="F64" s="232"/>
      <c r="G64" s="233"/>
      <c r="H64" s="234"/>
      <c r="I64" s="235"/>
      <c r="J64" s="223"/>
      <c r="K64" s="236"/>
      <c r="N64" s="227"/>
    </row>
    <row r="65" spans="1:14">
      <c r="A65" s="223"/>
      <c r="B65" s="241"/>
      <c r="C65" s="232"/>
      <c r="D65" s="232"/>
      <c r="E65" s="232"/>
      <c r="F65" s="232"/>
      <c r="G65" s="233"/>
      <c r="H65" s="237"/>
      <c r="I65" s="235"/>
      <c r="J65" s="223"/>
      <c r="K65" s="223"/>
      <c r="N65" s="227"/>
    </row>
    <row r="66" spans="1:14">
      <c r="A66" s="224"/>
      <c r="B66" s="241"/>
      <c r="C66" s="232"/>
      <c r="D66" s="232"/>
      <c r="E66" s="232"/>
      <c r="F66" s="232"/>
      <c r="G66" s="224"/>
      <c r="H66" s="222"/>
      <c r="I66" s="235"/>
      <c r="J66" s="224"/>
      <c r="K66" s="224"/>
      <c r="N66" s="227"/>
    </row>
    <row r="67" spans="1:14">
      <c r="A67" s="224"/>
      <c r="B67" s="241"/>
      <c r="C67" s="240"/>
      <c r="D67" s="240"/>
      <c r="E67" s="240"/>
      <c r="F67" s="240"/>
      <c r="G67" s="228"/>
      <c r="H67" s="222"/>
      <c r="I67" s="230"/>
      <c r="J67" s="224"/>
      <c r="K67" s="224"/>
      <c r="N67" s="227"/>
    </row>
    <row r="68" spans="1:14">
      <c r="A68" s="224"/>
      <c r="B68" s="241"/>
      <c r="C68" s="240"/>
      <c r="D68" s="240"/>
      <c r="E68" s="240"/>
      <c r="F68" s="240"/>
      <c r="G68" s="224"/>
      <c r="H68" s="222"/>
      <c r="I68" s="224"/>
      <c r="J68" s="224"/>
      <c r="K68" s="224"/>
      <c r="N68" s="227"/>
    </row>
    <row r="69" spans="1:14">
      <c r="A69" s="224"/>
      <c r="B69" s="241"/>
      <c r="C69" s="240"/>
      <c r="D69" s="240"/>
      <c r="E69" s="240"/>
      <c r="F69" s="240"/>
      <c r="G69" s="224"/>
      <c r="H69" s="222"/>
      <c r="I69" s="235"/>
      <c r="J69" s="224"/>
      <c r="K69" s="224"/>
      <c r="N69" s="227"/>
    </row>
    <row r="70" spans="1:14">
      <c r="A70" s="224"/>
      <c r="B70" s="241"/>
      <c r="C70" s="240"/>
      <c r="D70" s="240"/>
      <c r="E70" s="240"/>
      <c r="F70" s="240"/>
      <c r="G70" s="224"/>
      <c r="H70" s="222"/>
      <c r="I70" s="239"/>
      <c r="J70" s="224"/>
      <c r="K70" s="224"/>
      <c r="N70" s="227"/>
    </row>
    <row r="71" spans="1:14">
      <c r="A71" s="223"/>
      <c r="B71" s="241"/>
      <c r="C71" s="232"/>
      <c r="D71" s="232"/>
      <c r="E71" s="232"/>
      <c r="F71" s="232"/>
      <c r="G71" s="233"/>
      <c r="H71" s="234"/>
      <c r="I71" s="235"/>
      <c r="J71" s="223"/>
      <c r="K71" s="223"/>
      <c r="N71" s="227"/>
    </row>
    <row r="72" spans="1:14">
      <c r="A72" s="224"/>
      <c r="B72" s="241"/>
      <c r="C72" s="240"/>
      <c r="D72" s="240"/>
      <c r="E72" s="240"/>
      <c r="F72" s="240"/>
      <c r="G72" s="224"/>
      <c r="H72" s="222"/>
      <c r="I72" s="224"/>
      <c r="J72" s="224"/>
      <c r="K72" s="224"/>
      <c r="N72" s="227"/>
    </row>
    <row r="73" spans="1:14">
      <c r="A73" s="224"/>
      <c r="B73" s="241"/>
      <c r="C73" s="240"/>
      <c r="D73" s="240"/>
      <c r="E73" s="240"/>
      <c r="F73" s="240"/>
      <c r="G73" s="224"/>
      <c r="H73" s="222"/>
      <c r="I73" s="224"/>
      <c r="J73" s="224"/>
      <c r="K73" s="224"/>
      <c r="N73" s="227"/>
    </row>
    <row r="74" spans="1:14">
      <c r="A74" s="224"/>
      <c r="B74" s="241"/>
      <c r="C74" s="240"/>
      <c r="D74" s="240"/>
      <c r="E74" s="240"/>
      <c r="F74" s="240"/>
      <c r="G74" s="228"/>
      <c r="H74" s="222"/>
      <c r="I74" s="230"/>
      <c r="J74" s="224"/>
      <c r="K74" s="224"/>
      <c r="N74" s="227"/>
    </row>
    <row r="75" spans="1:14">
      <c r="A75" s="224"/>
      <c r="B75" s="241"/>
      <c r="C75" s="240"/>
      <c r="D75" s="240"/>
      <c r="E75" s="240"/>
      <c r="F75" s="240"/>
      <c r="G75" s="224"/>
      <c r="H75" s="222"/>
      <c r="I75" s="224"/>
      <c r="J75" s="224"/>
      <c r="K75" s="224"/>
      <c r="N75" s="227"/>
    </row>
    <row r="76" spans="1:14">
      <c r="A76" s="224"/>
      <c r="B76" s="241"/>
      <c r="C76" s="240"/>
      <c r="D76" s="240"/>
      <c r="E76" s="240"/>
      <c r="F76" s="240"/>
      <c r="G76" s="228"/>
      <c r="H76" s="229"/>
      <c r="I76" s="230"/>
      <c r="J76" s="224"/>
      <c r="K76" s="224"/>
      <c r="N76" s="227"/>
    </row>
    <row r="77" spans="1:14">
      <c r="A77" s="224"/>
      <c r="B77" s="241"/>
      <c r="C77" s="240"/>
      <c r="D77" s="240"/>
      <c r="E77" s="240"/>
      <c r="F77" s="240"/>
      <c r="G77" s="224"/>
      <c r="H77" s="222"/>
      <c r="I77" s="224"/>
      <c r="J77" s="224"/>
      <c r="K77" s="224"/>
      <c r="N77" s="227"/>
    </row>
    <row r="78" spans="1:14">
      <c r="A78" s="224"/>
      <c r="B78" s="242"/>
      <c r="C78" s="238"/>
      <c r="D78" s="238"/>
      <c r="E78" s="238"/>
      <c r="F78" s="238"/>
      <c r="G78" s="224"/>
      <c r="H78" s="204"/>
      <c r="I78" s="224"/>
      <c r="J78" s="224"/>
      <c r="K78" s="224"/>
    </row>
    <row r="79" spans="1:14">
      <c r="A79" s="224"/>
      <c r="B79" s="242"/>
      <c r="C79" s="238"/>
      <c r="D79" s="238"/>
      <c r="E79" s="238"/>
      <c r="F79" s="238"/>
      <c r="G79" s="224"/>
      <c r="H79" s="204"/>
      <c r="I79" s="224"/>
      <c r="J79" s="224"/>
      <c r="K79" s="224"/>
    </row>
    <row r="80" spans="1:14">
      <c r="A80" s="224"/>
      <c r="B80" s="242"/>
      <c r="C80" s="238"/>
      <c r="D80" s="238"/>
      <c r="E80" s="238"/>
      <c r="F80" s="238"/>
      <c r="G80" s="224"/>
      <c r="H80" s="204"/>
      <c r="I80" s="224"/>
      <c r="J80" s="224"/>
      <c r="K80" s="224"/>
    </row>
    <row r="81" spans="1:11">
      <c r="A81" s="224"/>
      <c r="B81" s="242"/>
      <c r="C81" s="238"/>
      <c r="D81" s="238"/>
      <c r="E81" s="238"/>
      <c r="F81" s="238"/>
      <c r="G81" s="224"/>
      <c r="H81" s="204"/>
      <c r="I81" s="224"/>
      <c r="J81" s="224"/>
      <c r="K81" s="224"/>
    </row>
    <row r="82" spans="1:11">
      <c r="A82" s="224"/>
      <c r="B82" s="242"/>
      <c r="C82" s="238"/>
      <c r="D82" s="238"/>
      <c r="E82" s="238"/>
      <c r="F82" s="238"/>
      <c r="G82" s="224"/>
      <c r="H82" s="204"/>
      <c r="I82" s="224"/>
      <c r="J82" s="224"/>
      <c r="K82" s="224"/>
    </row>
    <row r="83" spans="1:11">
      <c r="A83" s="224"/>
      <c r="B83" s="242"/>
      <c r="C83" s="238"/>
      <c r="D83" s="238"/>
      <c r="E83" s="238"/>
      <c r="F83" s="238"/>
      <c r="G83" s="224"/>
      <c r="H83" s="204"/>
      <c r="I83" s="224"/>
      <c r="J83" s="224"/>
      <c r="K83" s="224"/>
    </row>
    <row r="84" spans="1:11">
      <c r="A84" s="224"/>
      <c r="B84" s="242"/>
      <c r="C84" s="238"/>
      <c r="D84" s="238"/>
      <c r="E84" s="238"/>
      <c r="F84" s="238"/>
      <c r="G84" s="224"/>
      <c r="H84" s="204"/>
      <c r="I84" s="224"/>
      <c r="J84" s="224"/>
      <c r="K84" s="224"/>
    </row>
    <row r="85" spans="1:11">
      <c r="A85" s="224"/>
      <c r="B85" s="242"/>
      <c r="C85" s="238"/>
      <c r="D85" s="238"/>
      <c r="E85" s="238"/>
      <c r="F85" s="238"/>
      <c r="G85" s="224"/>
      <c r="H85" s="204"/>
      <c r="I85" s="224"/>
      <c r="J85" s="224"/>
      <c r="K85" s="224"/>
    </row>
    <row r="86" spans="1:11">
      <c r="A86" s="224"/>
      <c r="B86" s="242"/>
      <c r="C86" s="238"/>
      <c r="D86" s="238"/>
      <c r="E86" s="238"/>
      <c r="F86" s="238"/>
      <c r="G86" s="224"/>
      <c r="H86" s="204"/>
      <c r="I86" s="224"/>
      <c r="J86" s="224"/>
      <c r="K86" s="224"/>
    </row>
    <row r="87" spans="1:11">
      <c r="A87" s="224"/>
      <c r="B87" s="242"/>
      <c r="C87" s="238"/>
      <c r="D87" s="238"/>
      <c r="E87" s="238"/>
      <c r="F87" s="238"/>
      <c r="G87" s="224"/>
      <c r="H87" s="204"/>
      <c r="I87" s="224"/>
      <c r="J87" s="224"/>
      <c r="K87" s="224"/>
    </row>
    <row r="88" spans="1:11">
      <c r="A88" s="224"/>
      <c r="B88" s="242"/>
      <c r="C88" s="238"/>
      <c r="D88" s="238"/>
      <c r="E88" s="238"/>
      <c r="F88" s="238"/>
      <c r="G88" s="224"/>
      <c r="H88" s="204"/>
      <c r="I88" s="224"/>
      <c r="J88" s="224"/>
      <c r="K88" s="224"/>
    </row>
    <row r="89" spans="1:11">
      <c r="A89" s="224"/>
      <c r="B89" s="242"/>
      <c r="C89" s="238"/>
      <c r="D89" s="238"/>
      <c r="E89" s="238"/>
      <c r="F89" s="238"/>
      <c r="G89" s="224"/>
      <c r="H89" s="204"/>
      <c r="I89" s="224"/>
      <c r="J89" s="224"/>
      <c r="K89" s="224"/>
    </row>
    <row r="90" spans="1:11">
      <c r="I90" s="226"/>
    </row>
    <row r="91" spans="1:11">
      <c r="I91" s="226"/>
    </row>
    <row r="92" spans="1:11">
      <c r="I92" s="226"/>
    </row>
    <row r="93" spans="1:11">
      <c r="I93" s="226"/>
    </row>
    <row r="94" spans="1:11">
      <c r="I94" s="226"/>
    </row>
    <row r="95" spans="1:11">
      <c r="I95" s="226"/>
    </row>
    <row r="96" spans="1:11">
      <c r="I96" s="226"/>
    </row>
    <row r="97" spans="2:2" s="226" customFormat="1">
      <c r="B97" s="243"/>
    </row>
    <row r="98" spans="2:2" s="226" customFormat="1">
      <c r="B98" s="243"/>
    </row>
    <row r="99" spans="2:2" s="226" customFormat="1">
      <c r="B99" s="243"/>
    </row>
    <row r="100" spans="2:2" s="226" customFormat="1">
      <c r="B100" s="243"/>
    </row>
    <row r="101" spans="2:2" s="226" customFormat="1">
      <c r="B101" s="243"/>
    </row>
    <row r="102" spans="2:2" s="226" customFormat="1">
      <c r="B102" s="243"/>
    </row>
    <row r="103" spans="2:2" s="226" customFormat="1">
      <c r="B103" s="243"/>
    </row>
    <row r="104" spans="2:2" s="226" customFormat="1">
      <c r="B104" s="243"/>
    </row>
    <row r="105" spans="2:2" s="226" customFormat="1">
      <c r="B105" s="243"/>
    </row>
    <row r="106" spans="2:2" s="226" customFormat="1">
      <c r="B106" s="243"/>
    </row>
    <row r="107" spans="2:2" s="226" customFormat="1">
      <c r="B107" s="243"/>
    </row>
    <row r="108" spans="2:2" s="226" customFormat="1">
      <c r="B108" s="243"/>
    </row>
    <row r="109" spans="2:2" s="226" customFormat="1">
      <c r="B109" s="243"/>
    </row>
    <row r="110" spans="2:2" s="226" customFormat="1">
      <c r="B110" s="243"/>
    </row>
    <row r="111" spans="2:2" s="226" customFormat="1">
      <c r="B111" s="243"/>
    </row>
    <row r="112" spans="2:2" s="226" customFormat="1">
      <c r="B112" s="243"/>
    </row>
    <row r="113" spans="1:9">
      <c r="I113" s="226"/>
    </row>
    <row r="114" spans="1:9">
      <c r="I114" s="226"/>
    </row>
    <row r="115" spans="1:9">
      <c r="I115" s="226"/>
    </row>
    <row r="116" spans="1:9">
      <c r="I116" s="226"/>
    </row>
    <row r="117" spans="1:9">
      <c r="I117" s="226"/>
    </row>
    <row r="118" spans="1:9">
      <c r="I118" s="226"/>
    </row>
    <row r="119" spans="1:9">
      <c r="I119" s="226"/>
    </row>
    <row r="120" spans="1:9">
      <c r="I120" s="226"/>
    </row>
    <row r="121" spans="1:9">
      <c r="A121" s="170"/>
      <c r="I121" s="226"/>
    </row>
    <row r="122" spans="1:9">
      <c r="A122" s="170"/>
      <c r="I122" s="226"/>
    </row>
    <row r="123" spans="1:9">
      <c r="A123" s="170"/>
      <c r="I123" s="226"/>
    </row>
    <row r="124" spans="1:9">
      <c r="A124" s="170"/>
      <c r="I124" s="226"/>
    </row>
    <row r="125" spans="1:9">
      <c r="I125" s="226"/>
    </row>
    <row r="126" spans="1:9">
      <c r="I126" s="226"/>
    </row>
    <row r="127" spans="1:9">
      <c r="I127" s="226"/>
    </row>
    <row r="128" spans="1:9">
      <c r="I128" s="226"/>
    </row>
    <row r="129" spans="2:2" s="226" customFormat="1">
      <c r="B129" s="243"/>
    </row>
    <row r="130" spans="2:2" s="226" customFormat="1">
      <c r="B130" s="243"/>
    </row>
    <row r="131" spans="2:2" s="226" customFormat="1">
      <c r="B131" s="243"/>
    </row>
    <row r="132" spans="2:2" s="226" customFormat="1">
      <c r="B132" s="243"/>
    </row>
    <row r="133" spans="2:2" s="226" customFormat="1">
      <c r="B133" s="243"/>
    </row>
    <row r="134" spans="2:2" s="226" customFormat="1">
      <c r="B134" s="243"/>
    </row>
    <row r="135" spans="2:2" s="226" customFormat="1">
      <c r="B135" s="243"/>
    </row>
    <row r="136" spans="2:2" s="226" customFormat="1">
      <c r="B136" s="243"/>
    </row>
    <row r="137" spans="2:2" s="226" customFormat="1">
      <c r="B137" s="243"/>
    </row>
    <row r="138" spans="2:2" s="226" customFormat="1">
      <c r="B138" s="243"/>
    </row>
    <row r="139" spans="2:2" s="226" customFormat="1">
      <c r="B139" s="243"/>
    </row>
    <row r="140" spans="2:2" s="226" customFormat="1">
      <c r="B140" s="243"/>
    </row>
    <row r="141" spans="2:2" s="226" customFormat="1">
      <c r="B141" s="243"/>
    </row>
    <row r="142" spans="2:2" s="226" customFormat="1">
      <c r="B142" s="243"/>
    </row>
    <row r="143" spans="2:2" s="226" customFormat="1">
      <c r="B143" s="243"/>
    </row>
    <row r="144" spans="2:2" s="226" customFormat="1">
      <c r="B144" s="243"/>
    </row>
    <row r="145" spans="2:2" s="226" customFormat="1">
      <c r="B145" s="243"/>
    </row>
    <row r="146" spans="2:2" s="226" customFormat="1">
      <c r="B146" s="243"/>
    </row>
    <row r="147" spans="2:2" s="226" customFormat="1">
      <c r="B147" s="243"/>
    </row>
    <row r="148" spans="2:2" s="226" customFormat="1">
      <c r="B148" s="243"/>
    </row>
    <row r="149" spans="2:2" s="226" customFormat="1">
      <c r="B149" s="243"/>
    </row>
    <row r="150" spans="2:2" s="226" customFormat="1">
      <c r="B150" s="243"/>
    </row>
    <row r="151" spans="2:2" s="226" customFormat="1">
      <c r="B151" s="243"/>
    </row>
    <row r="152" spans="2:2" s="226" customFormat="1">
      <c r="B152" s="243"/>
    </row>
    <row r="153" spans="2:2" s="226" customFormat="1">
      <c r="B153" s="243"/>
    </row>
    <row r="154" spans="2:2" s="226" customFormat="1">
      <c r="B154" s="243"/>
    </row>
    <row r="155" spans="2:2" s="226" customFormat="1">
      <c r="B155" s="243"/>
    </row>
    <row r="156" spans="2:2" s="226" customFormat="1">
      <c r="B156" s="243"/>
    </row>
    <row r="157" spans="2:2" s="226" customFormat="1">
      <c r="B157" s="243"/>
    </row>
    <row r="158" spans="2:2" s="226" customFormat="1">
      <c r="B158" s="243"/>
    </row>
    <row r="159" spans="2:2" s="226" customFormat="1">
      <c r="B159" s="243"/>
    </row>
    <row r="160" spans="2:2" s="226" customFormat="1">
      <c r="B160" s="243"/>
    </row>
    <row r="161" spans="2:2" s="226" customFormat="1">
      <c r="B161" s="243"/>
    </row>
    <row r="162" spans="2:2" s="226" customFormat="1">
      <c r="B162" s="243"/>
    </row>
    <row r="163" spans="2:2" s="226" customFormat="1">
      <c r="B163" s="243"/>
    </row>
    <row r="164" spans="2:2" s="226" customFormat="1">
      <c r="B164" s="243"/>
    </row>
    <row r="165" spans="2:2" s="226" customFormat="1">
      <c r="B165" s="243"/>
    </row>
    <row r="166" spans="2:2" s="226" customFormat="1">
      <c r="B166" s="243"/>
    </row>
    <row r="167" spans="2:2" s="226" customFormat="1">
      <c r="B167" s="243"/>
    </row>
    <row r="168" spans="2:2" s="226" customFormat="1">
      <c r="B168" s="243"/>
    </row>
    <row r="169" spans="2:2" s="226" customFormat="1">
      <c r="B169" s="243"/>
    </row>
    <row r="170" spans="2:2" s="226" customFormat="1">
      <c r="B170" s="243"/>
    </row>
    <row r="171" spans="2:2" s="226" customFormat="1">
      <c r="B171" s="243"/>
    </row>
    <row r="172" spans="2:2" s="226" customFormat="1">
      <c r="B172" s="243"/>
    </row>
    <row r="173" spans="2:2" s="226" customFormat="1">
      <c r="B173" s="243"/>
    </row>
    <row r="174" spans="2:2" s="226" customFormat="1">
      <c r="B174" s="243"/>
    </row>
    <row r="175" spans="2:2" s="226" customFormat="1">
      <c r="B175" s="243"/>
    </row>
    <row r="176" spans="2:2" s="226" customFormat="1">
      <c r="B176" s="243"/>
    </row>
    <row r="177" spans="2:2" s="226" customFormat="1">
      <c r="B177" s="243"/>
    </row>
    <row r="178" spans="2:2" s="226" customFormat="1">
      <c r="B178" s="243"/>
    </row>
    <row r="179" spans="2:2" s="226" customFormat="1">
      <c r="B179" s="243"/>
    </row>
    <row r="180" spans="2:2" s="226" customFormat="1">
      <c r="B180" s="243"/>
    </row>
    <row r="181" spans="2:2" s="226" customFormat="1">
      <c r="B181" s="243"/>
    </row>
    <row r="182" spans="2:2" s="226" customFormat="1">
      <c r="B182" s="243"/>
    </row>
    <row r="183" spans="2:2" s="226" customFormat="1">
      <c r="B183" s="243"/>
    </row>
    <row r="184" spans="2:2" s="226" customFormat="1">
      <c r="B184" s="243"/>
    </row>
    <row r="185" spans="2:2" s="226" customFormat="1">
      <c r="B185" s="243"/>
    </row>
    <row r="186" spans="2:2" s="226" customFormat="1">
      <c r="B186" s="243"/>
    </row>
    <row r="187" spans="2:2" s="226" customFormat="1">
      <c r="B187" s="243"/>
    </row>
    <row r="188" spans="2:2" s="226" customFormat="1">
      <c r="B188" s="243"/>
    </row>
    <row r="189" spans="2:2" s="226" customFormat="1">
      <c r="B189" s="243"/>
    </row>
  </sheetData>
  <autoFilter ref="A1:L19" xr:uid="{00000000-0009-0000-0000-000000000000}"/>
  <phoneticPr fontId="24" type="noConversion"/>
  <conditionalFormatting sqref="A2:A78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498"/>
  <sheetViews>
    <sheetView workbookViewId="0"/>
  </sheetViews>
  <sheetFormatPr defaultColWidth="11.42578125" defaultRowHeight="15" outlineLevelCol="1"/>
  <cols>
    <col min="1" max="1" width="20.28515625" bestFit="1" customWidth="1"/>
    <col min="2" max="2" width="39.5703125" customWidth="1"/>
    <col min="3" max="3" width="10.28515625" customWidth="1"/>
    <col min="4" max="4" width="12.42578125" style="161" bestFit="1" customWidth="1"/>
    <col min="5" max="5" width="15.7109375" bestFit="1" customWidth="1"/>
    <col min="6" max="6" width="15" bestFit="1" customWidth="1"/>
    <col min="7" max="7" width="17.140625" bestFit="1" customWidth="1"/>
    <col min="8" max="8" width="13.42578125" bestFit="1" customWidth="1"/>
    <col min="9" max="9" width="6.42578125" style="153" bestFit="1" customWidth="1"/>
    <col min="10" max="11" width="8.140625" style="153" bestFit="1" customWidth="1"/>
    <col min="12" max="12" width="8.7109375" style="153" bestFit="1" customWidth="1"/>
    <col min="13" max="13" width="6.42578125" style="153" bestFit="1" customWidth="1"/>
    <col min="14" max="14" width="12.7109375" bestFit="1" customWidth="1"/>
    <col min="15" max="15" width="13.7109375" bestFit="1" customWidth="1"/>
    <col min="16" max="16" width="10.7109375" customWidth="1" outlineLevel="1"/>
    <col min="17" max="17" width="14.28515625" bestFit="1" customWidth="1" outlineLevel="1"/>
    <col min="18" max="18" width="15.42578125" bestFit="1" customWidth="1" outlineLevel="1"/>
    <col min="19" max="19" width="23.28515625" bestFit="1" customWidth="1" outlineLevel="1"/>
    <col min="20" max="20" width="27.7109375" bestFit="1" customWidth="1" outlineLevel="1"/>
    <col min="21" max="21" width="14.7109375" bestFit="1" customWidth="1" outlineLevel="1"/>
    <col min="22" max="22" width="19" bestFit="1" customWidth="1" outlineLevel="1"/>
    <col min="23" max="23" width="19.140625" bestFit="1" customWidth="1"/>
    <col min="24" max="24" width="10.7109375" customWidth="1" outlineLevel="1"/>
    <col min="25" max="25" width="19" customWidth="1" outlineLevel="1"/>
    <col min="26" max="26" width="22.140625" customWidth="1" outlineLevel="1"/>
    <col min="27" max="27" width="22.7109375" bestFit="1" customWidth="1"/>
    <col min="28" max="28" width="12.7109375" customWidth="1" outlineLevel="1"/>
    <col min="29" max="29" width="11.7109375" customWidth="1" outlineLevel="1"/>
    <col min="30" max="30" width="12.7109375" customWidth="1" outlineLevel="1"/>
    <col min="31" max="31" width="10" customWidth="1" outlineLevel="1"/>
    <col min="32" max="32" width="11.28515625" customWidth="1" outlineLevel="1"/>
    <col min="33" max="33" width="12.140625" customWidth="1" outlineLevel="1"/>
    <col min="34" max="34" width="28.140625" bestFit="1" customWidth="1"/>
    <col min="35" max="35" width="24.42578125" bestFit="1" customWidth="1"/>
    <col min="36" max="36" width="17" bestFit="1" customWidth="1"/>
    <col min="37" max="37" width="27.42578125" bestFit="1" customWidth="1"/>
    <col min="38" max="38" width="11.7109375" customWidth="1" outlineLevel="1"/>
    <col min="39" max="39" width="13.7109375" customWidth="1" outlineLevel="1"/>
    <col min="40" max="40" width="10.7109375" customWidth="1" outlineLevel="1"/>
    <col min="41" max="41" width="12.140625" customWidth="1" outlineLevel="1"/>
    <col min="42" max="42" width="18.7109375" bestFit="1" customWidth="1"/>
    <col min="43" max="43" width="15.7109375" bestFit="1" customWidth="1"/>
    <col min="44" max="44" width="12.140625" bestFit="1" customWidth="1"/>
    <col min="45" max="45" width="14.42578125" bestFit="1" customWidth="1"/>
    <col min="46" max="46" width="12.42578125" bestFit="1" customWidth="1"/>
    <col min="47" max="47" width="14.140625" bestFit="1" customWidth="1"/>
    <col min="48" max="48" width="14.42578125" bestFit="1" customWidth="1"/>
    <col min="49" max="49" width="22" bestFit="1" customWidth="1"/>
    <col min="50" max="50" width="17" bestFit="1" customWidth="1"/>
    <col min="51" max="51" width="15.42578125" bestFit="1" customWidth="1"/>
    <col min="52" max="52" width="24.28515625" bestFit="1" customWidth="1"/>
    <col min="53" max="53" width="12.7109375" bestFit="1" customWidth="1"/>
    <col min="54" max="54" width="11.7109375" bestFit="1" customWidth="1"/>
    <col min="55" max="55" width="15.140625" bestFit="1" customWidth="1"/>
    <col min="56" max="56" width="21.7109375" bestFit="1" customWidth="1"/>
    <col min="57" max="57" width="9.28515625" bestFit="1" customWidth="1"/>
    <col min="58" max="58" width="17.7109375" bestFit="1" customWidth="1"/>
    <col min="59" max="59" width="15.28515625" bestFit="1" customWidth="1"/>
    <col min="60" max="60" width="15.140625" bestFit="1" customWidth="1"/>
    <col min="61" max="61" width="18.7109375" bestFit="1" customWidth="1"/>
    <col min="62" max="62" width="17.7109375" bestFit="1" customWidth="1"/>
    <col min="63" max="63" width="23.7109375" bestFit="1" customWidth="1"/>
    <col min="64" max="64" width="12.7109375" bestFit="1" customWidth="1"/>
    <col min="65" max="65" width="24.28515625" bestFit="1" customWidth="1"/>
  </cols>
  <sheetData>
    <row r="1" spans="1:65" s="200" customFormat="1" ht="45">
      <c r="A1" s="191" t="s">
        <v>46</v>
      </c>
      <c r="B1" s="191" t="s">
        <v>45</v>
      </c>
      <c r="C1" s="191" t="s">
        <v>44</v>
      </c>
      <c r="D1" s="194"/>
      <c r="E1" s="192" t="s">
        <v>43</v>
      </c>
      <c r="F1" s="191" t="s">
        <v>42</v>
      </c>
      <c r="G1" s="193" t="s">
        <v>104</v>
      </c>
      <c r="H1" s="191" t="s">
        <v>41</v>
      </c>
      <c r="I1" s="194" t="s">
        <v>32</v>
      </c>
      <c r="J1" s="194" t="s">
        <v>31</v>
      </c>
      <c r="K1" s="194" t="s">
        <v>30</v>
      </c>
      <c r="L1" s="194" t="s">
        <v>89</v>
      </c>
      <c r="M1" s="194" t="s">
        <v>29</v>
      </c>
      <c r="N1" s="195" t="s">
        <v>101</v>
      </c>
      <c r="O1" s="191" t="s">
        <v>88</v>
      </c>
      <c r="P1" s="196" t="s">
        <v>40</v>
      </c>
      <c r="Q1" s="196" t="s">
        <v>105</v>
      </c>
      <c r="R1" s="196" t="s">
        <v>39</v>
      </c>
      <c r="S1" s="197" t="s">
        <v>106</v>
      </c>
      <c r="T1" s="197" t="s">
        <v>107</v>
      </c>
      <c r="U1" s="197" t="s">
        <v>108</v>
      </c>
      <c r="V1" s="197" t="s">
        <v>109</v>
      </c>
      <c r="W1" s="198" t="s">
        <v>37</v>
      </c>
      <c r="X1" s="197" t="s">
        <v>36</v>
      </c>
      <c r="Y1" s="197" t="s">
        <v>35</v>
      </c>
      <c r="Z1" s="197" t="s">
        <v>34</v>
      </c>
      <c r="AA1" s="198" t="s">
        <v>33</v>
      </c>
      <c r="AB1" s="197" t="s">
        <v>32</v>
      </c>
      <c r="AC1" s="197" t="s">
        <v>31</v>
      </c>
      <c r="AD1" s="197" t="s">
        <v>30</v>
      </c>
      <c r="AE1" s="197" t="s">
        <v>29</v>
      </c>
      <c r="AF1" s="197" t="s">
        <v>89</v>
      </c>
      <c r="AG1" s="197" t="s">
        <v>28</v>
      </c>
      <c r="AH1" s="198" t="s">
        <v>27</v>
      </c>
      <c r="AI1" s="198" t="s">
        <v>26</v>
      </c>
      <c r="AJ1" s="198" t="s">
        <v>93</v>
      </c>
      <c r="AK1" s="198" t="s">
        <v>25</v>
      </c>
      <c r="AL1" s="199" t="s">
        <v>24</v>
      </c>
      <c r="AM1" s="199" t="s">
        <v>23</v>
      </c>
      <c r="AN1" s="199" t="s">
        <v>22</v>
      </c>
      <c r="AO1" s="199" t="s">
        <v>21</v>
      </c>
      <c r="AP1" s="198" t="s">
        <v>20</v>
      </c>
      <c r="AQ1" s="197" t="s">
        <v>19</v>
      </c>
      <c r="AR1" s="197" t="s">
        <v>18</v>
      </c>
      <c r="AS1" s="197" t="s">
        <v>17</v>
      </c>
      <c r="AT1" s="197" t="s">
        <v>16</v>
      </c>
      <c r="AU1" s="198" t="s">
        <v>15</v>
      </c>
      <c r="AV1" s="197" t="s">
        <v>14</v>
      </c>
      <c r="AW1" s="198" t="s">
        <v>13</v>
      </c>
      <c r="AX1" s="197" t="s">
        <v>12</v>
      </c>
      <c r="AY1" s="198" t="s">
        <v>11</v>
      </c>
      <c r="AZ1" s="198" t="s">
        <v>10</v>
      </c>
      <c r="BA1" s="197" t="s">
        <v>9</v>
      </c>
      <c r="BB1" s="197" t="s">
        <v>8</v>
      </c>
      <c r="BC1" s="198" t="s">
        <v>7</v>
      </c>
      <c r="BD1" s="197" t="str">
        <f>IF('Entrada e Saida'!$H$11="TRADING","Valor Venda Unit. C/IPI","Custo C/IPI")</f>
        <v>Valor Venda Unit. C/IPI</v>
      </c>
      <c r="BE1" s="197" t="s">
        <v>6</v>
      </c>
      <c r="BF1" s="197" t="s">
        <v>5</v>
      </c>
      <c r="BG1" s="197" t="s">
        <v>4</v>
      </c>
      <c r="BH1" s="197" t="s">
        <v>3</v>
      </c>
      <c r="BI1" s="197" t="s">
        <v>2</v>
      </c>
      <c r="BJ1" s="197" t="s">
        <v>1</v>
      </c>
      <c r="BK1" s="197" t="s">
        <v>0</v>
      </c>
      <c r="BL1" s="197" t="str">
        <f>IF('Entrada e Saida'!$H$14="P.JURIDICA","VALOR ST", "VALOR DIFAL")</f>
        <v>VALOR ST</v>
      </c>
      <c r="BM1" s="197" t="str">
        <f>IF('Entrada e Saida'!$H$14="P.JURIDICA","Valor Final C/Desc.+IPI+ST","Valor Final C/Desc.+IPI+DIFAL")</f>
        <v>Valor Final C/Desc.+IPI+ST</v>
      </c>
    </row>
    <row r="2" spans="1:65" s="169" customFormat="1">
      <c r="A2" s="144"/>
      <c r="B2" s="263" t="e">
        <f>VLOOKUP(A2,'Master Modelo'!A:I,7,FALSE)</f>
        <v>#N/A</v>
      </c>
      <c r="C2" s="145" t="e">
        <f>VLOOKUP(A2,'Master Modelo'!A:I,2,FALSE)</f>
        <v>#N/A</v>
      </c>
      <c r="D2" s="264"/>
      <c r="E2" s="147" t="e">
        <f>VLOOKUP(A2,'Master Modelo'!A:I,9,FALSE)</f>
        <v>#N/A</v>
      </c>
      <c r="F2" s="189">
        <f>IFERROR(VLOOKUP(A2,'Master Modelo'!A:I,8,FALSE),0)</f>
        <v>0</v>
      </c>
      <c r="G2" s="189">
        <f>IFERROR(VLOOKUP(A2,'Master Modelo'!A:K,11,FALSE),0)</f>
        <v>0</v>
      </c>
      <c r="H2" s="174" t="e">
        <f>(D2*E2)/(D2*F2)</f>
        <v>#N/A</v>
      </c>
      <c r="I2" s="163" t="e">
        <f>VLOOKUP(A2,'Master Modelo'!A:I,3,FALSE)</f>
        <v>#N/A</v>
      </c>
      <c r="J2" s="164" t="e">
        <f>VLOOKUP(A2,'Master Modelo'!A:I,5,FALSE)</f>
        <v>#N/A</v>
      </c>
      <c r="K2" s="164" t="e">
        <f>VLOOKUP(A2,'Master Modelo'!A:I,6,FALSE)</f>
        <v>#N/A</v>
      </c>
      <c r="L2" s="165" t="e">
        <f>VLOOKUP(A2,'Master Modelo'!A:J,10,FALSE)</f>
        <v>#N/A</v>
      </c>
      <c r="M2" s="163" t="e">
        <f>VLOOKUP(A2,'Master Modelo'!A:I,4,FALSE)</f>
        <v>#N/A</v>
      </c>
      <c r="N2" s="175"/>
      <c r="O2" s="176"/>
      <c r="P2" s="177">
        <f>D2*F2</f>
        <v>0</v>
      </c>
      <c r="Q2" s="177">
        <f>D2*G2</f>
        <v>0</v>
      </c>
      <c r="R2" s="178" t="e">
        <f>D2*E2*'Entrada e Saida'!$K$8</f>
        <v>#N/A</v>
      </c>
      <c r="S2" s="179" t="e">
        <f>'Entrada e Saida'!$H$21*'Entrada e Saida'!$K$8*(P2/(SUM(P:P)))</f>
        <v>#DIV/0!</v>
      </c>
      <c r="T2" s="179" t="e">
        <f>'Entrada e Saida'!$H$21*'Entrada e Saida'!$K$8*(Q2/(SUM(Q:Q)))</f>
        <v>#DIV/0!</v>
      </c>
      <c r="U2" s="179" t="e">
        <f>'Entrada e Saida'!$H$22*(P2/(SUM(P:P)))</f>
        <v>#DIV/0!</v>
      </c>
      <c r="V2" s="179" t="e">
        <f>'Entrada e Saida'!$H$22*(Q2/(SUM(Q:Q)))</f>
        <v>#DIV/0!</v>
      </c>
      <c r="W2" s="180" t="e">
        <f>R2+S2+U2</f>
        <v>#N/A</v>
      </c>
      <c r="X2" s="179" t="e">
        <f>'Entrada e Saida'!$H$26*(IF('Entrada e Saida'!$H$15="PESO",(P2/(SUM(P:P))),(Q2/(SUM(Q:Q)))))</f>
        <v>#DIV/0!</v>
      </c>
      <c r="Y2" s="179" t="e">
        <f>'Entrada e Saida'!$H$27*(IF('Entrada e Saida'!$H$15="PESO",(P2/(SUM(P:P))),(Q2/(SUM(Q:Q)))))</f>
        <v>#DIV/0!</v>
      </c>
      <c r="Z2" s="179" t="e">
        <f>'Entrada e Saida'!$H$28*(IF('Entrada e Saida'!$H$15="PESO",(P2/(SUM(P:P))),(Q2/(SUM(Q:Q)))))</f>
        <v>#DIV/0!</v>
      </c>
      <c r="AA2" s="181" t="e">
        <f>X2+Y2+Z2</f>
        <v>#DIV/0!</v>
      </c>
      <c r="AB2" s="178" t="e">
        <f t="shared" ref="AB2:AB20" si="0">W2*I2</f>
        <v>#N/A</v>
      </c>
      <c r="AC2" s="178" t="e">
        <f>W2*J2</f>
        <v>#N/A</v>
      </c>
      <c r="AD2" s="178" t="e">
        <f t="shared" ref="AD2:AD20" si="1">W2*K2</f>
        <v>#N/A</v>
      </c>
      <c r="AE2" s="177" t="e">
        <f t="shared" ref="AE2:AE20" si="2">(W2+AB2)*M2</f>
        <v>#N/A</v>
      </c>
      <c r="AF2" s="182">
        <f>IFERROR(D2*F2*L2*'Entrada e Saida'!$K$8,0)</f>
        <v>0</v>
      </c>
      <c r="AG2" s="178" t="e">
        <f>((W2+AA2+AB2+AC2+AD2+AE2+AF2)/(1-'Entrada e Saida'!$G$65))*'Entrada e Saida'!$I$66</f>
        <v>#N/A</v>
      </c>
      <c r="AH2" s="180" t="e">
        <f>SUM(AB2:AG2)</f>
        <v>#N/A</v>
      </c>
      <c r="AI2" s="183" t="e">
        <f>'Entrada e Saida'!$K$51*(IF('Entrada e Saida'!$H$15="PESO",(P2/(SUM(P:P))),(Q2/(SUM(Q:Q)))))</f>
        <v>#DIV/0!</v>
      </c>
      <c r="AJ2" s="183" t="e">
        <f>(('Entrada e Saida'!$K$10-'Entrada e Saida'!$K$8)*E2*D2)</f>
        <v>#N/A</v>
      </c>
      <c r="AK2" s="184" t="e">
        <f>IF('Entrada e Saida'!$H$15="PESO",W2+AA2+AH2+AI2+AJ2,W2+AA2+AH2+AI2+AJ2-S2+T2-U2+V2)</f>
        <v>#N/A</v>
      </c>
      <c r="AL2" s="185" t="e">
        <f>IF('Entrada e Saida'!$H$12="REAL",AC2,0)</f>
        <v>#N/A</v>
      </c>
      <c r="AM2" s="185" t="e">
        <f>IF('Entrada e Saida'!$H$12="REAL",AD2,0)</f>
        <v>#N/A</v>
      </c>
      <c r="AN2" s="186" t="e">
        <f>IF('Entrada e Saida'!$H$13= "NÃO",AE2,0)</f>
        <v>#N/A</v>
      </c>
      <c r="AO2" s="186" t="e">
        <f t="shared" ref="AO2" si="3">AG2</f>
        <v>#N/A</v>
      </c>
      <c r="AP2" s="184" t="e">
        <f>AK2-SUM(AL2:AO2)</f>
        <v>#N/A</v>
      </c>
      <c r="AQ2" s="178" t="e">
        <f>IF('Entrada e Saida'!$H$11="TRADING",AU2*'Custo Resumido'!D2,0)</f>
        <v>#N/A</v>
      </c>
      <c r="AR2" s="178" t="e">
        <f>IF('Entrada e Saida'!$H$11="TRADING",AU2*'Entrada e Saida'!$G$63,0)</f>
        <v>#N/A</v>
      </c>
      <c r="AS2" s="178" t="e">
        <f>IF('Entrada e Saida'!$H$11="TRADING",AU2*'Entrada e Saida'!$G$64,0)</f>
        <v>#N/A</v>
      </c>
      <c r="AT2" s="178" t="e">
        <f>IF('Entrada e Saida'!$H$11="TRADING",AU2*'Entrada e Saida'!$G$65,0)</f>
        <v>#N/A</v>
      </c>
      <c r="AU2" s="184" t="e">
        <f>IF('Entrada e Saida'!$H$11="TRADING",AP2/(1-(SUM('Entrada e Saida'!$G$63:$G$65)+'Custo Resumido'!D2)),0)</f>
        <v>#N/A</v>
      </c>
      <c r="AV2" s="178" t="e">
        <f>IF('Entrada e Saida'!$H$13="NÃO",AU2*M2,0)</f>
        <v>#N/A</v>
      </c>
      <c r="AW2" s="184" t="e">
        <f>AU2+AV2</f>
        <v>#N/A</v>
      </c>
      <c r="AX2" s="178" t="e">
        <f>'Entrada e Saida'!$G$74*AU2</f>
        <v>#N/A</v>
      </c>
      <c r="AY2" s="184" t="e">
        <f t="shared" ref="AY2" si="4">AW2-AX2</f>
        <v>#N/A</v>
      </c>
      <c r="AZ2" s="184" t="e">
        <f>AQ2+('Entrada e Saida'!$G$65-'Entrada e Saida'!$I$65)*AU2-AX2</f>
        <v>#N/A</v>
      </c>
      <c r="BA2" s="166" t="e">
        <f>IF('Entrada e Saida'!$H$12="REAL",AZ2*'Entrada e Saida'!$G$81,AU2*'Entrada e Saida'!$G$81)</f>
        <v>#N/A</v>
      </c>
      <c r="BB2" s="166" t="e">
        <f>IF('Entrada e Saida'!$H$12="REAL",AZ2*'Entrada e Saida'!$G$82,AU2*'Entrada e Saida'!$G$82)</f>
        <v>#N/A</v>
      </c>
      <c r="BC2" s="167" t="e">
        <f>AZ2-BA2-BB2</f>
        <v>#N/A</v>
      </c>
      <c r="BD2" s="166" t="e">
        <f>IF('Entrada e Saida'!$H$11="TRADING",AW2/D2,AK2/D2)</f>
        <v>#N/A</v>
      </c>
      <c r="BE2" s="166" t="e">
        <f t="shared" ref="BE2:BE20" si="5">AX2/D2</f>
        <v>#N/A</v>
      </c>
      <c r="BF2" s="168" t="e">
        <f t="shared" ref="BF2" si="6">BD2-BE2</f>
        <v>#N/A</v>
      </c>
      <c r="BG2" s="166" t="e">
        <f>IF('Entrada e Saida'!$H$11="TRADING",AV2/D2,AN2/D2)</f>
        <v>#N/A</v>
      </c>
      <c r="BH2" s="166" t="e">
        <f>IF('Entrada e Saida'!$H$11="TRADING",IF('Entrada e Saida'!$H$12="REAL",AR2/D2,0),AL2/D2)</f>
        <v>#N/A</v>
      </c>
      <c r="BI2" s="166" t="e">
        <f>IF('Entrada e Saida'!$H$11="TRADING",IF('Entrada e Saida'!$H$12="REAL",AS2/D2,0),AM2/D2)</f>
        <v>#N/A</v>
      </c>
      <c r="BJ2" s="166" t="e">
        <f>IF('Entrada e Saida'!$H$11="TRADING",AT2/D2,AO2/D2)</f>
        <v>#N/A</v>
      </c>
      <c r="BK2" s="168" t="e">
        <f>BF2-SUM(BG2:BJ2)</f>
        <v>#N/A</v>
      </c>
      <c r="BL2" s="168">
        <f>IF(O2&gt;0,IFERROR(IF('Entrada e Saida'!$H$11="DIRETA",0,(IF('Entrada e Saida'!$H$14="P.JURIDICA",(BD2*(1+O2)*N2)-((BD2/(1+M2))*'Entrada e Saida'!$G$65),((Produtos!N2-'Entrada e Saida'!$G$65)*Produtos!BD2)))),0),0)</f>
        <v>0</v>
      </c>
      <c r="BM2" s="168" t="e">
        <f t="shared" ref="BM2:BM20" si="7">BF2+BL2</f>
        <v>#N/A</v>
      </c>
    </row>
    <row r="3" spans="1:65" s="1" customFormat="1">
      <c r="A3" s="144"/>
      <c r="B3" s="263" t="e">
        <f>VLOOKUP(A3,'Master Modelo'!A:I,7,FALSE)</f>
        <v>#N/A</v>
      </c>
      <c r="C3" s="145" t="e">
        <f>VLOOKUP(A3,'Master Modelo'!A:I,2,FALSE)</f>
        <v>#N/A</v>
      </c>
      <c r="D3" s="264"/>
      <c r="E3" s="147">
        <f>IFERROR(VLOOKUP(A3,'Master Modelo'!A:I,9,FALSE),0)</f>
        <v>0</v>
      </c>
      <c r="F3" s="189">
        <f>IFERROR(VLOOKUP(A3,'Master Modelo'!A:I,8,FALSE),0)</f>
        <v>0</v>
      </c>
      <c r="G3" s="189">
        <f>IFERROR(VLOOKUP(A3,'Master Modelo'!A:K,11,FALSE),0)</f>
        <v>0</v>
      </c>
      <c r="H3" s="174" t="e">
        <f t="shared" ref="H3:H20" si="8">(D3*E3)/(D3*F3)</f>
        <v>#DIV/0!</v>
      </c>
      <c r="I3" s="163">
        <f>IFERROR(VLOOKUP(A3,'Master Modelo'!A:I,3,FALSE),0)</f>
        <v>0</v>
      </c>
      <c r="J3" s="164">
        <f>IFERROR(VLOOKUP(A3,'Master Modelo'!A:I,5,FALSE),0)</f>
        <v>0</v>
      </c>
      <c r="K3" s="164">
        <f>IFERROR(VLOOKUP(A3,'Master Modelo'!A:I,6,FALSE),0)</f>
        <v>0</v>
      </c>
      <c r="L3" s="165" t="e">
        <f>VLOOKUP(A3,'Master Modelo'!A:J,10,FALSE)</f>
        <v>#N/A</v>
      </c>
      <c r="M3" s="163">
        <f>IFERROR(VLOOKUP(A3,'Master Modelo'!A:I,4,FALSE),0)</f>
        <v>0</v>
      </c>
      <c r="N3" s="175"/>
      <c r="O3" s="187"/>
      <c r="P3" s="177">
        <f t="shared" ref="P3:P20" si="9">D3*F3</f>
        <v>0</v>
      </c>
      <c r="Q3" s="177">
        <f t="shared" ref="Q3:Q64" si="10">D3*G3</f>
        <v>0</v>
      </c>
      <c r="R3" s="178">
        <f>D3*E3*'Entrada e Saida'!$K$8</f>
        <v>0</v>
      </c>
      <c r="S3" s="179" t="e">
        <f>'Entrada e Saida'!$H$21*'Entrada e Saida'!$K$8*(P3/(SUM(P:P)))</f>
        <v>#DIV/0!</v>
      </c>
      <c r="T3" s="179" t="e">
        <f>'Entrada e Saida'!$H$21*'Entrada e Saida'!$K$8*(Q3/(SUM(Q:Q)))</f>
        <v>#DIV/0!</v>
      </c>
      <c r="U3" s="179" t="e">
        <f>'Entrada e Saida'!$H$22*(P3/(SUM(P:P)))</f>
        <v>#DIV/0!</v>
      </c>
      <c r="V3" s="179" t="e">
        <f>'Entrada e Saida'!$H$22*(Q3/(SUM(Q:Q)))</f>
        <v>#DIV/0!</v>
      </c>
      <c r="W3" s="180" t="e">
        <f t="shared" ref="W3:W20" si="11">R3+S3+U3</f>
        <v>#DIV/0!</v>
      </c>
      <c r="X3" s="179" t="e">
        <f>'Entrada e Saida'!$H$26*(IF('Entrada e Saida'!$H$15="PESO",(P3/(SUM(P:P))),(Q3/(SUM(Q:Q)))))</f>
        <v>#DIV/0!</v>
      </c>
      <c r="Y3" s="179" t="e">
        <f>'Entrada e Saida'!$H$27*(IF('Entrada e Saida'!$H$15="PESO",(P3/(SUM(P:P))),(Q3/(SUM(Q:Q)))))</f>
        <v>#DIV/0!</v>
      </c>
      <c r="Z3" s="179" t="e">
        <f>'Entrada e Saida'!$H$28*(IF('Entrada e Saida'!$H$15="PESO",(P3/(SUM(P:P))),(Q3/(SUM(Q:Q)))))</f>
        <v>#DIV/0!</v>
      </c>
      <c r="AA3" s="181" t="e">
        <f t="shared" ref="AA3:AA20" si="12">X3+Y3+Z3</f>
        <v>#DIV/0!</v>
      </c>
      <c r="AB3" s="178" t="e">
        <f t="shared" si="0"/>
        <v>#DIV/0!</v>
      </c>
      <c r="AC3" s="178" t="e">
        <f t="shared" ref="AC3:AC20" si="13">W3*J3</f>
        <v>#DIV/0!</v>
      </c>
      <c r="AD3" s="178" t="e">
        <f t="shared" si="1"/>
        <v>#DIV/0!</v>
      </c>
      <c r="AE3" s="177" t="e">
        <f t="shared" si="2"/>
        <v>#DIV/0!</v>
      </c>
      <c r="AF3" s="182">
        <f>IFERROR(D3*F3*L3*'Entrada e Saida'!$K$8,0)</f>
        <v>0</v>
      </c>
      <c r="AG3" s="178" t="e">
        <f>((W3+AA3+AB3+AC3+AD3+AE3+AF3)/(1-'Entrada e Saida'!$G$65))*'Entrada e Saida'!$I$66</f>
        <v>#DIV/0!</v>
      </c>
      <c r="AH3" s="180" t="e">
        <f t="shared" ref="AH3:AH20" si="14">SUM(AB3:AG3)</f>
        <v>#DIV/0!</v>
      </c>
      <c r="AI3" s="183" t="e">
        <f>'Entrada e Saida'!$K$51*(IF('Entrada e Saida'!$H$15="PESO",(P3/(SUM(P:P))),(Q3/(SUM(Q:Q)))))</f>
        <v>#DIV/0!</v>
      </c>
      <c r="AJ3" s="183">
        <f>(('Entrada e Saida'!$K$10-'Entrada e Saida'!$K$8)*E3*D3)</f>
        <v>0</v>
      </c>
      <c r="AK3" s="184" t="e">
        <f>IF('Entrada e Saida'!$H$15="PESO",W3+AA3+AH3+AI3+AJ3,W3+AA3+AH3+AI3+AJ3-S3+T3-U3+V3)</f>
        <v>#DIV/0!</v>
      </c>
      <c r="AL3" s="185" t="e">
        <f>IF('Entrada e Saida'!$H$12="REAL",AC3,0)</f>
        <v>#DIV/0!</v>
      </c>
      <c r="AM3" s="185" t="e">
        <f>IF('Entrada e Saida'!$H$12="REAL",AD3,0)</f>
        <v>#DIV/0!</v>
      </c>
      <c r="AN3" s="186" t="e">
        <f>IF('Entrada e Saida'!$H$13= "NÃO",AE3,0)</f>
        <v>#DIV/0!</v>
      </c>
      <c r="AO3" s="186" t="e">
        <f t="shared" ref="AO3:AO20" si="15">AG3</f>
        <v>#DIV/0!</v>
      </c>
      <c r="AP3" s="184" t="e">
        <f t="shared" ref="AP3:AP20" si="16">AK3-SUM(AL3:AO3)</f>
        <v>#DIV/0!</v>
      </c>
      <c r="AQ3" s="178" t="e">
        <f>IF('Entrada e Saida'!$H$11="TRADING",AU3*'Custo Resumido'!D3,0)</f>
        <v>#DIV/0!</v>
      </c>
      <c r="AR3" s="178" t="e">
        <f>IF('Entrada e Saida'!$H$11="TRADING",AU3*'Entrada e Saida'!$G$63,0)</f>
        <v>#DIV/0!</v>
      </c>
      <c r="AS3" s="178" t="e">
        <f>IF('Entrada e Saida'!$H$11="TRADING",AU3*'Entrada e Saida'!$G$64,0)</f>
        <v>#DIV/0!</v>
      </c>
      <c r="AT3" s="178" t="e">
        <f>IF('Entrada e Saida'!$H$11="TRADING",AU3*'Entrada e Saida'!$G$65,0)</f>
        <v>#DIV/0!</v>
      </c>
      <c r="AU3" s="184" t="e">
        <f>IF('Entrada e Saida'!$H$11="TRADING",AP3/(1-(SUM('Entrada e Saida'!$G$63:$G$65)+'Custo Resumido'!D3)),0)</f>
        <v>#DIV/0!</v>
      </c>
      <c r="AV3" s="178" t="e">
        <f>IF('Entrada e Saida'!$H$13="NÃO",AU3*M3,0)</f>
        <v>#DIV/0!</v>
      </c>
      <c r="AW3" s="184" t="e">
        <f t="shared" ref="AW3:AW20" si="17">AU3+AV3</f>
        <v>#DIV/0!</v>
      </c>
      <c r="AX3" s="178" t="e">
        <f>'Entrada e Saida'!$G$74*AU3</f>
        <v>#DIV/0!</v>
      </c>
      <c r="AY3" s="184" t="e">
        <f t="shared" ref="AY3:AY20" si="18">AW3-AX3</f>
        <v>#DIV/0!</v>
      </c>
      <c r="AZ3" s="184" t="e">
        <f>AQ3+('Entrada e Saida'!$G$65-'Entrada e Saida'!$I$65)*AU3-AX3</f>
        <v>#DIV/0!</v>
      </c>
      <c r="BA3" s="3" t="e">
        <f>IF('Entrada e Saida'!$H$12="REAL",AZ3*'Entrada e Saida'!$G$81,AU3*'Entrada e Saida'!$G$81)</f>
        <v>#DIV/0!</v>
      </c>
      <c r="BB3" s="3" t="e">
        <f>IF('Entrada e Saida'!$H$12="REAL",AZ3*'Entrada e Saida'!$G$82,AU3*'Entrada e Saida'!$G$82)</f>
        <v>#DIV/0!</v>
      </c>
      <c r="BC3" s="4" t="e">
        <f t="shared" ref="BC3:BC20" si="19">AZ3-BA3-BB3</f>
        <v>#DIV/0!</v>
      </c>
      <c r="BD3" s="3" t="e">
        <f>IF('Entrada e Saida'!$H$11="TRADING",AW3/D3,AK3/D3)</f>
        <v>#DIV/0!</v>
      </c>
      <c r="BE3" s="3" t="e">
        <f t="shared" si="5"/>
        <v>#DIV/0!</v>
      </c>
      <c r="BF3" s="2" t="e">
        <f t="shared" ref="BF3:BF20" si="20">BD3-BE3</f>
        <v>#DIV/0!</v>
      </c>
      <c r="BG3" s="3" t="e">
        <f>IF('Entrada e Saida'!$H$11="TRADING",AV3/D3,AN3/D3)</f>
        <v>#DIV/0!</v>
      </c>
      <c r="BH3" s="3" t="e">
        <f>IF('Entrada e Saida'!$H$11="TRADING",IF('Entrada e Saida'!$H$12="REAL",AR3/D3,0),AL3/D3)</f>
        <v>#DIV/0!</v>
      </c>
      <c r="BI3" s="3" t="e">
        <f>IF('Entrada e Saida'!$H$11="TRADING",IF('Entrada e Saida'!$H$12="REAL",AS3/D3,0),AM3/D3)</f>
        <v>#DIV/0!</v>
      </c>
      <c r="BJ3" s="3" t="e">
        <f>IF('Entrada e Saida'!$H$11="TRADING",AT3/D3,AO3/D3)</f>
        <v>#DIV/0!</v>
      </c>
      <c r="BK3" s="2" t="e">
        <f t="shared" ref="BK3:BK20" si="21">BF3-SUM(BG3:BJ3)</f>
        <v>#DIV/0!</v>
      </c>
      <c r="BL3" s="2">
        <f>IF(O3&gt;0,IFERROR(IF('Entrada e Saida'!$H$11="DIRETA",0,(IF('Entrada e Saida'!$H$14="P.JURIDICA",(BD3*(1+O3)*N3)-((BD3/(1+M3))*'Entrada e Saida'!$G$65),((Produtos!N3-'Entrada e Saida'!$G$65)*Produtos!BD3)))),0),0)</f>
        <v>0</v>
      </c>
      <c r="BM3" s="2" t="e">
        <f t="shared" si="7"/>
        <v>#DIV/0!</v>
      </c>
    </row>
    <row r="4" spans="1:65" s="1" customFormat="1">
      <c r="A4" s="144"/>
      <c r="B4" s="263" t="e">
        <f>VLOOKUP(A4,'Master Modelo'!A:I,7,FALSE)</f>
        <v>#N/A</v>
      </c>
      <c r="C4" s="145" t="e">
        <f>VLOOKUP(A4,'Master Modelo'!A:I,2,FALSE)</f>
        <v>#N/A</v>
      </c>
      <c r="D4" s="264"/>
      <c r="E4" s="147">
        <f>IFERROR(VLOOKUP(A4,'Master Modelo'!A:I,9,FALSE),0)</f>
        <v>0</v>
      </c>
      <c r="F4" s="189">
        <f>IFERROR(VLOOKUP(A4,'Master Modelo'!A:I,8,FALSE),0)</f>
        <v>0</v>
      </c>
      <c r="G4" s="189">
        <f>IFERROR(VLOOKUP(A4,'Master Modelo'!A:K,11,FALSE),0)</f>
        <v>0</v>
      </c>
      <c r="H4" s="174" t="e">
        <f t="shared" si="8"/>
        <v>#DIV/0!</v>
      </c>
      <c r="I4" s="163">
        <f>IFERROR(VLOOKUP(A4,'Master Modelo'!A:I,3,FALSE),0)</f>
        <v>0</v>
      </c>
      <c r="J4" s="164">
        <f>IFERROR(VLOOKUP(A4,'Master Modelo'!A:I,5,FALSE),0)</f>
        <v>0</v>
      </c>
      <c r="K4" s="164">
        <f>IFERROR(VLOOKUP(A4,'Master Modelo'!A:I,6,FALSE),0)</f>
        <v>0</v>
      </c>
      <c r="L4" s="165" t="e">
        <f>VLOOKUP(A4,'Master Modelo'!A:J,10,FALSE)</f>
        <v>#N/A</v>
      </c>
      <c r="M4" s="163">
        <f>IFERROR(VLOOKUP(A4,'Master Modelo'!A:I,4,FALSE),0)</f>
        <v>0</v>
      </c>
      <c r="N4" s="175"/>
      <c r="O4" s="187"/>
      <c r="P4" s="177">
        <f t="shared" si="9"/>
        <v>0</v>
      </c>
      <c r="Q4" s="177">
        <f t="shared" si="10"/>
        <v>0</v>
      </c>
      <c r="R4" s="178">
        <f>D4*E4*'Entrada e Saida'!$K$8</f>
        <v>0</v>
      </c>
      <c r="S4" s="179" t="e">
        <f>'Entrada e Saida'!$H$21*'Entrada e Saida'!$K$8*(P4/(SUM(P:P)))</f>
        <v>#DIV/0!</v>
      </c>
      <c r="T4" s="179" t="e">
        <f>'Entrada e Saida'!$H$21*'Entrada e Saida'!$K$8*(Q4/(SUM(Q:Q)))</f>
        <v>#DIV/0!</v>
      </c>
      <c r="U4" s="179" t="e">
        <f>'Entrada e Saida'!$H$22*(P4/(SUM(P:P)))</f>
        <v>#DIV/0!</v>
      </c>
      <c r="V4" s="179" t="e">
        <f>'Entrada e Saida'!$H$22*(Q4/(SUM(Q:Q)))</f>
        <v>#DIV/0!</v>
      </c>
      <c r="W4" s="180" t="e">
        <f t="shared" si="11"/>
        <v>#DIV/0!</v>
      </c>
      <c r="X4" s="179" t="e">
        <f>'Entrada e Saida'!$H$26*(IF('Entrada e Saida'!$H$15="PESO",(P4/(SUM(P:P))),(Q4/(SUM(Q:Q)))))</f>
        <v>#DIV/0!</v>
      </c>
      <c r="Y4" s="179" t="e">
        <f>'Entrada e Saida'!$H$27*(IF('Entrada e Saida'!$H$15="PESO",(P4/(SUM(P:P))),(Q4/(SUM(Q:Q)))))</f>
        <v>#DIV/0!</v>
      </c>
      <c r="Z4" s="179" t="e">
        <f>'Entrada e Saida'!$H$28*(IF('Entrada e Saida'!$H$15="PESO",(P4/(SUM(P:P))),(Q4/(SUM(Q:Q)))))</f>
        <v>#DIV/0!</v>
      </c>
      <c r="AA4" s="181" t="e">
        <f t="shared" si="12"/>
        <v>#DIV/0!</v>
      </c>
      <c r="AB4" s="178" t="e">
        <f t="shared" si="0"/>
        <v>#DIV/0!</v>
      </c>
      <c r="AC4" s="178" t="e">
        <f t="shared" si="13"/>
        <v>#DIV/0!</v>
      </c>
      <c r="AD4" s="178" t="e">
        <f t="shared" si="1"/>
        <v>#DIV/0!</v>
      </c>
      <c r="AE4" s="177" t="e">
        <f t="shared" si="2"/>
        <v>#DIV/0!</v>
      </c>
      <c r="AF4" s="182">
        <f>IFERROR(D4*F4*L4*'Entrada e Saida'!$K$8,0)</f>
        <v>0</v>
      </c>
      <c r="AG4" s="178" t="e">
        <f>((W4+AA4+AB4+AC4+AD4+AE4+AF4)/(1-'Entrada e Saida'!$G$65))*'Entrada e Saida'!$I$66</f>
        <v>#DIV/0!</v>
      </c>
      <c r="AH4" s="180" t="e">
        <f t="shared" si="14"/>
        <v>#DIV/0!</v>
      </c>
      <c r="AI4" s="183" t="e">
        <f>'Entrada e Saida'!$K$51*(IF('Entrada e Saida'!$H$15="PESO",(P4/(SUM(P:P))),(Q4/(SUM(Q:Q)))))</f>
        <v>#DIV/0!</v>
      </c>
      <c r="AJ4" s="183">
        <f>(('Entrada e Saida'!$K$10-'Entrada e Saida'!$K$8)*E4*D4)</f>
        <v>0</v>
      </c>
      <c r="AK4" s="184" t="e">
        <f>IF('Entrada e Saida'!$H$15="PESO",W4+AA4+AH4+AI4+AJ4,W4+AA4+AH4+AI4+AJ4-S4+T4-U4+V4)</f>
        <v>#DIV/0!</v>
      </c>
      <c r="AL4" s="185" t="e">
        <f>IF('Entrada e Saida'!$H$12="REAL",AC4,0)</f>
        <v>#DIV/0!</v>
      </c>
      <c r="AM4" s="185" t="e">
        <f>IF('Entrada e Saida'!$H$12="REAL",AD4,0)</f>
        <v>#DIV/0!</v>
      </c>
      <c r="AN4" s="186" t="e">
        <f>IF('Entrada e Saida'!$H$13= "NÃO",AE4,0)</f>
        <v>#DIV/0!</v>
      </c>
      <c r="AO4" s="186" t="e">
        <f t="shared" si="15"/>
        <v>#DIV/0!</v>
      </c>
      <c r="AP4" s="184" t="e">
        <f t="shared" si="16"/>
        <v>#DIV/0!</v>
      </c>
      <c r="AQ4" s="178" t="e">
        <f>IF('Entrada e Saida'!$H$11="TRADING",AU4*'Custo Resumido'!D4,0)</f>
        <v>#DIV/0!</v>
      </c>
      <c r="AR4" s="178" t="e">
        <f>IF('Entrada e Saida'!$H$11="TRADING",AU4*'Entrada e Saida'!$G$63,0)</f>
        <v>#DIV/0!</v>
      </c>
      <c r="AS4" s="178" t="e">
        <f>IF('Entrada e Saida'!$H$11="TRADING",AU4*'Entrada e Saida'!$G$64,0)</f>
        <v>#DIV/0!</v>
      </c>
      <c r="AT4" s="178" t="e">
        <f>IF('Entrada e Saida'!$H$11="TRADING",AU4*'Entrada e Saida'!$G$65,0)</f>
        <v>#DIV/0!</v>
      </c>
      <c r="AU4" s="184" t="e">
        <f>IF('Entrada e Saida'!$H$11="TRADING",AP4/(1-(SUM('Entrada e Saida'!$G$63:$G$65)+'Custo Resumido'!D4)),0)</f>
        <v>#DIV/0!</v>
      </c>
      <c r="AV4" s="178" t="e">
        <f>IF('Entrada e Saida'!$H$13="NÃO",AU4*M4,0)</f>
        <v>#DIV/0!</v>
      </c>
      <c r="AW4" s="184" t="e">
        <f t="shared" si="17"/>
        <v>#DIV/0!</v>
      </c>
      <c r="AX4" s="178" t="e">
        <f>'Entrada e Saida'!$G$74*AU4</f>
        <v>#DIV/0!</v>
      </c>
      <c r="AY4" s="184" t="e">
        <f t="shared" si="18"/>
        <v>#DIV/0!</v>
      </c>
      <c r="AZ4" s="184" t="e">
        <f>AQ4+('Entrada e Saida'!$G$65-'Entrada e Saida'!$I$65)*AU4-AX4</f>
        <v>#DIV/0!</v>
      </c>
      <c r="BA4" s="3" t="e">
        <f>IF('Entrada e Saida'!$H$12="REAL",AZ4*'Entrada e Saida'!$G$81,AU4*'Entrada e Saida'!$G$81)</f>
        <v>#DIV/0!</v>
      </c>
      <c r="BB4" s="3" t="e">
        <f>IF('Entrada e Saida'!$H$12="REAL",AZ4*'Entrada e Saida'!$G$82,AU4*'Entrada e Saida'!$G$82)</f>
        <v>#DIV/0!</v>
      </c>
      <c r="BC4" s="4" t="e">
        <f t="shared" si="19"/>
        <v>#DIV/0!</v>
      </c>
      <c r="BD4" s="3" t="e">
        <f>IF('Entrada e Saida'!$H$11="TRADING",AW4/D4,AK4/D4)</f>
        <v>#DIV/0!</v>
      </c>
      <c r="BE4" s="3" t="e">
        <f t="shared" si="5"/>
        <v>#DIV/0!</v>
      </c>
      <c r="BF4" s="2" t="e">
        <f t="shared" si="20"/>
        <v>#DIV/0!</v>
      </c>
      <c r="BG4" s="3" t="e">
        <f>IF('Entrada e Saida'!$H$11="TRADING",AV4/D4,AN4/D4)</f>
        <v>#DIV/0!</v>
      </c>
      <c r="BH4" s="3" t="e">
        <f>IF('Entrada e Saida'!$H$11="TRADING",IF('Entrada e Saida'!$H$12="REAL",AR4/D4,0),AL4/D4)</f>
        <v>#DIV/0!</v>
      </c>
      <c r="BI4" s="3" t="e">
        <f>IF('Entrada e Saida'!$H$11="TRADING",IF('Entrada e Saida'!$H$12="REAL",AS4/D4,0),AM4/D4)</f>
        <v>#DIV/0!</v>
      </c>
      <c r="BJ4" s="3" t="e">
        <f>IF('Entrada e Saida'!$H$11="TRADING",AT4/D4,AO4/D4)</f>
        <v>#DIV/0!</v>
      </c>
      <c r="BK4" s="2" t="e">
        <f t="shared" si="21"/>
        <v>#DIV/0!</v>
      </c>
      <c r="BL4" s="2">
        <f>IF(O4&gt;0,IFERROR(IF('Entrada e Saida'!$H$11="DIRETA",0,(IF('Entrada e Saida'!$H$14="P.JURIDICA",(BD4*(1+O4)*N4)-((BD4/(1+M4))*'Entrada e Saida'!$G$65),((Produtos!N4-'Entrada e Saida'!$G$65)*Produtos!BD4)))),0),0)</f>
        <v>0</v>
      </c>
      <c r="BM4" s="2" t="e">
        <f t="shared" si="7"/>
        <v>#DIV/0!</v>
      </c>
    </row>
    <row r="5" spans="1:65" s="1" customFormat="1">
      <c r="A5" s="144"/>
      <c r="B5" s="263" t="e">
        <f>VLOOKUP(A5,'Master Modelo'!A:I,7,FALSE)</f>
        <v>#N/A</v>
      </c>
      <c r="C5" s="145" t="e">
        <f>VLOOKUP(A5,'Master Modelo'!A:I,2,FALSE)</f>
        <v>#N/A</v>
      </c>
      <c r="D5" s="264"/>
      <c r="E5" s="147">
        <f>IFERROR(VLOOKUP(A5,'Master Modelo'!A:I,9,FALSE),0)</f>
        <v>0</v>
      </c>
      <c r="F5" s="189">
        <f>IFERROR(VLOOKUP(A5,'Master Modelo'!A:I,8,FALSE),0)</f>
        <v>0</v>
      </c>
      <c r="G5" s="189">
        <f>IFERROR(VLOOKUP(A5,'Master Modelo'!A:K,11,FALSE),0)</f>
        <v>0</v>
      </c>
      <c r="H5" s="174" t="e">
        <f t="shared" si="8"/>
        <v>#DIV/0!</v>
      </c>
      <c r="I5" s="163">
        <f>IFERROR(VLOOKUP(A5,'Master Modelo'!A:I,3,FALSE),0)</f>
        <v>0</v>
      </c>
      <c r="J5" s="164">
        <f>IFERROR(VLOOKUP(A5,'Master Modelo'!A:I,5,FALSE),0)</f>
        <v>0</v>
      </c>
      <c r="K5" s="164">
        <f>IFERROR(VLOOKUP(A5,'Master Modelo'!A:I,6,FALSE),0)</f>
        <v>0</v>
      </c>
      <c r="L5" s="165" t="e">
        <f>VLOOKUP(A5,'Master Modelo'!A:J,10,FALSE)</f>
        <v>#N/A</v>
      </c>
      <c r="M5" s="163">
        <f>IFERROR(VLOOKUP(A5,'Master Modelo'!A:I,4,FALSE),0)</f>
        <v>0</v>
      </c>
      <c r="N5" s="175"/>
      <c r="O5" s="187"/>
      <c r="P5" s="177">
        <f t="shared" si="9"/>
        <v>0</v>
      </c>
      <c r="Q5" s="177">
        <f t="shared" si="10"/>
        <v>0</v>
      </c>
      <c r="R5" s="178">
        <f>D5*E5*'Entrada e Saida'!$K$8</f>
        <v>0</v>
      </c>
      <c r="S5" s="179" t="e">
        <f>'Entrada e Saida'!$H$21*'Entrada e Saida'!$K$8*(P5/(SUM(P:P)))</f>
        <v>#DIV/0!</v>
      </c>
      <c r="T5" s="179" t="e">
        <f>'Entrada e Saida'!$H$21*'Entrada e Saida'!$K$8*(Q5/(SUM(Q:Q)))</f>
        <v>#DIV/0!</v>
      </c>
      <c r="U5" s="179" t="e">
        <f>'Entrada e Saida'!$H$22*(P5/(SUM(P:P)))</f>
        <v>#DIV/0!</v>
      </c>
      <c r="V5" s="179" t="e">
        <f>'Entrada e Saida'!$H$22*(Q5/(SUM(Q:Q)))</f>
        <v>#DIV/0!</v>
      </c>
      <c r="W5" s="180" t="e">
        <f t="shared" si="11"/>
        <v>#DIV/0!</v>
      </c>
      <c r="X5" s="179" t="e">
        <f>'Entrada e Saida'!$H$26*(IF('Entrada e Saida'!$H$15="PESO",(P5/(SUM(P:P))),(Q5/(SUM(Q:Q)))))</f>
        <v>#DIV/0!</v>
      </c>
      <c r="Y5" s="179" t="e">
        <f>'Entrada e Saida'!$H$27*(IF('Entrada e Saida'!$H$15="PESO",(P5/(SUM(P:P))),(Q5/(SUM(Q:Q)))))</f>
        <v>#DIV/0!</v>
      </c>
      <c r="Z5" s="179" t="e">
        <f>'Entrada e Saida'!$H$28*(IF('Entrada e Saida'!$H$15="PESO",(P5/(SUM(P:P))),(Q5/(SUM(Q:Q)))))</f>
        <v>#DIV/0!</v>
      </c>
      <c r="AA5" s="181" t="e">
        <f t="shared" si="12"/>
        <v>#DIV/0!</v>
      </c>
      <c r="AB5" s="178" t="e">
        <f t="shared" si="0"/>
        <v>#DIV/0!</v>
      </c>
      <c r="AC5" s="178" t="e">
        <f t="shared" si="13"/>
        <v>#DIV/0!</v>
      </c>
      <c r="AD5" s="178" t="e">
        <f t="shared" si="1"/>
        <v>#DIV/0!</v>
      </c>
      <c r="AE5" s="177" t="e">
        <f t="shared" si="2"/>
        <v>#DIV/0!</v>
      </c>
      <c r="AF5" s="182">
        <f>IFERROR(D5*F5*L5*'Entrada e Saida'!$K$8,0)</f>
        <v>0</v>
      </c>
      <c r="AG5" s="178" t="e">
        <f>((W5+AA5+AB5+AC5+AD5+AE5+AF5)/(1-'Entrada e Saida'!$G$65))*'Entrada e Saida'!$I$66</f>
        <v>#DIV/0!</v>
      </c>
      <c r="AH5" s="180" t="e">
        <f t="shared" si="14"/>
        <v>#DIV/0!</v>
      </c>
      <c r="AI5" s="183" t="e">
        <f>'Entrada e Saida'!$K$51*(IF('Entrada e Saida'!$H$15="PESO",(P5/(SUM(P:P))),(Q5/(SUM(Q:Q)))))</f>
        <v>#DIV/0!</v>
      </c>
      <c r="AJ5" s="183">
        <f>(('Entrada e Saida'!$K$10-'Entrada e Saida'!$K$8)*E5*D5)</f>
        <v>0</v>
      </c>
      <c r="AK5" s="184" t="e">
        <f>IF('Entrada e Saida'!$H$15="PESO",W5+AA5+AH5+AI5+AJ5,W5+AA5+AH5+AI5+AJ5-S5+T5-U5+V5)</f>
        <v>#DIV/0!</v>
      </c>
      <c r="AL5" s="185" t="e">
        <f>IF('Entrada e Saida'!$H$12="REAL",AC5,0)</f>
        <v>#DIV/0!</v>
      </c>
      <c r="AM5" s="185" t="e">
        <f>IF('Entrada e Saida'!$H$12="REAL",AD5,0)</f>
        <v>#DIV/0!</v>
      </c>
      <c r="AN5" s="186" t="e">
        <f>IF('Entrada e Saida'!$H$13= "NÃO",AE5,0)</f>
        <v>#DIV/0!</v>
      </c>
      <c r="AO5" s="186" t="e">
        <f t="shared" si="15"/>
        <v>#DIV/0!</v>
      </c>
      <c r="AP5" s="184" t="e">
        <f t="shared" si="16"/>
        <v>#DIV/0!</v>
      </c>
      <c r="AQ5" s="178" t="e">
        <f>IF('Entrada e Saida'!$H$11="TRADING",AU5*'Custo Resumido'!D5,0)</f>
        <v>#DIV/0!</v>
      </c>
      <c r="AR5" s="178" t="e">
        <f>IF('Entrada e Saida'!$H$11="TRADING",AU5*'Entrada e Saida'!$G$63,0)</f>
        <v>#DIV/0!</v>
      </c>
      <c r="AS5" s="178" t="e">
        <f>IF('Entrada e Saida'!$H$11="TRADING",AU5*'Entrada e Saida'!$G$64,0)</f>
        <v>#DIV/0!</v>
      </c>
      <c r="AT5" s="178" t="e">
        <f>IF('Entrada e Saida'!$H$11="TRADING",AU5*'Entrada e Saida'!$G$65,0)</f>
        <v>#DIV/0!</v>
      </c>
      <c r="AU5" s="184" t="e">
        <f>IF('Entrada e Saida'!$H$11="TRADING",AP5/(1-(SUM('Entrada e Saida'!$G$63:$G$65)+'Custo Resumido'!D5)),0)</f>
        <v>#DIV/0!</v>
      </c>
      <c r="AV5" s="178" t="e">
        <f>IF('Entrada e Saida'!$H$13="NÃO",AU5*M5,0)</f>
        <v>#DIV/0!</v>
      </c>
      <c r="AW5" s="184" t="e">
        <f t="shared" si="17"/>
        <v>#DIV/0!</v>
      </c>
      <c r="AX5" s="178" t="e">
        <f>'Entrada e Saida'!$G$74*AU5</f>
        <v>#DIV/0!</v>
      </c>
      <c r="AY5" s="184" t="e">
        <f t="shared" si="18"/>
        <v>#DIV/0!</v>
      </c>
      <c r="AZ5" s="184" t="e">
        <f>AQ5+('Entrada e Saida'!$G$65-'Entrada e Saida'!$I$65)*AU5-AX5</f>
        <v>#DIV/0!</v>
      </c>
      <c r="BA5" s="3" t="e">
        <f>IF('Entrada e Saida'!$H$12="REAL",AZ5*'Entrada e Saida'!$G$81,AU5*'Entrada e Saida'!$G$81)</f>
        <v>#DIV/0!</v>
      </c>
      <c r="BB5" s="3" t="e">
        <f>IF('Entrada e Saida'!$H$12="REAL",AZ5*'Entrada e Saida'!$G$82,AU5*'Entrada e Saida'!$G$82)</f>
        <v>#DIV/0!</v>
      </c>
      <c r="BC5" s="4" t="e">
        <f t="shared" si="19"/>
        <v>#DIV/0!</v>
      </c>
      <c r="BD5" s="3" t="e">
        <f>IF('Entrada e Saida'!$H$11="TRADING",AW5/D5,AK5/D5)</f>
        <v>#DIV/0!</v>
      </c>
      <c r="BE5" s="3" t="e">
        <f t="shared" si="5"/>
        <v>#DIV/0!</v>
      </c>
      <c r="BF5" s="2" t="e">
        <f t="shared" si="20"/>
        <v>#DIV/0!</v>
      </c>
      <c r="BG5" s="3" t="e">
        <f>IF('Entrada e Saida'!$H$11="TRADING",AV5/D5,AN5/D5)</f>
        <v>#DIV/0!</v>
      </c>
      <c r="BH5" s="3" t="e">
        <f>IF('Entrada e Saida'!$H$11="TRADING",IF('Entrada e Saida'!$H$12="REAL",AR5/D5,0),AL5/D5)</f>
        <v>#DIV/0!</v>
      </c>
      <c r="BI5" s="3" t="e">
        <f>IF('Entrada e Saida'!$H$11="TRADING",IF('Entrada e Saida'!$H$12="REAL",AS5/D5,0),AM5/D5)</f>
        <v>#DIV/0!</v>
      </c>
      <c r="BJ5" s="3" t="e">
        <f>IF('Entrada e Saida'!$H$11="TRADING",AT5/D5,AO5/D5)</f>
        <v>#DIV/0!</v>
      </c>
      <c r="BK5" s="2" t="e">
        <f t="shared" si="21"/>
        <v>#DIV/0!</v>
      </c>
      <c r="BL5" s="2">
        <f>IF(O5&gt;0,IFERROR(IF('Entrada e Saida'!$H$11="DIRETA",0,(IF('Entrada e Saida'!$H$14="P.JURIDICA",(BD5*(1+O5)*N5)-((BD5/(1+M5))*'Entrada e Saida'!$G$65),((Produtos!N5-'Entrada e Saida'!$G$65)*Produtos!BD5)))),0),0)</f>
        <v>0</v>
      </c>
      <c r="BM5" s="2" t="e">
        <f t="shared" si="7"/>
        <v>#DIV/0!</v>
      </c>
    </row>
    <row r="6" spans="1:65" s="1" customFormat="1">
      <c r="A6" s="144"/>
      <c r="B6" s="263" t="e">
        <f>VLOOKUP(A6,'Master Modelo'!A:I,7,FALSE)</f>
        <v>#N/A</v>
      </c>
      <c r="C6" s="145" t="e">
        <f>VLOOKUP(A6,'Master Modelo'!A:I,2,FALSE)</f>
        <v>#N/A</v>
      </c>
      <c r="D6" s="264"/>
      <c r="E6" s="147">
        <f>IFERROR(VLOOKUP(A6,'Master Modelo'!A:I,9,FALSE),0)</f>
        <v>0</v>
      </c>
      <c r="F6" s="189">
        <f>IFERROR(VLOOKUP(A6,'Master Modelo'!A:I,8,FALSE),0)</f>
        <v>0</v>
      </c>
      <c r="G6" s="189">
        <f>IFERROR(VLOOKUP(A6,'Master Modelo'!A:K,11,FALSE),0)</f>
        <v>0</v>
      </c>
      <c r="H6" s="174" t="e">
        <f t="shared" si="8"/>
        <v>#DIV/0!</v>
      </c>
      <c r="I6" s="163">
        <f>IFERROR(VLOOKUP(A6,'Master Modelo'!A:I,3,FALSE),0)</f>
        <v>0</v>
      </c>
      <c r="J6" s="164">
        <f>IFERROR(VLOOKUP(A6,'Master Modelo'!A:I,5,FALSE),0)</f>
        <v>0</v>
      </c>
      <c r="K6" s="164">
        <f>IFERROR(VLOOKUP(A6,'Master Modelo'!A:I,6,FALSE),0)</f>
        <v>0</v>
      </c>
      <c r="L6" s="165" t="e">
        <f>VLOOKUP(A6,'Master Modelo'!A:J,10,FALSE)</f>
        <v>#N/A</v>
      </c>
      <c r="M6" s="163">
        <f>IFERROR(VLOOKUP(A6,'Master Modelo'!A:I,4,FALSE),0)</f>
        <v>0</v>
      </c>
      <c r="N6" s="175"/>
      <c r="O6" s="187"/>
      <c r="P6" s="177">
        <f t="shared" si="9"/>
        <v>0</v>
      </c>
      <c r="Q6" s="177">
        <f t="shared" si="10"/>
        <v>0</v>
      </c>
      <c r="R6" s="178">
        <f>D6*E6*'Entrada e Saida'!$K$8</f>
        <v>0</v>
      </c>
      <c r="S6" s="179" t="e">
        <f>'Entrada e Saida'!$H$21*'Entrada e Saida'!$K$8*(P6/(SUM(P:P)))</f>
        <v>#DIV/0!</v>
      </c>
      <c r="T6" s="179" t="e">
        <f>'Entrada e Saida'!$H$21*'Entrada e Saida'!$K$8*(Q6/(SUM(Q:Q)))</f>
        <v>#DIV/0!</v>
      </c>
      <c r="U6" s="179" t="e">
        <f>'Entrada e Saida'!$H$22*(P6/(SUM(P:P)))</f>
        <v>#DIV/0!</v>
      </c>
      <c r="V6" s="179" t="e">
        <f>'Entrada e Saida'!$H$22*(Q6/(SUM(Q:Q)))</f>
        <v>#DIV/0!</v>
      </c>
      <c r="W6" s="180" t="e">
        <f t="shared" si="11"/>
        <v>#DIV/0!</v>
      </c>
      <c r="X6" s="179" t="e">
        <f>'Entrada e Saida'!$H$26*(IF('Entrada e Saida'!$H$15="PESO",(P6/(SUM(P:P))),(Q6/(SUM(Q:Q)))))</f>
        <v>#DIV/0!</v>
      </c>
      <c r="Y6" s="179" t="e">
        <f>'Entrada e Saida'!$H$27*(IF('Entrada e Saida'!$H$15="PESO",(P6/(SUM(P:P))),(Q6/(SUM(Q:Q)))))</f>
        <v>#DIV/0!</v>
      </c>
      <c r="Z6" s="179" t="e">
        <f>'Entrada e Saida'!$H$28*(IF('Entrada e Saida'!$H$15="PESO",(P6/(SUM(P:P))),(Q6/(SUM(Q:Q)))))</f>
        <v>#DIV/0!</v>
      </c>
      <c r="AA6" s="181" t="e">
        <f t="shared" si="12"/>
        <v>#DIV/0!</v>
      </c>
      <c r="AB6" s="178" t="e">
        <f t="shared" si="0"/>
        <v>#DIV/0!</v>
      </c>
      <c r="AC6" s="178" t="e">
        <f t="shared" si="13"/>
        <v>#DIV/0!</v>
      </c>
      <c r="AD6" s="178" t="e">
        <f t="shared" si="1"/>
        <v>#DIV/0!</v>
      </c>
      <c r="AE6" s="177" t="e">
        <f t="shared" si="2"/>
        <v>#DIV/0!</v>
      </c>
      <c r="AF6" s="182">
        <f>IFERROR(D6*F6*L6*'Entrada e Saida'!$K$8,0)</f>
        <v>0</v>
      </c>
      <c r="AG6" s="178" t="e">
        <f>((W6+AA6+AB6+AC6+AD6+AE6+AF6)/(1-'Entrada e Saida'!$G$65))*'Entrada e Saida'!$I$66</f>
        <v>#DIV/0!</v>
      </c>
      <c r="AH6" s="180" t="e">
        <f t="shared" si="14"/>
        <v>#DIV/0!</v>
      </c>
      <c r="AI6" s="183" t="e">
        <f>'Entrada e Saida'!$K$51*(IF('Entrada e Saida'!$H$15="PESO",(P6/(SUM(P:P))),(Q6/(SUM(Q:Q)))))</f>
        <v>#DIV/0!</v>
      </c>
      <c r="AJ6" s="183">
        <f>(('Entrada e Saida'!$K$10-'Entrada e Saida'!$K$8)*E6*D6)</f>
        <v>0</v>
      </c>
      <c r="AK6" s="184" t="e">
        <f>IF('Entrada e Saida'!$H$15="PESO",W6+AA6+AH6+AI6+AJ6,W6+AA6+AH6+AI6+AJ6-S6+T6-U6+V6)</f>
        <v>#DIV/0!</v>
      </c>
      <c r="AL6" s="185" t="e">
        <f>IF('Entrada e Saida'!$H$12="REAL",AC6,0)</f>
        <v>#DIV/0!</v>
      </c>
      <c r="AM6" s="185" t="e">
        <f>IF('Entrada e Saida'!$H$12="REAL",AD6,0)</f>
        <v>#DIV/0!</v>
      </c>
      <c r="AN6" s="186" t="e">
        <f>IF('Entrada e Saida'!$H$13= "NÃO",AE6,0)</f>
        <v>#DIV/0!</v>
      </c>
      <c r="AO6" s="186" t="e">
        <f t="shared" si="15"/>
        <v>#DIV/0!</v>
      </c>
      <c r="AP6" s="184" t="e">
        <f t="shared" si="16"/>
        <v>#DIV/0!</v>
      </c>
      <c r="AQ6" s="178" t="e">
        <f>IF('Entrada e Saida'!$H$11="TRADING",AU6*'Custo Resumido'!D6,0)</f>
        <v>#DIV/0!</v>
      </c>
      <c r="AR6" s="178" t="e">
        <f>IF('Entrada e Saida'!$H$11="TRADING",AU6*'Entrada e Saida'!$G$63,0)</f>
        <v>#DIV/0!</v>
      </c>
      <c r="AS6" s="178" t="e">
        <f>IF('Entrada e Saida'!$H$11="TRADING",AU6*'Entrada e Saida'!$G$64,0)</f>
        <v>#DIV/0!</v>
      </c>
      <c r="AT6" s="178" t="e">
        <f>IF('Entrada e Saida'!$H$11="TRADING",AU6*'Entrada e Saida'!$G$65,0)</f>
        <v>#DIV/0!</v>
      </c>
      <c r="AU6" s="184" t="e">
        <f>IF('Entrada e Saida'!$H$11="TRADING",AP6/(1-(SUM('Entrada e Saida'!$G$63:$G$65)+'Custo Resumido'!D6)),0)</f>
        <v>#DIV/0!</v>
      </c>
      <c r="AV6" s="178" t="e">
        <f>IF('Entrada e Saida'!$H$13="NÃO",AU6*M6,0)</f>
        <v>#DIV/0!</v>
      </c>
      <c r="AW6" s="184" t="e">
        <f t="shared" si="17"/>
        <v>#DIV/0!</v>
      </c>
      <c r="AX6" s="178" t="e">
        <f>'Entrada e Saida'!$G$74*AU6</f>
        <v>#DIV/0!</v>
      </c>
      <c r="AY6" s="184" t="e">
        <f t="shared" si="18"/>
        <v>#DIV/0!</v>
      </c>
      <c r="AZ6" s="184" t="e">
        <f>AQ6+('Entrada e Saida'!$G$65-'Entrada e Saida'!$I$65)*AU6-AX6</f>
        <v>#DIV/0!</v>
      </c>
      <c r="BA6" s="3" t="e">
        <f>IF('Entrada e Saida'!$H$12="REAL",AZ6*'Entrada e Saida'!$G$81,AU6*'Entrada e Saida'!$G$81)</f>
        <v>#DIV/0!</v>
      </c>
      <c r="BB6" s="3" t="e">
        <f>IF('Entrada e Saida'!$H$12="REAL",AZ6*'Entrada e Saida'!$G$82,AU6*'Entrada e Saida'!$G$82)</f>
        <v>#DIV/0!</v>
      </c>
      <c r="BC6" s="4" t="e">
        <f t="shared" si="19"/>
        <v>#DIV/0!</v>
      </c>
      <c r="BD6" s="3" t="e">
        <f>IF('Entrada e Saida'!$H$11="TRADING",AW6/D6,AK6/D6)</f>
        <v>#DIV/0!</v>
      </c>
      <c r="BE6" s="3" t="e">
        <f t="shared" si="5"/>
        <v>#DIV/0!</v>
      </c>
      <c r="BF6" s="2" t="e">
        <f t="shared" si="20"/>
        <v>#DIV/0!</v>
      </c>
      <c r="BG6" s="3" t="e">
        <f>IF('Entrada e Saida'!$H$11="TRADING",AV6/D6,AN6/D6)</f>
        <v>#DIV/0!</v>
      </c>
      <c r="BH6" s="3" t="e">
        <f>IF('Entrada e Saida'!$H$11="TRADING",IF('Entrada e Saida'!$H$12="REAL",AR6/D6,0),AL6/D6)</f>
        <v>#DIV/0!</v>
      </c>
      <c r="BI6" s="3" t="e">
        <f>IF('Entrada e Saida'!$H$11="TRADING",IF('Entrada e Saida'!$H$12="REAL",AS6/D6,0),AM6/D6)</f>
        <v>#DIV/0!</v>
      </c>
      <c r="BJ6" s="3" t="e">
        <f>IF('Entrada e Saida'!$H$11="TRADING",AT6/D6,AO6/D6)</f>
        <v>#DIV/0!</v>
      </c>
      <c r="BK6" s="2" t="e">
        <f t="shared" si="21"/>
        <v>#DIV/0!</v>
      </c>
      <c r="BL6" s="2">
        <f>IF(O6&gt;0,IFERROR(IF('Entrada e Saida'!$H$11="DIRETA",0,(IF('Entrada e Saida'!$H$14="P.JURIDICA",(BD6*(1+O6)*N6)-((BD6/(1+M6))*'Entrada e Saida'!$G$65),((Produtos!N6-'Entrada e Saida'!$G$65)*Produtos!BD6)))),0),0)</f>
        <v>0</v>
      </c>
      <c r="BM6" s="2" t="e">
        <f t="shared" si="7"/>
        <v>#DIV/0!</v>
      </c>
    </row>
    <row r="7" spans="1:65" s="1" customFormat="1">
      <c r="A7" s="144"/>
      <c r="B7" s="263" t="e">
        <f>VLOOKUP(A7,'Master Modelo'!A:I,7,FALSE)</f>
        <v>#N/A</v>
      </c>
      <c r="C7" s="145" t="e">
        <f>VLOOKUP(A7,'Master Modelo'!A:I,2,FALSE)</f>
        <v>#N/A</v>
      </c>
      <c r="D7" s="264"/>
      <c r="E7" s="147">
        <f>IFERROR(VLOOKUP(A7,'Master Modelo'!A:I,9,FALSE),0)</f>
        <v>0</v>
      </c>
      <c r="F7" s="189">
        <f>IFERROR(VLOOKUP(A7,'Master Modelo'!A:I,8,FALSE),0)</f>
        <v>0</v>
      </c>
      <c r="G7" s="189">
        <f>IFERROR(VLOOKUP(A7,'Master Modelo'!A:K,11,FALSE),0)</f>
        <v>0</v>
      </c>
      <c r="H7" s="174" t="e">
        <f t="shared" si="8"/>
        <v>#DIV/0!</v>
      </c>
      <c r="I7" s="163">
        <f>IFERROR(VLOOKUP(A7,'Master Modelo'!A:I,3,FALSE),0)</f>
        <v>0</v>
      </c>
      <c r="J7" s="164">
        <f>IFERROR(VLOOKUP(A7,'Master Modelo'!A:I,5,FALSE),0)</f>
        <v>0</v>
      </c>
      <c r="K7" s="164">
        <f>IFERROR(VLOOKUP(A7,'Master Modelo'!A:I,6,FALSE),0)</f>
        <v>0</v>
      </c>
      <c r="L7" s="165" t="e">
        <f>VLOOKUP(A7,'Master Modelo'!A:J,10,FALSE)</f>
        <v>#N/A</v>
      </c>
      <c r="M7" s="163">
        <f>IFERROR(VLOOKUP(A7,'Master Modelo'!A:I,4,FALSE),0)</f>
        <v>0</v>
      </c>
      <c r="N7" s="175"/>
      <c r="O7" s="187"/>
      <c r="P7" s="177">
        <f t="shared" si="9"/>
        <v>0</v>
      </c>
      <c r="Q7" s="177">
        <f t="shared" si="10"/>
        <v>0</v>
      </c>
      <c r="R7" s="178">
        <f>D7*E7*'Entrada e Saida'!$K$8</f>
        <v>0</v>
      </c>
      <c r="S7" s="179" t="e">
        <f>'Entrada e Saida'!$H$21*'Entrada e Saida'!$K$8*(P7/(SUM(P:P)))</f>
        <v>#DIV/0!</v>
      </c>
      <c r="T7" s="179" t="e">
        <f>'Entrada e Saida'!$H$21*'Entrada e Saida'!$K$8*(Q7/(SUM(Q:Q)))</f>
        <v>#DIV/0!</v>
      </c>
      <c r="U7" s="179" t="e">
        <f>'Entrada e Saida'!$H$22*(P7/(SUM(P:P)))</f>
        <v>#DIV/0!</v>
      </c>
      <c r="V7" s="179" t="e">
        <f>'Entrada e Saida'!$H$22*(Q7/(SUM(Q:Q)))</f>
        <v>#DIV/0!</v>
      </c>
      <c r="W7" s="180" t="e">
        <f t="shared" si="11"/>
        <v>#DIV/0!</v>
      </c>
      <c r="X7" s="179" t="e">
        <f>'Entrada e Saida'!$H$26*(IF('Entrada e Saida'!$H$15="PESO",(P7/(SUM(P:P))),(Q7/(SUM(Q:Q)))))</f>
        <v>#DIV/0!</v>
      </c>
      <c r="Y7" s="179" t="e">
        <f>'Entrada e Saida'!$H$27*(IF('Entrada e Saida'!$H$15="PESO",(P7/(SUM(P:P))),(Q7/(SUM(Q:Q)))))</f>
        <v>#DIV/0!</v>
      </c>
      <c r="Z7" s="179" t="e">
        <f>'Entrada e Saida'!$H$28*(IF('Entrada e Saida'!$H$15="PESO",(P7/(SUM(P:P))),(Q7/(SUM(Q:Q)))))</f>
        <v>#DIV/0!</v>
      </c>
      <c r="AA7" s="181" t="e">
        <f t="shared" si="12"/>
        <v>#DIV/0!</v>
      </c>
      <c r="AB7" s="178" t="e">
        <f t="shared" si="0"/>
        <v>#DIV/0!</v>
      </c>
      <c r="AC7" s="178" t="e">
        <f t="shared" si="13"/>
        <v>#DIV/0!</v>
      </c>
      <c r="AD7" s="178" t="e">
        <f t="shared" si="1"/>
        <v>#DIV/0!</v>
      </c>
      <c r="AE7" s="177" t="e">
        <f t="shared" si="2"/>
        <v>#DIV/0!</v>
      </c>
      <c r="AF7" s="182">
        <f>IFERROR(D7*F7*L7*'Entrada e Saida'!$K$8,0)</f>
        <v>0</v>
      </c>
      <c r="AG7" s="178" t="e">
        <f>((W7+AA7+AB7+AC7+AD7+AE7+AF7)/(1-'Entrada e Saida'!$G$65))*'Entrada e Saida'!$I$66</f>
        <v>#DIV/0!</v>
      </c>
      <c r="AH7" s="180" t="e">
        <f t="shared" si="14"/>
        <v>#DIV/0!</v>
      </c>
      <c r="AI7" s="183" t="e">
        <f>'Entrada e Saida'!$K$51*(IF('Entrada e Saida'!$H$15="PESO",(P7/(SUM(P:P))),(Q7/(SUM(Q:Q)))))</f>
        <v>#DIV/0!</v>
      </c>
      <c r="AJ7" s="183">
        <f>(('Entrada e Saida'!$K$10-'Entrada e Saida'!$K$8)*E7*D7)</f>
        <v>0</v>
      </c>
      <c r="AK7" s="184" t="e">
        <f>IF('Entrada e Saida'!$H$15="PESO",W7+AA7+AH7+AI7+AJ7,W7+AA7+AH7+AI7+AJ7-S7+T7-U7+V7)</f>
        <v>#DIV/0!</v>
      </c>
      <c r="AL7" s="185" t="e">
        <f>IF('Entrada e Saida'!$H$12="REAL",AC7,0)</f>
        <v>#DIV/0!</v>
      </c>
      <c r="AM7" s="185" t="e">
        <f>IF('Entrada e Saida'!$H$12="REAL",AD7,0)</f>
        <v>#DIV/0!</v>
      </c>
      <c r="AN7" s="186" t="e">
        <f>IF('Entrada e Saida'!$H$13= "NÃO",AE7,0)</f>
        <v>#DIV/0!</v>
      </c>
      <c r="AO7" s="186" t="e">
        <f t="shared" si="15"/>
        <v>#DIV/0!</v>
      </c>
      <c r="AP7" s="184" t="e">
        <f t="shared" si="16"/>
        <v>#DIV/0!</v>
      </c>
      <c r="AQ7" s="178" t="e">
        <f>IF('Entrada e Saida'!$H$11="TRADING",AU7*'Custo Resumido'!D7,0)</f>
        <v>#DIV/0!</v>
      </c>
      <c r="AR7" s="178" t="e">
        <f>IF('Entrada e Saida'!$H$11="TRADING",AU7*'Entrada e Saida'!$G$63,0)</f>
        <v>#DIV/0!</v>
      </c>
      <c r="AS7" s="178" t="e">
        <f>IF('Entrada e Saida'!$H$11="TRADING",AU7*'Entrada e Saida'!$G$64,0)</f>
        <v>#DIV/0!</v>
      </c>
      <c r="AT7" s="178" t="e">
        <f>IF('Entrada e Saida'!$H$11="TRADING",AU7*'Entrada e Saida'!$G$65,0)</f>
        <v>#DIV/0!</v>
      </c>
      <c r="AU7" s="184" t="e">
        <f>IF('Entrada e Saida'!$H$11="TRADING",AP7/(1-(SUM('Entrada e Saida'!$G$63:$G$65)+'Custo Resumido'!D7)),0)</f>
        <v>#DIV/0!</v>
      </c>
      <c r="AV7" s="178" t="e">
        <f>IF('Entrada e Saida'!$H$13="NÃO",AU7*M7,0)</f>
        <v>#DIV/0!</v>
      </c>
      <c r="AW7" s="184" t="e">
        <f t="shared" si="17"/>
        <v>#DIV/0!</v>
      </c>
      <c r="AX7" s="178" t="e">
        <f>'Entrada e Saida'!$G$74*AU7</f>
        <v>#DIV/0!</v>
      </c>
      <c r="AY7" s="184" t="e">
        <f t="shared" si="18"/>
        <v>#DIV/0!</v>
      </c>
      <c r="AZ7" s="184" t="e">
        <f>AQ7+('Entrada e Saida'!$G$65-'Entrada e Saida'!$I$65)*AU7-AX7</f>
        <v>#DIV/0!</v>
      </c>
      <c r="BA7" s="3" t="e">
        <f>IF('Entrada e Saida'!$H$12="REAL",AZ7*'Entrada e Saida'!$G$81,AU7*'Entrada e Saida'!$G$81)</f>
        <v>#DIV/0!</v>
      </c>
      <c r="BB7" s="3" t="e">
        <f>IF('Entrada e Saida'!$H$12="REAL",AZ7*'Entrada e Saida'!$G$82,AU7*'Entrada e Saida'!$G$82)</f>
        <v>#DIV/0!</v>
      </c>
      <c r="BC7" s="4" t="e">
        <f t="shared" si="19"/>
        <v>#DIV/0!</v>
      </c>
      <c r="BD7" s="3" t="e">
        <f>IF('Entrada e Saida'!$H$11="TRADING",AW7/D7,AK7/D7)</f>
        <v>#DIV/0!</v>
      </c>
      <c r="BE7" s="3" t="e">
        <f t="shared" si="5"/>
        <v>#DIV/0!</v>
      </c>
      <c r="BF7" s="2" t="e">
        <f t="shared" si="20"/>
        <v>#DIV/0!</v>
      </c>
      <c r="BG7" s="3" t="e">
        <f>IF('Entrada e Saida'!$H$11="TRADING",AV7/D7,AN7/D7)</f>
        <v>#DIV/0!</v>
      </c>
      <c r="BH7" s="3" t="e">
        <f>IF('Entrada e Saida'!$H$11="TRADING",IF('Entrada e Saida'!$H$12="REAL",AR7/D7,0),AL7/D7)</f>
        <v>#DIV/0!</v>
      </c>
      <c r="BI7" s="3" t="e">
        <f>IF('Entrada e Saida'!$H$11="TRADING",IF('Entrada e Saida'!$H$12="REAL",AS7/D7,0),AM7/D7)</f>
        <v>#DIV/0!</v>
      </c>
      <c r="BJ7" s="3" t="e">
        <f>IF('Entrada e Saida'!$H$11="TRADING",AT7/D7,AO7/D7)</f>
        <v>#DIV/0!</v>
      </c>
      <c r="BK7" s="2" t="e">
        <f t="shared" si="21"/>
        <v>#DIV/0!</v>
      </c>
      <c r="BL7" s="2">
        <f>IF(O7&gt;0,IFERROR(IF('Entrada e Saida'!$H$11="DIRETA",0,(IF('Entrada e Saida'!$H$14="P.JURIDICA",(BD7*(1+O7)*N7)-((BD7/(1+M7))*'Entrada e Saida'!$G$65),((Produtos!N7-'Entrada e Saida'!$G$65)*Produtos!BD7)))),0),0)</f>
        <v>0</v>
      </c>
      <c r="BM7" s="2" t="e">
        <f t="shared" si="7"/>
        <v>#DIV/0!</v>
      </c>
    </row>
    <row r="8" spans="1:65" s="1" customFormat="1">
      <c r="A8" s="144"/>
      <c r="B8" s="263" t="e">
        <f>VLOOKUP(A8,'Master Modelo'!A:I,7,FALSE)</f>
        <v>#N/A</v>
      </c>
      <c r="C8" s="145" t="e">
        <f>VLOOKUP(A8,'Master Modelo'!A:I,2,FALSE)</f>
        <v>#N/A</v>
      </c>
      <c r="D8" s="264"/>
      <c r="E8" s="147">
        <f>IFERROR(VLOOKUP(A8,'Master Modelo'!A:I,9,FALSE),0)</f>
        <v>0</v>
      </c>
      <c r="F8" s="189">
        <f>IFERROR(VLOOKUP(A8,'Master Modelo'!A:I,8,FALSE),0)</f>
        <v>0</v>
      </c>
      <c r="G8" s="189">
        <f>IFERROR(VLOOKUP(A8,'Master Modelo'!A:K,11,FALSE),0)</f>
        <v>0</v>
      </c>
      <c r="H8" s="174" t="e">
        <f t="shared" si="8"/>
        <v>#DIV/0!</v>
      </c>
      <c r="I8" s="163">
        <f>IFERROR(VLOOKUP(A8,'Master Modelo'!A:I,3,FALSE),0)</f>
        <v>0</v>
      </c>
      <c r="J8" s="164">
        <f>IFERROR(VLOOKUP(A8,'Master Modelo'!A:I,5,FALSE),0)</f>
        <v>0</v>
      </c>
      <c r="K8" s="164">
        <f>IFERROR(VLOOKUP(A8,'Master Modelo'!A:I,6,FALSE),0)</f>
        <v>0</v>
      </c>
      <c r="L8" s="165" t="e">
        <f>VLOOKUP(A8,'Master Modelo'!A:J,10,FALSE)</f>
        <v>#N/A</v>
      </c>
      <c r="M8" s="163">
        <f>IFERROR(VLOOKUP(A8,'Master Modelo'!A:I,4,FALSE),0)</f>
        <v>0</v>
      </c>
      <c r="N8" s="175"/>
      <c r="O8" s="187"/>
      <c r="P8" s="177">
        <f t="shared" si="9"/>
        <v>0</v>
      </c>
      <c r="Q8" s="177">
        <f t="shared" si="10"/>
        <v>0</v>
      </c>
      <c r="R8" s="178">
        <f>D8*E8*'Entrada e Saida'!$K$8</f>
        <v>0</v>
      </c>
      <c r="S8" s="179" t="e">
        <f>'Entrada e Saida'!$H$21*'Entrada e Saida'!$K$8*(P8/(SUM(P:P)))</f>
        <v>#DIV/0!</v>
      </c>
      <c r="T8" s="179" t="e">
        <f>'Entrada e Saida'!$H$21*'Entrada e Saida'!$K$8*(Q8/(SUM(Q:Q)))</f>
        <v>#DIV/0!</v>
      </c>
      <c r="U8" s="179" t="e">
        <f>'Entrada e Saida'!$H$22*(P8/(SUM(P:P)))</f>
        <v>#DIV/0!</v>
      </c>
      <c r="V8" s="179" t="e">
        <f>'Entrada e Saida'!$H$22*(Q8/(SUM(Q:Q)))</f>
        <v>#DIV/0!</v>
      </c>
      <c r="W8" s="180" t="e">
        <f t="shared" si="11"/>
        <v>#DIV/0!</v>
      </c>
      <c r="X8" s="179" t="e">
        <f>'Entrada e Saida'!$H$26*(IF('Entrada e Saida'!$H$15="PESO",(P8/(SUM(P:P))),(Q8/(SUM(Q:Q)))))</f>
        <v>#DIV/0!</v>
      </c>
      <c r="Y8" s="179" t="e">
        <f>'Entrada e Saida'!$H$27*(IF('Entrada e Saida'!$H$15="PESO",(P8/(SUM(P:P))),(Q8/(SUM(Q:Q)))))</f>
        <v>#DIV/0!</v>
      </c>
      <c r="Z8" s="179" t="e">
        <f>'Entrada e Saida'!$H$28*(IF('Entrada e Saida'!$H$15="PESO",(P8/(SUM(P:P))),(Q8/(SUM(Q:Q)))))</f>
        <v>#DIV/0!</v>
      </c>
      <c r="AA8" s="181" t="e">
        <f t="shared" si="12"/>
        <v>#DIV/0!</v>
      </c>
      <c r="AB8" s="178" t="e">
        <f t="shared" si="0"/>
        <v>#DIV/0!</v>
      </c>
      <c r="AC8" s="178" t="e">
        <f t="shared" si="13"/>
        <v>#DIV/0!</v>
      </c>
      <c r="AD8" s="178" t="e">
        <f t="shared" si="1"/>
        <v>#DIV/0!</v>
      </c>
      <c r="AE8" s="177" t="e">
        <f t="shared" si="2"/>
        <v>#DIV/0!</v>
      </c>
      <c r="AF8" s="182">
        <f>IFERROR(D8*F8*L8*'Entrada e Saida'!$K$8,0)</f>
        <v>0</v>
      </c>
      <c r="AG8" s="178" t="e">
        <f>((W8+AA8+AB8+AC8+AD8+AE8+AF8)/(1-'Entrada e Saida'!$G$65))*'Entrada e Saida'!$I$66</f>
        <v>#DIV/0!</v>
      </c>
      <c r="AH8" s="180" t="e">
        <f t="shared" si="14"/>
        <v>#DIV/0!</v>
      </c>
      <c r="AI8" s="183" t="e">
        <f>'Entrada e Saida'!$K$51*(IF('Entrada e Saida'!$H$15="PESO",(P8/(SUM(P:P))),(Q8/(SUM(Q:Q)))))</f>
        <v>#DIV/0!</v>
      </c>
      <c r="AJ8" s="183">
        <f>(('Entrada e Saida'!$K$10-'Entrada e Saida'!$K$8)*E8*D8)</f>
        <v>0</v>
      </c>
      <c r="AK8" s="184" t="e">
        <f>IF('Entrada e Saida'!$H$15="PESO",W8+AA8+AH8+AI8+AJ8,W8+AA8+AH8+AI8+AJ8-S8+T8-U8+V8)</f>
        <v>#DIV/0!</v>
      </c>
      <c r="AL8" s="185" t="e">
        <f>IF('Entrada e Saida'!$H$12="REAL",AC8,0)</f>
        <v>#DIV/0!</v>
      </c>
      <c r="AM8" s="185" t="e">
        <f>IF('Entrada e Saida'!$H$12="REAL",AD8,0)</f>
        <v>#DIV/0!</v>
      </c>
      <c r="AN8" s="186" t="e">
        <f>IF('Entrada e Saida'!$H$13= "NÃO",AE8,0)</f>
        <v>#DIV/0!</v>
      </c>
      <c r="AO8" s="186" t="e">
        <f t="shared" si="15"/>
        <v>#DIV/0!</v>
      </c>
      <c r="AP8" s="184" t="e">
        <f t="shared" si="16"/>
        <v>#DIV/0!</v>
      </c>
      <c r="AQ8" s="178" t="e">
        <f>IF('Entrada e Saida'!$H$11="TRADING",AU8*'Custo Resumido'!D8,0)</f>
        <v>#DIV/0!</v>
      </c>
      <c r="AR8" s="178" t="e">
        <f>IF('Entrada e Saida'!$H$11="TRADING",AU8*'Entrada e Saida'!$G$63,0)</f>
        <v>#DIV/0!</v>
      </c>
      <c r="AS8" s="178" t="e">
        <f>IF('Entrada e Saida'!$H$11="TRADING",AU8*'Entrada e Saida'!$G$64,0)</f>
        <v>#DIV/0!</v>
      </c>
      <c r="AT8" s="178" t="e">
        <f>IF('Entrada e Saida'!$H$11="TRADING",AU8*'Entrada e Saida'!$G$65,0)</f>
        <v>#DIV/0!</v>
      </c>
      <c r="AU8" s="184" t="e">
        <f>IF('Entrada e Saida'!$H$11="TRADING",AP8/(1-(SUM('Entrada e Saida'!$G$63:$G$65)+'Custo Resumido'!D8)),0)</f>
        <v>#DIV/0!</v>
      </c>
      <c r="AV8" s="178" t="e">
        <f>IF('Entrada e Saida'!$H$13="NÃO",AU8*M8,0)</f>
        <v>#DIV/0!</v>
      </c>
      <c r="AW8" s="184" t="e">
        <f t="shared" si="17"/>
        <v>#DIV/0!</v>
      </c>
      <c r="AX8" s="178" t="e">
        <f>'Entrada e Saida'!$G$74*AU8</f>
        <v>#DIV/0!</v>
      </c>
      <c r="AY8" s="184" t="e">
        <f t="shared" si="18"/>
        <v>#DIV/0!</v>
      </c>
      <c r="AZ8" s="184" t="e">
        <f>AQ8+('Entrada e Saida'!$G$65-'Entrada e Saida'!$I$65)*AU8-AX8</f>
        <v>#DIV/0!</v>
      </c>
      <c r="BA8" s="3" t="e">
        <f>IF('Entrada e Saida'!$H$12="REAL",AZ8*'Entrada e Saida'!$G$81,AU8*'Entrada e Saida'!$G$81)</f>
        <v>#DIV/0!</v>
      </c>
      <c r="BB8" s="3" t="e">
        <f>IF('Entrada e Saida'!$H$12="REAL",AZ8*'Entrada e Saida'!$G$82,AU8*'Entrada e Saida'!$G$82)</f>
        <v>#DIV/0!</v>
      </c>
      <c r="BC8" s="4" t="e">
        <f t="shared" si="19"/>
        <v>#DIV/0!</v>
      </c>
      <c r="BD8" s="3" t="e">
        <f>IF('Entrada e Saida'!$H$11="TRADING",AW8/D8,AK8/D8)</f>
        <v>#DIV/0!</v>
      </c>
      <c r="BE8" s="3" t="e">
        <f t="shared" si="5"/>
        <v>#DIV/0!</v>
      </c>
      <c r="BF8" s="2" t="e">
        <f t="shared" si="20"/>
        <v>#DIV/0!</v>
      </c>
      <c r="BG8" s="3" t="e">
        <f>IF('Entrada e Saida'!$H$11="TRADING",AV8/D8,AN8/D8)</f>
        <v>#DIV/0!</v>
      </c>
      <c r="BH8" s="3" t="e">
        <f>IF('Entrada e Saida'!$H$11="TRADING",IF('Entrada e Saida'!$H$12="REAL",AR8/D8,0),AL8/D8)</f>
        <v>#DIV/0!</v>
      </c>
      <c r="BI8" s="3" t="e">
        <f>IF('Entrada e Saida'!$H$11="TRADING",IF('Entrada e Saida'!$H$12="REAL",AS8/D8,0),AM8/D8)</f>
        <v>#DIV/0!</v>
      </c>
      <c r="BJ8" s="3" t="e">
        <f>IF('Entrada e Saida'!$H$11="TRADING",AT8/D8,AO8/D8)</f>
        <v>#DIV/0!</v>
      </c>
      <c r="BK8" s="2" t="e">
        <f t="shared" si="21"/>
        <v>#DIV/0!</v>
      </c>
      <c r="BL8" s="2">
        <f>IF(O8&gt;0,IFERROR(IF('Entrada e Saida'!$H$11="DIRETA",0,(IF('Entrada e Saida'!$H$14="P.JURIDICA",(BD8*(1+O8)*N8)-((BD8/(1+M8))*'Entrada e Saida'!$G$65),((Produtos!N8-'Entrada e Saida'!$G$65)*Produtos!BD8)))),0),0)</f>
        <v>0</v>
      </c>
      <c r="BM8" s="2" t="e">
        <f t="shared" si="7"/>
        <v>#DIV/0!</v>
      </c>
    </row>
    <row r="9" spans="1:65" s="1" customFormat="1">
      <c r="A9" s="144"/>
      <c r="B9" s="263" t="e">
        <f>VLOOKUP(A9,'Master Modelo'!A:I,7,FALSE)</f>
        <v>#N/A</v>
      </c>
      <c r="C9" s="145" t="e">
        <f>VLOOKUP(A9,'Master Modelo'!A:I,2,FALSE)</f>
        <v>#N/A</v>
      </c>
      <c r="D9" s="264"/>
      <c r="E9" s="147">
        <f>IFERROR(VLOOKUP(A9,'Master Modelo'!A:I,9,FALSE),0)</f>
        <v>0</v>
      </c>
      <c r="F9" s="189">
        <f>IFERROR(VLOOKUP(A9,'Master Modelo'!A:I,8,FALSE),0)</f>
        <v>0</v>
      </c>
      <c r="G9" s="189">
        <f>IFERROR(VLOOKUP(A9,'Master Modelo'!A:K,11,FALSE),0)</f>
        <v>0</v>
      </c>
      <c r="H9" s="174" t="e">
        <f t="shared" si="8"/>
        <v>#DIV/0!</v>
      </c>
      <c r="I9" s="163">
        <f>IFERROR(VLOOKUP(A9,'Master Modelo'!A:I,3,FALSE),0)</f>
        <v>0</v>
      </c>
      <c r="J9" s="164">
        <f>IFERROR(VLOOKUP(A9,'Master Modelo'!A:I,5,FALSE),0)</f>
        <v>0</v>
      </c>
      <c r="K9" s="164">
        <f>IFERROR(VLOOKUP(A9,'Master Modelo'!A:I,6,FALSE),0)</f>
        <v>0</v>
      </c>
      <c r="L9" s="165" t="e">
        <f>VLOOKUP(A9,'Master Modelo'!A:J,10,FALSE)</f>
        <v>#N/A</v>
      </c>
      <c r="M9" s="163">
        <f>IFERROR(VLOOKUP(A9,'Master Modelo'!A:I,4,FALSE),0)</f>
        <v>0</v>
      </c>
      <c r="N9" s="175"/>
      <c r="O9" s="187"/>
      <c r="P9" s="177">
        <f t="shared" si="9"/>
        <v>0</v>
      </c>
      <c r="Q9" s="177">
        <f t="shared" si="10"/>
        <v>0</v>
      </c>
      <c r="R9" s="178">
        <f>D9*E9*'Entrada e Saida'!$K$8</f>
        <v>0</v>
      </c>
      <c r="S9" s="179" t="e">
        <f>'Entrada e Saida'!$H$21*'Entrada e Saida'!$K$8*(P9/(SUM(P:P)))</f>
        <v>#DIV/0!</v>
      </c>
      <c r="T9" s="179" t="e">
        <f>'Entrada e Saida'!$H$21*'Entrada e Saida'!$K$8*(Q9/(SUM(Q:Q)))</f>
        <v>#DIV/0!</v>
      </c>
      <c r="U9" s="179" t="e">
        <f>'Entrada e Saida'!$H$22*(P9/(SUM(P:P)))</f>
        <v>#DIV/0!</v>
      </c>
      <c r="V9" s="179" t="e">
        <f>'Entrada e Saida'!$H$22*(Q9/(SUM(Q:Q)))</f>
        <v>#DIV/0!</v>
      </c>
      <c r="W9" s="180" t="e">
        <f t="shared" si="11"/>
        <v>#DIV/0!</v>
      </c>
      <c r="X9" s="179" t="e">
        <f>'Entrada e Saida'!$H$26*(IF('Entrada e Saida'!$H$15="PESO",(P9/(SUM(P:P))),(Q9/(SUM(Q:Q)))))</f>
        <v>#DIV/0!</v>
      </c>
      <c r="Y9" s="179" t="e">
        <f>'Entrada e Saida'!$H$27*(IF('Entrada e Saida'!$H$15="PESO",(P9/(SUM(P:P))),(Q9/(SUM(Q:Q)))))</f>
        <v>#DIV/0!</v>
      </c>
      <c r="Z9" s="179" t="e">
        <f>'Entrada e Saida'!$H$28*(IF('Entrada e Saida'!$H$15="PESO",(P9/(SUM(P:P))),(Q9/(SUM(Q:Q)))))</f>
        <v>#DIV/0!</v>
      </c>
      <c r="AA9" s="181" t="e">
        <f t="shared" si="12"/>
        <v>#DIV/0!</v>
      </c>
      <c r="AB9" s="178" t="e">
        <f t="shared" si="0"/>
        <v>#DIV/0!</v>
      </c>
      <c r="AC9" s="178" t="e">
        <f t="shared" si="13"/>
        <v>#DIV/0!</v>
      </c>
      <c r="AD9" s="178" t="e">
        <f t="shared" si="1"/>
        <v>#DIV/0!</v>
      </c>
      <c r="AE9" s="177" t="e">
        <f t="shared" si="2"/>
        <v>#DIV/0!</v>
      </c>
      <c r="AF9" s="182">
        <f>IFERROR(D9*F9*L9*'Entrada e Saida'!$K$8,0)</f>
        <v>0</v>
      </c>
      <c r="AG9" s="178" t="e">
        <f>((W9+AA9+AB9+AC9+AD9+AE9+AF9)/(1-'Entrada e Saida'!$G$65))*'Entrada e Saida'!$I$66</f>
        <v>#DIV/0!</v>
      </c>
      <c r="AH9" s="180" t="e">
        <f t="shared" si="14"/>
        <v>#DIV/0!</v>
      </c>
      <c r="AI9" s="183" t="e">
        <f>'Entrada e Saida'!$K$51*(IF('Entrada e Saida'!$H$15="PESO",(P9/(SUM(P:P))),(Q9/(SUM(Q:Q)))))</f>
        <v>#DIV/0!</v>
      </c>
      <c r="AJ9" s="183">
        <f>(('Entrada e Saida'!$K$10-'Entrada e Saida'!$K$8)*E9*D9)</f>
        <v>0</v>
      </c>
      <c r="AK9" s="184" t="e">
        <f>IF('Entrada e Saida'!$H$15="PESO",W9+AA9+AH9+AI9+AJ9,W9+AA9+AH9+AI9+AJ9-S9+T9-U9+V9)</f>
        <v>#DIV/0!</v>
      </c>
      <c r="AL9" s="185" t="e">
        <f>IF('Entrada e Saida'!$H$12="REAL",AC9,0)</f>
        <v>#DIV/0!</v>
      </c>
      <c r="AM9" s="185" t="e">
        <f>IF('Entrada e Saida'!$H$12="REAL",AD9,0)</f>
        <v>#DIV/0!</v>
      </c>
      <c r="AN9" s="186" t="e">
        <f>IF('Entrada e Saida'!$H$13= "NÃO",AE9,0)</f>
        <v>#DIV/0!</v>
      </c>
      <c r="AO9" s="186" t="e">
        <f t="shared" si="15"/>
        <v>#DIV/0!</v>
      </c>
      <c r="AP9" s="184" t="e">
        <f t="shared" si="16"/>
        <v>#DIV/0!</v>
      </c>
      <c r="AQ9" s="178" t="e">
        <f>IF('Entrada e Saida'!$H$11="TRADING",AU9*'Custo Resumido'!D9,0)</f>
        <v>#DIV/0!</v>
      </c>
      <c r="AR9" s="178" t="e">
        <f>IF('Entrada e Saida'!$H$11="TRADING",AU9*'Entrada e Saida'!$G$63,0)</f>
        <v>#DIV/0!</v>
      </c>
      <c r="AS9" s="178" t="e">
        <f>IF('Entrada e Saida'!$H$11="TRADING",AU9*'Entrada e Saida'!$G$64,0)</f>
        <v>#DIV/0!</v>
      </c>
      <c r="AT9" s="178" t="e">
        <f>IF('Entrada e Saida'!$H$11="TRADING",AU9*'Entrada e Saida'!$G$65,0)</f>
        <v>#DIV/0!</v>
      </c>
      <c r="AU9" s="184" t="e">
        <f>IF('Entrada e Saida'!$H$11="TRADING",AP9/(1-(SUM('Entrada e Saida'!$G$63:$G$65)+'Custo Resumido'!D9)),0)</f>
        <v>#DIV/0!</v>
      </c>
      <c r="AV9" s="178" t="e">
        <f>IF('Entrada e Saida'!$H$13="NÃO",AU9*M9,0)</f>
        <v>#DIV/0!</v>
      </c>
      <c r="AW9" s="184" t="e">
        <f t="shared" si="17"/>
        <v>#DIV/0!</v>
      </c>
      <c r="AX9" s="178" t="e">
        <f>'Entrada e Saida'!$G$74*AU9</f>
        <v>#DIV/0!</v>
      </c>
      <c r="AY9" s="184" t="e">
        <f t="shared" si="18"/>
        <v>#DIV/0!</v>
      </c>
      <c r="AZ9" s="184" t="e">
        <f>AQ9+('Entrada e Saida'!$G$65-'Entrada e Saida'!$I$65)*AU9-AX9</f>
        <v>#DIV/0!</v>
      </c>
      <c r="BA9" s="3" t="e">
        <f>IF('Entrada e Saida'!$H$12="REAL",AZ9*'Entrada e Saida'!$G$81,AU9*'Entrada e Saida'!$G$81)</f>
        <v>#DIV/0!</v>
      </c>
      <c r="BB9" s="3" t="e">
        <f>IF('Entrada e Saida'!$H$12="REAL",AZ9*'Entrada e Saida'!$G$82,AU9*'Entrada e Saida'!$G$82)</f>
        <v>#DIV/0!</v>
      </c>
      <c r="BC9" s="4" t="e">
        <f t="shared" si="19"/>
        <v>#DIV/0!</v>
      </c>
      <c r="BD9" s="3" t="e">
        <f>IF('Entrada e Saida'!$H$11="TRADING",AW9/D9,AK9/D9)</f>
        <v>#DIV/0!</v>
      </c>
      <c r="BE9" s="3" t="e">
        <f t="shared" si="5"/>
        <v>#DIV/0!</v>
      </c>
      <c r="BF9" s="2" t="e">
        <f t="shared" si="20"/>
        <v>#DIV/0!</v>
      </c>
      <c r="BG9" s="3" t="e">
        <f>IF('Entrada e Saida'!$H$11="TRADING",AV9/D9,AN9/D9)</f>
        <v>#DIV/0!</v>
      </c>
      <c r="BH9" s="3" t="e">
        <f>IF('Entrada e Saida'!$H$11="TRADING",IF('Entrada e Saida'!$H$12="REAL",AR9/D9,0),AL9/D9)</f>
        <v>#DIV/0!</v>
      </c>
      <c r="BI9" s="3" t="e">
        <f>IF('Entrada e Saida'!$H$11="TRADING",IF('Entrada e Saida'!$H$12="REAL",AS9/D9,0),AM9/D9)</f>
        <v>#DIV/0!</v>
      </c>
      <c r="BJ9" s="3" t="e">
        <f>IF('Entrada e Saida'!$H$11="TRADING",AT9/D9,AO9/D9)</f>
        <v>#DIV/0!</v>
      </c>
      <c r="BK9" s="2" t="e">
        <f t="shared" si="21"/>
        <v>#DIV/0!</v>
      </c>
      <c r="BL9" s="2">
        <f>IF(O9&gt;0,IFERROR(IF('Entrada e Saida'!$H$11="DIRETA",0,(IF('Entrada e Saida'!$H$14="P.JURIDICA",(BD9*(1+O9)*N9)-((BD9/(1+M9))*'Entrada e Saida'!$G$65),((Produtos!N9-'Entrada e Saida'!$G$65)*Produtos!BD9)))),0),0)</f>
        <v>0</v>
      </c>
      <c r="BM9" s="2" t="e">
        <f t="shared" si="7"/>
        <v>#DIV/0!</v>
      </c>
    </row>
    <row r="10" spans="1:65" s="1" customFormat="1">
      <c r="A10" s="144"/>
      <c r="B10" s="263" t="e">
        <f>VLOOKUP(A10,'Master Modelo'!A:I,7,FALSE)</f>
        <v>#N/A</v>
      </c>
      <c r="C10" s="145" t="e">
        <f>VLOOKUP(A10,'Master Modelo'!A:I,2,FALSE)</f>
        <v>#N/A</v>
      </c>
      <c r="D10" s="264"/>
      <c r="E10" s="147">
        <f>IFERROR(VLOOKUP(A10,'Master Modelo'!A:I,9,FALSE),0)</f>
        <v>0</v>
      </c>
      <c r="F10" s="189">
        <f>IFERROR(VLOOKUP(A10,'Master Modelo'!A:I,8,FALSE),0)</f>
        <v>0</v>
      </c>
      <c r="G10" s="189">
        <f>IFERROR(VLOOKUP(A10,'Master Modelo'!A:K,11,FALSE),0)</f>
        <v>0</v>
      </c>
      <c r="H10" s="174" t="e">
        <f t="shared" si="8"/>
        <v>#DIV/0!</v>
      </c>
      <c r="I10" s="163">
        <f>IFERROR(VLOOKUP(A10,'Master Modelo'!A:I,3,FALSE),0)</f>
        <v>0</v>
      </c>
      <c r="J10" s="164">
        <f>IFERROR(VLOOKUP(A10,'Master Modelo'!A:I,5,FALSE),0)</f>
        <v>0</v>
      </c>
      <c r="K10" s="164">
        <f>IFERROR(VLOOKUP(A10,'Master Modelo'!A:I,6,FALSE),0)</f>
        <v>0</v>
      </c>
      <c r="L10" s="165" t="e">
        <f>VLOOKUP(A10,'Master Modelo'!A:J,10,FALSE)</f>
        <v>#N/A</v>
      </c>
      <c r="M10" s="163">
        <f>IFERROR(VLOOKUP(A10,'Master Modelo'!A:I,4,FALSE),0)</f>
        <v>0</v>
      </c>
      <c r="N10" s="175"/>
      <c r="O10" s="187"/>
      <c r="P10" s="177">
        <f t="shared" si="9"/>
        <v>0</v>
      </c>
      <c r="Q10" s="177">
        <f t="shared" si="10"/>
        <v>0</v>
      </c>
      <c r="R10" s="178">
        <f>D10*E10*'Entrada e Saida'!$K$8</f>
        <v>0</v>
      </c>
      <c r="S10" s="179" t="e">
        <f>'Entrada e Saida'!$H$21*'Entrada e Saida'!$K$8*(P10/(SUM(P:P)))</f>
        <v>#DIV/0!</v>
      </c>
      <c r="T10" s="179" t="e">
        <f>'Entrada e Saida'!$H$21*'Entrada e Saida'!$K$8*(Q10/(SUM(Q:Q)))</f>
        <v>#DIV/0!</v>
      </c>
      <c r="U10" s="179" t="e">
        <f>'Entrada e Saida'!$H$22*(P10/(SUM(P:P)))</f>
        <v>#DIV/0!</v>
      </c>
      <c r="V10" s="179" t="e">
        <f>'Entrada e Saida'!$H$22*(Q10/(SUM(Q:Q)))</f>
        <v>#DIV/0!</v>
      </c>
      <c r="W10" s="180" t="e">
        <f t="shared" si="11"/>
        <v>#DIV/0!</v>
      </c>
      <c r="X10" s="179" t="e">
        <f>'Entrada e Saida'!$H$26*(IF('Entrada e Saida'!$H$15="PESO",(P10/(SUM(P:P))),(Q10/(SUM(Q:Q)))))</f>
        <v>#DIV/0!</v>
      </c>
      <c r="Y10" s="179" t="e">
        <f>'Entrada e Saida'!$H$27*(IF('Entrada e Saida'!$H$15="PESO",(P10/(SUM(P:P))),(Q10/(SUM(Q:Q)))))</f>
        <v>#DIV/0!</v>
      </c>
      <c r="Z10" s="179" t="e">
        <f>'Entrada e Saida'!$H$28*(IF('Entrada e Saida'!$H$15="PESO",(P10/(SUM(P:P))),(Q10/(SUM(Q:Q)))))</f>
        <v>#DIV/0!</v>
      </c>
      <c r="AA10" s="181" t="e">
        <f t="shared" si="12"/>
        <v>#DIV/0!</v>
      </c>
      <c r="AB10" s="178" t="e">
        <f t="shared" si="0"/>
        <v>#DIV/0!</v>
      </c>
      <c r="AC10" s="178" t="e">
        <f t="shared" si="13"/>
        <v>#DIV/0!</v>
      </c>
      <c r="AD10" s="178" t="e">
        <f t="shared" si="1"/>
        <v>#DIV/0!</v>
      </c>
      <c r="AE10" s="177" t="e">
        <f t="shared" si="2"/>
        <v>#DIV/0!</v>
      </c>
      <c r="AF10" s="182">
        <f>IFERROR(D10*F10*L10*'Entrada e Saida'!$K$8,0)</f>
        <v>0</v>
      </c>
      <c r="AG10" s="178" t="e">
        <f>((W10+AA10+AB10+AC10+AD10+AE10+AF10)/(1-'Entrada e Saida'!$G$65))*'Entrada e Saida'!$I$66</f>
        <v>#DIV/0!</v>
      </c>
      <c r="AH10" s="180" t="e">
        <f t="shared" si="14"/>
        <v>#DIV/0!</v>
      </c>
      <c r="AI10" s="183" t="e">
        <f>'Entrada e Saida'!$K$51*(IF('Entrada e Saida'!$H$15="PESO",(P10/(SUM(P:P))),(Q10/(SUM(Q:Q)))))</f>
        <v>#DIV/0!</v>
      </c>
      <c r="AJ10" s="183">
        <f>(('Entrada e Saida'!$K$10-'Entrada e Saida'!$K$8)*E10*D10)</f>
        <v>0</v>
      </c>
      <c r="AK10" s="184" t="e">
        <f>IF('Entrada e Saida'!$H$15="PESO",W10+AA10+AH10+AI10+AJ10,W10+AA10+AH10+AI10+AJ10-S10+T10-U10+V10)</f>
        <v>#DIV/0!</v>
      </c>
      <c r="AL10" s="185" t="e">
        <f>IF('Entrada e Saida'!$H$12="REAL",AC10,0)</f>
        <v>#DIV/0!</v>
      </c>
      <c r="AM10" s="185" t="e">
        <f>IF('Entrada e Saida'!$H$12="REAL",AD10,0)</f>
        <v>#DIV/0!</v>
      </c>
      <c r="AN10" s="186" t="e">
        <f>IF('Entrada e Saida'!$H$13= "NÃO",AE10,0)</f>
        <v>#DIV/0!</v>
      </c>
      <c r="AO10" s="186" t="e">
        <f t="shared" si="15"/>
        <v>#DIV/0!</v>
      </c>
      <c r="AP10" s="184" t="e">
        <f t="shared" si="16"/>
        <v>#DIV/0!</v>
      </c>
      <c r="AQ10" s="178" t="e">
        <f>IF('Entrada e Saida'!$H$11="TRADING",AU10*'Custo Resumido'!D10,0)</f>
        <v>#DIV/0!</v>
      </c>
      <c r="AR10" s="178" t="e">
        <f>IF('Entrada e Saida'!$H$11="TRADING",AU10*'Entrada e Saida'!$G$63,0)</f>
        <v>#DIV/0!</v>
      </c>
      <c r="AS10" s="178" t="e">
        <f>IF('Entrada e Saida'!$H$11="TRADING",AU10*'Entrada e Saida'!$G$64,0)</f>
        <v>#DIV/0!</v>
      </c>
      <c r="AT10" s="178" t="e">
        <f>IF('Entrada e Saida'!$H$11="TRADING",AU10*'Entrada e Saida'!$G$65,0)</f>
        <v>#DIV/0!</v>
      </c>
      <c r="AU10" s="184" t="e">
        <f>IF('Entrada e Saida'!$H$11="TRADING",AP10/(1-(SUM('Entrada e Saida'!$G$63:$G$65)+'Custo Resumido'!D10)),0)</f>
        <v>#DIV/0!</v>
      </c>
      <c r="AV10" s="178" t="e">
        <f>IF('Entrada e Saida'!$H$13="NÃO",AU10*M10,0)</f>
        <v>#DIV/0!</v>
      </c>
      <c r="AW10" s="184" t="e">
        <f t="shared" si="17"/>
        <v>#DIV/0!</v>
      </c>
      <c r="AX10" s="178" t="e">
        <f>'Entrada e Saida'!$G$74*AU10</f>
        <v>#DIV/0!</v>
      </c>
      <c r="AY10" s="184" t="e">
        <f t="shared" si="18"/>
        <v>#DIV/0!</v>
      </c>
      <c r="AZ10" s="184" t="e">
        <f>AQ10+('Entrada e Saida'!$G$65-'Entrada e Saida'!$I$65)*AU10-AX10</f>
        <v>#DIV/0!</v>
      </c>
      <c r="BA10" s="3" t="e">
        <f>IF('Entrada e Saida'!$H$12="REAL",AZ10*'Entrada e Saida'!$G$81,AU10*'Entrada e Saida'!$G$81)</f>
        <v>#DIV/0!</v>
      </c>
      <c r="BB10" s="3" t="e">
        <f>IF('Entrada e Saida'!$H$12="REAL",AZ10*'Entrada e Saida'!$G$82,AU10*'Entrada e Saida'!$G$82)</f>
        <v>#DIV/0!</v>
      </c>
      <c r="BC10" s="4" t="e">
        <f t="shared" si="19"/>
        <v>#DIV/0!</v>
      </c>
      <c r="BD10" s="3" t="e">
        <f>IF('Entrada e Saida'!$H$11="TRADING",AW10/D10,AK10/D10)</f>
        <v>#DIV/0!</v>
      </c>
      <c r="BE10" s="3" t="e">
        <f t="shared" si="5"/>
        <v>#DIV/0!</v>
      </c>
      <c r="BF10" s="2" t="e">
        <f t="shared" si="20"/>
        <v>#DIV/0!</v>
      </c>
      <c r="BG10" s="3" t="e">
        <f>IF('Entrada e Saida'!$H$11="TRADING",AV10/D10,AN10/D10)</f>
        <v>#DIV/0!</v>
      </c>
      <c r="BH10" s="3" t="e">
        <f>IF('Entrada e Saida'!$H$11="TRADING",IF('Entrada e Saida'!$H$12="REAL",AR10/D10,0),AL10/D10)</f>
        <v>#DIV/0!</v>
      </c>
      <c r="BI10" s="3" t="e">
        <f>IF('Entrada e Saida'!$H$11="TRADING",IF('Entrada e Saida'!$H$12="REAL",AS10/D10,0),AM10/D10)</f>
        <v>#DIV/0!</v>
      </c>
      <c r="BJ10" s="3" t="e">
        <f>IF('Entrada e Saida'!$H$11="TRADING",AT10/D10,AO10/D10)</f>
        <v>#DIV/0!</v>
      </c>
      <c r="BK10" s="2" t="e">
        <f t="shared" si="21"/>
        <v>#DIV/0!</v>
      </c>
      <c r="BL10" s="2">
        <f>IF(O10&gt;0,IFERROR(IF('Entrada e Saida'!$H$11="DIRETA",0,(IF('Entrada e Saida'!$H$14="P.JURIDICA",(BD10*(1+O10)*N10)-((BD10/(1+M10))*'Entrada e Saida'!$G$65),((Produtos!N10-'Entrada e Saida'!$G$65)*Produtos!BD10)))),0),0)</f>
        <v>0</v>
      </c>
      <c r="BM10" s="2" t="e">
        <f t="shared" si="7"/>
        <v>#DIV/0!</v>
      </c>
    </row>
    <row r="11" spans="1:65" s="1" customFormat="1">
      <c r="A11" s="144"/>
      <c r="B11" s="263" t="e">
        <f>VLOOKUP(A11,'Master Modelo'!A:I,7,FALSE)</f>
        <v>#N/A</v>
      </c>
      <c r="C11" s="145" t="e">
        <f>VLOOKUP(A11,'Master Modelo'!A:I,2,FALSE)</f>
        <v>#N/A</v>
      </c>
      <c r="D11" s="264"/>
      <c r="E11" s="147">
        <f>IFERROR(VLOOKUP(A11,'Master Modelo'!A:I,9,FALSE),0)</f>
        <v>0</v>
      </c>
      <c r="F11" s="189">
        <f>IFERROR(VLOOKUP(A11,'Master Modelo'!A:I,8,FALSE),0)</f>
        <v>0</v>
      </c>
      <c r="G11" s="189">
        <f>IFERROR(VLOOKUP(A11,'Master Modelo'!A:K,11,FALSE),0)</f>
        <v>0</v>
      </c>
      <c r="H11" s="174" t="e">
        <f t="shared" si="8"/>
        <v>#DIV/0!</v>
      </c>
      <c r="I11" s="163">
        <f>IFERROR(VLOOKUP(A11,'Master Modelo'!A:I,3,FALSE),0)</f>
        <v>0</v>
      </c>
      <c r="J11" s="164">
        <f>IFERROR(VLOOKUP(A11,'Master Modelo'!A:I,5,FALSE),0)</f>
        <v>0</v>
      </c>
      <c r="K11" s="164">
        <f>IFERROR(VLOOKUP(A11,'Master Modelo'!A:I,6,FALSE),0)</f>
        <v>0</v>
      </c>
      <c r="L11" s="165" t="e">
        <f>VLOOKUP(A11,'Master Modelo'!A:J,10,FALSE)</f>
        <v>#N/A</v>
      </c>
      <c r="M11" s="163">
        <f>IFERROR(VLOOKUP(A11,'Master Modelo'!A:I,4,FALSE),0)</f>
        <v>0</v>
      </c>
      <c r="N11" s="175"/>
      <c r="O11" s="187"/>
      <c r="P11" s="177">
        <f t="shared" si="9"/>
        <v>0</v>
      </c>
      <c r="Q11" s="177">
        <f t="shared" si="10"/>
        <v>0</v>
      </c>
      <c r="R11" s="178">
        <f>D11*E11*'Entrada e Saida'!$K$8</f>
        <v>0</v>
      </c>
      <c r="S11" s="179" t="e">
        <f>'Entrada e Saida'!$H$21*'Entrada e Saida'!$K$8*(P11/(SUM(P:P)))</f>
        <v>#DIV/0!</v>
      </c>
      <c r="T11" s="179" t="e">
        <f>'Entrada e Saida'!$H$21*'Entrada e Saida'!$K$8*(Q11/(SUM(Q:Q)))</f>
        <v>#DIV/0!</v>
      </c>
      <c r="U11" s="179" t="e">
        <f>'Entrada e Saida'!$H$22*(P11/(SUM(P:P)))</f>
        <v>#DIV/0!</v>
      </c>
      <c r="V11" s="179" t="e">
        <f>'Entrada e Saida'!$H$22*(Q11/(SUM(Q:Q)))</f>
        <v>#DIV/0!</v>
      </c>
      <c r="W11" s="180" t="e">
        <f t="shared" si="11"/>
        <v>#DIV/0!</v>
      </c>
      <c r="X11" s="179" t="e">
        <f>'Entrada e Saida'!$H$26*(IF('Entrada e Saida'!$H$15="PESO",(P11/(SUM(P:P))),(Q11/(SUM(Q:Q)))))</f>
        <v>#DIV/0!</v>
      </c>
      <c r="Y11" s="179" t="e">
        <f>'Entrada e Saida'!$H$27*(IF('Entrada e Saida'!$H$15="PESO",(P11/(SUM(P:P))),(Q11/(SUM(Q:Q)))))</f>
        <v>#DIV/0!</v>
      </c>
      <c r="Z11" s="179" t="e">
        <f>'Entrada e Saida'!$H$28*(IF('Entrada e Saida'!$H$15="PESO",(P11/(SUM(P:P))),(Q11/(SUM(Q:Q)))))</f>
        <v>#DIV/0!</v>
      </c>
      <c r="AA11" s="181" t="e">
        <f t="shared" si="12"/>
        <v>#DIV/0!</v>
      </c>
      <c r="AB11" s="178" t="e">
        <f t="shared" si="0"/>
        <v>#DIV/0!</v>
      </c>
      <c r="AC11" s="178" t="e">
        <f t="shared" si="13"/>
        <v>#DIV/0!</v>
      </c>
      <c r="AD11" s="178" t="e">
        <f t="shared" si="1"/>
        <v>#DIV/0!</v>
      </c>
      <c r="AE11" s="177" t="e">
        <f t="shared" si="2"/>
        <v>#DIV/0!</v>
      </c>
      <c r="AF11" s="182">
        <f>IFERROR(D11*F11*L11*'Entrada e Saida'!$K$8,0)</f>
        <v>0</v>
      </c>
      <c r="AG11" s="178" t="e">
        <f>((W11+AA11+AB11+AC11+AD11+AE11+AF11)/(1-'Entrada e Saida'!$G$65))*'Entrada e Saida'!$I$66</f>
        <v>#DIV/0!</v>
      </c>
      <c r="AH11" s="180" t="e">
        <f t="shared" si="14"/>
        <v>#DIV/0!</v>
      </c>
      <c r="AI11" s="183" t="e">
        <f>'Entrada e Saida'!$K$51*(IF('Entrada e Saida'!$H$15="PESO",(P11/(SUM(P:P))),(Q11/(SUM(Q:Q)))))</f>
        <v>#DIV/0!</v>
      </c>
      <c r="AJ11" s="183">
        <f>(('Entrada e Saida'!$K$10-'Entrada e Saida'!$K$8)*E11*D11)</f>
        <v>0</v>
      </c>
      <c r="AK11" s="184" t="e">
        <f>IF('Entrada e Saida'!$H$15="PESO",W11+AA11+AH11+AI11+AJ11,W11+AA11+AH11+AI11+AJ11-S11+T11-U11+V11)</f>
        <v>#DIV/0!</v>
      </c>
      <c r="AL11" s="185" t="e">
        <f>IF('Entrada e Saida'!$H$12="REAL",AC11,0)</f>
        <v>#DIV/0!</v>
      </c>
      <c r="AM11" s="185" t="e">
        <f>IF('Entrada e Saida'!$H$12="REAL",AD11,0)</f>
        <v>#DIV/0!</v>
      </c>
      <c r="AN11" s="186" t="e">
        <f>IF('Entrada e Saida'!$H$13= "NÃO",AE11,0)</f>
        <v>#DIV/0!</v>
      </c>
      <c r="AO11" s="186" t="e">
        <f t="shared" si="15"/>
        <v>#DIV/0!</v>
      </c>
      <c r="AP11" s="184" t="e">
        <f t="shared" si="16"/>
        <v>#DIV/0!</v>
      </c>
      <c r="AQ11" s="178" t="e">
        <f>IF('Entrada e Saida'!$H$11="TRADING",AU11*'Custo Resumido'!D11,0)</f>
        <v>#DIV/0!</v>
      </c>
      <c r="AR11" s="178" t="e">
        <f>IF('Entrada e Saida'!$H$11="TRADING",AU11*'Entrada e Saida'!$G$63,0)</f>
        <v>#DIV/0!</v>
      </c>
      <c r="AS11" s="178" t="e">
        <f>IF('Entrada e Saida'!$H$11="TRADING",AU11*'Entrada e Saida'!$G$64,0)</f>
        <v>#DIV/0!</v>
      </c>
      <c r="AT11" s="178" t="e">
        <f>IF('Entrada e Saida'!$H$11="TRADING",AU11*'Entrada e Saida'!$G$65,0)</f>
        <v>#DIV/0!</v>
      </c>
      <c r="AU11" s="184" t="e">
        <f>IF('Entrada e Saida'!$H$11="TRADING",AP11/(1-(SUM('Entrada e Saida'!$G$63:$G$65)+'Custo Resumido'!D11)),0)</f>
        <v>#DIV/0!</v>
      </c>
      <c r="AV11" s="178" t="e">
        <f>IF('Entrada e Saida'!$H$13="NÃO",AU11*M11,0)</f>
        <v>#DIV/0!</v>
      </c>
      <c r="AW11" s="184" t="e">
        <f t="shared" si="17"/>
        <v>#DIV/0!</v>
      </c>
      <c r="AX11" s="178" t="e">
        <f>'Entrada e Saida'!$G$74*AU11</f>
        <v>#DIV/0!</v>
      </c>
      <c r="AY11" s="184" t="e">
        <f t="shared" si="18"/>
        <v>#DIV/0!</v>
      </c>
      <c r="AZ11" s="184" t="e">
        <f>AQ11+('Entrada e Saida'!$G$65-'Entrada e Saida'!$I$65)*AU11-AX11</f>
        <v>#DIV/0!</v>
      </c>
      <c r="BA11" s="3" t="e">
        <f>IF('Entrada e Saida'!$H$12="REAL",AZ11*'Entrada e Saida'!$G$81,AU11*'Entrada e Saida'!$G$81)</f>
        <v>#DIV/0!</v>
      </c>
      <c r="BB11" s="3" t="e">
        <f>IF('Entrada e Saida'!$H$12="REAL",AZ11*'Entrada e Saida'!$G$82,AU11*'Entrada e Saida'!$G$82)</f>
        <v>#DIV/0!</v>
      </c>
      <c r="BC11" s="4" t="e">
        <f t="shared" si="19"/>
        <v>#DIV/0!</v>
      </c>
      <c r="BD11" s="3" t="e">
        <f>IF('Entrada e Saida'!$H$11="TRADING",AW11/D11,AK11/D11)</f>
        <v>#DIV/0!</v>
      </c>
      <c r="BE11" s="3" t="e">
        <f t="shared" si="5"/>
        <v>#DIV/0!</v>
      </c>
      <c r="BF11" s="2" t="e">
        <f t="shared" si="20"/>
        <v>#DIV/0!</v>
      </c>
      <c r="BG11" s="3" t="e">
        <f>IF('Entrada e Saida'!$H$11="TRADING",AV11/D11,AN11/D11)</f>
        <v>#DIV/0!</v>
      </c>
      <c r="BH11" s="3" t="e">
        <f>IF('Entrada e Saida'!$H$11="TRADING",IF('Entrada e Saida'!$H$12="REAL",AR11/D11,0),AL11/D11)</f>
        <v>#DIV/0!</v>
      </c>
      <c r="BI11" s="3" t="e">
        <f>IF('Entrada e Saida'!$H$11="TRADING",IF('Entrada e Saida'!$H$12="REAL",AS11/D11,0),AM11/D11)</f>
        <v>#DIV/0!</v>
      </c>
      <c r="BJ11" s="3" t="e">
        <f>IF('Entrada e Saida'!$H$11="TRADING",AT11/D11,AO11/D11)</f>
        <v>#DIV/0!</v>
      </c>
      <c r="BK11" s="2" t="e">
        <f t="shared" si="21"/>
        <v>#DIV/0!</v>
      </c>
      <c r="BL11" s="2">
        <f>IF(O11&gt;0,IFERROR(IF('Entrada e Saida'!$H$11="DIRETA",0,(IF('Entrada e Saida'!$H$14="P.JURIDICA",(BD11*(1+O11)*N11)-((BD11/(1+M11))*'Entrada e Saida'!$G$65),((Produtos!N11-'Entrada e Saida'!$G$65)*Produtos!BD11)))),0),0)</f>
        <v>0</v>
      </c>
      <c r="BM11" s="2" t="e">
        <f t="shared" si="7"/>
        <v>#DIV/0!</v>
      </c>
    </row>
    <row r="12" spans="1:65" s="1" customFormat="1">
      <c r="A12" s="144"/>
      <c r="B12" s="263" t="e">
        <f>VLOOKUP(A12,'Master Modelo'!A:I,7,FALSE)</f>
        <v>#N/A</v>
      </c>
      <c r="C12" s="145" t="e">
        <f>VLOOKUP(A12,'Master Modelo'!A:I,2,FALSE)</f>
        <v>#N/A</v>
      </c>
      <c r="D12" s="264"/>
      <c r="E12" s="147">
        <f>IFERROR(VLOOKUP(A12,'Master Modelo'!A:I,9,FALSE),0)</f>
        <v>0</v>
      </c>
      <c r="F12" s="189">
        <f>IFERROR(VLOOKUP(A12,'Master Modelo'!A:I,8,FALSE),0)</f>
        <v>0</v>
      </c>
      <c r="G12" s="189">
        <f>IFERROR(VLOOKUP(A12,'Master Modelo'!A:K,11,FALSE),0)</f>
        <v>0</v>
      </c>
      <c r="H12" s="174" t="e">
        <f t="shared" si="8"/>
        <v>#DIV/0!</v>
      </c>
      <c r="I12" s="163">
        <f>IFERROR(VLOOKUP(A12,'Master Modelo'!A:I,3,FALSE),0)</f>
        <v>0</v>
      </c>
      <c r="J12" s="164">
        <f>IFERROR(VLOOKUP(A12,'Master Modelo'!A:I,5,FALSE),0)</f>
        <v>0</v>
      </c>
      <c r="K12" s="164">
        <f>IFERROR(VLOOKUP(A12,'Master Modelo'!A:I,6,FALSE),0)</f>
        <v>0</v>
      </c>
      <c r="L12" s="165" t="e">
        <f>VLOOKUP(A12,'Master Modelo'!A:J,10,FALSE)</f>
        <v>#N/A</v>
      </c>
      <c r="M12" s="163">
        <f>IFERROR(VLOOKUP(A12,'Master Modelo'!A:I,4,FALSE),0)</f>
        <v>0</v>
      </c>
      <c r="N12" s="175"/>
      <c r="O12" s="187"/>
      <c r="P12" s="177">
        <f t="shared" si="9"/>
        <v>0</v>
      </c>
      <c r="Q12" s="177">
        <f t="shared" si="10"/>
        <v>0</v>
      </c>
      <c r="R12" s="178">
        <f>D12*E12*'Entrada e Saida'!$K$8</f>
        <v>0</v>
      </c>
      <c r="S12" s="179" t="e">
        <f>'Entrada e Saida'!$H$21*'Entrada e Saida'!$K$8*(P12/(SUM(P:P)))</f>
        <v>#DIV/0!</v>
      </c>
      <c r="T12" s="179" t="e">
        <f>'Entrada e Saida'!$H$21*'Entrada e Saida'!$K$8*(Q12/(SUM(Q:Q)))</f>
        <v>#DIV/0!</v>
      </c>
      <c r="U12" s="179" t="e">
        <f>'Entrada e Saida'!$H$22*(P12/(SUM(P:P)))</f>
        <v>#DIV/0!</v>
      </c>
      <c r="V12" s="179" t="e">
        <f>'Entrada e Saida'!$H$22*(Q12/(SUM(Q:Q)))</f>
        <v>#DIV/0!</v>
      </c>
      <c r="W12" s="180" t="e">
        <f t="shared" si="11"/>
        <v>#DIV/0!</v>
      </c>
      <c r="X12" s="179" t="e">
        <f>'Entrada e Saida'!$H$26*(IF('Entrada e Saida'!$H$15="PESO",(P12/(SUM(P:P))),(Q12/(SUM(Q:Q)))))</f>
        <v>#DIV/0!</v>
      </c>
      <c r="Y12" s="179" t="e">
        <f>'Entrada e Saida'!$H$27*(IF('Entrada e Saida'!$H$15="PESO",(P12/(SUM(P:P))),(Q12/(SUM(Q:Q)))))</f>
        <v>#DIV/0!</v>
      </c>
      <c r="Z12" s="179" t="e">
        <f>'Entrada e Saida'!$H$28*(IF('Entrada e Saida'!$H$15="PESO",(P12/(SUM(P:P))),(Q12/(SUM(Q:Q)))))</f>
        <v>#DIV/0!</v>
      </c>
      <c r="AA12" s="181" t="e">
        <f t="shared" si="12"/>
        <v>#DIV/0!</v>
      </c>
      <c r="AB12" s="178" t="e">
        <f t="shared" si="0"/>
        <v>#DIV/0!</v>
      </c>
      <c r="AC12" s="178" t="e">
        <f t="shared" si="13"/>
        <v>#DIV/0!</v>
      </c>
      <c r="AD12" s="178" t="e">
        <f t="shared" si="1"/>
        <v>#DIV/0!</v>
      </c>
      <c r="AE12" s="177" t="e">
        <f t="shared" si="2"/>
        <v>#DIV/0!</v>
      </c>
      <c r="AF12" s="182">
        <f>IFERROR(D12*F12*L12*'Entrada e Saida'!$K$8,0)</f>
        <v>0</v>
      </c>
      <c r="AG12" s="178" t="e">
        <f>((W12+AA12+AB12+AC12+AD12+AE12+AF12)/(1-'Entrada e Saida'!$G$65))*'Entrada e Saida'!$I$66</f>
        <v>#DIV/0!</v>
      </c>
      <c r="AH12" s="180" t="e">
        <f t="shared" si="14"/>
        <v>#DIV/0!</v>
      </c>
      <c r="AI12" s="183" t="e">
        <f>'Entrada e Saida'!$K$51*(IF('Entrada e Saida'!$H$15="PESO",(P12/(SUM(P:P))),(Q12/(SUM(Q:Q)))))</f>
        <v>#DIV/0!</v>
      </c>
      <c r="AJ12" s="183">
        <f>(('Entrada e Saida'!$K$10-'Entrada e Saida'!$K$8)*E12*D12)</f>
        <v>0</v>
      </c>
      <c r="AK12" s="184" t="e">
        <f>IF('Entrada e Saida'!$H$15="PESO",W12+AA12+AH12+AI12+AJ12,W12+AA12+AH12+AI12+AJ12-S12+T12-U12+V12)</f>
        <v>#DIV/0!</v>
      </c>
      <c r="AL12" s="185" t="e">
        <f>IF('Entrada e Saida'!$H$12="REAL",AC12,0)</f>
        <v>#DIV/0!</v>
      </c>
      <c r="AM12" s="185" t="e">
        <f>IF('Entrada e Saida'!$H$12="REAL",AD12,0)</f>
        <v>#DIV/0!</v>
      </c>
      <c r="AN12" s="186" t="e">
        <f>IF('Entrada e Saida'!$H$13= "NÃO",AE12,0)</f>
        <v>#DIV/0!</v>
      </c>
      <c r="AO12" s="186" t="e">
        <f t="shared" si="15"/>
        <v>#DIV/0!</v>
      </c>
      <c r="AP12" s="184" t="e">
        <f t="shared" si="16"/>
        <v>#DIV/0!</v>
      </c>
      <c r="AQ12" s="178" t="e">
        <f>IF('Entrada e Saida'!$H$11="TRADING",AU12*'Custo Resumido'!D12,0)</f>
        <v>#DIV/0!</v>
      </c>
      <c r="AR12" s="178" t="e">
        <f>IF('Entrada e Saida'!$H$11="TRADING",AU12*'Entrada e Saida'!$G$63,0)</f>
        <v>#DIV/0!</v>
      </c>
      <c r="AS12" s="178" t="e">
        <f>IF('Entrada e Saida'!$H$11="TRADING",AU12*'Entrada e Saida'!$G$64,0)</f>
        <v>#DIV/0!</v>
      </c>
      <c r="AT12" s="178" t="e">
        <f>IF('Entrada e Saida'!$H$11="TRADING",AU12*'Entrada e Saida'!$G$65,0)</f>
        <v>#DIV/0!</v>
      </c>
      <c r="AU12" s="184" t="e">
        <f>IF('Entrada e Saida'!$H$11="TRADING",AP12/(1-(SUM('Entrada e Saida'!$G$63:$G$65)+'Custo Resumido'!D12)),0)</f>
        <v>#DIV/0!</v>
      </c>
      <c r="AV12" s="178" t="e">
        <f>IF('Entrada e Saida'!$H$13="NÃO",AU12*M12,0)</f>
        <v>#DIV/0!</v>
      </c>
      <c r="AW12" s="184" t="e">
        <f t="shared" si="17"/>
        <v>#DIV/0!</v>
      </c>
      <c r="AX12" s="178" t="e">
        <f>'Entrada e Saida'!$G$74*AU12</f>
        <v>#DIV/0!</v>
      </c>
      <c r="AY12" s="184" t="e">
        <f t="shared" si="18"/>
        <v>#DIV/0!</v>
      </c>
      <c r="AZ12" s="184" t="e">
        <f>AQ12+('Entrada e Saida'!$G$65-'Entrada e Saida'!$I$65)*AU12-AX12</f>
        <v>#DIV/0!</v>
      </c>
      <c r="BA12" s="3" t="e">
        <f>IF('Entrada e Saida'!$H$12="REAL",AZ12*'Entrada e Saida'!$G$81,AU12*'Entrada e Saida'!$G$81)</f>
        <v>#DIV/0!</v>
      </c>
      <c r="BB12" s="3" t="e">
        <f>IF('Entrada e Saida'!$H$12="REAL",AZ12*'Entrada e Saida'!$G$82,AU12*'Entrada e Saida'!$G$82)</f>
        <v>#DIV/0!</v>
      </c>
      <c r="BC12" s="4" t="e">
        <f t="shared" si="19"/>
        <v>#DIV/0!</v>
      </c>
      <c r="BD12" s="3" t="e">
        <f>IF('Entrada e Saida'!$H$11="TRADING",AW12/D12,AK12/D12)</f>
        <v>#DIV/0!</v>
      </c>
      <c r="BE12" s="3" t="e">
        <f t="shared" si="5"/>
        <v>#DIV/0!</v>
      </c>
      <c r="BF12" s="2" t="e">
        <f t="shared" si="20"/>
        <v>#DIV/0!</v>
      </c>
      <c r="BG12" s="3" t="e">
        <f>IF('Entrada e Saida'!$H$11="TRADING",AV12/D12,AN12/D12)</f>
        <v>#DIV/0!</v>
      </c>
      <c r="BH12" s="3" t="e">
        <f>IF('Entrada e Saida'!$H$11="TRADING",IF('Entrada e Saida'!$H$12="REAL",AR12/D12,0),AL12/D12)</f>
        <v>#DIV/0!</v>
      </c>
      <c r="BI12" s="3" t="e">
        <f>IF('Entrada e Saida'!$H$11="TRADING",IF('Entrada e Saida'!$H$12="REAL",AS12/D12,0),AM12/D12)</f>
        <v>#DIV/0!</v>
      </c>
      <c r="BJ12" s="3" t="e">
        <f>IF('Entrada e Saida'!$H$11="TRADING",AT12/D12,AO12/D12)</f>
        <v>#DIV/0!</v>
      </c>
      <c r="BK12" s="2" t="e">
        <f t="shared" si="21"/>
        <v>#DIV/0!</v>
      </c>
      <c r="BL12" s="2">
        <f>IF(O12&gt;0,IFERROR(IF('Entrada e Saida'!$H$11="DIRETA",0,(IF('Entrada e Saida'!$H$14="P.JURIDICA",(BD12*(1+O12)*N12)-((BD12/(1+M12))*'Entrada e Saida'!$G$65),((Produtos!N12-'Entrada e Saida'!$G$65)*Produtos!BD12)))),0),0)</f>
        <v>0</v>
      </c>
      <c r="BM12" s="2" t="e">
        <f t="shared" si="7"/>
        <v>#DIV/0!</v>
      </c>
    </row>
    <row r="13" spans="1:65" s="1" customFormat="1">
      <c r="A13" s="144"/>
      <c r="B13" s="263" t="e">
        <f>VLOOKUP(A13,'Master Modelo'!A:I,7,FALSE)</f>
        <v>#N/A</v>
      </c>
      <c r="C13" s="145" t="e">
        <f>VLOOKUP(A13,'Master Modelo'!A:I,2,FALSE)</f>
        <v>#N/A</v>
      </c>
      <c r="D13" s="264"/>
      <c r="E13" s="147">
        <f>IFERROR(VLOOKUP(A13,'Master Modelo'!A:I,9,FALSE),0)</f>
        <v>0</v>
      </c>
      <c r="F13" s="189">
        <f>IFERROR(VLOOKUP(A13,'Master Modelo'!A:I,8,FALSE),0)</f>
        <v>0</v>
      </c>
      <c r="G13" s="189">
        <f>IFERROR(VLOOKUP(A13,'Master Modelo'!A:K,11,FALSE),0)</f>
        <v>0</v>
      </c>
      <c r="H13" s="174" t="e">
        <f t="shared" si="8"/>
        <v>#DIV/0!</v>
      </c>
      <c r="I13" s="163">
        <f>IFERROR(VLOOKUP(A13,'Master Modelo'!A:I,3,FALSE),0)</f>
        <v>0</v>
      </c>
      <c r="J13" s="164">
        <f>IFERROR(VLOOKUP(A13,'Master Modelo'!A:I,5,FALSE),0)</f>
        <v>0</v>
      </c>
      <c r="K13" s="164">
        <f>IFERROR(VLOOKUP(A13,'Master Modelo'!A:I,6,FALSE),0)</f>
        <v>0</v>
      </c>
      <c r="L13" s="165" t="e">
        <f>VLOOKUP(A13,'Master Modelo'!A:J,10,FALSE)</f>
        <v>#N/A</v>
      </c>
      <c r="M13" s="163">
        <f>IFERROR(VLOOKUP(A13,'Master Modelo'!A:I,4,FALSE),0)</f>
        <v>0</v>
      </c>
      <c r="N13" s="175"/>
      <c r="O13" s="187"/>
      <c r="P13" s="177">
        <f t="shared" si="9"/>
        <v>0</v>
      </c>
      <c r="Q13" s="177">
        <f t="shared" si="10"/>
        <v>0</v>
      </c>
      <c r="R13" s="178">
        <f>D13*E13*'Entrada e Saida'!$K$8</f>
        <v>0</v>
      </c>
      <c r="S13" s="179" t="e">
        <f>'Entrada e Saida'!$H$21*'Entrada e Saida'!$K$8*(P13/(SUM(P:P)))</f>
        <v>#DIV/0!</v>
      </c>
      <c r="T13" s="179" t="e">
        <f>'Entrada e Saida'!$H$21*'Entrada e Saida'!$K$8*(Q13/(SUM(Q:Q)))</f>
        <v>#DIV/0!</v>
      </c>
      <c r="U13" s="179" t="e">
        <f>'Entrada e Saida'!$H$22*(P13/(SUM(P:P)))</f>
        <v>#DIV/0!</v>
      </c>
      <c r="V13" s="179" t="e">
        <f>'Entrada e Saida'!$H$22*(Q13/(SUM(Q:Q)))</f>
        <v>#DIV/0!</v>
      </c>
      <c r="W13" s="180" t="e">
        <f t="shared" si="11"/>
        <v>#DIV/0!</v>
      </c>
      <c r="X13" s="179" t="e">
        <f>'Entrada e Saida'!$H$26*(IF('Entrada e Saida'!$H$15="PESO",(P13/(SUM(P:P))),(Q13/(SUM(Q:Q)))))</f>
        <v>#DIV/0!</v>
      </c>
      <c r="Y13" s="179" t="e">
        <f>'Entrada e Saida'!$H$27*(IF('Entrada e Saida'!$H$15="PESO",(P13/(SUM(P:P))),(Q13/(SUM(Q:Q)))))</f>
        <v>#DIV/0!</v>
      </c>
      <c r="Z13" s="179" t="e">
        <f>'Entrada e Saida'!$H$28*(IF('Entrada e Saida'!$H$15="PESO",(P13/(SUM(P:P))),(Q13/(SUM(Q:Q)))))</f>
        <v>#DIV/0!</v>
      </c>
      <c r="AA13" s="181" t="e">
        <f t="shared" si="12"/>
        <v>#DIV/0!</v>
      </c>
      <c r="AB13" s="178" t="e">
        <f t="shared" si="0"/>
        <v>#DIV/0!</v>
      </c>
      <c r="AC13" s="178" t="e">
        <f t="shared" si="13"/>
        <v>#DIV/0!</v>
      </c>
      <c r="AD13" s="178" t="e">
        <f t="shared" si="1"/>
        <v>#DIV/0!</v>
      </c>
      <c r="AE13" s="177" t="e">
        <f t="shared" si="2"/>
        <v>#DIV/0!</v>
      </c>
      <c r="AF13" s="182">
        <f>IFERROR(D13*F13*L13*'Entrada e Saida'!$K$8,0)</f>
        <v>0</v>
      </c>
      <c r="AG13" s="178" t="e">
        <f>((W13+AA13+AB13+AC13+AD13+AE13+AF13)/(1-'Entrada e Saida'!$G$65))*'Entrada e Saida'!$I$66</f>
        <v>#DIV/0!</v>
      </c>
      <c r="AH13" s="180" t="e">
        <f t="shared" si="14"/>
        <v>#DIV/0!</v>
      </c>
      <c r="AI13" s="183" t="e">
        <f>'Entrada e Saida'!$K$51*(IF('Entrada e Saida'!$H$15="PESO",(P13/(SUM(P:P))),(Q13/(SUM(Q:Q)))))</f>
        <v>#DIV/0!</v>
      </c>
      <c r="AJ13" s="183">
        <f>(('Entrada e Saida'!$K$10-'Entrada e Saida'!$K$8)*E13*D13)</f>
        <v>0</v>
      </c>
      <c r="AK13" s="184" t="e">
        <f>IF('Entrada e Saida'!$H$15="PESO",W13+AA13+AH13+AI13+AJ13,W13+AA13+AH13+AI13+AJ13-S13+T13-U13+V13)</f>
        <v>#DIV/0!</v>
      </c>
      <c r="AL13" s="185" t="e">
        <f>IF('Entrada e Saida'!$H$12="REAL",AC13,0)</f>
        <v>#DIV/0!</v>
      </c>
      <c r="AM13" s="185" t="e">
        <f>IF('Entrada e Saida'!$H$12="REAL",AD13,0)</f>
        <v>#DIV/0!</v>
      </c>
      <c r="AN13" s="186" t="e">
        <f>IF('Entrada e Saida'!$H$13= "NÃO",AE13,0)</f>
        <v>#DIV/0!</v>
      </c>
      <c r="AO13" s="186" t="e">
        <f t="shared" si="15"/>
        <v>#DIV/0!</v>
      </c>
      <c r="AP13" s="184" t="e">
        <f t="shared" si="16"/>
        <v>#DIV/0!</v>
      </c>
      <c r="AQ13" s="178" t="e">
        <f>IF('Entrada e Saida'!$H$11="TRADING",AU13*'Custo Resumido'!D13,0)</f>
        <v>#DIV/0!</v>
      </c>
      <c r="AR13" s="178" t="e">
        <f>IF('Entrada e Saida'!$H$11="TRADING",AU13*'Entrada e Saida'!$G$63,0)</f>
        <v>#DIV/0!</v>
      </c>
      <c r="AS13" s="178" t="e">
        <f>IF('Entrada e Saida'!$H$11="TRADING",AU13*'Entrada e Saida'!$G$64,0)</f>
        <v>#DIV/0!</v>
      </c>
      <c r="AT13" s="178" t="e">
        <f>IF('Entrada e Saida'!$H$11="TRADING",AU13*'Entrada e Saida'!$G$65,0)</f>
        <v>#DIV/0!</v>
      </c>
      <c r="AU13" s="184" t="e">
        <f>IF('Entrada e Saida'!$H$11="TRADING",AP13/(1-(SUM('Entrada e Saida'!$G$63:$G$65)+'Custo Resumido'!D13)),0)</f>
        <v>#DIV/0!</v>
      </c>
      <c r="AV13" s="178" t="e">
        <f>IF('Entrada e Saida'!$H$13="NÃO",AU13*M13,0)</f>
        <v>#DIV/0!</v>
      </c>
      <c r="AW13" s="184" t="e">
        <f t="shared" si="17"/>
        <v>#DIV/0!</v>
      </c>
      <c r="AX13" s="178" t="e">
        <f>'Entrada e Saida'!$G$74*AU13</f>
        <v>#DIV/0!</v>
      </c>
      <c r="AY13" s="184" t="e">
        <f t="shared" si="18"/>
        <v>#DIV/0!</v>
      </c>
      <c r="AZ13" s="184" t="e">
        <f>AQ13+('Entrada e Saida'!$G$65-'Entrada e Saida'!$I$65)*AU13-AX13</f>
        <v>#DIV/0!</v>
      </c>
      <c r="BA13" s="3" t="e">
        <f>IF('Entrada e Saida'!$H$12="REAL",AZ13*'Entrada e Saida'!$G$81,AU13*'Entrada e Saida'!$G$81)</f>
        <v>#DIV/0!</v>
      </c>
      <c r="BB13" s="3" t="e">
        <f>IF('Entrada e Saida'!$H$12="REAL",AZ13*'Entrada e Saida'!$G$82,AU13*'Entrada e Saida'!$G$82)</f>
        <v>#DIV/0!</v>
      </c>
      <c r="BC13" s="4" t="e">
        <f t="shared" si="19"/>
        <v>#DIV/0!</v>
      </c>
      <c r="BD13" s="3" t="e">
        <f>IF('Entrada e Saida'!$H$11="TRADING",AW13/D13,AK13/D13)</f>
        <v>#DIV/0!</v>
      </c>
      <c r="BE13" s="3" t="e">
        <f t="shared" si="5"/>
        <v>#DIV/0!</v>
      </c>
      <c r="BF13" s="2" t="e">
        <f t="shared" si="20"/>
        <v>#DIV/0!</v>
      </c>
      <c r="BG13" s="3" t="e">
        <f>IF('Entrada e Saida'!$H$11="TRADING",AV13/D13,AN13/D13)</f>
        <v>#DIV/0!</v>
      </c>
      <c r="BH13" s="3" t="e">
        <f>IF('Entrada e Saida'!$H$11="TRADING",IF('Entrada e Saida'!$H$12="REAL",AR13/D13,0),AL13/D13)</f>
        <v>#DIV/0!</v>
      </c>
      <c r="BI13" s="3" t="e">
        <f>IF('Entrada e Saida'!$H$11="TRADING",IF('Entrada e Saida'!$H$12="REAL",AS13/D13,0),AM13/D13)</f>
        <v>#DIV/0!</v>
      </c>
      <c r="BJ13" s="3" t="e">
        <f>IF('Entrada e Saida'!$H$11="TRADING",AT13/D13,AO13/D13)</f>
        <v>#DIV/0!</v>
      </c>
      <c r="BK13" s="2" t="e">
        <f t="shared" si="21"/>
        <v>#DIV/0!</v>
      </c>
      <c r="BL13" s="2">
        <f>IF(O13&gt;0,IFERROR(IF('Entrada e Saida'!$H$11="DIRETA",0,(IF('Entrada e Saida'!$H$14="P.JURIDICA",(BD13*(1+O13)*N13)-((BD13/(1+M13))*'Entrada e Saida'!$G$65),((Produtos!N13-'Entrada e Saida'!$G$65)*Produtos!BD13)))),0),0)</f>
        <v>0</v>
      </c>
      <c r="BM13" s="2" t="e">
        <f t="shared" si="7"/>
        <v>#DIV/0!</v>
      </c>
    </row>
    <row r="14" spans="1:65" s="1" customFormat="1">
      <c r="A14" s="144"/>
      <c r="B14" s="263" t="e">
        <f>VLOOKUP(A14,'Master Modelo'!A:I,7,FALSE)</f>
        <v>#N/A</v>
      </c>
      <c r="C14" s="145" t="e">
        <f>VLOOKUP(A14,'Master Modelo'!A:I,2,FALSE)</f>
        <v>#N/A</v>
      </c>
      <c r="D14" s="264"/>
      <c r="E14" s="147">
        <f>IFERROR(VLOOKUP(A14,'Master Modelo'!A:I,9,FALSE),0)</f>
        <v>0</v>
      </c>
      <c r="F14" s="189">
        <f>IFERROR(VLOOKUP(A14,'Master Modelo'!A:I,8,FALSE),0)</f>
        <v>0</v>
      </c>
      <c r="G14" s="189">
        <f>IFERROR(VLOOKUP(A14,'Master Modelo'!A:K,11,FALSE),0)</f>
        <v>0</v>
      </c>
      <c r="H14" s="174" t="e">
        <f t="shared" si="8"/>
        <v>#DIV/0!</v>
      </c>
      <c r="I14" s="163">
        <f>IFERROR(VLOOKUP(A14,'Master Modelo'!A:I,3,FALSE),0)</f>
        <v>0</v>
      </c>
      <c r="J14" s="164">
        <f>IFERROR(VLOOKUP(A14,'Master Modelo'!A:I,5,FALSE),0)</f>
        <v>0</v>
      </c>
      <c r="K14" s="164">
        <f>IFERROR(VLOOKUP(A14,'Master Modelo'!A:I,6,FALSE),0)</f>
        <v>0</v>
      </c>
      <c r="L14" s="165" t="e">
        <f>VLOOKUP(A14,'Master Modelo'!A:J,10,FALSE)</f>
        <v>#N/A</v>
      </c>
      <c r="M14" s="163">
        <f>IFERROR(VLOOKUP(A14,'Master Modelo'!A:I,4,FALSE),0)</f>
        <v>0</v>
      </c>
      <c r="N14" s="175"/>
      <c r="O14" s="187"/>
      <c r="P14" s="177">
        <f t="shared" si="9"/>
        <v>0</v>
      </c>
      <c r="Q14" s="177">
        <f t="shared" si="10"/>
        <v>0</v>
      </c>
      <c r="R14" s="178">
        <f>D14*E14*'Entrada e Saida'!$K$8</f>
        <v>0</v>
      </c>
      <c r="S14" s="179" t="e">
        <f>'Entrada e Saida'!$H$21*'Entrada e Saida'!$K$8*(P14/(SUM(P:P)))</f>
        <v>#DIV/0!</v>
      </c>
      <c r="T14" s="179" t="e">
        <f>'Entrada e Saida'!$H$21*'Entrada e Saida'!$K$8*(Q14/(SUM(Q:Q)))</f>
        <v>#DIV/0!</v>
      </c>
      <c r="U14" s="179" t="e">
        <f>'Entrada e Saida'!$H$22*(P14/(SUM(P:P)))</f>
        <v>#DIV/0!</v>
      </c>
      <c r="V14" s="179" t="e">
        <f>'Entrada e Saida'!$H$22*(Q14/(SUM(Q:Q)))</f>
        <v>#DIV/0!</v>
      </c>
      <c r="W14" s="180" t="e">
        <f t="shared" si="11"/>
        <v>#DIV/0!</v>
      </c>
      <c r="X14" s="179" t="e">
        <f>'Entrada e Saida'!$H$26*(IF('Entrada e Saida'!$H$15="PESO",(P14/(SUM(P:P))),(Q14/(SUM(Q:Q)))))</f>
        <v>#DIV/0!</v>
      </c>
      <c r="Y14" s="179" t="e">
        <f>'Entrada e Saida'!$H$27*(IF('Entrada e Saida'!$H$15="PESO",(P14/(SUM(P:P))),(Q14/(SUM(Q:Q)))))</f>
        <v>#DIV/0!</v>
      </c>
      <c r="Z14" s="179" t="e">
        <f>'Entrada e Saida'!$H$28*(IF('Entrada e Saida'!$H$15="PESO",(P14/(SUM(P:P))),(Q14/(SUM(Q:Q)))))</f>
        <v>#DIV/0!</v>
      </c>
      <c r="AA14" s="181" t="e">
        <f t="shared" si="12"/>
        <v>#DIV/0!</v>
      </c>
      <c r="AB14" s="178" t="e">
        <f t="shared" si="0"/>
        <v>#DIV/0!</v>
      </c>
      <c r="AC14" s="178" t="e">
        <f t="shared" si="13"/>
        <v>#DIV/0!</v>
      </c>
      <c r="AD14" s="178" t="e">
        <f t="shared" si="1"/>
        <v>#DIV/0!</v>
      </c>
      <c r="AE14" s="177" t="e">
        <f t="shared" si="2"/>
        <v>#DIV/0!</v>
      </c>
      <c r="AF14" s="182">
        <f>IFERROR(D14*F14*L14*'Entrada e Saida'!$K$8,0)</f>
        <v>0</v>
      </c>
      <c r="AG14" s="178" t="e">
        <f>((W14+AA14+AB14+AC14+AD14+AE14+AF14)/(1-'Entrada e Saida'!$G$65))*'Entrada e Saida'!$I$66</f>
        <v>#DIV/0!</v>
      </c>
      <c r="AH14" s="180" t="e">
        <f t="shared" si="14"/>
        <v>#DIV/0!</v>
      </c>
      <c r="AI14" s="183" t="e">
        <f>'Entrada e Saida'!$K$51*(IF('Entrada e Saida'!$H$15="PESO",(P14/(SUM(P:P))),(Q14/(SUM(Q:Q)))))</f>
        <v>#DIV/0!</v>
      </c>
      <c r="AJ14" s="183">
        <f>(('Entrada e Saida'!$K$10-'Entrada e Saida'!$K$8)*E14*D14)</f>
        <v>0</v>
      </c>
      <c r="AK14" s="184" t="e">
        <f>IF('Entrada e Saida'!$H$15="PESO",W14+AA14+AH14+AI14+AJ14,W14+AA14+AH14+AI14+AJ14-S14+T14-U14+V14)</f>
        <v>#DIV/0!</v>
      </c>
      <c r="AL14" s="185" t="e">
        <f>IF('Entrada e Saida'!$H$12="REAL",AC14,0)</f>
        <v>#DIV/0!</v>
      </c>
      <c r="AM14" s="185" t="e">
        <f>IF('Entrada e Saida'!$H$12="REAL",AD14,0)</f>
        <v>#DIV/0!</v>
      </c>
      <c r="AN14" s="186" t="e">
        <f>IF('Entrada e Saida'!$H$13= "NÃO",AE14,0)</f>
        <v>#DIV/0!</v>
      </c>
      <c r="AO14" s="186" t="e">
        <f t="shared" si="15"/>
        <v>#DIV/0!</v>
      </c>
      <c r="AP14" s="184" t="e">
        <f t="shared" si="16"/>
        <v>#DIV/0!</v>
      </c>
      <c r="AQ14" s="178" t="e">
        <f>IF('Entrada e Saida'!$H$11="TRADING",AU14*'Custo Resumido'!D14,0)</f>
        <v>#DIV/0!</v>
      </c>
      <c r="AR14" s="178" t="e">
        <f>IF('Entrada e Saida'!$H$11="TRADING",AU14*'Entrada e Saida'!$G$63,0)</f>
        <v>#DIV/0!</v>
      </c>
      <c r="AS14" s="178" t="e">
        <f>IF('Entrada e Saida'!$H$11="TRADING",AU14*'Entrada e Saida'!$G$64,0)</f>
        <v>#DIV/0!</v>
      </c>
      <c r="AT14" s="178" t="e">
        <f>IF('Entrada e Saida'!$H$11="TRADING",AU14*'Entrada e Saida'!$G$65,0)</f>
        <v>#DIV/0!</v>
      </c>
      <c r="AU14" s="184" t="e">
        <f>IF('Entrada e Saida'!$H$11="TRADING",AP14/(1-(SUM('Entrada e Saida'!$G$63:$G$65)+'Custo Resumido'!D14)),0)</f>
        <v>#DIV/0!</v>
      </c>
      <c r="AV14" s="178" t="e">
        <f>IF('Entrada e Saida'!$H$13="NÃO",AU14*M14,0)</f>
        <v>#DIV/0!</v>
      </c>
      <c r="AW14" s="184" t="e">
        <f t="shared" si="17"/>
        <v>#DIV/0!</v>
      </c>
      <c r="AX14" s="178" t="e">
        <f>'Entrada e Saida'!$G$74*AU14</f>
        <v>#DIV/0!</v>
      </c>
      <c r="AY14" s="184" t="e">
        <f t="shared" si="18"/>
        <v>#DIV/0!</v>
      </c>
      <c r="AZ14" s="184" t="e">
        <f>AQ14+('Entrada e Saida'!$G$65-'Entrada e Saida'!$I$65)*AU14-AX14</f>
        <v>#DIV/0!</v>
      </c>
      <c r="BA14" s="3" t="e">
        <f>IF('Entrada e Saida'!$H$12="REAL",AZ14*'Entrada e Saida'!$G$81,AU14*'Entrada e Saida'!$G$81)</f>
        <v>#DIV/0!</v>
      </c>
      <c r="BB14" s="3" t="e">
        <f>IF('Entrada e Saida'!$H$12="REAL",AZ14*'Entrada e Saida'!$G$82,AU14*'Entrada e Saida'!$G$82)</f>
        <v>#DIV/0!</v>
      </c>
      <c r="BC14" s="4" t="e">
        <f t="shared" si="19"/>
        <v>#DIV/0!</v>
      </c>
      <c r="BD14" s="3" t="e">
        <f>IF('Entrada e Saida'!$H$11="TRADING",AW14/D14,AK14/D14)</f>
        <v>#DIV/0!</v>
      </c>
      <c r="BE14" s="3" t="e">
        <f t="shared" si="5"/>
        <v>#DIV/0!</v>
      </c>
      <c r="BF14" s="2" t="e">
        <f t="shared" si="20"/>
        <v>#DIV/0!</v>
      </c>
      <c r="BG14" s="3" t="e">
        <f>IF('Entrada e Saida'!$H$11="TRADING",AV14/D14,AN14/D14)</f>
        <v>#DIV/0!</v>
      </c>
      <c r="BH14" s="3" t="e">
        <f>IF('Entrada e Saida'!$H$11="TRADING",IF('Entrada e Saida'!$H$12="REAL",AR14/D14,0),AL14/D14)</f>
        <v>#DIV/0!</v>
      </c>
      <c r="BI14" s="3" t="e">
        <f>IF('Entrada e Saida'!$H$11="TRADING",IF('Entrada e Saida'!$H$12="REAL",AS14/D14,0),AM14/D14)</f>
        <v>#DIV/0!</v>
      </c>
      <c r="BJ14" s="3" t="e">
        <f>IF('Entrada e Saida'!$H$11="TRADING",AT14/D14,AO14/D14)</f>
        <v>#DIV/0!</v>
      </c>
      <c r="BK14" s="2" t="e">
        <f t="shared" si="21"/>
        <v>#DIV/0!</v>
      </c>
      <c r="BL14" s="2">
        <f>IF(O14&gt;0,IFERROR(IF('Entrada e Saida'!$H$11="DIRETA",0,(IF('Entrada e Saida'!$H$14="P.JURIDICA",(BD14*(1+O14)*N14)-((BD14/(1+M14))*'Entrada e Saida'!$G$65),((Produtos!N14-'Entrada e Saida'!$G$65)*Produtos!BD14)))),0),0)</f>
        <v>0</v>
      </c>
      <c r="BM14" s="2" t="e">
        <f t="shared" si="7"/>
        <v>#DIV/0!</v>
      </c>
    </row>
    <row r="15" spans="1:65" s="1" customFormat="1">
      <c r="A15" s="144"/>
      <c r="B15" s="263" t="e">
        <f>VLOOKUP(A15,'Master Modelo'!A:I,7,FALSE)</f>
        <v>#N/A</v>
      </c>
      <c r="C15" s="145" t="e">
        <f>VLOOKUP(A15,'Master Modelo'!A:I,2,FALSE)</f>
        <v>#N/A</v>
      </c>
      <c r="D15" s="264"/>
      <c r="E15" s="147">
        <f>IFERROR(VLOOKUP(A15,'Master Modelo'!A:I,9,FALSE),0)</f>
        <v>0</v>
      </c>
      <c r="F15" s="189">
        <f>IFERROR(VLOOKUP(A15,'Master Modelo'!A:I,8,FALSE),0)</f>
        <v>0</v>
      </c>
      <c r="G15" s="189">
        <f>IFERROR(VLOOKUP(A15,'Master Modelo'!A:K,11,FALSE),0)</f>
        <v>0</v>
      </c>
      <c r="H15" s="173" t="e">
        <f t="shared" si="8"/>
        <v>#DIV/0!</v>
      </c>
      <c r="I15" s="163">
        <f>IFERROR(VLOOKUP(A15,'Master Modelo'!A:I,3,FALSE),0)</f>
        <v>0</v>
      </c>
      <c r="J15" s="164">
        <f>IFERROR(VLOOKUP(A15,'Master Modelo'!A:I,5,FALSE),0)</f>
        <v>0</v>
      </c>
      <c r="K15" s="164">
        <f>IFERROR(VLOOKUP(A15,'Master Modelo'!A:I,6,FALSE),0)</f>
        <v>0</v>
      </c>
      <c r="L15" s="165" t="e">
        <f>VLOOKUP(A15,'Master Modelo'!A:J,10,FALSE)</f>
        <v>#N/A</v>
      </c>
      <c r="M15" s="163">
        <f>IFERROR(VLOOKUP(A15,'Master Modelo'!A:I,4,FALSE),0)</f>
        <v>0</v>
      </c>
      <c r="N15" s="175"/>
      <c r="O15" s="187"/>
      <c r="P15" s="177">
        <f t="shared" si="9"/>
        <v>0</v>
      </c>
      <c r="Q15" s="177">
        <f t="shared" si="10"/>
        <v>0</v>
      </c>
      <c r="R15" s="178">
        <f>D15*E15*'Entrada e Saida'!$K$8</f>
        <v>0</v>
      </c>
      <c r="S15" s="179" t="e">
        <f>'Entrada e Saida'!$H$21*'Entrada e Saida'!$K$8*(P15/(SUM(P:P)))</f>
        <v>#DIV/0!</v>
      </c>
      <c r="T15" s="179" t="e">
        <f>'Entrada e Saida'!$H$21*'Entrada e Saida'!$K$8*(Q15/(SUM(Q:Q)))</f>
        <v>#DIV/0!</v>
      </c>
      <c r="U15" s="179" t="e">
        <f>'Entrada e Saida'!$H$22*(P15/(SUM(P:P)))</f>
        <v>#DIV/0!</v>
      </c>
      <c r="V15" s="179" t="e">
        <f>'Entrada e Saida'!$H$22*(Q15/(SUM(Q:Q)))</f>
        <v>#DIV/0!</v>
      </c>
      <c r="W15" s="180" t="e">
        <f t="shared" si="11"/>
        <v>#DIV/0!</v>
      </c>
      <c r="X15" s="179" t="e">
        <f>'Entrada e Saida'!$H$26*(IF('Entrada e Saida'!$H$15="PESO",(P15/(SUM(P:P))),(Q15/(SUM(Q:Q)))))</f>
        <v>#DIV/0!</v>
      </c>
      <c r="Y15" s="179" t="e">
        <f>'Entrada e Saida'!$H$27*(IF('Entrada e Saida'!$H$15="PESO",(P15/(SUM(P:P))),(Q15/(SUM(Q:Q)))))</f>
        <v>#DIV/0!</v>
      </c>
      <c r="Z15" s="179" t="e">
        <f>'Entrada e Saida'!$H$28*(IF('Entrada e Saida'!$H$15="PESO",(P15/(SUM(P:P))),(Q15/(SUM(Q:Q)))))</f>
        <v>#DIV/0!</v>
      </c>
      <c r="AA15" s="181" t="e">
        <f t="shared" si="12"/>
        <v>#DIV/0!</v>
      </c>
      <c r="AB15" s="178" t="e">
        <f t="shared" si="0"/>
        <v>#DIV/0!</v>
      </c>
      <c r="AC15" s="178" t="e">
        <f t="shared" si="13"/>
        <v>#DIV/0!</v>
      </c>
      <c r="AD15" s="178" t="e">
        <f t="shared" si="1"/>
        <v>#DIV/0!</v>
      </c>
      <c r="AE15" s="177" t="e">
        <f t="shared" si="2"/>
        <v>#DIV/0!</v>
      </c>
      <c r="AF15" s="182">
        <f>IFERROR(D15*F15*L15*'Entrada e Saida'!$K$8,0)</f>
        <v>0</v>
      </c>
      <c r="AG15" s="178" t="e">
        <f>((W15+AA15+AB15+AC15+AD15+AE15+AF15)/(1-'Entrada e Saida'!$G$65))*'Entrada e Saida'!$I$66</f>
        <v>#DIV/0!</v>
      </c>
      <c r="AH15" s="180" t="e">
        <f t="shared" si="14"/>
        <v>#DIV/0!</v>
      </c>
      <c r="AI15" s="183" t="e">
        <f>'Entrada e Saida'!$K$51*(IF('Entrada e Saida'!$H$15="PESO",(P15/(SUM(P:P))),(Q15/(SUM(Q:Q)))))</f>
        <v>#DIV/0!</v>
      </c>
      <c r="AJ15" s="183">
        <f>(('Entrada e Saida'!$K$10-'Entrada e Saida'!$K$8)*E15*D15)</f>
        <v>0</v>
      </c>
      <c r="AK15" s="184" t="e">
        <f>IF('Entrada e Saida'!$H$15="PESO",W15+AA15+AH15+AI15+AJ15,W15+AA15+AH15+AI15+AJ15-S15+T15-U15+V15)</f>
        <v>#DIV/0!</v>
      </c>
      <c r="AL15" s="185" t="e">
        <f>IF('Entrada e Saida'!$H$12="REAL",AC15,0)</f>
        <v>#DIV/0!</v>
      </c>
      <c r="AM15" s="185" t="e">
        <f>IF('Entrada e Saida'!$H$12="REAL",AD15,0)</f>
        <v>#DIV/0!</v>
      </c>
      <c r="AN15" s="186" t="e">
        <f>IF('Entrada e Saida'!$H$13= "NÃO",AE15,0)</f>
        <v>#DIV/0!</v>
      </c>
      <c r="AO15" s="186" t="e">
        <f t="shared" si="15"/>
        <v>#DIV/0!</v>
      </c>
      <c r="AP15" s="184" t="e">
        <f t="shared" si="16"/>
        <v>#DIV/0!</v>
      </c>
      <c r="AQ15" s="178" t="e">
        <f>IF('Entrada e Saida'!$H$11="TRADING",AU15*'Custo Resumido'!D15,0)</f>
        <v>#DIV/0!</v>
      </c>
      <c r="AR15" s="178" t="e">
        <f>IF('Entrada e Saida'!$H$11="TRADING",AU15*'Entrada e Saida'!$G$63,0)</f>
        <v>#DIV/0!</v>
      </c>
      <c r="AS15" s="178" t="e">
        <f>IF('Entrada e Saida'!$H$11="TRADING",AU15*'Entrada e Saida'!$G$64,0)</f>
        <v>#DIV/0!</v>
      </c>
      <c r="AT15" s="178" t="e">
        <f>IF('Entrada e Saida'!$H$11="TRADING",AU15*'Entrada e Saida'!$G$65,0)</f>
        <v>#DIV/0!</v>
      </c>
      <c r="AU15" s="184" t="e">
        <f>IF('Entrada e Saida'!$H$11="TRADING",AP15/(1-(SUM('Entrada e Saida'!$G$63:$G$65)+'Custo Resumido'!D15)),0)</f>
        <v>#DIV/0!</v>
      </c>
      <c r="AV15" s="178" t="e">
        <f>IF('Entrada e Saida'!$H$13="NÃO",AU15*M15,0)</f>
        <v>#DIV/0!</v>
      </c>
      <c r="AW15" s="184" t="e">
        <f t="shared" si="17"/>
        <v>#DIV/0!</v>
      </c>
      <c r="AX15" s="178" t="e">
        <f>'Entrada e Saida'!$G$74*AU15</f>
        <v>#DIV/0!</v>
      </c>
      <c r="AY15" s="184" t="e">
        <f t="shared" si="18"/>
        <v>#DIV/0!</v>
      </c>
      <c r="AZ15" s="184" t="e">
        <f>AQ15+('Entrada e Saida'!$G$65-'Entrada e Saida'!$I$65)*AU15-AX15</f>
        <v>#DIV/0!</v>
      </c>
      <c r="BA15" s="3" t="e">
        <f>IF('Entrada e Saida'!$H$12="REAL",AZ15*'Entrada e Saida'!$G$81,AU15*'Entrada e Saida'!$G$81)</f>
        <v>#DIV/0!</v>
      </c>
      <c r="BB15" s="3" t="e">
        <f>IF('Entrada e Saida'!$H$12="REAL",AZ15*'Entrada e Saida'!$G$82,AU15*'Entrada e Saida'!$G$82)</f>
        <v>#DIV/0!</v>
      </c>
      <c r="BC15" s="4" t="e">
        <f t="shared" si="19"/>
        <v>#DIV/0!</v>
      </c>
      <c r="BD15" s="3" t="e">
        <f>IF('Entrada e Saida'!$H$11="TRADING",AW15/D15,AK15/D15)</f>
        <v>#DIV/0!</v>
      </c>
      <c r="BE15" s="3" t="e">
        <f t="shared" si="5"/>
        <v>#DIV/0!</v>
      </c>
      <c r="BF15" s="2" t="e">
        <f t="shared" si="20"/>
        <v>#DIV/0!</v>
      </c>
      <c r="BG15" s="3" t="e">
        <f>IF('Entrada e Saida'!$H$11="TRADING",AV15/D15,AN15/D15)</f>
        <v>#DIV/0!</v>
      </c>
      <c r="BH15" s="3" t="e">
        <f>IF('Entrada e Saida'!$H$11="TRADING",IF('Entrada e Saida'!$H$12="REAL",AR15/D15,0),AL15/D15)</f>
        <v>#DIV/0!</v>
      </c>
      <c r="BI15" s="3" t="e">
        <f>IF('Entrada e Saida'!$H$11="TRADING",IF('Entrada e Saida'!$H$12="REAL",AS15/D15,0),AM15/D15)</f>
        <v>#DIV/0!</v>
      </c>
      <c r="BJ15" s="3" t="e">
        <f>IF('Entrada e Saida'!$H$11="TRADING",AT15/D15,AO15/D15)</f>
        <v>#DIV/0!</v>
      </c>
      <c r="BK15" s="2" t="e">
        <f t="shared" si="21"/>
        <v>#DIV/0!</v>
      </c>
      <c r="BL15" s="2">
        <f>IF(O15&gt;0,IFERROR(IF('Entrada e Saida'!$H$11="DIRETA",0,(IF('Entrada e Saida'!$H$14="P.JURIDICA",(BD15*(1+O15)*N15)-((BD15/(1+M15))*'Entrada e Saida'!$G$65),((Produtos!N15-'Entrada e Saida'!$G$65)*Produtos!BD15)))),0),0)</f>
        <v>0</v>
      </c>
      <c r="BM15" s="2" t="e">
        <f t="shared" si="7"/>
        <v>#DIV/0!</v>
      </c>
    </row>
    <row r="16" spans="1:65" s="1" customFormat="1">
      <c r="A16" s="144"/>
      <c r="B16" s="263" t="e">
        <f>VLOOKUP(A16,'Master Modelo'!A:I,7,FALSE)</f>
        <v>#N/A</v>
      </c>
      <c r="C16" s="145" t="e">
        <f>VLOOKUP(A16,'Master Modelo'!A:I,2,FALSE)</f>
        <v>#N/A</v>
      </c>
      <c r="D16" s="264"/>
      <c r="E16" s="147">
        <f>IFERROR(VLOOKUP(A16,'Master Modelo'!A:I,9,FALSE),0)</f>
        <v>0</v>
      </c>
      <c r="F16" s="189">
        <f>IFERROR(VLOOKUP(A16,'Master Modelo'!A:I,8,FALSE),0)</f>
        <v>0</v>
      </c>
      <c r="G16" s="189">
        <f>IFERROR(VLOOKUP(A16,'Master Modelo'!A:K,11,FALSE),0)</f>
        <v>0</v>
      </c>
      <c r="H16" s="173" t="e">
        <f t="shared" si="8"/>
        <v>#DIV/0!</v>
      </c>
      <c r="I16" s="163">
        <f>IFERROR(VLOOKUP(A16,'Master Modelo'!A:I,3,FALSE),0)</f>
        <v>0</v>
      </c>
      <c r="J16" s="164">
        <f>IFERROR(VLOOKUP(A16,'Master Modelo'!A:I,5,FALSE),0)</f>
        <v>0</v>
      </c>
      <c r="K16" s="164">
        <f>IFERROR(VLOOKUP(A16,'Master Modelo'!A:I,6,FALSE),0)</f>
        <v>0</v>
      </c>
      <c r="L16" s="165" t="e">
        <f>VLOOKUP(A16,'Master Modelo'!A:J,10,FALSE)</f>
        <v>#N/A</v>
      </c>
      <c r="M16" s="163">
        <f>IFERROR(VLOOKUP(A16,'Master Modelo'!A:I,4,FALSE),0)</f>
        <v>0</v>
      </c>
      <c r="N16" s="175"/>
      <c r="O16" s="187"/>
      <c r="P16" s="177">
        <f t="shared" si="9"/>
        <v>0</v>
      </c>
      <c r="Q16" s="177">
        <f t="shared" si="10"/>
        <v>0</v>
      </c>
      <c r="R16" s="178">
        <f>D16*E16*'Entrada e Saida'!$K$8</f>
        <v>0</v>
      </c>
      <c r="S16" s="179" t="e">
        <f>'Entrada e Saida'!$H$21*'Entrada e Saida'!$K$8*(P16/(SUM(P:P)))</f>
        <v>#DIV/0!</v>
      </c>
      <c r="T16" s="179" t="e">
        <f>'Entrada e Saida'!$H$21*'Entrada e Saida'!$K$8*(Q16/(SUM(Q:Q)))</f>
        <v>#DIV/0!</v>
      </c>
      <c r="U16" s="179" t="e">
        <f>'Entrada e Saida'!$H$22*(P16/(SUM(P:P)))</f>
        <v>#DIV/0!</v>
      </c>
      <c r="V16" s="179" t="e">
        <f>'Entrada e Saida'!$H$22*(Q16/(SUM(Q:Q)))</f>
        <v>#DIV/0!</v>
      </c>
      <c r="W16" s="180" t="e">
        <f t="shared" si="11"/>
        <v>#DIV/0!</v>
      </c>
      <c r="X16" s="179" t="e">
        <f>'Entrada e Saida'!$H$26*(IF('Entrada e Saida'!$H$15="PESO",(P16/(SUM(P:P))),(Q16/(SUM(Q:Q)))))</f>
        <v>#DIV/0!</v>
      </c>
      <c r="Y16" s="179" t="e">
        <f>'Entrada e Saida'!$H$27*(IF('Entrada e Saida'!$H$15="PESO",(P16/(SUM(P:P))),(Q16/(SUM(Q:Q)))))</f>
        <v>#DIV/0!</v>
      </c>
      <c r="Z16" s="179" t="e">
        <f>'Entrada e Saida'!$H$28*(IF('Entrada e Saida'!$H$15="PESO",(P16/(SUM(P:P))),(Q16/(SUM(Q:Q)))))</f>
        <v>#DIV/0!</v>
      </c>
      <c r="AA16" s="181" t="e">
        <f t="shared" si="12"/>
        <v>#DIV/0!</v>
      </c>
      <c r="AB16" s="178" t="e">
        <f t="shared" si="0"/>
        <v>#DIV/0!</v>
      </c>
      <c r="AC16" s="178" t="e">
        <f t="shared" si="13"/>
        <v>#DIV/0!</v>
      </c>
      <c r="AD16" s="178" t="e">
        <f t="shared" si="1"/>
        <v>#DIV/0!</v>
      </c>
      <c r="AE16" s="177" t="e">
        <f t="shared" si="2"/>
        <v>#DIV/0!</v>
      </c>
      <c r="AF16" s="182">
        <f>IFERROR(D16*F16*L16*'Entrada e Saida'!$K$8,0)</f>
        <v>0</v>
      </c>
      <c r="AG16" s="178" t="e">
        <f>((W16+AA16+AB16+AC16+AD16+AE16+AF16)/(1-'Entrada e Saida'!$G$65))*'Entrada e Saida'!$I$66</f>
        <v>#DIV/0!</v>
      </c>
      <c r="AH16" s="180" t="e">
        <f t="shared" si="14"/>
        <v>#DIV/0!</v>
      </c>
      <c r="AI16" s="183" t="e">
        <f>'Entrada e Saida'!$K$51*(IF('Entrada e Saida'!$H$15="PESO",(P16/(SUM(P:P))),(Q16/(SUM(Q:Q)))))</f>
        <v>#DIV/0!</v>
      </c>
      <c r="AJ16" s="183">
        <f>(('Entrada e Saida'!$K$10-'Entrada e Saida'!$K$8)*E16*D16)</f>
        <v>0</v>
      </c>
      <c r="AK16" s="184" t="e">
        <f>IF('Entrada e Saida'!$H$15="PESO",W16+AA16+AH16+AI16+AJ16,W16+AA16+AH16+AI16+AJ16-S16+T16-U16+V16)</f>
        <v>#DIV/0!</v>
      </c>
      <c r="AL16" s="185" t="e">
        <f>IF('Entrada e Saida'!$H$12="REAL",AC16,0)</f>
        <v>#DIV/0!</v>
      </c>
      <c r="AM16" s="185" t="e">
        <f>IF('Entrada e Saida'!$H$12="REAL",AD16,0)</f>
        <v>#DIV/0!</v>
      </c>
      <c r="AN16" s="186" t="e">
        <f>IF('Entrada e Saida'!$H$13= "NÃO",AE16,0)</f>
        <v>#DIV/0!</v>
      </c>
      <c r="AO16" s="186" t="e">
        <f t="shared" si="15"/>
        <v>#DIV/0!</v>
      </c>
      <c r="AP16" s="184" t="e">
        <f t="shared" si="16"/>
        <v>#DIV/0!</v>
      </c>
      <c r="AQ16" s="178" t="e">
        <f>IF('Entrada e Saida'!$H$11="TRADING",AU16*'Custo Resumido'!D16,0)</f>
        <v>#DIV/0!</v>
      </c>
      <c r="AR16" s="178" t="e">
        <f>IF('Entrada e Saida'!$H$11="TRADING",AU16*'Entrada e Saida'!$G$63,0)</f>
        <v>#DIV/0!</v>
      </c>
      <c r="AS16" s="178" t="e">
        <f>IF('Entrada e Saida'!$H$11="TRADING",AU16*'Entrada e Saida'!$G$64,0)</f>
        <v>#DIV/0!</v>
      </c>
      <c r="AT16" s="178" t="e">
        <f>IF('Entrada e Saida'!$H$11="TRADING",AU16*'Entrada e Saida'!$G$65,0)</f>
        <v>#DIV/0!</v>
      </c>
      <c r="AU16" s="184" t="e">
        <f>IF('Entrada e Saida'!$H$11="TRADING",AP16/(1-(SUM('Entrada e Saida'!$G$63:$G$65)+'Custo Resumido'!D16)),0)</f>
        <v>#DIV/0!</v>
      </c>
      <c r="AV16" s="178" t="e">
        <f>IF('Entrada e Saida'!$H$13="NÃO",AU16*M16,0)</f>
        <v>#DIV/0!</v>
      </c>
      <c r="AW16" s="184" t="e">
        <f t="shared" si="17"/>
        <v>#DIV/0!</v>
      </c>
      <c r="AX16" s="178" t="e">
        <f>'Entrada e Saida'!$G$74*AU16</f>
        <v>#DIV/0!</v>
      </c>
      <c r="AY16" s="184" t="e">
        <f t="shared" si="18"/>
        <v>#DIV/0!</v>
      </c>
      <c r="AZ16" s="184" t="e">
        <f>AQ16+('Entrada e Saida'!$G$65-'Entrada e Saida'!$I$65)*AU16-AX16</f>
        <v>#DIV/0!</v>
      </c>
      <c r="BA16" s="3" t="e">
        <f>IF('Entrada e Saida'!$H$12="REAL",AZ16*'Entrada e Saida'!$G$81,AU16*'Entrada e Saida'!$G$81)</f>
        <v>#DIV/0!</v>
      </c>
      <c r="BB16" s="3" t="e">
        <f>IF('Entrada e Saida'!$H$12="REAL",AZ16*'Entrada e Saida'!$G$82,AU16*'Entrada e Saida'!$G$82)</f>
        <v>#DIV/0!</v>
      </c>
      <c r="BC16" s="4" t="e">
        <f t="shared" si="19"/>
        <v>#DIV/0!</v>
      </c>
      <c r="BD16" s="3" t="e">
        <f>IF('Entrada e Saida'!$H$11="TRADING",AW16/D16,AK16/D16)</f>
        <v>#DIV/0!</v>
      </c>
      <c r="BE16" s="3" t="e">
        <f t="shared" si="5"/>
        <v>#DIV/0!</v>
      </c>
      <c r="BF16" s="2" t="e">
        <f t="shared" si="20"/>
        <v>#DIV/0!</v>
      </c>
      <c r="BG16" s="3" t="e">
        <f>IF('Entrada e Saida'!$H$11="TRADING",AV16/D16,AN16/D16)</f>
        <v>#DIV/0!</v>
      </c>
      <c r="BH16" s="3" t="e">
        <f>IF('Entrada e Saida'!$H$11="TRADING",IF('Entrada e Saida'!$H$12="REAL",AR16/D16,0),AL16/D16)</f>
        <v>#DIV/0!</v>
      </c>
      <c r="BI16" s="3" t="e">
        <f>IF('Entrada e Saida'!$H$11="TRADING",IF('Entrada e Saida'!$H$12="REAL",AS16/D16,0),AM16/D16)</f>
        <v>#DIV/0!</v>
      </c>
      <c r="BJ16" s="3" t="e">
        <f>IF('Entrada e Saida'!$H$11="TRADING",AT16/D16,AO16/D16)</f>
        <v>#DIV/0!</v>
      </c>
      <c r="BK16" s="2" t="e">
        <f t="shared" si="21"/>
        <v>#DIV/0!</v>
      </c>
      <c r="BL16" s="2">
        <f>IF(O16&gt;0,IFERROR(IF('Entrada e Saida'!$H$11="DIRETA",0,(IF('Entrada e Saida'!$H$14="P.JURIDICA",(BD16*(1+O16)*N16)-((BD16/(1+M16))*'Entrada e Saida'!$G$65),((Produtos!N16-'Entrada e Saida'!$G$65)*Produtos!BD16)))),0),0)</f>
        <v>0</v>
      </c>
      <c r="BM16" s="2" t="e">
        <f t="shared" si="7"/>
        <v>#DIV/0!</v>
      </c>
    </row>
    <row r="17" spans="1:65" s="1" customFormat="1">
      <c r="A17" s="144"/>
      <c r="B17" s="263" t="e">
        <f>VLOOKUP(A17,'Master Modelo'!A:I,7,FALSE)</f>
        <v>#N/A</v>
      </c>
      <c r="C17" s="145" t="e">
        <f>VLOOKUP(A17,'Master Modelo'!A:I,2,FALSE)</f>
        <v>#N/A</v>
      </c>
      <c r="D17" s="264"/>
      <c r="E17" s="147">
        <f>IFERROR(VLOOKUP(A17,'Master Modelo'!A:I,9,FALSE),0)</f>
        <v>0</v>
      </c>
      <c r="F17" s="189">
        <f>IFERROR(VLOOKUP(A17,'Master Modelo'!A:I,8,FALSE),0)</f>
        <v>0</v>
      </c>
      <c r="G17" s="189">
        <f>IFERROR(VLOOKUP(A17,'Master Modelo'!A:K,11,FALSE),0)</f>
        <v>0</v>
      </c>
      <c r="H17" s="173" t="e">
        <f t="shared" si="8"/>
        <v>#DIV/0!</v>
      </c>
      <c r="I17" s="163">
        <f>IFERROR(VLOOKUP(A17,'Master Modelo'!A:I,3,FALSE),0)</f>
        <v>0</v>
      </c>
      <c r="J17" s="164">
        <f>IFERROR(VLOOKUP(A17,'Master Modelo'!A:I,5,FALSE),0)</f>
        <v>0</v>
      </c>
      <c r="K17" s="164">
        <f>IFERROR(VLOOKUP(A17,'Master Modelo'!A:I,6,FALSE),0)</f>
        <v>0</v>
      </c>
      <c r="L17" s="165" t="e">
        <f>VLOOKUP(A17,'Master Modelo'!A:J,10,FALSE)</f>
        <v>#N/A</v>
      </c>
      <c r="M17" s="163">
        <f>IFERROR(VLOOKUP(A17,'Master Modelo'!A:I,4,FALSE),0)</f>
        <v>0</v>
      </c>
      <c r="N17" s="175"/>
      <c r="O17" s="187"/>
      <c r="P17" s="177">
        <f t="shared" si="9"/>
        <v>0</v>
      </c>
      <c r="Q17" s="177">
        <f t="shared" si="10"/>
        <v>0</v>
      </c>
      <c r="R17" s="178">
        <f>D17*E17*'Entrada e Saida'!$K$8</f>
        <v>0</v>
      </c>
      <c r="S17" s="179" t="e">
        <f>'Entrada e Saida'!$H$21*'Entrada e Saida'!$K$8*(P17/(SUM(P:P)))</f>
        <v>#DIV/0!</v>
      </c>
      <c r="T17" s="179" t="e">
        <f>'Entrada e Saida'!$H$21*'Entrada e Saida'!$K$8*(Q17/(SUM(Q:Q)))</f>
        <v>#DIV/0!</v>
      </c>
      <c r="U17" s="179" t="e">
        <f>'Entrada e Saida'!$H$22*(P17/(SUM(P:P)))</f>
        <v>#DIV/0!</v>
      </c>
      <c r="V17" s="179" t="e">
        <f>'Entrada e Saida'!$H$22*(Q17/(SUM(Q:Q)))</f>
        <v>#DIV/0!</v>
      </c>
      <c r="W17" s="180" t="e">
        <f t="shared" si="11"/>
        <v>#DIV/0!</v>
      </c>
      <c r="X17" s="179" t="e">
        <f>'Entrada e Saida'!$H$26*(IF('Entrada e Saida'!$H$15="PESO",(P17/(SUM(P:P))),(Q17/(SUM(Q:Q)))))</f>
        <v>#DIV/0!</v>
      </c>
      <c r="Y17" s="179" t="e">
        <f>'Entrada e Saida'!$H$27*(IF('Entrada e Saida'!$H$15="PESO",(P17/(SUM(P:P))),(Q17/(SUM(Q:Q)))))</f>
        <v>#DIV/0!</v>
      </c>
      <c r="Z17" s="179" t="e">
        <f>'Entrada e Saida'!$H$28*(IF('Entrada e Saida'!$H$15="PESO",(P17/(SUM(P:P))),(Q17/(SUM(Q:Q)))))</f>
        <v>#DIV/0!</v>
      </c>
      <c r="AA17" s="181" t="e">
        <f t="shared" si="12"/>
        <v>#DIV/0!</v>
      </c>
      <c r="AB17" s="178" t="e">
        <f t="shared" si="0"/>
        <v>#DIV/0!</v>
      </c>
      <c r="AC17" s="178" t="e">
        <f t="shared" si="13"/>
        <v>#DIV/0!</v>
      </c>
      <c r="AD17" s="178" t="e">
        <f t="shared" si="1"/>
        <v>#DIV/0!</v>
      </c>
      <c r="AE17" s="177" t="e">
        <f t="shared" si="2"/>
        <v>#DIV/0!</v>
      </c>
      <c r="AF17" s="182">
        <f>IFERROR(D17*F17*L17*'Entrada e Saida'!$K$8,0)</f>
        <v>0</v>
      </c>
      <c r="AG17" s="178" t="e">
        <f>((W17+AA17+AB17+AC17+AD17+AE17+AF17)/(1-'Entrada e Saida'!$G$65))*'Entrada e Saida'!$I$66</f>
        <v>#DIV/0!</v>
      </c>
      <c r="AH17" s="180" t="e">
        <f t="shared" si="14"/>
        <v>#DIV/0!</v>
      </c>
      <c r="AI17" s="183" t="e">
        <f>'Entrada e Saida'!$K$51*(IF('Entrada e Saida'!$H$15="PESO",(P17/(SUM(P:P))),(Q17/(SUM(Q:Q)))))</f>
        <v>#DIV/0!</v>
      </c>
      <c r="AJ17" s="183">
        <f>(('Entrada e Saida'!$K$10-'Entrada e Saida'!$K$8)*E17*D17)</f>
        <v>0</v>
      </c>
      <c r="AK17" s="184" t="e">
        <f>IF('Entrada e Saida'!$H$15="PESO",W17+AA17+AH17+AI17+AJ17,W17+AA17+AH17+AI17+AJ17-S17+T17-U17+V17)</f>
        <v>#DIV/0!</v>
      </c>
      <c r="AL17" s="185" t="e">
        <f>IF('Entrada e Saida'!$H$12="REAL",AC17,0)</f>
        <v>#DIV/0!</v>
      </c>
      <c r="AM17" s="185" t="e">
        <f>IF('Entrada e Saida'!$H$12="REAL",AD17,0)</f>
        <v>#DIV/0!</v>
      </c>
      <c r="AN17" s="186" t="e">
        <f>IF('Entrada e Saida'!$H$13= "NÃO",AE17,0)</f>
        <v>#DIV/0!</v>
      </c>
      <c r="AO17" s="186" t="e">
        <f t="shared" si="15"/>
        <v>#DIV/0!</v>
      </c>
      <c r="AP17" s="184" t="e">
        <f t="shared" si="16"/>
        <v>#DIV/0!</v>
      </c>
      <c r="AQ17" s="178" t="e">
        <f>IF('Entrada e Saida'!$H$11="TRADING",AU17*'Custo Resumido'!D17,0)</f>
        <v>#DIV/0!</v>
      </c>
      <c r="AR17" s="178" t="e">
        <f>IF('Entrada e Saida'!$H$11="TRADING",AU17*'Entrada e Saida'!$G$63,0)</f>
        <v>#DIV/0!</v>
      </c>
      <c r="AS17" s="178" t="e">
        <f>IF('Entrada e Saida'!$H$11="TRADING",AU17*'Entrada e Saida'!$G$64,0)</f>
        <v>#DIV/0!</v>
      </c>
      <c r="AT17" s="178" t="e">
        <f>IF('Entrada e Saida'!$H$11="TRADING",AU17*'Entrada e Saida'!$G$65,0)</f>
        <v>#DIV/0!</v>
      </c>
      <c r="AU17" s="184" t="e">
        <f>IF('Entrada e Saida'!$H$11="TRADING",AP17/(1-(SUM('Entrada e Saida'!$G$63:$G$65)+'Custo Resumido'!D17)),0)</f>
        <v>#DIV/0!</v>
      </c>
      <c r="AV17" s="178" t="e">
        <f>IF('Entrada e Saida'!$H$13="NÃO",AU17*M17,0)</f>
        <v>#DIV/0!</v>
      </c>
      <c r="AW17" s="184" t="e">
        <f t="shared" si="17"/>
        <v>#DIV/0!</v>
      </c>
      <c r="AX17" s="178" t="e">
        <f>'Entrada e Saida'!$G$74*AU17</f>
        <v>#DIV/0!</v>
      </c>
      <c r="AY17" s="184" t="e">
        <f t="shared" si="18"/>
        <v>#DIV/0!</v>
      </c>
      <c r="AZ17" s="184" t="e">
        <f>AQ17+('Entrada e Saida'!$G$65-'Entrada e Saida'!$I$65)*AU17-AX17</f>
        <v>#DIV/0!</v>
      </c>
      <c r="BA17" s="3" t="e">
        <f>IF('Entrada e Saida'!$H$12="REAL",AZ17*'Entrada e Saida'!$G$81,AU17*'Entrada e Saida'!$G$81)</f>
        <v>#DIV/0!</v>
      </c>
      <c r="BB17" s="3" t="e">
        <f>IF('Entrada e Saida'!$H$12="REAL",AZ17*'Entrada e Saida'!$G$82,AU17*'Entrada e Saida'!$G$82)</f>
        <v>#DIV/0!</v>
      </c>
      <c r="BC17" s="4" t="e">
        <f t="shared" si="19"/>
        <v>#DIV/0!</v>
      </c>
      <c r="BD17" s="3" t="e">
        <f>IF('Entrada e Saida'!$H$11="TRADING",AW17/D17,AK17/D17)</f>
        <v>#DIV/0!</v>
      </c>
      <c r="BE17" s="3" t="e">
        <f t="shared" si="5"/>
        <v>#DIV/0!</v>
      </c>
      <c r="BF17" s="2" t="e">
        <f t="shared" si="20"/>
        <v>#DIV/0!</v>
      </c>
      <c r="BG17" s="3" t="e">
        <f>IF('Entrada e Saida'!$H$11="TRADING",AV17/D17,AN17/D17)</f>
        <v>#DIV/0!</v>
      </c>
      <c r="BH17" s="3" t="e">
        <f>IF('Entrada e Saida'!$H$11="TRADING",IF('Entrada e Saida'!$H$12="REAL",AR17/D17,0),AL17/D17)</f>
        <v>#DIV/0!</v>
      </c>
      <c r="BI17" s="3" t="e">
        <f>IF('Entrada e Saida'!$H$11="TRADING",IF('Entrada e Saida'!$H$12="REAL",AS17/D17,0),AM17/D17)</f>
        <v>#DIV/0!</v>
      </c>
      <c r="BJ17" s="3" t="e">
        <f>IF('Entrada e Saida'!$H$11="TRADING",AT17/D17,AO17/D17)</f>
        <v>#DIV/0!</v>
      </c>
      <c r="BK17" s="2" t="e">
        <f t="shared" si="21"/>
        <v>#DIV/0!</v>
      </c>
      <c r="BL17" s="2">
        <f>IF(O17&gt;0,IFERROR(IF('Entrada e Saida'!$H$11="DIRETA",0,(IF('Entrada e Saida'!$H$14="P.JURIDICA",(BD17*(1+O17)*N17)-((BD17/(1+M17))*'Entrada e Saida'!$G$65),((Produtos!N17-'Entrada e Saida'!$G$65)*Produtos!BD17)))),0),0)</f>
        <v>0</v>
      </c>
      <c r="BM17" s="2" t="e">
        <f t="shared" si="7"/>
        <v>#DIV/0!</v>
      </c>
    </row>
    <row r="18" spans="1:65" s="1" customFormat="1">
      <c r="A18" s="144"/>
      <c r="B18" s="263" t="e">
        <f>VLOOKUP(A18,'Master Modelo'!A:I,7,FALSE)</f>
        <v>#N/A</v>
      </c>
      <c r="C18" s="145" t="e">
        <f>VLOOKUP(A18,'Master Modelo'!A:I,2,FALSE)</f>
        <v>#N/A</v>
      </c>
      <c r="D18" s="264"/>
      <c r="E18" s="147">
        <f>IFERROR(VLOOKUP(A18,'Master Modelo'!A:I,9,FALSE),0)</f>
        <v>0</v>
      </c>
      <c r="F18" s="189">
        <f>IFERROR(VLOOKUP(A18,'Master Modelo'!A:I,8,FALSE),0)</f>
        <v>0</v>
      </c>
      <c r="G18" s="189">
        <f>IFERROR(VLOOKUP(A18,'Master Modelo'!A:K,11,FALSE),0)</f>
        <v>0</v>
      </c>
      <c r="H18" s="173" t="e">
        <f t="shared" si="8"/>
        <v>#DIV/0!</v>
      </c>
      <c r="I18" s="163">
        <f>IFERROR(VLOOKUP(A18,'Master Modelo'!A:I,3,FALSE),0)</f>
        <v>0</v>
      </c>
      <c r="J18" s="164">
        <f>IFERROR(VLOOKUP(A18,'Master Modelo'!A:I,5,FALSE),0)</f>
        <v>0</v>
      </c>
      <c r="K18" s="164">
        <f>IFERROR(VLOOKUP(A18,'Master Modelo'!A:I,6,FALSE),0)</f>
        <v>0</v>
      </c>
      <c r="L18" s="165" t="e">
        <f>VLOOKUP(A18,'Master Modelo'!A:J,10,FALSE)</f>
        <v>#N/A</v>
      </c>
      <c r="M18" s="163">
        <f>IFERROR(VLOOKUP(A18,'Master Modelo'!A:I,4,FALSE),0)</f>
        <v>0</v>
      </c>
      <c r="N18" s="175"/>
      <c r="O18" s="187"/>
      <c r="P18" s="177">
        <f t="shared" si="9"/>
        <v>0</v>
      </c>
      <c r="Q18" s="177">
        <f t="shared" si="10"/>
        <v>0</v>
      </c>
      <c r="R18" s="178">
        <f>D18*E18*'Entrada e Saida'!$K$8</f>
        <v>0</v>
      </c>
      <c r="S18" s="179" t="e">
        <f>'Entrada e Saida'!$H$21*'Entrada e Saida'!$K$8*(P18/(SUM(P:P)))</f>
        <v>#DIV/0!</v>
      </c>
      <c r="T18" s="179" t="e">
        <f>'Entrada e Saida'!$H$21*'Entrada e Saida'!$K$8*(Q18/(SUM(Q:Q)))</f>
        <v>#DIV/0!</v>
      </c>
      <c r="U18" s="179" t="e">
        <f>'Entrada e Saida'!$H$22*(P18/(SUM(P:P)))</f>
        <v>#DIV/0!</v>
      </c>
      <c r="V18" s="179" t="e">
        <f>'Entrada e Saida'!$H$22*(Q18/(SUM(Q:Q)))</f>
        <v>#DIV/0!</v>
      </c>
      <c r="W18" s="180" t="e">
        <f t="shared" si="11"/>
        <v>#DIV/0!</v>
      </c>
      <c r="X18" s="179" t="e">
        <f>'Entrada e Saida'!$H$26*(IF('Entrada e Saida'!$H$15="PESO",(P18/(SUM(P:P))),(Q18/(SUM(Q:Q)))))</f>
        <v>#DIV/0!</v>
      </c>
      <c r="Y18" s="179" t="e">
        <f>'Entrada e Saida'!$H$27*(IF('Entrada e Saida'!$H$15="PESO",(P18/(SUM(P:P))),(Q18/(SUM(Q:Q)))))</f>
        <v>#DIV/0!</v>
      </c>
      <c r="Z18" s="179" t="e">
        <f>'Entrada e Saida'!$H$28*(IF('Entrada e Saida'!$H$15="PESO",(P18/(SUM(P:P))),(Q18/(SUM(Q:Q)))))</f>
        <v>#DIV/0!</v>
      </c>
      <c r="AA18" s="181" t="e">
        <f t="shared" si="12"/>
        <v>#DIV/0!</v>
      </c>
      <c r="AB18" s="178" t="e">
        <f t="shared" si="0"/>
        <v>#DIV/0!</v>
      </c>
      <c r="AC18" s="178" t="e">
        <f t="shared" si="13"/>
        <v>#DIV/0!</v>
      </c>
      <c r="AD18" s="178" t="e">
        <f t="shared" si="1"/>
        <v>#DIV/0!</v>
      </c>
      <c r="AE18" s="177" t="e">
        <f t="shared" si="2"/>
        <v>#DIV/0!</v>
      </c>
      <c r="AF18" s="182">
        <f>IFERROR(D18*F18*L18*'Entrada e Saida'!$K$8,0)</f>
        <v>0</v>
      </c>
      <c r="AG18" s="178" t="e">
        <f>((W18+AA18+AB18+AC18+AD18+AE18+AF18)/(1-'Entrada e Saida'!$G$65))*'Entrada e Saida'!$I$66</f>
        <v>#DIV/0!</v>
      </c>
      <c r="AH18" s="180" t="e">
        <f t="shared" si="14"/>
        <v>#DIV/0!</v>
      </c>
      <c r="AI18" s="183" t="e">
        <f>'Entrada e Saida'!$K$51*(IF('Entrada e Saida'!$H$15="PESO",(P18/(SUM(P:P))),(Q18/(SUM(Q:Q)))))</f>
        <v>#DIV/0!</v>
      </c>
      <c r="AJ18" s="183">
        <f>(('Entrada e Saida'!$K$10-'Entrada e Saida'!$K$8)*E18*D18)</f>
        <v>0</v>
      </c>
      <c r="AK18" s="184" t="e">
        <f>IF('Entrada e Saida'!$H$15="PESO",W18+AA18+AH18+AI18+AJ18,W18+AA18+AH18+AI18+AJ18-S18+T18-U18+V18)</f>
        <v>#DIV/0!</v>
      </c>
      <c r="AL18" s="185" t="e">
        <f>IF('Entrada e Saida'!$H$12="REAL",AC18,0)</f>
        <v>#DIV/0!</v>
      </c>
      <c r="AM18" s="185" t="e">
        <f>IF('Entrada e Saida'!$H$12="REAL",AD18,0)</f>
        <v>#DIV/0!</v>
      </c>
      <c r="AN18" s="186" t="e">
        <f>IF('Entrada e Saida'!$H$13= "NÃO",AE18,0)</f>
        <v>#DIV/0!</v>
      </c>
      <c r="AO18" s="186" t="e">
        <f t="shared" si="15"/>
        <v>#DIV/0!</v>
      </c>
      <c r="AP18" s="184" t="e">
        <f t="shared" si="16"/>
        <v>#DIV/0!</v>
      </c>
      <c r="AQ18" s="178" t="e">
        <f>IF('Entrada e Saida'!$H$11="TRADING",AU18*'Custo Resumido'!D18,0)</f>
        <v>#DIV/0!</v>
      </c>
      <c r="AR18" s="178" t="e">
        <f>IF('Entrada e Saida'!$H$11="TRADING",AU18*'Entrada e Saida'!$G$63,0)</f>
        <v>#DIV/0!</v>
      </c>
      <c r="AS18" s="178" t="e">
        <f>IF('Entrada e Saida'!$H$11="TRADING",AU18*'Entrada e Saida'!$G$64,0)</f>
        <v>#DIV/0!</v>
      </c>
      <c r="AT18" s="178" t="e">
        <f>IF('Entrada e Saida'!$H$11="TRADING",AU18*'Entrada e Saida'!$G$65,0)</f>
        <v>#DIV/0!</v>
      </c>
      <c r="AU18" s="184" t="e">
        <f>IF('Entrada e Saida'!$H$11="TRADING",AP18/(1-(SUM('Entrada e Saida'!$G$63:$G$65)+'Custo Resumido'!D18)),0)</f>
        <v>#DIV/0!</v>
      </c>
      <c r="AV18" s="178" t="e">
        <f>IF('Entrada e Saida'!$H$13="NÃO",AU18*M18,0)</f>
        <v>#DIV/0!</v>
      </c>
      <c r="AW18" s="184" t="e">
        <f t="shared" si="17"/>
        <v>#DIV/0!</v>
      </c>
      <c r="AX18" s="178" t="e">
        <f>'Entrada e Saida'!$G$74*AU18</f>
        <v>#DIV/0!</v>
      </c>
      <c r="AY18" s="184" t="e">
        <f t="shared" si="18"/>
        <v>#DIV/0!</v>
      </c>
      <c r="AZ18" s="184" t="e">
        <f>AQ18+('Entrada e Saida'!$G$65-'Entrada e Saida'!$I$65)*AU18-AX18</f>
        <v>#DIV/0!</v>
      </c>
      <c r="BA18" s="3" t="e">
        <f>IF('Entrada e Saida'!$H$12="REAL",AZ18*'Entrada e Saida'!$G$81,AU18*'Entrada e Saida'!$G$81)</f>
        <v>#DIV/0!</v>
      </c>
      <c r="BB18" s="3" t="e">
        <f>IF('Entrada e Saida'!$H$12="REAL",AZ18*'Entrada e Saida'!$G$82,AU18*'Entrada e Saida'!$G$82)</f>
        <v>#DIV/0!</v>
      </c>
      <c r="BC18" s="4" t="e">
        <f t="shared" si="19"/>
        <v>#DIV/0!</v>
      </c>
      <c r="BD18" s="3" t="e">
        <f>IF('Entrada e Saida'!$H$11="TRADING",AW18/D18,AK18/D18)</f>
        <v>#DIV/0!</v>
      </c>
      <c r="BE18" s="3" t="e">
        <f t="shared" si="5"/>
        <v>#DIV/0!</v>
      </c>
      <c r="BF18" s="2" t="e">
        <f t="shared" si="20"/>
        <v>#DIV/0!</v>
      </c>
      <c r="BG18" s="3" t="e">
        <f>IF('Entrada e Saida'!$H$11="TRADING",AV18/D18,AN18/D18)</f>
        <v>#DIV/0!</v>
      </c>
      <c r="BH18" s="3" t="e">
        <f>IF('Entrada e Saida'!$H$11="TRADING",IF('Entrada e Saida'!$H$12="REAL",AR18/D18,0),AL18/D18)</f>
        <v>#DIV/0!</v>
      </c>
      <c r="BI18" s="3" t="e">
        <f>IF('Entrada e Saida'!$H$11="TRADING",IF('Entrada e Saida'!$H$12="REAL",AS18/D18,0),AM18/D18)</f>
        <v>#DIV/0!</v>
      </c>
      <c r="BJ18" s="3" t="e">
        <f>IF('Entrada e Saida'!$H$11="TRADING",AT18/D18,AO18/D18)</f>
        <v>#DIV/0!</v>
      </c>
      <c r="BK18" s="2" t="e">
        <f t="shared" si="21"/>
        <v>#DIV/0!</v>
      </c>
      <c r="BL18" s="2">
        <f>IF(O18&gt;0,IFERROR(IF('Entrada e Saida'!$H$11="DIRETA",0,(IF('Entrada e Saida'!$H$14="P.JURIDICA",(BD18*(1+O18)*N18)-((BD18/(1+M18))*'Entrada e Saida'!$G$65),((Produtos!N18-'Entrada e Saida'!$G$65)*Produtos!BD18)))),0),0)</f>
        <v>0</v>
      </c>
      <c r="BM18" s="2" t="e">
        <f t="shared" si="7"/>
        <v>#DIV/0!</v>
      </c>
    </row>
    <row r="19" spans="1:65" s="1" customFormat="1">
      <c r="A19" s="144"/>
      <c r="B19" s="263" t="e">
        <f>VLOOKUP(A19,'Master Modelo'!A:I,7,FALSE)</f>
        <v>#N/A</v>
      </c>
      <c r="C19" s="145" t="e">
        <f>VLOOKUP(A19,'Master Modelo'!A:I,2,FALSE)</f>
        <v>#N/A</v>
      </c>
      <c r="D19" s="264"/>
      <c r="E19" s="147">
        <f>IFERROR(VLOOKUP(A19,'Master Modelo'!A:I,9,FALSE),0)</f>
        <v>0</v>
      </c>
      <c r="F19" s="189">
        <f>IFERROR(VLOOKUP(A19,'Master Modelo'!A:I,8,FALSE),0)</f>
        <v>0</v>
      </c>
      <c r="G19" s="189">
        <f>IFERROR(VLOOKUP(A19,'Master Modelo'!A:K,11,FALSE),0)</f>
        <v>0</v>
      </c>
      <c r="H19" s="173" t="e">
        <f t="shared" si="8"/>
        <v>#DIV/0!</v>
      </c>
      <c r="I19" s="163">
        <f>IFERROR(VLOOKUP(A19,'Master Modelo'!A:I,3,FALSE),0)</f>
        <v>0</v>
      </c>
      <c r="J19" s="164">
        <f>IFERROR(VLOOKUP(A19,'Master Modelo'!A:I,5,FALSE),0)</f>
        <v>0</v>
      </c>
      <c r="K19" s="164">
        <f>IFERROR(VLOOKUP(A19,'Master Modelo'!A:I,6,FALSE),0)</f>
        <v>0</v>
      </c>
      <c r="L19" s="165" t="e">
        <f>VLOOKUP(A19,'Master Modelo'!A:J,10,FALSE)</f>
        <v>#N/A</v>
      </c>
      <c r="M19" s="163">
        <f>IFERROR(VLOOKUP(A19,'Master Modelo'!A:I,4,FALSE),0)</f>
        <v>0</v>
      </c>
      <c r="N19" s="175"/>
      <c r="O19" s="187"/>
      <c r="P19" s="177">
        <f t="shared" si="9"/>
        <v>0</v>
      </c>
      <c r="Q19" s="177">
        <f t="shared" si="10"/>
        <v>0</v>
      </c>
      <c r="R19" s="178">
        <f>D19*E19*'Entrada e Saida'!$K$8</f>
        <v>0</v>
      </c>
      <c r="S19" s="179" t="e">
        <f>'Entrada e Saida'!$H$21*'Entrada e Saida'!$K$8*(P19/(SUM(P:P)))</f>
        <v>#DIV/0!</v>
      </c>
      <c r="T19" s="179" t="e">
        <f>'Entrada e Saida'!$H$21*'Entrada e Saida'!$K$8*(Q19/(SUM(Q:Q)))</f>
        <v>#DIV/0!</v>
      </c>
      <c r="U19" s="179" t="e">
        <f>'Entrada e Saida'!$H$22*(P19/(SUM(P:P)))</f>
        <v>#DIV/0!</v>
      </c>
      <c r="V19" s="179" t="e">
        <f>'Entrada e Saida'!$H$22*(Q19/(SUM(Q:Q)))</f>
        <v>#DIV/0!</v>
      </c>
      <c r="W19" s="180" t="e">
        <f t="shared" si="11"/>
        <v>#DIV/0!</v>
      </c>
      <c r="X19" s="179" t="e">
        <f>'Entrada e Saida'!$H$26*(IF('Entrada e Saida'!$H$15="PESO",(P19/(SUM(P:P))),(Q19/(SUM(Q:Q)))))</f>
        <v>#DIV/0!</v>
      </c>
      <c r="Y19" s="179" t="e">
        <f>'Entrada e Saida'!$H$27*(IF('Entrada e Saida'!$H$15="PESO",(P19/(SUM(P:P))),(Q19/(SUM(Q:Q)))))</f>
        <v>#DIV/0!</v>
      </c>
      <c r="Z19" s="179" t="e">
        <f>'Entrada e Saida'!$H$28*(IF('Entrada e Saida'!$H$15="PESO",(P19/(SUM(P:P))),(Q19/(SUM(Q:Q)))))</f>
        <v>#DIV/0!</v>
      </c>
      <c r="AA19" s="181" t="e">
        <f t="shared" si="12"/>
        <v>#DIV/0!</v>
      </c>
      <c r="AB19" s="178" t="e">
        <f t="shared" si="0"/>
        <v>#DIV/0!</v>
      </c>
      <c r="AC19" s="178" t="e">
        <f t="shared" si="13"/>
        <v>#DIV/0!</v>
      </c>
      <c r="AD19" s="178" t="e">
        <f t="shared" si="1"/>
        <v>#DIV/0!</v>
      </c>
      <c r="AE19" s="177" t="e">
        <f t="shared" si="2"/>
        <v>#DIV/0!</v>
      </c>
      <c r="AF19" s="182">
        <f>IFERROR(D19*F19*L19*'Entrada e Saida'!$K$8,0)</f>
        <v>0</v>
      </c>
      <c r="AG19" s="178" t="e">
        <f>((W19+AA19+AB19+AC19+AD19+AE19+AF19)/(1-'Entrada e Saida'!$G$65))*'Entrada e Saida'!$I$66</f>
        <v>#DIV/0!</v>
      </c>
      <c r="AH19" s="180" t="e">
        <f t="shared" si="14"/>
        <v>#DIV/0!</v>
      </c>
      <c r="AI19" s="183" t="e">
        <f>'Entrada e Saida'!$K$51*(IF('Entrada e Saida'!$H$15="PESO",(P19/(SUM(P:P))),(Q19/(SUM(Q:Q)))))</f>
        <v>#DIV/0!</v>
      </c>
      <c r="AJ19" s="183">
        <f>(('Entrada e Saida'!$K$10-'Entrada e Saida'!$K$8)*E19*D19)</f>
        <v>0</v>
      </c>
      <c r="AK19" s="184" t="e">
        <f>IF('Entrada e Saida'!$H$15="PESO",W19+AA19+AH19+AI19+AJ19,W19+AA19+AH19+AI19+AJ19-S19+T19-U19+V19)</f>
        <v>#DIV/0!</v>
      </c>
      <c r="AL19" s="185" t="e">
        <f>IF('Entrada e Saida'!$H$12="REAL",AC19,0)</f>
        <v>#DIV/0!</v>
      </c>
      <c r="AM19" s="185" t="e">
        <f>IF('Entrada e Saida'!$H$12="REAL",AD19,0)</f>
        <v>#DIV/0!</v>
      </c>
      <c r="AN19" s="186" t="e">
        <f>IF('Entrada e Saida'!$H$13= "NÃO",AE19,0)</f>
        <v>#DIV/0!</v>
      </c>
      <c r="AO19" s="186" t="e">
        <f t="shared" si="15"/>
        <v>#DIV/0!</v>
      </c>
      <c r="AP19" s="184" t="e">
        <f t="shared" si="16"/>
        <v>#DIV/0!</v>
      </c>
      <c r="AQ19" s="178" t="e">
        <f>IF('Entrada e Saida'!$H$11="TRADING",AU19*'Custo Resumido'!D19,0)</f>
        <v>#DIV/0!</v>
      </c>
      <c r="AR19" s="178" t="e">
        <f>IF('Entrada e Saida'!$H$11="TRADING",AU19*'Entrada e Saida'!$G$63,0)</f>
        <v>#DIV/0!</v>
      </c>
      <c r="AS19" s="178" t="e">
        <f>IF('Entrada e Saida'!$H$11="TRADING",AU19*'Entrada e Saida'!$G$64,0)</f>
        <v>#DIV/0!</v>
      </c>
      <c r="AT19" s="178" t="e">
        <f>IF('Entrada e Saida'!$H$11="TRADING",AU19*'Entrada e Saida'!$G$65,0)</f>
        <v>#DIV/0!</v>
      </c>
      <c r="AU19" s="184" t="e">
        <f>IF('Entrada e Saida'!$H$11="TRADING",AP19/(1-(SUM('Entrada e Saida'!$G$63:$G$65)+'Custo Resumido'!D19)),0)</f>
        <v>#DIV/0!</v>
      </c>
      <c r="AV19" s="178" t="e">
        <f>IF('Entrada e Saida'!$H$13="NÃO",AU19*M19,0)</f>
        <v>#DIV/0!</v>
      </c>
      <c r="AW19" s="184" t="e">
        <f t="shared" si="17"/>
        <v>#DIV/0!</v>
      </c>
      <c r="AX19" s="178" t="e">
        <f>'Entrada e Saida'!$G$74*AU19</f>
        <v>#DIV/0!</v>
      </c>
      <c r="AY19" s="184" t="e">
        <f t="shared" si="18"/>
        <v>#DIV/0!</v>
      </c>
      <c r="AZ19" s="184" t="e">
        <f>AQ19+('Entrada e Saida'!$G$65-'Entrada e Saida'!$I$65)*AU19-AX19</f>
        <v>#DIV/0!</v>
      </c>
      <c r="BA19" s="3" t="e">
        <f>IF('Entrada e Saida'!$H$12="REAL",AZ19*'Entrada e Saida'!$G$81,AU19*'Entrada e Saida'!$G$81)</f>
        <v>#DIV/0!</v>
      </c>
      <c r="BB19" s="3" t="e">
        <f>IF('Entrada e Saida'!$H$12="REAL",AZ19*'Entrada e Saida'!$G$82,AU19*'Entrada e Saida'!$G$82)</f>
        <v>#DIV/0!</v>
      </c>
      <c r="BC19" s="4" t="e">
        <f t="shared" si="19"/>
        <v>#DIV/0!</v>
      </c>
      <c r="BD19" s="3" t="e">
        <f>IF('Entrada e Saida'!$H$11="TRADING",AW19/D19,AK19/D19)</f>
        <v>#DIV/0!</v>
      </c>
      <c r="BE19" s="3" t="e">
        <f t="shared" si="5"/>
        <v>#DIV/0!</v>
      </c>
      <c r="BF19" s="2" t="e">
        <f t="shared" si="20"/>
        <v>#DIV/0!</v>
      </c>
      <c r="BG19" s="3" t="e">
        <f>IF('Entrada e Saida'!$H$11="TRADING",AV19/D19,AN19/D19)</f>
        <v>#DIV/0!</v>
      </c>
      <c r="BH19" s="3" t="e">
        <f>IF('Entrada e Saida'!$H$11="TRADING",IF('Entrada e Saida'!$H$12="REAL",AR19/D19,0),AL19/D19)</f>
        <v>#DIV/0!</v>
      </c>
      <c r="BI19" s="3" t="e">
        <f>IF('Entrada e Saida'!$H$11="TRADING",IF('Entrada e Saida'!$H$12="REAL",AS19/D19,0),AM19/D19)</f>
        <v>#DIV/0!</v>
      </c>
      <c r="BJ19" s="3" t="e">
        <f>IF('Entrada e Saida'!$H$11="TRADING",AT19/D19,AO19/D19)</f>
        <v>#DIV/0!</v>
      </c>
      <c r="BK19" s="2" t="e">
        <f t="shared" si="21"/>
        <v>#DIV/0!</v>
      </c>
      <c r="BL19" s="2">
        <f>IF(O19&gt;0,IFERROR(IF('Entrada e Saida'!$H$11="DIRETA",0,(IF('Entrada e Saida'!$H$14="P.JURIDICA",(BD19*(1+O19)*N19)-((BD19/(1+M19))*'Entrada e Saida'!$G$65),((Produtos!N19-'Entrada e Saida'!$G$65)*Produtos!BD19)))),0),0)</f>
        <v>0</v>
      </c>
      <c r="BM19" s="2" t="e">
        <f t="shared" si="7"/>
        <v>#DIV/0!</v>
      </c>
    </row>
    <row r="20" spans="1:65" s="1" customFormat="1">
      <c r="A20" s="211"/>
      <c r="B20" s="172" t="e">
        <f>VLOOKUP(A20,'Master Modelo'!A:I,7,FALSE)</f>
        <v>#N/A</v>
      </c>
      <c r="C20" s="145" t="e">
        <f>VLOOKUP(A20,'Master Modelo'!A:I,2,FALSE)</f>
        <v>#N/A</v>
      </c>
      <c r="D20" s="146"/>
      <c r="E20" s="147">
        <f>IFERROR(VLOOKUP(A20,'Master Modelo'!A:I,9,FALSE),0)</f>
        <v>0</v>
      </c>
      <c r="F20" s="189">
        <f>IFERROR(VLOOKUP(A20,'Master Modelo'!A:I,8,FALSE),0)</f>
        <v>0</v>
      </c>
      <c r="G20" s="189">
        <f>IFERROR(VLOOKUP(A20,'Master Modelo'!A:K,11,FALSE),0)</f>
        <v>0</v>
      </c>
      <c r="H20" s="173" t="e">
        <f t="shared" si="8"/>
        <v>#DIV/0!</v>
      </c>
      <c r="I20" s="163">
        <f>IFERROR(VLOOKUP(A20,'Master Modelo'!A:I,3,FALSE),0)</f>
        <v>0</v>
      </c>
      <c r="J20" s="164">
        <f>IFERROR(VLOOKUP(A20,'Master Modelo'!A:I,5,FALSE),0)</f>
        <v>0</v>
      </c>
      <c r="K20" s="164">
        <f>IFERROR(VLOOKUP(A20,'Master Modelo'!A:I,6,FALSE),0)</f>
        <v>0</v>
      </c>
      <c r="L20" s="165" t="e">
        <f>VLOOKUP(A20,'Master Modelo'!A:J,10,FALSE)</f>
        <v>#N/A</v>
      </c>
      <c r="M20" s="163">
        <f>IFERROR(VLOOKUP(A20,'Master Modelo'!A:I,4,FALSE),0)</f>
        <v>0</v>
      </c>
      <c r="N20" s="175"/>
      <c r="O20" s="187"/>
      <c r="P20" s="177">
        <f t="shared" si="9"/>
        <v>0</v>
      </c>
      <c r="Q20" s="177">
        <f t="shared" si="10"/>
        <v>0</v>
      </c>
      <c r="R20" s="178">
        <f>D20*E20*'Entrada e Saida'!$K$8</f>
        <v>0</v>
      </c>
      <c r="S20" s="179" t="e">
        <f>'Entrada e Saida'!$H$21*'Entrada e Saida'!$K$8*(P20/(SUM(P:P)))</f>
        <v>#DIV/0!</v>
      </c>
      <c r="T20" s="179" t="e">
        <f>'Entrada e Saida'!$H$21*'Entrada e Saida'!$K$8*(Q20/(SUM(Q:Q)))</f>
        <v>#DIV/0!</v>
      </c>
      <c r="U20" s="179" t="e">
        <f>'Entrada e Saida'!$H$22*(P20/(SUM(P:P)))</f>
        <v>#DIV/0!</v>
      </c>
      <c r="V20" s="179" t="e">
        <f>'Entrada e Saida'!$H$22*(Q20/(SUM(Q:Q)))</f>
        <v>#DIV/0!</v>
      </c>
      <c r="W20" s="180" t="e">
        <f t="shared" si="11"/>
        <v>#DIV/0!</v>
      </c>
      <c r="X20" s="179" t="e">
        <f>'Entrada e Saida'!$H$26*(IF('Entrada e Saida'!$H$15="PESO",(P20/(SUM(P:P))),(Q20/(SUM(Q:Q)))))</f>
        <v>#DIV/0!</v>
      </c>
      <c r="Y20" s="179" t="e">
        <f>'Entrada e Saida'!$H$27*(IF('Entrada e Saida'!$H$15="PESO",(P20/(SUM(P:P))),(Q20/(SUM(Q:Q)))))</f>
        <v>#DIV/0!</v>
      </c>
      <c r="Z20" s="179" t="e">
        <f>'Entrada e Saida'!$H$28*(IF('Entrada e Saida'!$H$15="PESO",(P20/(SUM(P:P))),(Q20/(SUM(Q:Q)))))</f>
        <v>#DIV/0!</v>
      </c>
      <c r="AA20" s="181" t="e">
        <f t="shared" si="12"/>
        <v>#DIV/0!</v>
      </c>
      <c r="AB20" s="178" t="e">
        <f t="shared" si="0"/>
        <v>#DIV/0!</v>
      </c>
      <c r="AC20" s="178" t="e">
        <f t="shared" si="13"/>
        <v>#DIV/0!</v>
      </c>
      <c r="AD20" s="178" t="e">
        <f t="shared" si="1"/>
        <v>#DIV/0!</v>
      </c>
      <c r="AE20" s="177" t="e">
        <f t="shared" si="2"/>
        <v>#DIV/0!</v>
      </c>
      <c r="AF20" s="182">
        <f>IFERROR(D20*F20*L20*'Entrada e Saida'!$K$8,0)</f>
        <v>0</v>
      </c>
      <c r="AG20" s="178" t="e">
        <f>((W20+AA20+AB20+AC20+AD20+AE20+AF20)/(1-'Entrada e Saida'!$G$65))*'Entrada e Saida'!$I$66</f>
        <v>#DIV/0!</v>
      </c>
      <c r="AH20" s="180" t="e">
        <f t="shared" si="14"/>
        <v>#DIV/0!</v>
      </c>
      <c r="AI20" s="183" t="e">
        <f>'Entrada e Saida'!$K$51*(IF('Entrada e Saida'!$H$15="PESO",(P20/(SUM(P:P))),(Q20/(SUM(Q:Q)))))</f>
        <v>#DIV/0!</v>
      </c>
      <c r="AJ20" s="183">
        <f>(('Entrada e Saida'!$K$10-'Entrada e Saida'!$K$8)*E20*D20)</f>
        <v>0</v>
      </c>
      <c r="AK20" s="184" t="e">
        <f>IF('Entrada e Saida'!$H$15="PESO",W20+AA20+AH20+AI20+AJ20,W20+AA20+AH20+AI20+AJ20-S20+T20-U20+V20)</f>
        <v>#DIV/0!</v>
      </c>
      <c r="AL20" s="185" t="e">
        <f>IF('Entrada e Saida'!$H$12="REAL",AC20,0)</f>
        <v>#DIV/0!</v>
      </c>
      <c r="AM20" s="185" t="e">
        <f>IF('Entrada e Saida'!$H$12="REAL",AD20,0)</f>
        <v>#DIV/0!</v>
      </c>
      <c r="AN20" s="186" t="e">
        <f>IF('Entrada e Saida'!$H$13= "NÃO",AE20,0)</f>
        <v>#DIV/0!</v>
      </c>
      <c r="AO20" s="186" t="e">
        <f t="shared" si="15"/>
        <v>#DIV/0!</v>
      </c>
      <c r="AP20" s="184" t="e">
        <f t="shared" si="16"/>
        <v>#DIV/0!</v>
      </c>
      <c r="AQ20" s="178" t="e">
        <f>IF('Entrada e Saida'!$H$11="TRADING",AU20*'Custo Resumido'!D20,0)</f>
        <v>#DIV/0!</v>
      </c>
      <c r="AR20" s="178" t="e">
        <f>IF('Entrada e Saida'!$H$11="TRADING",AU20*'Entrada e Saida'!$G$63,0)</f>
        <v>#DIV/0!</v>
      </c>
      <c r="AS20" s="178" t="e">
        <f>IF('Entrada e Saida'!$H$11="TRADING",AU20*'Entrada e Saida'!$G$64,0)</f>
        <v>#DIV/0!</v>
      </c>
      <c r="AT20" s="178" t="e">
        <f>IF('Entrada e Saida'!$H$11="TRADING",AU20*'Entrada e Saida'!$G$65,0)</f>
        <v>#DIV/0!</v>
      </c>
      <c r="AU20" s="184" t="e">
        <f>IF('Entrada e Saida'!$H$11="TRADING",AP20/(1-(SUM('Entrada e Saida'!$G$63:$G$65)+'Custo Resumido'!D20)),0)</f>
        <v>#DIV/0!</v>
      </c>
      <c r="AV20" s="178" t="e">
        <f>IF('Entrada e Saida'!$H$13="NÃO",AU20*M20,0)</f>
        <v>#DIV/0!</v>
      </c>
      <c r="AW20" s="184" t="e">
        <f t="shared" si="17"/>
        <v>#DIV/0!</v>
      </c>
      <c r="AX20" s="178" t="e">
        <f>'Entrada e Saida'!$G$74*AU20</f>
        <v>#DIV/0!</v>
      </c>
      <c r="AY20" s="184" t="e">
        <f t="shared" si="18"/>
        <v>#DIV/0!</v>
      </c>
      <c r="AZ20" s="184" t="e">
        <f>AQ20+('Entrada e Saida'!$G$65-'Entrada e Saida'!$I$65)*AU20-AX20</f>
        <v>#DIV/0!</v>
      </c>
      <c r="BA20" s="3" t="e">
        <f>IF('Entrada e Saida'!$H$12="REAL",AZ20*'Entrada e Saida'!$G$81,AU20*'Entrada e Saida'!$G$81)</f>
        <v>#DIV/0!</v>
      </c>
      <c r="BB20" s="3" t="e">
        <f>IF('Entrada e Saida'!$H$12="REAL",AZ20*'Entrada e Saida'!$G$82,AU20*'Entrada e Saida'!$G$82)</f>
        <v>#DIV/0!</v>
      </c>
      <c r="BC20" s="4" t="e">
        <f t="shared" si="19"/>
        <v>#DIV/0!</v>
      </c>
      <c r="BD20" s="3" t="e">
        <f>IF('Entrada e Saida'!$H$11="TRADING",AW20/D20,AK20/D20)</f>
        <v>#DIV/0!</v>
      </c>
      <c r="BE20" s="3" t="e">
        <f t="shared" si="5"/>
        <v>#DIV/0!</v>
      </c>
      <c r="BF20" s="2" t="e">
        <f t="shared" si="20"/>
        <v>#DIV/0!</v>
      </c>
      <c r="BG20" s="3" t="e">
        <f>IF('Entrada e Saida'!$H$11="TRADING",AV20/D20,AN20/D20)</f>
        <v>#DIV/0!</v>
      </c>
      <c r="BH20" s="3" t="e">
        <f>IF('Entrada e Saida'!$H$11="TRADING",IF('Entrada e Saida'!$H$12="REAL",AR20/D20,0),AL20/D20)</f>
        <v>#DIV/0!</v>
      </c>
      <c r="BI20" s="3" t="e">
        <f>IF('Entrada e Saida'!$H$11="TRADING",IF('Entrada e Saida'!$H$12="REAL",AS20/D20,0),AM20/D20)</f>
        <v>#DIV/0!</v>
      </c>
      <c r="BJ20" s="3" t="e">
        <f>IF('Entrada e Saida'!$H$11="TRADING",AT20/D20,AO20/D20)</f>
        <v>#DIV/0!</v>
      </c>
      <c r="BK20" s="2" t="e">
        <f t="shared" si="21"/>
        <v>#DIV/0!</v>
      </c>
      <c r="BL20" s="2">
        <f>IF(O20&gt;0,IFERROR(IF('Entrada e Saida'!$H$11="DIRETA",0,(IF('Entrada e Saida'!$H$14="P.JURIDICA",(BD20*(1+O20)*N20)-((BD20/(1+M20))*'Entrada e Saida'!$G$65),((Produtos!N20-'Entrada e Saida'!$G$65)*Produtos!BD20)))),0),0)</f>
        <v>0</v>
      </c>
      <c r="BM20" s="2" t="e">
        <f t="shared" si="7"/>
        <v>#DIV/0!</v>
      </c>
    </row>
    <row r="21" spans="1:65" s="1" customFormat="1">
      <c r="A21" s="211"/>
      <c r="B21" s="172" t="e">
        <f>VLOOKUP(A21,'Master Modelo'!A:I,7,FALSE)</f>
        <v>#N/A</v>
      </c>
      <c r="C21" s="145" t="e">
        <f>VLOOKUP(A21,'Master Modelo'!A:I,2,FALSE)</f>
        <v>#N/A</v>
      </c>
      <c r="D21" s="146"/>
      <c r="E21" s="147">
        <f>IFERROR(VLOOKUP(A21,'Master Modelo'!A:I,9,FALSE),0)</f>
        <v>0</v>
      </c>
      <c r="F21" s="189">
        <f>IFERROR(VLOOKUP(A21,'Master Modelo'!A:I,8,FALSE),0)</f>
        <v>0</v>
      </c>
      <c r="G21" s="189">
        <f>IFERROR(VLOOKUP(A21,'Master Modelo'!A:K,11,FALSE),0)</f>
        <v>0</v>
      </c>
      <c r="H21" s="173" t="e">
        <f t="shared" ref="H21:H25" si="22">(D21*E21)/(D21*F21)</f>
        <v>#DIV/0!</v>
      </c>
      <c r="I21" s="163">
        <f>IFERROR(VLOOKUP(A21,'Master Modelo'!A:I,3,FALSE),0)</f>
        <v>0</v>
      </c>
      <c r="J21" s="164">
        <f>IFERROR(VLOOKUP(A21,'Master Modelo'!A:I,5,FALSE),0)</f>
        <v>0</v>
      </c>
      <c r="K21" s="164">
        <f>IFERROR(VLOOKUP(A21,'Master Modelo'!A:I,6,FALSE),0)</f>
        <v>0</v>
      </c>
      <c r="L21" s="165" t="e">
        <f>VLOOKUP(A21,'Master Modelo'!A:J,10,FALSE)</f>
        <v>#N/A</v>
      </c>
      <c r="M21" s="163">
        <f>IFERROR(VLOOKUP(A21,'Master Modelo'!A:I,4,FALSE),0)</f>
        <v>0</v>
      </c>
      <c r="N21" s="175"/>
      <c r="O21" s="187"/>
      <c r="P21" s="177">
        <f t="shared" ref="P21:P25" si="23">D21*F21</f>
        <v>0</v>
      </c>
      <c r="Q21" s="177">
        <f t="shared" si="10"/>
        <v>0</v>
      </c>
      <c r="R21" s="178">
        <f>D21*E21*'Entrada e Saida'!$K$8</f>
        <v>0</v>
      </c>
      <c r="S21" s="179" t="e">
        <f>'Entrada e Saida'!$H$21*'Entrada e Saida'!$K$8*(P21/(SUM(P:P)))</f>
        <v>#DIV/0!</v>
      </c>
      <c r="T21" s="179" t="e">
        <f>'Entrada e Saida'!$H$21*'Entrada e Saida'!$K$8*(Q21/(SUM(Q:Q)))</f>
        <v>#DIV/0!</v>
      </c>
      <c r="U21" s="179" t="e">
        <f>'Entrada e Saida'!$H$22*(P21/(SUM(P:P)))</f>
        <v>#DIV/0!</v>
      </c>
      <c r="V21" s="179" t="e">
        <f>'Entrada e Saida'!$H$22*(Q21/(SUM(Q:Q)))</f>
        <v>#DIV/0!</v>
      </c>
      <c r="W21" s="180" t="e">
        <f t="shared" ref="W21:W25" si="24">R21+S21+U21</f>
        <v>#DIV/0!</v>
      </c>
      <c r="X21" s="179" t="e">
        <f>'Entrada e Saida'!$H$26*(IF('Entrada e Saida'!$H$15="PESO",(P21/(SUM(P:P))),(Q21/(SUM(Q:Q)))))</f>
        <v>#DIV/0!</v>
      </c>
      <c r="Y21" s="179" t="e">
        <f>'Entrada e Saida'!$H$27*(IF('Entrada e Saida'!$H$15="PESO",(P21/(SUM(P:P))),(Q21/(SUM(Q:Q)))))</f>
        <v>#DIV/0!</v>
      </c>
      <c r="Z21" s="179" t="e">
        <f>'Entrada e Saida'!$H$28*(IF('Entrada e Saida'!$H$15="PESO",(P21/(SUM(P:P))),(Q21/(SUM(Q:Q)))))</f>
        <v>#DIV/0!</v>
      </c>
      <c r="AA21" s="181" t="e">
        <f t="shared" ref="AA21:AA25" si="25">X21+Y21+Z21</f>
        <v>#DIV/0!</v>
      </c>
      <c r="AB21" s="178" t="e">
        <f t="shared" ref="AB21:AB25" si="26">W21*I21</f>
        <v>#DIV/0!</v>
      </c>
      <c r="AC21" s="178" t="e">
        <f t="shared" ref="AC21:AC25" si="27">W21*J21</f>
        <v>#DIV/0!</v>
      </c>
      <c r="AD21" s="178" t="e">
        <f t="shared" ref="AD21:AD25" si="28">W21*K21</f>
        <v>#DIV/0!</v>
      </c>
      <c r="AE21" s="177" t="e">
        <f t="shared" ref="AE21:AE25" si="29">(W21+AB21)*M21</f>
        <v>#DIV/0!</v>
      </c>
      <c r="AF21" s="182">
        <f>IFERROR(D21*F21*L21*'Entrada e Saida'!$K$8,0)</f>
        <v>0</v>
      </c>
      <c r="AG21" s="178" t="e">
        <f>((W21+AA21+AB21+AC21+AD21+AE21+AF21)/(1-'Entrada e Saida'!$G$65))*'Entrada e Saida'!$I$66</f>
        <v>#DIV/0!</v>
      </c>
      <c r="AH21" s="180" t="e">
        <f t="shared" ref="AH21:AH25" si="30">SUM(AB21:AG21)</f>
        <v>#DIV/0!</v>
      </c>
      <c r="AI21" s="183" t="e">
        <f>'Entrada e Saida'!$K$51*(IF('Entrada e Saida'!$H$15="PESO",(P21/(SUM(P:P))),(Q21/(SUM(Q:Q)))))</f>
        <v>#DIV/0!</v>
      </c>
      <c r="AJ21" s="183">
        <f>(('Entrada e Saida'!$K$10-'Entrada e Saida'!$K$8)*E21*D21)</f>
        <v>0</v>
      </c>
      <c r="AK21" s="184" t="e">
        <f>IF('Entrada e Saida'!$H$15="PESO",W21+AA21+AH21+AI21+AJ21,W21+AA21+AH21+AI21+AJ21-S21+T21-U21+V21)</f>
        <v>#DIV/0!</v>
      </c>
      <c r="AL21" s="185" t="e">
        <f>IF('Entrada e Saida'!$H$12="REAL",AC21,0)</f>
        <v>#DIV/0!</v>
      </c>
      <c r="AM21" s="185" t="e">
        <f>IF('Entrada e Saida'!$H$12="REAL",AD21,0)</f>
        <v>#DIV/0!</v>
      </c>
      <c r="AN21" s="186" t="e">
        <f>IF('Entrada e Saida'!$H$13= "NÃO",AE21,0)</f>
        <v>#DIV/0!</v>
      </c>
      <c r="AO21" s="186" t="e">
        <f t="shared" ref="AO21:AO25" si="31">AG21</f>
        <v>#DIV/0!</v>
      </c>
      <c r="AP21" s="184" t="e">
        <f t="shared" ref="AP21:AP25" si="32">AK21-SUM(AL21:AO21)</f>
        <v>#DIV/0!</v>
      </c>
      <c r="AQ21" s="178" t="e">
        <f>IF('Entrada e Saida'!$H$11="TRADING",AU21*'Custo Resumido'!D21,0)</f>
        <v>#DIV/0!</v>
      </c>
      <c r="AR21" s="178" t="e">
        <f>IF('Entrada e Saida'!$H$11="TRADING",AU21*'Entrada e Saida'!$G$63,0)</f>
        <v>#DIV/0!</v>
      </c>
      <c r="AS21" s="178" t="e">
        <f>IF('Entrada e Saida'!$H$11="TRADING",AU21*'Entrada e Saida'!$G$64,0)</f>
        <v>#DIV/0!</v>
      </c>
      <c r="AT21" s="178" t="e">
        <f>IF('Entrada e Saida'!$H$11="TRADING",AU21*'Entrada e Saida'!$G$65,0)</f>
        <v>#DIV/0!</v>
      </c>
      <c r="AU21" s="184" t="e">
        <f>IF('Entrada e Saida'!$H$11="TRADING",AP21/(1-(SUM('Entrada e Saida'!$G$63:$G$65)+'Custo Resumido'!D21)),0)</f>
        <v>#DIV/0!</v>
      </c>
      <c r="AV21" s="178" t="e">
        <f>IF('Entrada e Saida'!$H$13="NÃO",AU21*M21,0)</f>
        <v>#DIV/0!</v>
      </c>
      <c r="AW21" s="184" t="e">
        <f t="shared" ref="AW21:AW25" si="33">AU21+AV21</f>
        <v>#DIV/0!</v>
      </c>
      <c r="AX21" s="178" t="e">
        <f>'Entrada e Saida'!$G$74*AU21</f>
        <v>#DIV/0!</v>
      </c>
      <c r="AY21" s="184" t="e">
        <f t="shared" ref="AY21:AY25" si="34">AW21-AX21</f>
        <v>#DIV/0!</v>
      </c>
      <c r="AZ21" s="184" t="e">
        <f>AQ21+('Entrada e Saida'!$G$65-'Entrada e Saida'!$I$65)*AU21-AX21</f>
        <v>#DIV/0!</v>
      </c>
      <c r="BA21" s="3" t="e">
        <f>IF('Entrada e Saida'!$H$12="REAL",AZ21*'Entrada e Saida'!$G$81,AU21*'Entrada e Saida'!$G$81)</f>
        <v>#DIV/0!</v>
      </c>
      <c r="BB21" s="3" t="e">
        <f>IF('Entrada e Saida'!$H$12="REAL",AZ21*'Entrada e Saida'!$G$82,AU21*'Entrada e Saida'!$G$82)</f>
        <v>#DIV/0!</v>
      </c>
      <c r="BC21" s="4" t="e">
        <f t="shared" ref="BC21:BC25" si="35">AZ21-BA21-BB21</f>
        <v>#DIV/0!</v>
      </c>
      <c r="BD21" s="3" t="e">
        <f>IF('Entrada e Saida'!$H$11="TRADING",AW21/D21,AK21/D21)</f>
        <v>#DIV/0!</v>
      </c>
      <c r="BE21" s="3" t="e">
        <f t="shared" ref="BE21:BE25" si="36">AX21/D21</f>
        <v>#DIV/0!</v>
      </c>
      <c r="BF21" s="2" t="e">
        <f t="shared" ref="BF21:BF25" si="37">BD21-BE21</f>
        <v>#DIV/0!</v>
      </c>
      <c r="BG21" s="3" t="e">
        <f>IF('Entrada e Saida'!$H$11="TRADING",AV21/D21,AN21/D21)</f>
        <v>#DIV/0!</v>
      </c>
      <c r="BH21" s="3" t="e">
        <f>IF('Entrada e Saida'!$H$11="TRADING",IF('Entrada e Saida'!$H$12="REAL",AR21/D21,0),AL21/D21)</f>
        <v>#DIV/0!</v>
      </c>
      <c r="BI21" s="3" t="e">
        <f>IF('Entrada e Saida'!$H$11="TRADING",IF('Entrada e Saida'!$H$12="REAL",AS21/D21,0),AM21/D21)</f>
        <v>#DIV/0!</v>
      </c>
      <c r="BJ21" s="3" t="e">
        <f>IF('Entrada e Saida'!$H$11="TRADING",AT21/D21,AO21/D21)</f>
        <v>#DIV/0!</v>
      </c>
      <c r="BK21" s="2" t="e">
        <f t="shared" ref="BK21:BK25" si="38">BF21-SUM(BG21:BJ21)</f>
        <v>#DIV/0!</v>
      </c>
      <c r="BL21" s="2">
        <f>IF(O21&gt;0,IFERROR(IF('Entrada e Saida'!$H$11="DIRETA",0,(IF('Entrada e Saida'!$H$14="P.JURIDICA",(BD21*(1+O21)*N21)-((BD21/(1+M21))*'Entrada e Saida'!$G$65),((Produtos!N21-'Entrada e Saida'!$G$65)*Produtos!BD21)))),0),0)</f>
        <v>0</v>
      </c>
      <c r="BM21" s="2" t="e">
        <f t="shared" ref="BM21:BM25" si="39">BF21+BL21</f>
        <v>#DIV/0!</v>
      </c>
    </row>
    <row r="22" spans="1:65" s="1" customFormat="1">
      <c r="A22" s="211"/>
      <c r="B22" s="172" t="e">
        <f>VLOOKUP(A22,'Master Modelo'!A:I,7,FALSE)</f>
        <v>#N/A</v>
      </c>
      <c r="C22" s="145" t="e">
        <f>VLOOKUP(A22,'Master Modelo'!A:I,2,FALSE)</f>
        <v>#N/A</v>
      </c>
      <c r="D22" s="146"/>
      <c r="E22" s="148">
        <f>IFERROR(VLOOKUP(A22,'Master Modelo'!A:I,9,FALSE),0)</f>
        <v>0</v>
      </c>
      <c r="F22" s="189">
        <f>IFERROR(VLOOKUP(A22,'Master Modelo'!A:I,8,FALSE),0)</f>
        <v>0</v>
      </c>
      <c r="G22" s="189">
        <f>IFERROR(VLOOKUP(A22,'Master Modelo'!A:K,11,FALSE),0)</f>
        <v>0</v>
      </c>
      <c r="H22" s="173" t="e">
        <f t="shared" si="22"/>
        <v>#DIV/0!</v>
      </c>
      <c r="I22" s="163">
        <f>IFERROR(VLOOKUP(A22,'Master Modelo'!A:I,3,FALSE),0)</f>
        <v>0</v>
      </c>
      <c r="J22" s="164">
        <f>IFERROR(VLOOKUP(A22,'Master Modelo'!A:I,5,FALSE),0)</f>
        <v>0</v>
      </c>
      <c r="K22" s="164">
        <f>IFERROR(VLOOKUP(A22,'Master Modelo'!A:I,6,FALSE),0)</f>
        <v>0</v>
      </c>
      <c r="L22" s="165" t="e">
        <f>VLOOKUP(A22,'Master Modelo'!A:J,10,FALSE)</f>
        <v>#N/A</v>
      </c>
      <c r="M22" s="163">
        <f>IFERROR(VLOOKUP(A22,'Master Modelo'!A:I,4,FALSE),0)</f>
        <v>0</v>
      </c>
      <c r="N22" s="175"/>
      <c r="O22" s="187"/>
      <c r="P22" s="177">
        <f t="shared" si="23"/>
        <v>0</v>
      </c>
      <c r="Q22" s="177">
        <f t="shared" si="10"/>
        <v>0</v>
      </c>
      <c r="R22" s="178">
        <f>D22*E22*'Entrada e Saida'!$K$8</f>
        <v>0</v>
      </c>
      <c r="S22" s="179" t="e">
        <f>'Entrada e Saida'!$H$21*'Entrada e Saida'!$K$8*(P22/(SUM(P:P)))</f>
        <v>#DIV/0!</v>
      </c>
      <c r="T22" s="179" t="e">
        <f>'Entrada e Saida'!$H$21*'Entrada e Saida'!$K$8*(Q22/(SUM(Q:Q)))</f>
        <v>#DIV/0!</v>
      </c>
      <c r="U22" s="179" t="e">
        <f>'Entrada e Saida'!$H$22*(P22/(SUM(P:P)))</f>
        <v>#DIV/0!</v>
      </c>
      <c r="V22" s="179" t="e">
        <f>'Entrada e Saida'!$H$22*(Q22/(SUM(Q:Q)))</f>
        <v>#DIV/0!</v>
      </c>
      <c r="W22" s="180" t="e">
        <f t="shared" si="24"/>
        <v>#DIV/0!</v>
      </c>
      <c r="X22" s="179" t="e">
        <f>'Entrada e Saida'!$H$26*(IF('Entrada e Saida'!$H$15="PESO",(P22/(SUM(P:P))),(Q22/(SUM(Q:Q)))))</f>
        <v>#DIV/0!</v>
      </c>
      <c r="Y22" s="179" t="e">
        <f>'Entrada e Saida'!$H$27*(IF('Entrada e Saida'!$H$15="PESO",(P22/(SUM(P:P))),(Q22/(SUM(Q:Q)))))</f>
        <v>#DIV/0!</v>
      </c>
      <c r="Z22" s="179" t="e">
        <f>'Entrada e Saida'!$H$28*(IF('Entrada e Saida'!$H$15="PESO",(P22/(SUM(P:P))),(Q22/(SUM(Q:Q)))))</f>
        <v>#DIV/0!</v>
      </c>
      <c r="AA22" s="181" t="e">
        <f t="shared" si="25"/>
        <v>#DIV/0!</v>
      </c>
      <c r="AB22" s="178" t="e">
        <f t="shared" si="26"/>
        <v>#DIV/0!</v>
      </c>
      <c r="AC22" s="178" t="e">
        <f t="shared" si="27"/>
        <v>#DIV/0!</v>
      </c>
      <c r="AD22" s="178" t="e">
        <f t="shared" si="28"/>
        <v>#DIV/0!</v>
      </c>
      <c r="AE22" s="177" t="e">
        <f t="shared" si="29"/>
        <v>#DIV/0!</v>
      </c>
      <c r="AF22" s="182">
        <f>IFERROR(D22*F22*L22*'Entrada e Saida'!$K$8,0)</f>
        <v>0</v>
      </c>
      <c r="AG22" s="178" t="e">
        <f>((W22+AA22+AB22+AC22+AD22+AE22+AF22)/(1-'Entrada e Saida'!$G$65))*'Entrada e Saida'!$I$66</f>
        <v>#DIV/0!</v>
      </c>
      <c r="AH22" s="180" t="e">
        <f t="shared" si="30"/>
        <v>#DIV/0!</v>
      </c>
      <c r="AI22" s="183" t="e">
        <f>'Entrada e Saida'!$K$51*(IF('Entrada e Saida'!$H$15="PESO",(P22/(SUM(P:P))),(Q22/(SUM(Q:Q)))))</f>
        <v>#DIV/0!</v>
      </c>
      <c r="AJ22" s="183">
        <f>(('Entrada e Saida'!$K$10-'Entrada e Saida'!$K$8)*E22*D22)</f>
        <v>0</v>
      </c>
      <c r="AK22" s="184" t="e">
        <f>IF('Entrada e Saida'!$H$15="PESO",W22+AA22+AH22+AI22+AJ22,W22+AA22+AH22+AI22+AJ22-S22+T22-U22+V22)</f>
        <v>#DIV/0!</v>
      </c>
      <c r="AL22" s="185" t="e">
        <f>IF('Entrada e Saida'!$H$12="REAL",AC22,0)</f>
        <v>#DIV/0!</v>
      </c>
      <c r="AM22" s="185" t="e">
        <f>IF('Entrada e Saida'!$H$12="REAL",AD22,0)</f>
        <v>#DIV/0!</v>
      </c>
      <c r="AN22" s="186" t="e">
        <f>IF('Entrada e Saida'!$H$13= "NÃO",AE22,0)</f>
        <v>#DIV/0!</v>
      </c>
      <c r="AO22" s="186" t="e">
        <f t="shared" si="31"/>
        <v>#DIV/0!</v>
      </c>
      <c r="AP22" s="184" t="e">
        <f t="shared" si="32"/>
        <v>#DIV/0!</v>
      </c>
      <c r="AQ22" s="178" t="e">
        <f>IF('Entrada e Saida'!$H$11="TRADING",AU22*'Custo Resumido'!D22,0)</f>
        <v>#DIV/0!</v>
      </c>
      <c r="AR22" s="178" t="e">
        <f>IF('Entrada e Saida'!$H$11="TRADING",AU22*'Entrada e Saida'!$G$63,0)</f>
        <v>#DIV/0!</v>
      </c>
      <c r="AS22" s="178" t="e">
        <f>IF('Entrada e Saida'!$H$11="TRADING",AU22*'Entrada e Saida'!$G$64,0)</f>
        <v>#DIV/0!</v>
      </c>
      <c r="AT22" s="178" t="e">
        <f>IF('Entrada e Saida'!$H$11="TRADING",AU22*'Entrada e Saida'!$G$65,0)</f>
        <v>#DIV/0!</v>
      </c>
      <c r="AU22" s="184" t="e">
        <f>IF('Entrada e Saida'!$H$11="TRADING",AP22/(1-(SUM('Entrada e Saida'!$G$63:$G$65)+'Custo Resumido'!D22)),0)</f>
        <v>#DIV/0!</v>
      </c>
      <c r="AV22" s="178" t="e">
        <f>IF('Entrada e Saida'!$H$13="NÃO",AU22*M22,0)</f>
        <v>#DIV/0!</v>
      </c>
      <c r="AW22" s="184" t="e">
        <f t="shared" si="33"/>
        <v>#DIV/0!</v>
      </c>
      <c r="AX22" s="178" t="e">
        <f>'Entrada e Saida'!$G$74*AU22</f>
        <v>#DIV/0!</v>
      </c>
      <c r="AY22" s="184" t="e">
        <f t="shared" si="34"/>
        <v>#DIV/0!</v>
      </c>
      <c r="AZ22" s="184" t="e">
        <f>AQ22+('Entrada e Saida'!$G$65-'Entrada e Saida'!$I$65)*AU22-AX22</f>
        <v>#DIV/0!</v>
      </c>
      <c r="BA22" s="3" t="e">
        <f>IF('Entrada e Saida'!$H$12="REAL",AZ22*'Entrada e Saida'!$G$81,AU22*'Entrada e Saida'!$G$81)</f>
        <v>#DIV/0!</v>
      </c>
      <c r="BB22" s="3" t="e">
        <f>IF('Entrada e Saida'!$H$12="REAL",AZ22*'Entrada e Saida'!$G$82,AU22*'Entrada e Saida'!$G$82)</f>
        <v>#DIV/0!</v>
      </c>
      <c r="BC22" s="4" t="e">
        <f t="shared" si="35"/>
        <v>#DIV/0!</v>
      </c>
      <c r="BD22" s="3" t="e">
        <f>IF('Entrada e Saida'!$H$11="TRADING",AW22/D22,AK22/D22)</f>
        <v>#DIV/0!</v>
      </c>
      <c r="BE22" s="3" t="e">
        <f t="shared" si="36"/>
        <v>#DIV/0!</v>
      </c>
      <c r="BF22" s="2" t="e">
        <f t="shared" si="37"/>
        <v>#DIV/0!</v>
      </c>
      <c r="BG22" s="3" t="e">
        <f>IF('Entrada e Saida'!$H$11="TRADING",AV22/D22,AN22/D22)</f>
        <v>#DIV/0!</v>
      </c>
      <c r="BH22" s="3" t="e">
        <f>IF('Entrada e Saida'!$H$11="TRADING",IF('Entrada e Saida'!$H$12="REAL",AR22/D22,0),AL22/D22)</f>
        <v>#DIV/0!</v>
      </c>
      <c r="BI22" s="3" t="e">
        <f>IF('Entrada e Saida'!$H$11="TRADING",IF('Entrada e Saida'!$H$12="REAL",AS22/D22,0),AM22/D22)</f>
        <v>#DIV/0!</v>
      </c>
      <c r="BJ22" s="3" t="e">
        <f>IF('Entrada e Saida'!$H$11="TRADING",AT22/D22,AO22/D22)</f>
        <v>#DIV/0!</v>
      </c>
      <c r="BK22" s="2" t="e">
        <f t="shared" si="38"/>
        <v>#DIV/0!</v>
      </c>
      <c r="BL22" s="2">
        <f>IF(O22&gt;0,IFERROR(IF('Entrada e Saida'!$H$11="DIRETA",0,(IF('Entrada e Saida'!$H$14="P.JURIDICA",(BD22*(1+O22)*N22)-((BD22/(1+M22))*'Entrada e Saida'!$G$65),((Produtos!N22-'Entrada e Saida'!$G$65)*Produtos!BD22)))),0),0)</f>
        <v>0</v>
      </c>
      <c r="BM22" s="2" t="e">
        <f t="shared" si="39"/>
        <v>#DIV/0!</v>
      </c>
    </row>
    <row r="23" spans="1:65" s="1" customFormat="1">
      <c r="A23" s="211"/>
      <c r="B23" s="172" t="e">
        <f>VLOOKUP(A23,'Master Modelo'!A:I,7,FALSE)</f>
        <v>#N/A</v>
      </c>
      <c r="C23" s="145" t="e">
        <f>VLOOKUP(A23,'Master Modelo'!A:I,2,FALSE)</f>
        <v>#N/A</v>
      </c>
      <c r="D23" s="146"/>
      <c r="E23" s="148">
        <f>IFERROR(VLOOKUP(A23,'Master Modelo'!A:I,9,FALSE),0)</f>
        <v>0</v>
      </c>
      <c r="F23" s="189">
        <f>IFERROR(VLOOKUP(A23,'Master Modelo'!A:I,8,FALSE),0)</f>
        <v>0</v>
      </c>
      <c r="G23" s="189">
        <f>IFERROR(VLOOKUP(A23,'Master Modelo'!A:K,11,FALSE),0)</f>
        <v>0</v>
      </c>
      <c r="H23" s="173" t="e">
        <f t="shared" si="22"/>
        <v>#DIV/0!</v>
      </c>
      <c r="I23" s="163">
        <f>IFERROR(VLOOKUP(A23,'Master Modelo'!A:I,3,FALSE),0)</f>
        <v>0</v>
      </c>
      <c r="J23" s="164">
        <f>IFERROR(VLOOKUP(A23,'Master Modelo'!A:I,5,FALSE),0)</f>
        <v>0</v>
      </c>
      <c r="K23" s="164">
        <f>IFERROR(VLOOKUP(A23,'Master Modelo'!A:I,6,FALSE),0)</f>
        <v>0</v>
      </c>
      <c r="L23" s="165" t="e">
        <f>VLOOKUP(A23,'Master Modelo'!A:J,10,FALSE)</f>
        <v>#N/A</v>
      </c>
      <c r="M23" s="163">
        <f>IFERROR(VLOOKUP(A23,'Master Modelo'!A:I,4,FALSE),0)</f>
        <v>0</v>
      </c>
      <c r="N23" s="175"/>
      <c r="O23" s="187"/>
      <c r="P23" s="177">
        <f t="shared" si="23"/>
        <v>0</v>
      </c>
      <c r="Q23" s="177">
        <f t="shared" si="10"/>
        <v>0</v>
      </c>
      <c r="R23" s="178">
        <f>D23*E23*'Entrada e Saida'!$K$8</f>
        <v>0</v>
      </c>
      <c r="S23" s="179" t="e">
        <f>'Entrada e Saida'!$H$21*'Entrada e Saida'!$K$8*(P23/(SUM(P:P)))</f>
        <v>#DIV/0!</v>
      </c>
      <c r="T23" s="179" t="e">
        <f>'Entrada e Saida'!$H$21*'Entrada e Saida'!$K$8*(Q23/(SUM(Q:Q)))</f>
        <v>#DIV/0!</v>
      </c>
      <c r="U23" s="179" t="e">
        <f>'Entrada e Saida'!$H$22*(P23/(SUM(P:P)))</f>
        <v>#DIV/0!</v>
      </c>
      <c r="V23" s="179" t="e">
        <f>'Entrada e Saida'!$H$22*(Q23/(SUM(Q:Q)))</f>
        <v>#DIV/0!</v>
      </c>
      <c r="W23" s="180" t="e">
        <f t="shared" si="24"/>
        <v>#DIV/0!</v>
      </c>
      <c r="X23" s="179" t="e">
        <f>'Entrada e Saida'!$H$26*(IF('Entrada e Saida'!$H$15="PESO",(P23/(SUM(P:P))),(Q23/(SUM(Q:Q)))))</f>
        <v>#DIV/0!</v>
      </c>
      <c r="Y23" s="179" t="e">
        <f>'Entrada e Saida'!$H$27*(IF('Entrada e Saida'!$H$15="PESO",(P23/(SUM(P:P))),(Q23/(SUM(Q:Q)))))</f>
        <v>#DIV/0!</v>
      </c>
      <c r="Z23" s="179" t="e">
        <f>'Entrada e Saida'!$H$28*(IF('Entrada e Saida'!$H$15="PESO",(P23/(SUM(P:P))),(Q23/(SUM(Q:Q)))))</f>
        <v>#DIV/0!</v>
      </c>
      <c r="AA23" s="181" t="e">
        <f t="shared" si="25"/>
        <v>#DIV/0!</v>
      </c>
      <c r="AB23" s="178" t="e">
        <f t="shared" si="26"/>
        <v>#DIV/0!</v>
      </c>
      <c r="AC23" s="178" t="e">
        <f t="shared" si="27"/>
        <v>#DIV/0!</v>
      </c>
      <c r="AD23" s="178" t="e">
        <f t="shared" si="28"/>
        <v>#DIV/0!</v>
      </c>
      <c r="AE23" s="177" t="e">
        <f t="shared" si="29"/>
        <v>#DIV/0!</v>
      </c>
      <c r="AF23" s="182">
        <f>IFERROR(D23*F23*L23*'Entrada e Saida'!$K$8,0)</f>
        <v>0</v>
      </c>
      <c r="AG23" s="178" t="e">
        <f>((W23+AA23+AB23+AC23+AD23+AE23+AF23)/(1-'Entrada e Saida'!$G$65))*'Entrada e Saida'!$I$66</f>
        <v>#DIV/0!</v>
      </c>
      <c r="AH23" s="180" t="e">
        <f t="shared" si="30"/>
        <v>#DIV/0!</v>
      </c>
      <c r="AI23" s="183" t="e">
        <f>'Entrada e Saida'!$K$51*(IF('Entrada e Saida'!$H$15="PESO",(P23/(SUM(P:P))),(Q23/(SUM(Q:Q)))))</f>
        <v>#DIV/0!</v>
      </c>
      <c r="AJ23" s="183">
        <f>(('Entrada e Saida'!$K$10-'Entrada e Saida'!$K$8)*E23*D23)</f>
        <v>0</v>
      </c>
      <c r="AK23" s="184" t="e">
        <f>IF('Entrada e Saida'!$H$15="PESO",W23+AA23+AH23+AI23+AJ23,W23+AA23+AH23+AI23+AJ23-S23+T23-U23+V23)</f>
        <v>#DIV/0!</v>
      </c>
      <c r="AL23" s="185" t="e">
        <f>IF('Entrada e Saida'!$H$12="REAL",AC23,0)</f>
        <v>#DIV/0!</v>
      </c>
      <c r="AM23" s="185" t="e">
        <f>IF('Entrada e Saida'!$H$12="REAL",AD23,0)</f>
        <v>#DIV/0!</v>
      </c>
      <c r="AN23" s="186" t="e">
        <f>IF('Entrada e Saida'!$H$13= "NÃO",AE23,0)</f>
        <v>#DIV/0!</v>
      </c>
      <c r="AO23" s="186" t="e">
        <f t="shared" si="31"/>
        <v>#DIV/0!</v>
      </c>
      <c r="AP23" s="184" t="e">
        <f t="shared" si="32"/>
        <v>#DIV/0!</v>
      </c>
      <c r="AQ23" s="178" t="e">
        <f>IF('Entrada e Saida'!$H$11="TRADING",AU23*'Custo Resumido'!D23,0)</f>
        <v>#DIV/0!</v>
      </c>
      <c r="AR23" s="178" t="e">
        <f>IF('Entrada e Saida'!$H$11="TRADING",AU23*'Entrada e Saida'!$G$63,0)</f>
        <v>#DIV/0!</v>
      </c>
      <c r="AS23" s="178" t="e">
        <f>IF('Entrada e Saida'!$H$11="TRADING",AU23*'Entrada e Saida'!$G$64,0)</f>
        <v>#DIV/0!</v>
      </c>
      <c r="AT23" s="178" t="e">
        <f>IF('Entrada e Saida'!$H$11="TRADING",AU23*'Entrada e Saida'!$G$65,0)</f>
        <v>#DIV/0!</v>
      </c>
      <c r="AU23" s="184" t="e">
        <f>IF('Entrada e Saida'!$H$11="TRADING",AP23/(1-(SUM('Entrada e Saida'!$G$63:$G$65)+'Custo Resumido'!D23)),0)</f>
        <v>#DIV/0!</v>
      </c>
      <c r="AV23" s="178" t="e">
        <f>IF('Entrada e Saida'!$H$13="NÃO",AU23*M23,0)</f>
        <v>#DIV/0!</v>
      </c>
      <c r="AW23" s="184" t="e">
        <f t="shared" si="33"/>
        <v>#DIV/0!</v>
      </c>
      <c r="AX23" s="178" t="e">
        <f>'Entrada e Saida'!$G$74*AU23</f>
        <v>#DIV/0!</v>
      </c>
      <c r="AY23" s="184" t="e">
        <f t="shared" si="34"/>
        <v>#DIV/0!</v>
      </c>
      <c r="AZ23" s="184" t="e">
        <f>AQ23+('Entrada e Saida'!$G$65-'Entrada e Saida'!$I$65)*AU23-AX23</f>
        <v>#DIV/0!</v>
      </c>
      <c r="BA23" s="3" t="e">
        <f>IF('Entrada e Saida'!$H$12="REAL",AZ23*'Entrada e Saida'!$G$81,AU23*'Entrada e Saida'!$G$81)</f>
        <v>#DIV/0!</v>
      </c>
      <c r="BB23" s="3" t="e">
        <f>IF('Entrada e Saida'!$H$12="REAL",AZ23*'Entrada e Saida'!$G$82,AU23*'Entrada e Saida'!$G$82)</f>
        <v>#DIV/0!</v>
      </c>
      <c r="BC23" s="4" t="e">
        <f t="shared" si="35"/>
        <v>#DIV/0!</v>
      </c>
      <c r="BD23" s="3" t="e">
        <f>IF('Entrada e Saida'!$H$11="TRADING",AW23/D23,AK23/D23)</f>
        <v>#DIV/0!</v>
      </c>
      <c r="BE23" s="3" t="e">
        <f t="shared" si="36"/>
        <v>#DIV/0!</v>
      </c>
      <c r="BF23" s="2" t="e">
        <f t="shared" si="37"/>
        <v>#DIV/0!</v>
      </c>
      <c r="BG23" s="3" t="e">
        <f>IF('Entrada e Saida'!$H$11="TRADING",AV23/D23,AN23/D23)</f>
        <v>#DIV/0!</v>
      </c>
      <c r="BH23" s="3" t="e">
        <f>IF('Entrada e Saida'!$H$11="TRADING",IF('Entrada e Saida'!$H$12="REAL",AR23/D23,0),AL23/D23)</f>
        <v>#DIV/0!</v>
      </c>
      <c r="BI23" s="3" t="e">
        <f>IF('Entrada e Saida'!$H$11="TRADING",IF('Entrada e Saida'!$H$12="REAL",AS23/D23,0),AM23/D23)</f>
        <v>#DIV/0!</v>
      </c>
      <c r="BJ23" s="3" t="e">
        <f>IF('Entrada e Saida'!$H$11="TRADING",AT23/D23,AO23/D23)</f>
        <v>#DIV/0!</v>
      </c>
      <c r="BK23" s="2" t="e">
        <f t="shared" si="38"/>
        <v>#DIV/0!</v>
      </c>
      <c r="BL23" s="2">
        <f>IF(O23&gt;0,IFERROR(IF('Entrada e Saida'!$H$11="DIRETA",0,(IF('Entrada e Saida'!$H$14="P.JURIDICA",(BD23*(1+O23)*N23)-((BD23/(1+M23))*'Entrada e Saida'!$G$65),((Produtos!N23-'Entrada e Saida'!$G$65)*Produtos!BD23)))),0),0)</f>
        <v>0</v>
      </c>
      <c r="BM23" s="2" t="e">
        <f t="shared" si="39"/>
        <v>#DIV/0!</v>
      </c>
    </row>
    <row r="24" spans="1:65" s="1" customFormat="1">
      <c r="A24" s="211"/>
      <c r="B24" s="172" t="e">
        <f>VLOOKUP(A24,'Master Modelo'!A:I,7,FALSE)</f>
        <v>#N/A</v>
      </c>
      <c r="C24" s="145" t="e">
        <f>VLOOKUP(A24,'Master Modelo'!A:I,2,FALSE)</f>
        <v>#N/A</v>
      </c>
      <c r="D24" s="146"/>
      <c r="E24" s="148">
        <f>IFERROR(VLOOKUP(A24,'Master Modelo'!A:I,9,FALSE),0)</f>
        <v>0</v>
      </c>
      <c r="F24" s="189">
        <f>IFERROR(VLOOKUP(A24,'Master Modelo'!A:I,8,FALSE),0)</f>
        <v>0</v>
      </c>
      <c r="G24" s="189">
        <f>IFERROR(VLOOKUP(A24,'Master Modelo'!A:K,11,FALSE),0)</f>
        <v>0</v>
      </c>
      <c r="H24" s="173" t="e">
        <f t="shared" si="22"/>
        <v>#DIV/0!</v>
      </c>
      <c r="I24" s="163">
        <f>IFERROR(VLOOKUP(A24,'Master Modelo'!A:I,3,FALSE),0)</f>
        <v>0</v>
      </c>
      <c r="J24" s="164">
        <f>IFERROR(VLOOKUP(A24,'Master Modelo'!A:I,5,FALSE),0)</f>
        <v>0</v>
      </c>
      <c r="K24" s="164">
        <f>IFERROR(VLOOKUP(A24,'Master Modelo'!A:I,6,FALSE),0)</f>
        <v>0</v>
      </c>
      <c r="L24" s="165" t="e">
        <f>VLOOKUP(A24,'Master Modelo'!A:J,10,FALSE)</f>
        <v>#N/A</v>
      </c>
      <c r="M24" s="163">
        <f>IFERROR(VLOOKUP(A24,'Master Modelo'!A:I,4,FALSE),0)</f>
        <v>0</v>
      </c>
      <c r="N24" s="175"/>
      <c r="O24" s="187"/>
      <c r="P24" s="177">
        <f t="shared" si="23"/>
        <v>0</v>
      </c>
      <c r="Q24" s="177">
        <f t="shared" si="10"/>
        <v>0</v>
      </c>
      <c r="R24" s="178">
        <f>D24*E24*'Entrada e Saida'!$K$8</f>
        <v>0</v>
      </c>
      <c r="S24" s="179" t="e">
        <f>'Entrada e Saida'!$H$21*'Entrada e Saida'!$K$8*(P24/(SUM(P:P)))</f>
        <v>#DIV/0!</v>
      </c>
      <c r="T24" s="179" t="e">
        <f>'Entrada e Saida'!$H$21*'Entrada e Saida'!$K$8*(Q24/(SUM(Q:Q)))</f>
        <v>#DIV/0!</v>
      </c>
      <c r="U24" s="179" t="e">
        <f>'Entrada e Saida'!$H$22*(P24/(SUM(P:P)))</f>
        <v>#DIV/0!</v>
      </c>
      <c r="V24" s="179" t="e">
        <f>'Entrada e Saida'!$H$22*(Q24/(SUM(Q:Q)))</f>
        <v>#DIV/0!</v>
      </c>
      <c r="W24" s="180" t="e">
        <f t="shared" si="24"/>
        <v>#DIV/0!</v>
      </c>
      <c r="X24" s="179" t="e">
        <f>'Entrada e Saida'!$H$26*(IF('Entrada e Saida'!$H$15="PESO",(P24/(SUM(P:P))),(Q24/(SUM(Q:Q)))))</f>
        <v>#DIV/0!</v>
      </c>
      <c r="Y24" s="179" t="e">
        <f>'Entrada e Saida'!$H$27*(IF('Entrada e Saida'!$H$15="PESO",(P24/(SUM(P:P))),(Q24/(SUM(Q:Q)))))</f>
        <v>#DIV/0!</v>
      </c>
      <c r="Z24" s="179" t="e">
        <f>'Entrada e Saida'!$H$28*(IF('Entrada e Saida'!$H$15="PESO",(P24/(SUM(P:P))),(Q24/(SUM(Q:Q)))))</f>
        <v>#DIV/0!</v>
      </c>
      <c r="AA24" s="181" t="e">
        <f t="shared" si="25"/>
        <v>#DIV/0!</v>
      </c>
      <c r="AB24" s="178" t="e">
        <f t="shared" si="26"/>
        <v>#DIV/0!</v>
      </c>
      <c r="AC24" s="178" t="e">
        <f t="shared" si="27"/>
        <v>#DIV/0!</v>
      </c>
      <c r="AD24" s="178" t="e">
        <f t="shared" si="28"/>
        <v>#DIV/0!</v>
      </c>
      <c r="AE24" s="177" t="e">
        <f t="shared" si="29"/>
        <v>#DIV/0!</v>
      </c>
      <c r="AF24" s="182">
        <f>IFERROR(D24*F24*L24*'Entrada e Saida'!$K$8,0)</f>
        <v>0</v>
      </c>
      <c r="AG24" s="178" t="e">
        <f>((W24+AA24+AB24+AC24+AD24+AE24+AF24)/(1-'Entrada e Saida'!$G$65))*'Entrada e Saida'!$I$66</f>
        <v>#DIV/0!</v>
      </c>
      <c r="AH24" s="180" t="e">
        <f t="shared" si="30"/>
        <v>#DIV/0!</v>
      </c>
      <c r="AI24" s="183" t="e">
        <f>'Entrada e Saida'!$K$51*(IF('Entrada e Saida'!$H$15="PESO",(P24/(SUM(P:P))),(Q24/(SUM(Q:Q)))))</f>
        <v>#DIV/0!</v>
      </c>
      <c r="AJ24" s="183">
        <f>(('Entrada e Saida'!$K$10-'Entrada e Saida'!$K$8)*E24*D24)</f>
        <v>0</v>
      </c>
      <c r="AK24" s="184" t="e">
        <f>IF('Entrada e Saida'!$H$15="PESO",W24+AA24+AH24+AI24+AJ24,W24+AA24+AH24+AI24+AJ24-S24+T24-U24+V24)</f>
        <v>#DIV/0!</v>
      </c>
      <c r="AL24" s="185" t="e">
        <f>IF('Entrada e Saida'!$H$12="REAL",AC24,0)</f>
        <v>#DIV/0!</v>
      </c>
      <c r="AM24" s="185" t="e">
        <f>IF('Entrada e Saida'!$H$12="REAL",AD24,0)</f>
        <v>#DIV/0!</v>
      </c>
      <c r="AN24" s="186" t="e">
        <f>IF('Entrada e Saida'!$H$13= "NÃO",AE24,0)</f>
        <v>#DIV/0!</v>
      </c>
      <c r="AO24" s="186" t="e">
        <f t="shared" si="31"/>
        <v>#DIV/0!</v>
      </c>
      <c r="AP24" s="184" t="e">
        <f t="shared" si="32"/>
        <v>#DIV/0!</v>
      </c>
      <c r="AQ24" s="178" t="e">
        <f>IF('Entrada e Saida'!$H$11="TRADING",AU24*'Custo Resumido'!D24,0)</f>
        <v>#DIV/0!</v>
      </c>
      <c r="AR24" s="178" t="e">
        <f>IF('Entrada e Saida'!$H$11="TRADING",AU24*'Entrada e Saida'!$G$63,0)</f>
        <v>#DIV/0!</v>
      </c>
      <c r="AS24" s="178" t="e">
        <f>IF('Entrada e Saida'!$H$11="TRADING",AU24*'Entrada e Saida'!$G$64,0)</f>
        <v>#DIV/0!</v>
      </c>
      <c r="AT24" s="178" t="e">
        <f>IF('Entrada e Saida'!$H$11="TRADING",AU24*'Entrada e Saida'!$G$65,0)</f>
        <v>#DIV/0!</v>
      </c>
      <c r="AU24" s="184" t="e">
        <f>IF('Entrada e Saida'!$H$11="TRADING",AP24/(1-(SUM('Entrada e Saida'!$G$63:$G$65)+'Custo Resumido'!D24)),0)</f>
        <v>#DIV/0!</v>
      </c>
      <c r="AV24" s="178" t="e">
        <f>IF('Entrada e Saida'!$H$13="NÃO",AU24*M24,0)</f>
        <v>#DIV/0!</v>
      </c>
      <c r="AW24" s="184" t="e">
        <f t="shared" si="33"/>
        <v>#DIV/0!</v>
      </c>
      <c r="AX24" s="178" t="e">
        <f>'Entrada e Saida'!$G$74*AU24</f>
        <v>#DIV/0!</v>
      </c>
      <c r="AY24" s="184" t="e">
        <f t="shared" si="34"/>
        <v>#DIV/0!</v>
      </c>
      <c r="AZ24" s="184" t="e">
        <f>AQ24+('Entrada e Saida'!$G$65-'Entrada e Saida'!$I$65)*AU24-AX24</f>
        <v>#DIV/0!</v>
      </c>
      <c r="BA24" s="3" t="e">
        <f>IF('Entrada e Saida'!$H$12="REAL",AZ24*'Entrada e Saida'!$G$81,AU24*'Entrada e Saida'!$G$81)</f>
        <v>#DIV/0!</v>
      </c>
      <c r="BB24" s="3" t="e">
        <f>IF('Entrada e Saida'!$H$12="REAL",AZ24*'Entrada e Saida'!$G$82,AU24*'Entrada e Saida'!$G$82)</f>
        <v>#DIV/0!</v>
      </c>
      <c r="BC24" s="4" t="e">
        <f t="shared" si="35"/>
        <v>#DIV/0!</v>
      </c>
      <c r="BD24" s="3" t="e">
        <f>IF('Entrada e Saida'!$H$11="TRADING",AW24/D24,AK24/D24)</f>
        <v>#DIV/0!</v>
      </c>
      <c r="BE24" s="3" t="e">
        <f t="shared" si="36"/>
        <v>#DIV/0!</v>
      </c>
      <c r="BF24" s="2" t="e">
        <f t="shared" si="37"/>
        <v>#DIV/0!</v>
      </c>
      <c r="BG24" s="3" t="e">
        <f>IF('Entrada e Saida'!$H$11="TRADING",AV24/D24,AN24/D24)</f>
        <v>#DIV/0!</v>
      </c>
      <c r="BH24" s="3" t="e">
        <f>IF('Entrada e Saida'!$H$11="TRADING",IF('Entrada e Saida'!$H$12="REAL",AR24/D24,0),AL24/D24)</f>
        <v>#DIV/0!</v>
      </c>
      <c r="BI24" s="3" t="e">
        <f>IF('Entrada e Saida'!$H$11="TRADING",IF('Entrada e Saida'!$H$12="REAL",AS24/D24,0),AM24/D24)</f>
        <v>#DIV/0!</v>
      </c>
      <c r="BJ24" s="3" t="e">
        <f>IF('Entrada e Saida'!$H$11="TRADING",AT24/D24,AO24/D24)</f>
        <v>#DIV/0!</v>
      </c>
      <c r="BK24" s="2" t="e">
        <f t="shared" si="38"/>
        <v>#DIV/0!</v>
      </c>
      <c r="BL24" s="2">
        <f>IF(O24&gt;0,IFERROR(IF('Entrada e Saida'!$H$11="DIRETA",0,(IF('Entrada e Saida'!$H$14="P.JURIDICA",(BD24*(1+O24)*N24)-((BD24/(1+M24))*'Entrada e Saida'!$G$65),((Produtos!N24-'Entrada e Saida'!$G$65)*Produtos!BD24)))),0),0)</f>
        <v>0</v>
      </c>
      <c r="BM24" s="2" t="e">
        <f t="shared" si="39"/>
        <v>#DIV/0!</v>
      </c>
    </row>
    <row r="25" spans="1:65" s="1" customFormat="1">
      <c r="A25" s="211"/>
      <c r="B25" s="172" t="e">
        <f>VLOOKUP(A25,'Master Modelo'!A:I,7,FALSE)</f>
        <v>#N/A</v>
      </c>
      <c r="C25" s="145" t="e">
        <f>VLOOKUP(A25,'Master Modelo'!A:I,2,FALSE)</f>
        <v>#N/A</v>
      </c>
      <c r="D25" s="146"/>
      <c r="E25" s="148">
        <f>IFERROR(VLOOKUP(A25,'Master Modelo'!A:I,9,FALSE),0)</f>
        <v>0</v>
      </c>
      <c r="F25" s="189">
        <f>IFERROR(VLOOKUP(A25,'Master Modelo'!A:I,8,FALSE),0)</f>
        <v>0</v>
      </c>
      <c r="G25" s="189">
        <f>IFERROR(VLOOKUP(A25,'Master Modelo'!A:K,11,FALSE),0)</f>
        <v>0</v>
      </c>
      <c r="H25" s="173" t="e">
        <f t="shared" si="22"/>
        <v>#DIV/0!</v>
      </c>
      <c r="I25" s="163">
        <f>IFERROR(VLOOKUP(A25,'Master Modelo'!A:I,3,FALSE),0)</f>
        <v>0</v>
      </c>
      <c r="J25" s="164">
        <f>IFERROR(VLOOKUP(A25,'Master Modelo'!A:I,5,FALSE),0)</f>
        <v>0</v>
      </c>
      <c r="K25" s="164">
        <f>IFERROR(VLOOKUP(A25,'Master Modelo'!A:I,6,FALSE),0)</f>
        <v>0</v>
      </c>
      <c r="L25" s="165" t="e">
        <f>VLOOKUP(A25,'Master Modelo'!A:J,10,FALSE)</f>
        <v>#N/A</v>
      </c>
      <c r="M25" s="163">
        <f>IFERROR(VLOOKUP(A25,'Master Modelo'!A:I,4,FALSE),0)</f>
        <v>0</v>
      </c>
      <c r="N25" s="175"/>
      <c r="O25" s="187"/>
      <c r="P25" s="177">
        <f t="shared" si="23"/>
        <v>0</v>
      </c>
      <c r="Q25" s="177">
        <f t="shared" si="10"/>
        <v>0</v>
      </c>
      <c r="R25" s="178">
        <f>D25*E25*'Entrada e Saida'!$K$8</f>
        <v>0</v>
      </c>
      <c r="S25" s="179" t="e">
        <f>'Entrada e Saida'!$H$21*'Entrada e Saida'!$K$8*(P25/(SUM(P:P)))</f>
        <v>#DIV/0!</v>
      </c>
      <c r="T25" s="179" t="e">
        <f>'Entrada e Saida'!$H$21*'Entrada e Saida'!$K$8*(Q25/(SUM(Q:Q)))</f>
        <v>#DIV/0!</v>
      </c>
      <c r="U25" s="179" t="e">
        <f>'Entrada e Saida'!$H$22*(P25/(SUM(P:P)))</f>
        <v>#DIV/0!</v>
      </c>
      <c r="V25" s="179" t="e">
        <f>'Entrada e Saida'!$H$22*(Q25/(SUM(Q:Q)))</f>
        <v>#DIV/0!</v>
      </c>
      <c r="W25" s="180" t="e">
        <f t="shared" si="24"/>
        <v>#DIV/0!</v>
      </c>
      <c r="X25" s="179" t="e">
        <f>'Entrada e Saida'!$H$26*(IF('Entrada e Saida'!$H$15="PESO",(P25/(SUM(P:P))),(Q25/(SUM(Q:Q)))))</f>
        <v>#DIV/0!</v>
      </c>
      <c r="Y25" s="179" t="e">
        <f>'Entrada e Saida'!$H$27*(IF('Entrada e Saida'!$H$15="PESO",(P25/(SUM(P:P))),(Q25/(SUM(Q:Q)))))</f>
        <v>#DIV/0!</v>
      </c>
      <c r="Z25" s="179" t="e">
        <f>'Entrada e Saida'!$H$28*(IF('Entrada e Saida'!$H$15="PESO",(P25/(SUM(P:P))),(Q25/(SUM(Q:Q)))))</f>
        <v>#DIV/0!</v>
      </c>
      <c r="AA25" s="181" t="e">
        <f t="shared" si="25"/>
        <v>#DIV/0!</v>
      </c>
      <c r="AB25" s="178" t="e">
        <f t="shared" si="26"/>
        <v>#DIV/0!</v>
      </c>
      <c r="AC25" s="178" t="e">
        <f t="shared" si="27"/>
        <v>#DIV/0!</v>
      </c>
      <c r="AD25" s="178" t="e">
        <f t="shared" si="28"/>
        <v>#DIV/0!</v>
      </c>
      <c r="AE25" s="177" t="e">
        <f t="shared" si="29"/>
        <v>#DIV/0!</v>
      </c>
      <c r="AF25" s="182">
        <f>IFERROR(D25*F25*L25*'Entrada e Saida'!$K$8,0)</f>
        <v>0</v>
      </c>
      <c r="AG25" s="178" t="e">
        <f>((W25+AA25+AB25+AC25+AD25+AE25+AF25)/(1-'Entrada e Saida'!$G$65))*'Entrada e Saida'!$I$66</f>
        <v>#DIV/0!</v>
      </c>
      <c r="AH25" s="180" t="e">
        <f t="shared" si="30"/>
        <v>#DIV/0!</v>
      </c>
      <c r="AI25" s="183" t="e">
        <f>'Entrada e Saida'!$K$51*(IF('Entrada e Saida'!$H$15="PESO",(P25/(SUM(P:P))),(Q25/(SUM(Q:Q)))))</f>
        <v>#DIV/0!</v>
      </c>
      <c r="AJ25" s="183">
        <f>(('Entrada e Saida'!$K$10-'Entrada e Saida'!$K$8)*E25*D25)</f>
        <v>0</v>
      </c>
      <c r="AK25" s="184" t="e">
        <f>IF('Entrada e Saida'!$H$15="PESO",W25+AA25+AH25+AI25+AJ25,W25+AA25+AH25+AI25+AJ25-S25+T25-U25+V25)</f>
        <v>#DIV/0!</v>
      </c>
      <c r="AL25" s="185" t="e">
        <f>IF('Entrada e Saida'!$H$12="REAL",AC25,0)</f>
        <v>#DIV/0!</v>
      </c>
      <c r="AM25" s="185" t="e">
        <f>IF('Entrada e Saida'!$H$12="REAL",AD25,0)</f>
        <v>#DIV/0!</v>
      </c>
      <c r="AN25" s="186" t="e">
        <f>IF('Entrada e Saida'!$H$13= "NÃO",AE25,0)</f>
        <v>#DIV/0!</v>
      </c>
      <c r="AO25" s="186" t="e">
        <f t="shared" si="31"/>
        <v>#DIV/0!</v>
      </c>
      <c r="AP25" s="184" t="e">
        <f t="shared" si="32"/>
        <v>#DIV/0!</v>
      </c>
      <c r="AQ25" s="178" t="e">
        <f>IF('Entrada e Saida'!$H$11="TRADING",AU25*'Custo Resumido'!D25,0)</f>
        <v>#DIV/0!</v>
      </c>
      <c r="AR25" s="178" t="e">
        <f>IF('Entrada e Saida'!$H$11="TRADING",AU25*'Entrada e Saida'!$G$63,0)</f>
        <v>#DIV/0!</v>
      </c>
      <c r="AS25" s="178" t="e">
        <f>IF('Entrada e Saida'!$H$11="TRADING",AU25*'Entrada e Saida'!$G$64,0)</f>
        <v>#DIV/0!</v>
      </c>
      <c r="AT25" s="178" t="e">
        <f>IF('Entrada e Saida'!$H$11="TRADING",AU25*'Entrada e Saida'!$G$65,0)</f>
        <v>#DIV/0!</v>
      </c>
      <c r="AU25" s="184" t="e">
        <f>IF('Entrada e Saida'!$H$11="TRADING",AP25/(1-(SUM('Entrada e Saida'!$G$63:$G$65)+'Custo Resumido'!D25)),0)</f>
        <v>#DIV/0!</v>
      </c>
      <c r="AV25" s="178" t="e">
        <f>IF('Entrada e Saida'!$H$13="NÃO",AU25*M25,0)</f>
        <v>#DIV/0!</v>
      </c>
      <c r="AW25" s="184" t="e">
        <f t="shared" si="33"/>
        <v>#DIV/0!</v>
      </c>
      <c r="AX25" s="178" t="e">
        <f>'Entrada e Saida'!$G$74*AU25</f>
        <v>#DIV/0!</v>
      </c>
      <c r="AY25" s="184" t="e">
        <f t="shared" si="34"/>
        <v>#DIV/0!</v>
      </c>
      <c r="AZ25" s="184" t="e">
        <f>AQ25+('Entrada e Saida'!$G$65-'Entrada e Saida'!$I$65)*AU25-AX25</f>
        <v>#DIV/0!</v>
      </c>
      <c r="BA25" s="3" t="e">
        <f>IF('Entrada e Saida'!$H$12="REAL",AZ25*'Entrada e Saida'!$G$81,AU25*'Entrada e Saida'!$G$81)</f>
        <v>#DIV/0!</v>
      </c>
      <c r="BB25" s="3" t="e">
        <f>IF('Entrada e Saida'!$H$12="REAL",AZ25*'Entrada e Saida'!$G$82,AU25*'Entrada e Saida'!$G$82)</f>
        <v>#DIV/0!</v>
      </c>
      <c r="BC25" s="4" t="e">
        <f t="shared" si="35"/>
        <v>#DIV/0!</v>
      </c>
      <c r="BD25" s="3" t="e">
        <f>IF('Entrada e Saida'!$H$11="TRADING",AW25/D25,AK25/D25)</f>
        <v>#DIV/0!</v>
      </c>
      <c r="BE25" s="3" t="e">
        <f t="shared" si="36"/>
        <v>#DIV/0!</v>
      </c>
      <c r="BF25" s="2" t="e">
        <f t="shared" si="37"/>
        <v>#DIV/0!</v>
      </c>
      <c r="BG25" s="3" t="e">
        <f>IF('Entrada e Saida'!$H$11="TRADING",AV25/D25,AN25/D25)</f>
        <v>#DIV/0!</v>
      </c>
      <c r="BH25" s="3" t="e">
        <f>IF('Entrada e Saida'!$H$11="TRADING",IF('Entrada e Saida'!$H$12="REAL",AR25/D25,0),AL25/D25)</f>
        <v>#DIV/0!</v>
      </c>
      <c r="BI25" s="3" t="e">
        <f>IF('Entrada e Saida'!$H$11="TRADING",IF('Entrada e Saida'!$H$12="REAL",AS25/D25,0),AM25/D25)</f>
        <v>#DIV/0!</v>
      </c>
      <c r="BJ25" s="3" t="e">
        <f>IF('Entrada e Saida'!$H$11="TRADING",AT25/D25,AO25/D25)</f>
        <v>#DIV/0!</v>
      </c>
      <c r="BK25" s="2" t="e">
        <f t="shared" si="38"/>
        <v>#DIV/0!</v>
      </c>
      <c r="BL25" s="2">
        <f>IF(O25&gt;0,IFERROR(IF('Entrada e Saida'!$H$11="DIRETA",0,(IF('Entrada e Saida'!$H$14="P.JURIDICA",(BD25*(1+O25)*N25)-((BD25/(1+M25))*'Entrada e Saida'!$G$65),((Produtos!N25-'Entrada e Saida'!$G$65)*Produtos!BD25)))),0),0)</f>
        <v>0</v>
      </c>
      <c r="BM25" s="2" t="e">
        <f t="shared" si="39"/>
        <v>#DIV/0!</v>
      </c>
    </row>
    <row r="26" spans="1:65" s="1" customFormat="1">
      <c r="A26" s="211"/>
      <c r="B26" s="172" t="e">
        <f>VLOOKUP(A26,'Master Modelo'!A:I,7,FALSE)</f>
        <v>#N/A</v>
      </c>
      <c r="C26" s="145" t="e">
        <f>VLOOKUP(A26,'Master Modelo'!A:I,2,FALSE)</f>
        <v>#N/A</v>
      </c>
      <c r="D26" s="146"/>
      <c r="E26" s="148">
        <f>IFERROR(VLOOKUP(A26,'Master Modelo'!A:I,9,FALSE),0)</f>
        <v>0</v>
      </c>
      <c r="F26" s="189">
        <f>IFERROR(VLOOKUP(A26,'Master Modelo'!A:I,8,FALSE),0)</f>
        <v>0</v>
      </c>
      <c r="G26" s="189">
        <f>IFERROR(VLOOKUP(A26,'Master Modelo'!A:K,11,FALSE),0)</f>
        <v>0</v>
      </c>
      <c r="H26" s="173" t="e">
        <f t="shared" ref="H26:H89" si="40">(D26*E26)/(D26*F26)</f>
        <v>#DIV/0!</v>
      </c>
      <c r="I26" s="163">
        <f>IFERROR(VLOOKUP(A26,'Master Modelo'!A:I,3,FALSE),0)</f>
        <v>0</v>
      </c>
      <c r="J26" s="164">
        <f>IFERROR(VLOOKUP(A26,'Master Modelo'!A:I,5,FALSE),0)</f>
        <v>0</v>
      </c>
      <c r="K26" s="164">
        <f>IFERROR(VLOOKUP(A26,'Master Modelo'!A:I,6,FALSE),0)</f>
        <v>0</v>
      </c>
      <c r="L26" s="165" t="e">
        <f>VLOOKUP(A26,'Master Modelo'!A:J,10,FALSE)</f>
        <v>#N/A</v>
      </c>
      <c r="M26" s="163">
        <f>IFERROR(VLOOKUP(A26,'Master Modelo'!A:I,4,FALSE),0)</f>
        <v>0</v>
      </c>
      <c r="N26" s="175"/>
      <c r="O26" s="187"/>
      <c r="P26" s="177">
        <f t="shared" ref="P26:P89" si="41">D26*F26</f>
        <v>0</v>
      </c>
      <c r="Q26" s="177">
        <f t="shared" si="10"/>
        <v>0</v>
      </c>
      <c r="R26" s="178">
        <f>D26*E26*'Entrada e Saida'!$K$8</f>
        <v>0</v>
      </c>
      <c r="S26" s="179" t="e">
        <f>'Entrada e Saida'!$H$21*'Entrada e Saida'!$K$8*(P26/(SUM(P:P)))</f>
        <v>#DIV/0!</v>
      </c>
      <c r="T26" s="179" t="e">
        <f>'Entrada e Saida'!$H$21*'Entrada e Saida'!$K$8*(Q26/(SUM(Q:Q)))</f>
        <v>#DIV/0!</v>
      </c>
      <c r="U26" s="179" t="e">
        <f>'Entrada e Saida'!$H$22*(P26/(SUM(P:P)))</f>
        <v>#DIV/0!</v>
      </c>
      <c r="V26" s="179" t="e">
        <f>'Entrada e Saida'!$H$22*(Q26/(SUM(Q:Q)))</f>
        <v>#DIV/0!</v>
      </c>
      <c r="W26" s="180" t="e">
        <f t="shared" ref="W26:W89" si="42">R26+S26+U26</f>
        <v>#DIV/0!</v>
      </c>
      <c r="X26" s="179" t="e">
        <f>'Entrada e Saida'!$H$26*(IF('Entrada e Saida'!$H$15="PESO",(P26/(SUM(P:P))),(Q26/(SUM(Q:Q)))))</f>
        <v>#DIV/0!</v>
      </c>
      <c r="Y26" s="179" t="e">
        <f>'Entrada e Saida'!$H$27*(IF('Entrada e Saida'!$H$15="PESO",(P26/(SUM(P:P))),(Q26/(SUM(Q:Q)))))</f>
        <v>#DIV/0!</v>
      </c>
      <c r="Z26" s="179" t="e">
        <f>'Entrada e Saida'!$H$28*(IF('Entrada e Saida'!$H$15="PESO",(P26/(SUM(P:P))),(Q26/(SUM(Q:Q)))))</f>
        <v>#DIV/0!</v>
      </c>
      <c r="AA26" s="181" t="e">
        <f t="shared" ref="AA26:AA89" si="43">X26+Y26+Z26</f>
        <v>#DIV/0!</v>
      </c>
      <c r="AB26" s="178" t="e">
        <f t="shared" ref="AB26:AB89" si="44">W26*I26</f>
        <v>#DIV/0!</v>
      </c>
      <c r="AC26" s="178" t="e">
        <f t="shared" ref="AC26:AC89" si="45">W26*J26</f>
        <v>#DIV/0!</v>
      </c>
      <c r="AD26" s="178" t="e">
        <f t="shared" ref="AD26:AD89" si="46">W26*K26</f>
        <v>#DIV/0!</v>
      </c>
      <c r="AE26" s="177" t="e">
        <f t="shared" ref="AE26:AE89" si="47">(W26+AB26)*M26</f>
        <v>#DIV/0!</v>
      </c>
      <c r="AF26" s="182">
        <f>IFERROR(D26*F26*L26*'Entrada e Saida'!$K$8,0)</f>
        <v>0</v>
      </c>
      <c r="AG26" s="178" t="e">
        <f>((W26+AA26+AB26+AC26+AD26+AE26+AF26)/(1-'Entrada e Saida'!$G$65))*'Entrada e Saida'!$I$66</f>
        <v>#DIV/0!</v>
      </c>
      <c r="AH26" s="180" t="e">
        <f t="shared" ref="AH26:AH89" si="48">SUM(AB26:AG26)</f>
        <v>#DIV/0!</v>
      </c>
      <c r="AI26" s="183" t="e">
        <f>'Entrada e Saida'!$K$51*(IF('Entrada e Saida'!$H$15="PESO",(P26/(SUM(P:P))),(Q26/(SUM(Q:Q)))))</f>
        <v>#DIV/0!</v>
      </c>
      <c r="AJ26" s="183">
        <f>(('Entrada e Saida'!$K$10-'Entrada e Saida'!$K$8)*E26*D26)</f>
        <v>0</v>
      </c>
      <c r="AK26" s="184" t="e">
        <f>IF('Entrada e Saida'!$H$15="PESO",W26+AA26+AH26+AI26+AJ26,W26+AA26+AH26+AI26+AJ26-S26+T26-U26+V26)</f>
        <v>#DIV/0!</v>
      </c>
      <c r="AL26" s="185" t="e">
        <f>IF('Entrada e Saida'!$H$12="REAL",AC26,0)</f>
        <v>#DIV/0!</v>
      </c>
      <c r="AM26" s="185" t="e">
        <f>IF('Entrada e Saida'!$H$12="REAL",AD26,0)</f>
        <v>#DIV/0!</v>
      </c>
      <c r="AN26" s="186" t="e">
        <f>IF('Entrada e Saida'!$H$13= "NÃO",AE26,0)</f>
        <v>#DIV/0!</v>
      </c>
      <c r="AO26" s="186" t="e">
        <f t="shared" ref="AO26:AO89" si="49">AG26</f>
        <v>#DIV/0!</v>
      </c>
      <c r="AP26" s="184" t="e">
        <f t="shared" ref="AP26:AP89" si="50">AK26-SUM(AL26:AO26)</f>
        <v>#DIV/0!</v>
      </c>
      <c r="AQ26" s="178" t="e">
        <f>IF('Entrada e Saida'!$H$11="TRADING",AU26*'Custo Resumido'!D26,0)</f>
        <v>#DIV/0!</v>
      </c>
      <c r="AR26" s="178" t="e">
        <f>IF('Entrada e Saida'!$H$11="TRADING",AU26*'Entrada e Saida'!$G$63,0)</f>
        <v>#DIV/0!</v>
      </c>
      <c r="AS26" s="178" t="e">
        <f>IF('Entrada e Saida'!$H$11="TRADING",AU26*'Entrada e Saida'!$G$64,0)</f>
        <v>#DIV/0!</v>
      </c>
      <c r="AT26" s="178" t="e">
        <f>IF('Entrada e Saida'!$H$11="TRADING",AU26*'Entrada e Saida'!$G$65,0)</f>
        <v>#DIV/0!</v>
      </c>
      <c r="AU26" s="184" t="e">
        <f>IF('Entrada e Saida'!$H$11="TRADING",AP26/(1-(SUM('Entrada e Saida'!$G$63:$G$65)+'Custo Resumido'!D26)),0)</f>
        <v>#DIV/0!</v>
      </c>
      <c r="AV26" s="178" t="e">
        <f>IF('Entrada e Saida'!$H$13="NÃO",AU26*M26,0)</f>
        <v>#DIV/0!</v>
      </c>
      <c r="AW26" s="184" t="e">
        <f t="shared" ref="AW26:AW89" si="51">AU26+AV26</f>
        <v>#DIV/0!</v>
      </c>
      <c r="AX26" s="178" t="e">
        <f>'Entrada e Saida'!$G$74*AU26</f>
        <v>#DIV/0!</v>
      </c>
      <c r="AY26" s="184" t="e">
        <f t="shared" ref="AY26:AY89" si="52">AW26-AX26</f>
        <v>#DIV/0!</v>
      </c>
      <c r="AZ26" s="184" t="e">
        <f>AQ26+('Entrada e Saida'!$G$65-'Entrada e Saida'!$I$65)*AU26-AX26</f>
        <v>#DIV/0!</v>
      </c>
      <c r="BA26" s="3" t="e">
        <f>IF('Entrada e Saida'!$H$12="REAL",AZ26*'Entrada e Saida'!$G$81,AU26*'Entrada e Saida'!$G$81)</f>
        <v>#DIV/0!</v>
      </c>
      <c r="BB26" s="3" t="e">
        <f>IF('Entrada e Saida'!$H$12="REAL",AZ26*'Entrada e Saida'!$G$82,AU26*'Entrada e Saida'!$G$82)</f>
        <v>#DIV/0!</v>
      </c>
      <c r="BC26" s="4" t="e">
        <f t="shared" ref="BC26:BC89" si="53">AZ26-BA26-BB26</f>
        <v>#DIV/0!</v>
      </c>
      <c r="BD26" s="3" t="e">
        <f>IF('Entrada e Saida'!$H$11="TRADING",AW26/D26,AK26/D26)</f>
        <v>#DIV/0!</v>
      </c>
      <c r="BE26" s="3" t="e">
        <f t="shared" ref="BE26:BE89" si="54">AX26/D26</f>
        <v>#DIV/0!</v>
      </c>
      <c r="BF26" s="2" t="e">
        <f t="shared" ref="BF26:BF89" si="55">BD26-BE26</f>
        <v>#DIV/0!</v>
      </c>
      <c r="BG26" s="3" t="e">
        <f>IF('Entrada e Saida'!$H$11="TRADING",AV26/D26,AN26/D26)</f>
        <v>#DIV/0!</v>
      </c>
      <c r="BH26" s="3" t="e">
        <f>IF('Entrada e Saida'!$H$11="TRADING",IF('Entrada e Saida'!$H$12="REAL",AR26/D26,0),AL26/D26)</f>
        <v>#DIV/0!</v>
      </c>
      <c r="BI26" s="3" t="e">
        <f>IF('Entrada e Saida'!$H$11="TRADING",IF('Entrada e Saida'!$H$12="REAL",AS26/D26,0),AM26/D26)</f>
        <v>#DIV/0!</v>
      </c>
      <c r="BJ26" s="3" t="e">
        <f>IF('Entrada e Saida'!$H$11="TRADING",AT26/D26,AO26/D26)</f>
        <v>#DIV/0!</v>
      </c>
      <c r="BK26" s="2" t="e">
        <f t="shared" ref="BK26:BK89" si="56">BF26-SUM(BG26:BJ26)</f>
        <v>#DIV/0!</v>
      </c>
      <c r="BL26" s="2">
        <f>IF(O26&gt;0,IFERROR(IF('Entrada e Saida'!$H$11="DIRETA",0,(IF('Entrada e Saida'!$H$14="P.JURIDICA",(BD26*(1+O26)*N26)-((BD26/(1+M26))*'Entrada e Saida'!$G$65),((Produtos!N26-'Entrada e Saida'!$G$65)*Produtos!BD26)))),0),0)</f>
        <v>0</v>
      </c>
      <c r="BM26" s="2" t="e">
        <f t="shared" ref="BM26:BM89" si="57">BF26+BL26</f>
        <v>#DIV/0!</v>
      </c>
    </row>
    <row r="27" spans="1:65" s="1" customFormat="1">
      <c r="A27" s="211"/>
      <c r="B27" s="172" t="e">
        <f>VLOOKUP(A27,'Master Modelo'!A:I,7,FALSE)</f>
        <v>#N/A</v>
      </c>
      <c r="C27" s="145" t="e">
        <f>VLOOKUP(A27,'Master Modelo'!A:I,2,FALSE)</f>
        <v>#N/A</v>
      </c>
      <c r="D27" s="146"/>
      <c r="E27" s="148">
        <f>IFERROR(VLOOKUP(A27,'Master Modelo'!A:I,9,FALSE),0)</f>
        <v>0</v>
      </c>
      <c r="F27" s="189">
        <f>IFERROR(VLOOKUP(A27,'Master Modelo'!A:I,8,FALSE),0)</f>
        <v>0</v>
      </c>
      <c r="G27" s="189">
        <f>IFERROR(VLOOKUP(A27,'Master Modelo'!A:K,11,FALSE),0)</f>
        <v>0</v>
      </c>
      <c r="H27" s="173" t="e">
        <f t="shared" si="40"/>
        <v>#DIV/0!</v>
      </c>
      <c r="I27" s="163">
        <f>IFERROR(VLOOKUP(A27,'Master Modelo'!A:I,3,FALSE),0)</f>
        <v>0</v>
      </c>
      <c r="J27" s="164">
        <f>IFERROR(VLOOKUP(A27,'Master Modelo'!A:I,5,FALSE),0)</f>
        <v>0</v>
      </c>
      <c r="K27" s="164">
        <f>IFERROR(VLOOKUP(A27,'Master Modelo'!A:I,6,FALSE),0)</f>
        <v>0</v>
      </c>
      <c r="L27" s="165" t="e">
        <f>VLOOKUP(A27,'Master Modelo'!A:J,10,FALSE)</f>
        <v>#N/A</v>
      </c>
      <c r="M27" s="163">
        <f>IFERROR(VLOOKUP(A27,'Master Modelo'!A:I,4,FALSE),0)</f>
        <v>0</v>
      </c>
      <c r="N27" s="175"/>
      <c r="O27" s="187"/>
      <c r="P27" s="177">
        <f t="shared" si="41"/>
        <v>0</v>
      </c>
      <c r="Q27" s="177">
        <f t="shared" si="10"/>
        <v>0</v>
      </c>
      <c r="R27" s="178">
        <f>D27*E27*'Entrada e Saida'!$K$8</f>
        <v>0</v>
      </c>
      <c r="S27" s="179" t="e">
        <f>'Entrada e Saida'!$H$21*'Entrada e Saida'!$K$8*(P27/(SUM(P:P)))</f>
        <v>#DIV/0!</v>
      </c>
      <c r="T27" s="179" t="e">
        <f>'Entrada e Saida'!$H$21*'Entrada e Saida'!$K$8*(Q27/(SUM(Q:Q)))</f>
        <v>#DIV/0!</v>
      </c>
      <c r="U27" s="179" t="e">
        <f>'Entrada e Saida'!$H$22*(P27/(SUM(P:P)))</f>
        <v>#DIV/0!</v>
      </c>
      <c r="V27" s="179" t="e">
        <f>'Entrada e Saida'!$H$22*(Q27/(SUM(Q:Q)))</f>
        <v>#DIV/0!</v>
      </c>
      <c r="W27" s="180" t="e">
        <f t="shared" si="42"/>
        <v>#DIV/0!</v>
      </c>
      <c r="X27" s="179" t="e">
        <f>'Entrada e Saida'!$H$26*(IF('Entrada e Saida'!$H$15="PESO",(P27/(SUM(P:P))),(Q27/(SUM(Q:Q)))))</f>
        <v>#DIV/0!</v>
      </c>
      <c r="Y27" s="179" t="e">
        <f>'Entrada e Saida'!$H$27*(IF('Entrada e Saida'!$H$15="PESO",(P27/(SUM(P:P))),(Q27/(SUM(Q:Q)))))</f>
        <v>#DIV/0!</v>
      </c>
      <c r="Z27" s="179" t="e">
        <f>'Entrada e Saida'!$H$28*(IF('Entrada e Saida'!$H$15="PESO",(P27/(SUM(P:P))),(Q27/(SUM(Q:Q)))))</f>
        <v>#DIV/0!</v>
      </c>
      <c r="AA27" s="181" t="e">
        <f t="shared" si="43"/>
        <v>#DIV/0!</v>
      </c>
      <c r="AB27" s="178" t="e">
        <f t="shared" si="44"/>
        <v>#DIV/0!</v>
      </c>
      <c r="AC27" s="178" t="e">
        <f t="shared" si="45"/>
        <v>#DIV/0!</v>
      </c>
      <c r="AD27" s="178" t="e">
        <f t="shared" si="46"/>
        <v>#DIV/0!</v>
      </c>
      <c r="AE27" s="177" t="e">
        <f t="shared" si="47"/>
        <v>#DIV/0!</v>
      </c>
      <c r="AF27" s="182">
        <f>IFERROR(D27*F27*L27*'Entrada e Saida'!$K$8,0)</f>
        <v>0</v>
      </c>
      <c r="AG27" s="178" t="e">
        <f>((W27+AA27+AB27+AC27+AD27+AE27+AF27)/(1-'Entrada e Saida'!$G$65))*'Entrada e Saida'!$I$66</f>
        <v>#DIV/0!</v>
      </c>
      <c r="AH27" s="180" t="e">
        <f t="shared" si="48"/>
        <v>#DIV/0!</v>
      </c>
      <c r="AI27" s="183" t="e">
        <f>'Entrada e Saida'!$K$51*(IF('Entrada e Saida'!$H$15="PESO",(P27/(SUM(P:P))),(Q27/(SUM(Q:Q)))))</f>
        <v>#DIV/0!</v>
      </c>
      <c r="AJ27" s="183">
        <f>(('Entrada e Saida'!$K$10-'Entrada e Saida'!$K$8)*E27*D27)</f>
        <v>0</v>
      </c>
      <c r="AK27" s="184" t="e">
        <f>IF('Entrada e Saida'!$H$15="PESO",W27+AA27+AH27+AI27+AJ27,W27+AA27+AH27+AI27+AJ27-S27+T27-U27+V27)</f>
        <v>#DIV/0!</v>
      </c>
      <c r="AL27" s="185" t="e">
        <f>IF('Entrada e Saida'!$H$12="REAL",AC27,0)</f>
        <v>#DIV/0!</v>
      </c>
      <c r="AM27" s="185" t="e">
        <f>IF('Entrada e Saida'!$H$12="REAL",AD27,0)</f>
        <v>#DIV/0!</v>
      </c>
      <c r="AN27" s="186" t="e">
        <f>IF('Entrada e Saida'!$H$13= "NÃO",AE27,0)</f>
        <v>#DIV/0!</v>
      </c>
      <c r="AO27" s="186" t="e">
        <f t="shared" si="49"/>
        <v>#DIV/0!</v>
      </c>
      <c r="AP27" s="184" t="e">
        <f t="shared" si="50"/>
        <v>#DIV/0!</v>
      </c>
      <c r="AQ27" s="178" t="e">
        <f>IF('Entrada e Saida'!$H$11="TRADING",AU27*'Custo Resumido'!D27,0)</f>
        <v>#DIV/0!</v>
      </c>
      <c r="AR27" s="178" t="e">
        <f>IF('Entrada e Saida'!$H$11="TRADING",AU27*'Entrada e Saida'!$G$63,0)</f>
        <v>#DIV/0!</v>
      </c>
      <c r="AS27" s="178" t="e">
        <f>IF('Entrada e Saida'!$H$11="TRADING",AU27*'Entrada e Saida'!$G$64,0)</f>
        <v>#DIV/0!</v>
      </c>
      <c r="AT27" s="178" t="e">
        <f>IF('Entrada e Saida'!$H$11="TRADING",AU27*'Entrada e Saida'!$G$65,0)</f>
        <v>#DIV/0!</v>
      </c>
      <c r="AU27" s="184" t="e">
        <f>IF('Entrada e Saida'!$H$11="TRADING",AP27/(1-(SUM('Entrada e Saida'!$G$63:$G$65)+'Custo Resumido'!D27)),0)</f>
        <v>#DIV/0!</v>
      </c>
      <c r="AV27" s="178" t="e">
        <f>IF('Entrada e Saida'!$H$13="NÃO",AU27*M27,0)</f>
        <v>#DIV/0!</v>
      </c>
      <c r="AW27" s="184" t="e">
        <f t="shared" si="51"/>
        <v>#DIV/0!</v>
      </c>
      <c r="AX27" s="178" t="e">
        <f>'Entrada e Saida'!$G$74*AU27</f>
        <v>#DIV/0!</v>
      </c>
      <c r="AY27" s="184" t="e">
        <f t="shared" si="52"/>
        <v>#DIV/0!</v>
      </c>
      <c r="AZ27" s="184" t="e">
        <f>AQ27+('Entrada e Saida'!$G$65-'Entrada e Saida'!$I$65)*AU27-AX27</f>
        <v>#DIV/0!</v>
      </c>
      <c r="BA27" s="3" t="e">
        <f>IF('Entrada e Saida'!$H$12="REAL",AZ27*'Entrada e Saida'!$G$81,AU27*'Entrada e Saida'!$G$81)</f>
        <v>#DIV/0!</v>
      </c>
      <c r="BB27" s="3" t="e">
        <f>IF('Entrada e Saida'!$H$12="REAL",AZ27*'Entrada e Saida'!$G$82,AU27*'Entrada e Saida'!$G$82)</f>
        <v>#DIV/0!</v>
      </c>
      <c r="BC27" s="4" t="e">
        <f t="shared" si="53"/>
        <v>#DIV/0!</v>
      </c>
      <c r="BD27" s="3" t="e">
        <f>IF('Entrada e Saida'!$H$11="TRADING",AW27/D27,AK27/D27)</f>
        <v>#DIV/0!</v>
      </c>
      <c r="BE27" s="3" t="e">
        <f t="shared" si="54"/>
        <v>#DIV/0!</v>
      </c>
      <c r="BF27" s="2" t="e">
        <f t="shared" si="55"/>
        <v>#DIV/0!</v>
      </c>
      <c r="BG27" s="3" t="e">
        <f>IF('Entrada e Saida'!$H$11="TRADING",AV27/D27,AN27/D27)</f>
        <v>#DIV/0!</v>
      </c>
      <c r="BH27" s="3" t="e">
        <f>IF('Entrada e Saida'!$H$11="TRADING",IF('Entrada e Saida'!$H$12="REAL",AR27/D27,0),AL27/D27)</f>
        <v>#DIV/0!</v>
      </c>
      <c r="BI27" s="3" t="e">
        <f>IF('Entrada e Saida'!$H$11="TRADING",IF('Entrada e Saida'!$H$12="REAL",AS27/D27,0),AM27/D27)</f>
        <v>#DIV/0!</v>
      </c>
      <c r="BJ27" s="3" t="e">
        <f>IF('Entrada e Saida'!$H$11="TRADING",AT27/D27,AO27/D27)</f>
        <v>#DIV/0!</v>
      </c>
      <c r="BK27" s="2" t="e">
        <f t="shared" si="56"/>
        <v>#DIV/0!</v>
      </c>
      <c r="BL27" s="2">
        <f>IF(O27&gt;0,IFERROR(IF('Entrada e Saida'!$H$11="DIRETA",0,(IF('Entrada e Saida'!$H$14="P.JURIDICA",(BD27*(1+O27)*N27)-((BD27/(1+M27))*'Entrada e Saida'!$G$65),((Produtos!N27-'Entrada e Saida'!$G$65)*Produtos!BD27)))),0),0)</f>
        <v>0</v>
      </c>
      <c r="BM27" s="2" t="e">
        <f t="shared" si="57"/>
        <v>#DIV/0!</v>
      </c>
    </row>
    <row r="28" spans="1:65" s="1" customFormat="1">
      <c r="A28" s="211"/>
      <c r="B28" s="172" t="e">
        <f>VLOOKUP(A28,'Master Modelo'!A:I,7,FALSE)</f>
        <v>#N/A</v>
      </c>
      <c r="C28" s="145" t="e">
        <f>VLOOKUP(A28,'Master Modelo'!A:I,2,FALSE)</f>
        <v>#N/A</v>
      </c>
      <c r="D28" s="146"/>
      <c r="E28" s="148">
        <f>IFERROR(VLOOKUP(A28,'Master Modelo'!A:I,9,FALSE),0)</f>
        <v>0</v>
      </c>
      <c r="F28" s="189">
        <f>IFERROR(VLOOKUP(A28,'Master Modelo'!A:I,8,FALSE),0)</f>
        <v>0</v>
      </c>
      <c r="G28" s="189">
        <f>IFERROR(VLOOKUP(A28,'Master Modelo'!A:K,11,FALSE),0)</f>
        <v>0</v>
      </c>
      <c r="H28" s="173" t="e">
        <f t="shared" si="40"/>
        <v>#DIV/0!</v>
      </c>
      <c r="I28" s="163">
        <f>IFERROR(VLOOKUP(A28,'Master Modelo'!A:I,3,FALSE),0)</f>
        <v>0</v>
      </c>
      <c r="J28" s="164">
        <f>IFERROR(VLOOKUP(A28,'Master Modelo'!A:I,5,FALSE),0)</f>
        <v>0</v>
      </c>
      <c r="K28" s="164">
        <f>IFERROR(VLOOKUP(A28,'Master Modelo'!A:I,6,FALSE),0)</f>
        <v>0</v>
      </c>
      <c r="L28" s="165" t="e">
        <f>VLOOKUP(A28,'Master Modelo'!A:J,10,FALSE)</f>
        <v>#N/A</v>
      </c>
      <c r="M28" s="163">
        <f>IFERROR(VLOOKUP(A28,'Master Modelo'!A:I,4,FALSE),0)</f>
        <v>0</v>
      </c>
      <c r="N28" s="175"/>
      <c r="O28" s="187"/>
      <c r="P28" s="177">
        <f t="shared" si="41"/>
        <v>0</v>
      </c>
      <c r="Q28" s="177">
        <f t="shared" si="10"/>
        <v>0</v>
      </c>
      <c r="R28" s="178">
        <f>D28*E28*'Entrada e Saida'!$K$8</f>
        <v>0</v>
      </c>
      <c r="S28" s="179" t="e">
        <f>'Entrada e Saida'!$H$21*'Entrada e Saida'!$K$8*(P28/(SUM(P:P)))</f>
        <v>#DIV/0!</v>
      </c>
      <c r="T28" s="179" t="e">
        <f>'Entrada e Saida'!$H$21*'Entrada e Saida'!$K$8*(Q28/(SUM(Q:Q)))</f>
        <v>#DIV/0!</v>
      </c>
      <c r="U28" s="179" t="e">
        <f>'Entrada e Saida'!$H$22*(P28/(SUM(P:P)))</f>
        <v>#DIV/0!</v>
      </c>
      <c r="V28" s="179" t="e">
        <f>'Entrada e Saida'!$H$22*(Q28/(SUM(Q:Q)))</f>
        <v>#DIV/0!</v>
      </c>
      <c r="W28" s="180" t="e">
        <f t="shared" si="42"/>
        <v>#DIV/0!</v>
      </c>
      <c r="X28" s="179" t="e">
        <f>'Entrada e Saida'!$H$26*(IF('Entrada e Saida'!$H$15="PESO",(P28/(SUM(P:P))),(Q28/(SUM(Q:Q)))))</f>
        <v>#DIV/0!</v>
      </c>
      <c r="Y28" s="179" t="e">
        <f>'Entrada e Saida'!$H$27*(IF('Entrada e Saida'!$H$15="PESO",(P28/(SUM(P:P))),(Q28/(SUM(Q:Q)))))</f>
        <v>#DIV/0!</v>
      </c>
      <c r="Z28" s="179" t="e">
        <f>'Entrada e Saida'!$H$28*(IF('Entrada e Saida'!$H$15="PESO",(P28/(SUM(P:P))),(Q28/(SUM(Q:Q)))))</f>
        <v>#DIV/0!</v>
      </c>
      <c r="AA28" s="181" t="e">
        <f t="shared" si="43"/>
        <v>#DIV/0!</v>
      </c>
      <c r="AB28" s="178" t="e">
        <f t="shared" si="44"/>
        <v>#DIV/0!</v>
      </c>
      <c r="AC28" s="178" t="e">
        <f t="shared" si="45"/>
        <v>#DIV/0!</v>
      </c>
      <c r="AD28" s="178" t="e">
        <f t="shared" si="46"/>
        <v>#DIV/0!</v>
      </c>
      <c r="AE28" s="177" t="e">
        <f t="shared" si="47"/>
        <v>#DIV/0!</v>
      </c>
      <c r="AF28" s="182">
        <f>IFERROR(D28*F28*L28*'Entrada e Saida'!$K$8,0)</f>
        <v>0</v>
      </c>
      <c r="AG28" s="178" t="e">
        <f>((W28+AA28+AB28+AC28+AD28+AE28+AF28)/(1-'Entrada e Saida'!$G$65))*'Entrada e Saida'!$I$66</f>
        <v>#DIV/0!</v>
      </c>
      <c r="AH28" s="180" t="e">
        <f t="shared" si="48"/>
        <v>#DIV/0!</v>
      </c>
      <c r="AI28" s="183" t="e">
        <f>'Entrada e Saida'!$K$51*(IF('Entrada e Saida'!$H$15="PESO",(P28/(SUM(P:P))),(Q28/(SUM(Q:Q)))))</f>
        <v>#DIV/0!</v>
      </c>
      <c r="AJ28" s="183">
        <f>(('Entrada e Saida'!$K$10-'Entrada e Saida'!$K$8)*E28*D28)</f>
        <v>0</v>
      </c>
      <c r="AK28" s="184" t="e">
        <f>IF('Entrada e Saida'!$H$15="PESO",W28+AA28+AH28+AI28+AJ28,W28+AA28+AH28+AI28+AJ28-S28+T28-U28+V28)</f>
        <v>#DIV/0!</v>
      </c>
      <c r="AL28" s="185" t="e">
        <f>IF('Entrada e Saida'!$H$12="REAL",AC28,0)</f>
        <v>#DIV/0!</v>
      </c>
      <c r="AM28" s="185" t="e">
        <f>IF('Entrada e Saida'!$H$12="REAL",AD28,0)</f>
        <v>#DIV/0!</v>
      </c>
      <c r="AN28" s="186" t="e">
        <f>IF('Entrada e Saida'!$H$13= "NÃO",AE28,0)</f>
        <v>#DIV/0!</v>
      </c>
      <c r="AO28" s="186" t="e">
        <f t="shared" si="49"/>
        <v>#DIV/0!</v>
      </c>
      <c r="AP28" s="184" t="e">
        <f t="shared" si="50"/>
        <v>#DIV/0!</v>
      </c>
      <c r="AQ28" s="178" t="e">
        <f>IF('Entrada e Saida'!$H$11="TRADING",AU28*'Custo Resumido'!D28,0)</f>
        <v>#DIV/0!</v>
      </c>
      <c r="AR28" s="178" t="e">
        <f>IF('Entrada e Saida'!$H$11="TRADING",AU28*'Entrada e Saida'!$G$63,0)</f>
        <v>#DIV/0!</v>
      </c>
      <c r="AS28" s="178" t="e">
        <f>IF('Entrada e Saida'!$H$11="TRADING",AU28*'Entrada e Saida'!$G$64,0)</f>
        <v>#DIV/0!</v>
      </c>
      <c r="AT28" s="178" t="e">
        <f>IF('Entrada e Saida'!$H$11="TRADING",AU28*'Entrada e Saida'!$G$65,0)</f>
        <v>#DIV/0!</v>
      </c>
      <c r="AU28" s="184" t="e">
        <f>IF('Entrada e Saida'!$H$11="TRADING",AP28/(1-(SUM('Entrada e Saida'!$G$63:$G$65)+'Custo Resumido'!D28)),0)</f>
        <v>#DIV/0!</v>
      </c>
      <c r="AV28" s="178" t="e">
        <f>IF('Entrada e Saida'!$H$13="NÃO",AU28*M28,0)</f>
        <v>#DIV/0!</v>
      </c>
      <c r="AW28" s="184" t="e">
        <f t="shared" si="51"/>
        <v>#DIV/0!</v>
      </c>
      <c r="AX28" s="178" t="e">
        <f>'Entrada e Saida'!$G$74*AU28</f>
        <v>#DIV/0!</v>
      </c>
      <c r="AY28" s="184" t="e">
        <f t="shared" si="52"/>
        <v>#DIV/0!</v>
      </c>
      <c r="AZ28" s="184" t="e">
        <f>AQ28+('Entrada e Saida'!$G$65-'Entrada e Saida'!$I$65)*AU28-AX28</f>
        <v>#DIV/0!</v>
      </c>
      <c r="BA28" s="3" t="e">
        <f>IF('Entrada e Saida'!$H$12="REAL",AZ28*'Entrada e Saida'!$G$81,AU28*'Entrada e Saida'!$G$81)</f>
        <v>#DIV/0!</v>
      </c>
      <c r="BB28" s="3" t="e">
        <f>IF('Entrada e Saida'!$H$12="REAL",AZ28*'Entrada e Saida'!$G$82,AU28*'Entrada e Saida'!$G$82)</f>
        <v>#DIV/0!</v>
      </c>
      <c r="BC28" s="4" t="e">
        <f t="shared" si="53"/>
        <v>#DIV/0!</v>
      </c>
      <c r="BD28" s="3" t="e">
        <f>IF('Entrada e Saida'!$H$11="TRADING",AW28/D28,AK28/D28)</f>
        <v>#DIV/0!</v>
      </c>
      <c r="BE28" s="3" t="e">
        <f t="shared" si="54"/>
        <v>#DIV/0!</v>
      </c>
      <c r="BF28" s="2" t="e">
        <f t="shared" si="55"/>
        <v>#DIV/0!</v>
      </c>
      <c r="BG28" s="3" t="e">
        <f>IF('Entrada e Saida'!$H$11="TRADING",AV28/D28,AN28/D28)</f>
        <v>#DIV/0!</v>
      </c>
      <c r="BH28" s="3" t="e">
        <f>IF('Entrada e Saida'!$H$11="TRADING",IF('Entrada e Saida'!$H$12="REAL",AR28/D28,0),AL28/D28)</f>
        <v>#DIV/0!</v>
      </c>
      <c r="BI28" s="3" t="e">
        <f>IF('Entrada e Saida'!$H$11="TRADING",IF('Entrada e Saida'!$H$12="REAL",AS28/D28,0),AM28/D28)</f>
        <v>#DIV/0!</v>
      </c>
      <c r="BJ28" s="3" t="e">
        <f>IF('Entrada e Saida'!$H$11="TRADING",AT28/D28,AO28/D28)</f>
        <v>#DIV/0!</v>
      </c>
      <c r="BK28" s="2" t="e">
        <f t="shared" si="56"/>
        <v>#DIV/0!</v>
      </c>
      <c r="BL28" s="2">
        <f>IF(O28&gt;0,IFERROR(IF('Entrada e Saida'!$H$11="DIRETA",0,(IF('Entrada e Saida'!$H$14="P.JURIDICA",(BD28*(1+O28)*N28)-((BD28/(1+M28))*'Entrada e Saida'!$G$65),((Produtos!N28-'Entrada e Saida'!$G$65)*Produtos!BD28)))),0),0)</f>
        <v>0</v>
      </c>
      <c r="BM28" s="2" t="e">
        <f t="shared" si="57"/>
        <v>#DIV/0!</v>
      </c>
    </row>
    <row r="29" spans="1:65" s="1" customFormat="1">
      <c r="A29" s="211"/>
      <c r="B29" s="172" t="e">
        <f>VLOOKUP(A29,'Master Modelo'!A:I,7,FALSE)</f>
        <v>#N/A</v>
      </c>
      <c r="C29" s="145" t="e">
        <f>VLOOKUP(A29,'Master Modelo'!A:I,2,FALSE)</f>
        <v>#N/A</v>
      </c>
      <c r="D29" s="146"/>
      <c r="E29" s="148">
        <f>IFERROR(VLOOKUP(A29,'Master Modelo'!A:I,9,FALSE),0)</f>
        <v>0</v>
      </c>
      <c r="F29" s="189">
        <f>IFERROR(VLOOKUP(A29,'Master Modelo'!A:I,8,FALSE),0)</f>
        <v>0</v>
      </c>
      <c r="G29" s="189">
        <f>IFERROR(VLOOKUP(A29,'Master Modelo'!A:K,11,FALSE),0)</f>
        <v>0</v>
      </c>
      <c r="H29" s="173" t="e">
        <f t="shared" si="40"/>
        <v>#DIV/0!</v>
      </c>
      <c r="I29" s="163">
        <f>IFERROR(VLOOKUP(A29,'Master Modelo'!A:I,3,FALSE),0)</f>
        <v>0</v>
      </c>
      <c r="J29" s="164">
        <f>IFERROR(VLOOKUP(A29,'Master Modelo'!A:I,5,FALSE),0)</f>
        <v>0</v>
      </c>
      <c r="K29" s="164">
        <f>IFERROR(VLOOKUP(A29,'Master Modelo'!A:I,6,FALSE),0)</f>
        <v>0</v>
      </c>
      <c r="L29" s="165" t="e">
        <f>VLOOKUP(A29,'Master Modelo'!A:J,10,FALSE)</f>
        <v>#N/A</v>
      </c>
      <c r="M29" s="163">
        <f>IFERROR(VLOOKUP(A29,'Master Modelo'!A:I,4,FALSE),0)</f>
        <v>0</v>
      </c>
      <c r="N29" s="175"/>
      <c r="O29" s="187"/>
      <c r="P29" s="177">
        <f t="shared" si="41"/>
        <v>0</v>
      </c>
      <c r="Q29" s="177">
        <f t="shared" si="10"/>
        <v>0</v>
      </c>
      <c r="R29" s="178">
        <f>D29*E29*'Entrada e Saida'!$K$8</f>
        <v>0</v>
      </c>
      <c r="S29" s="179" t="e">
        <f>'Entrada e Saida'!$H$21*'Entrada e Saida'!$K$8*(P29/(SUM(P:P)))</f>
        <v>#DIV/0!</v>
      </c>
      <c r="T29" s="179" t="e">
        <f>'Entrada e Saida'!$H$21*'Entrada e Saida'!$K$8*(Q29/(SUM(Q:Q)))</f>
        <v>#DIV/0!</v>
      </c>
      <c r="U29" s="179" t="e">
        <f>'Entrada e Saida'!$H$22*(P29/(SUM(P:P)))</f>
        <v>#DIV/0!</v>
      </c>
      <c r="V29" s="179" t="e">
        <f>'Entrada e Saida'!$H$22*(Q29/(SUM(Q:Q)))</f>
        <v>#DIV/0!</v>
      </c>
      <c r="W29" s="180" t="e">
        <f t="shared" si="42"/>
        <v>#DIV/0!</v>
      </c>
      <c r="X29" s="179" t="e">
        <f>'Entrada e Saida'!$H$26*(IF('Entrada e Saida'!$H$15="PESO",(P29/(SUM(P:P))),(Q29/(SUM(Q:Q)))))</f>
        <v>#DIV/0!</v>
      </c>
      <c r="Y29" s="179" t="e">
        <f>'Entrada e Saida'!$H$27*(IF('Entrada e Saida'!$H$15="PESO",(P29/(SUM(P:P))),(Q29/(SUM(Q:Q)))))</f>
        <v>#DIV/0!</v>
      </c>
      <c r="Z29" s="179" t="e">
        <f>'Entrada e Saida'!$H$28*(IF('Entrada e Saida'!$H$15="PESO",(P29/(SUM(P:P))),(Q29/(SUM(Q:Q)))))</f>
        <v>#DIV/0!</v>
      </c>
      <c r="AA29" s="181" t="e">
        <f t="shared" si="43"/>
        <v>#DIV/0!</v>
      </c>
      <c r="AB29" s="178" t="e">
        <f t="shared" si="44"/>
        <v>#DIV/0!</v>
      </c>
      <c r="AC29" s="178" t="e">
        <f t="shared" si="45"/>
        <v>#DIV/0!</v>
      </c>
      <c r="AD29" s="178" t="e">
        <f t="shared" si="46"/>
        <v>#DIV/0!</v>
      </c>
      <c r="AE29" s="177" t="e">
        <f t="shared" si="47"/>
        <v>#DIV/0!</v>
      </c>
      <c r="AF29" s="182">
        <f>IFERROR(D29*F29*L29*'Entrada e Saida'!$K$8,0)</f>
        <v>0</v>
      </c>
      <c r="AG29" s="178" t="e">
        <f>((W29+AA29+AB29+AC29+AD29+AE29+AF29)/(1-'Entrada e Saida'!$G$65))*'Entrada e Saida'!$I$66</f>
        <v>#DIV/0!</v>
      </c>
      <c r="AH29" s="180" t="e">
        <f t="shared" si="48"/>
        <v>#DIV/0!</v>
      </c>
      <c r="AI29" s="183" t="e">
        <f>'Entrada e Saida'!$K$51*(IF('Entrada e Saida'!$H$15="PESO",(P29/(SUM(P:P))),(Q29/(SUM(Q:Q)))))</f>
        <v>#DIV/0!</v>
      </c>
      <c r="AJ29" s="183">
        <f>(('Entrada e Saida'!$K$10-'Entrada e Saida'!$K$8)*E29*D29)</f>
        <v>0</v>
      </c>
      <c r="AK29" s="184" t="e">
        <f>IF('Entrada e Saida'!$H$15="PESO",W29+AA29+AH29+AI29+AJ29,W29+AA29+AH29+AI29+AJ29-S29+T29-U29+V29)</f>
        <v>#DIV/0!</v>
      </c>
      <c r="AL29" s="185" t="e">
        <f>IF('Entrada e Saida'!$H$12="REAL",AC29,0)</f>
        <v>#DIV/0!</v>
      </c>
      <c r="AM29" s="185" t="e">
        <f>IF('Entrada e Saida'!$H$12="REAL",AD29,0)</f>
        <v>#DIV/0!</v>
      </c>
      <c r="AN29" s="186" t="e">
        <f>IF('Entrada e Saida'!$H$13= "NÃO",AE29,0)</f>
        <v>#DIV/0!</v>
      </c>
      <c r="AO29" s="186" t="e">
        <f t="shared" si="49"/>
        <v>#DIV/0!</v>
      </c>
      <c r="AP29" s="184" t="e">
        <f t="shared" si="50"/>
        <v>#DIV/0!</v>
      </c>
      <c r="AQ29" s="178" t="e">
        <f>IF('Entrada e Saida'!$H$11="TRADING",AU29*'Custo Resumido'!D29,0)</f>
        <v>#DIV/0!</v>
      </c>
      <c r="AR29" s="178" t="e">
        <f>IF('Entrada e Saida'!$H$11="TRADING",AU29*'Entrada e Saida'!$G$63,0)</f>
        <v>#DIV/0!</v>
      </c>
      <c r="AS29" s="178" t="e">
        <f>IF('Entrada e Saida'!$H$11="TRADING",AU29*'Entrada e Saida'!$G$64,0)</f>
        <v>#DIV/0!</v>
      </c>
      <c r="AT29" s="178" t="e">
        <f>IF('Entrada e Saida'!$H$11="TRADING",AU29*'Entrada e Saida'!$G$65,0)</f>
        <v>#DIV/0!</v>
      </c>
      <c r="AU29" s="184" t="e">
        <f>IF('Entrada e Saida'!$H$11="TRADING",AP29/(1-(SUM('Entrada e Saida'!$G$63:$G$65)+'Custo Resumido'!D29)),0)</f>
        <v>#DIV/0!</v>
      </c>
      <c r="AV29" s="178" t="e">
        <f>IF('Entrada e Saida'!$H$13="NÃO",AU29*M29,0)</f>
        <v>#DIV/0!</v>
      </c>
      <c r="AW29" s="184" t="e">
        <f t="shared" si="51"/>
        <v>#DIV/0!</v>
      </c>
      <c r="AX29" s="178" t="e">
        <f>'Entrada e Saida'!$G$74*AU29</f>
        <v>#DIV/0!</v>
      </c>
      <c r="AY29" s="184" t="e">
        <f t="shared" si="52"/>
        <v>#DIV/0!</v>
      </c>
      <c r="AZ29" s="184" t="e">
        <f>AQ29+('Entrada e Saida'!$G$65-'Entrada e Saida'!$I$65)*AU29-AX29</f>
        <v>#DIV/0!</v>
      </c>
      <c r="BA29" s="3" t="e">
        <f>IF('Entrada e Saida'!$H$12="REAL",AZ29*'Entrada e Saida'!$G$81,AU29*'Entrada e Saida'!$G$81)</f>
        <v>#DIV/0!</v>
      </c>
      <c r="BB29" s="3" t="e">
        <f>IF('Entrada e Saida'!$H$12="REAL",AZ29*'Entrada e Saida'!$G$82,AU29*'Entrada e Saida'!$G$82)</f>
        <v>#DIV/0!</v>
      </c>
      <c r="BC29" s="4" t="e">
        <f t="shared" si="53"/>
        <v>#DIV/0!</v>
      </c>
      <c r="BD29" s="3" t="e">
        <f>IF('Entrada e Saida'!$H$11="TRADING",AW29/D29,AK29/D29)</f>
        <v>#DIV/0!</v>
      </c>
      <c r="BE29" s="3" t="e">
        <f t="shared" si="54"/>
        <v>#DIV/0!</v>
      </c>
      <c r="BF29" s="2" t="e">
        <f t="shared" si="55"/>
        <v>#DIV/0!</v>
      </c>
      <c r="BG29" s="3" t="e">
        <f>IF('Entrada e Saida'!$H$11="TRADING",AV29/D29,AN29/D29)</f>
        <v>#DIV/0!</v>
      </c>
      <c r="BH29" s="3" t="e">
        <f>IF('Entrada e Saida'!$H$11="TRADING",IF('Entrada e Saida'!$H$12="REAL",AR29/D29,0),AL29/D29)</f>
        <v>#DIV/0!</v>
      </c>
      <c r="BI29" s="3" t="e">
        <f>IF('Entrada e Saida'!$H$11="TRADING",IF('Entrada e Saida'!$H$12="REAL",AS29/D29,0),AM29/D29)</f>
        <v>#DIV/0!</v>
      </c>
      <c r="BJ29" s="3" t="e">
        <f>IF('Entrada e Saida'!$H$11="TRADING",AT29/D29,AO29/D29)</f>
        <v>#DIV/0!</v>
      </c>
      <c r="BK29" s="2" t="e">
        <f t="shared" si="56"/>
        <v>#DIV/0!</v>
      </c>
      <c r="BL29" s="2">
        <f>IF(O29&gt;0,IFERROR(IF('Entrada e Saida'!$H$11="DIRETA",0,(IF('Entrada e Saida'!$H$14="P.JURIDICA",(BD29*(1+O29)*N29)-((BD29/(1+M29))*'Entrada e Saida'!$G$65),((Produtos!N29-'Entrada e Saida'!$G$65)*Produtos!BD29)))),0),0)</f>
        <v>0</v>
      </c>
      <c r="BM29" s="2" t="e">
        <f t="shared" si="57"/>
        <v>#DIV/0!</v>
      </c>
    </row>
    <row r="30" spans="1:65" s="1" customFormat="1">
      <c r="A30" s="211"/>
      <c r="B30" s="172" t="e">
        <f>VLOOKUP(A30,'Master Modelo'!A:I,7,FALSE)</f>
        <v>#N/A</v>
      </c>
      <c r="C30" s="145" t="e">
        <f>VLOOKUP(A30,'Master Modelo'!A:I,2,FALSE)</f>
        <v>#N/A</v>
      </c>
      <c r="D30" s="146"/>
      <c r="E30" s="148">
        <f>IFERROR(VLOOKUP(A30,'Master Modelo'!A:I,9,FALSE),0)</f>
        <v>0</v>
      </c>
      <c r="F30" s="189">
        <f>IFERROR(VLOOKUP(A30,'Master Modelo'!A:I,8,FALSE),0)</f>
        <v>0</v>
      </c>
      <c r="G30" s="189">
        <f>IFERROR(VLOOKUP(A30,'Master Modelo'!A:K,11,FALSE),0)</f>
        <v>0</v>
      </c>
      <c r="H30" s="173" t="e">
        <f t="shared" si="40"/>
        <v>#DIV/0!</v>
      </c>
      <c r="I30" s="163">
        <f>IFERROR(VLOOKUP(A30,'Master Modelo'!A:I,3,FALSE),0)</f>
        <v>0</v>
      </c>
      <c r="J30" s="164">
        <f>IFERROR(VLOOKUP(A30,'Master Modelo'!A:I,5,FALSE),0)</f>
        <v>0</v>
      </c>
      <c r="K30" s="164">
        <f>IFERROR(VLOOKUP(A30,'Master Modelo'!A:I,6,FALSE),0)</f>
        <v>0</v>
      </c>
      <c r="L30" s="165" t="e">
        <f>VLOOKUP(A30,'Master Modelo'!A:J,10,FALSE)</f>
        <v>#N/A</v>
      </c>
      <c r="M30" s="163">
        <f>IFERROR(VLOOKUP(A30,'Master Modelo'!A:I,4,FALSE),0)</f>
        <v>0</v>
      </c>
      <c r="N30" s="175"/>
      <c r="O30" s="187"/>
      <c r="P30" s="177">
        <f t="shared" si="41"/>
        <v>0</v>
      </c>
      <c r="Q30" s="177">
        <f t="shared" si="10"/>
        <v>0</v>
      </c>
      <c r="R30" s="178">
        <f>D30*E30*'Entrada e Saida'!$K$8</f>
        <v>0</v>
      </c>
      <c r="S30" s="179" t="e">
        <f>'Entrada e Saida'!$H$21*'Entrada e Saida'!$K$8*(P30/(SUM(P:P)))</f>
        <v>#DIV/0!</v>
      </c>
      <c r="T30" s="179" t="e">
        <f>'Entrada e Saida'!$H$21*'Entrada e Saida'!$K$8*(Q30/(SUM(Q:Q)))</f>
        <v>#DIV/0!</v>
      </c>
      <c r="U30" s="179" t="e">
        <f>'Entrada e Saida'!$H$22*(P30/(SUM(P:P)))</f>
        <v>#DIV/0!</v>
      </c>
      <c r="V30" s="179" t="e">
        <f>'Entrada e Saida'!$H$22*(Q30/(SUM(Q:Q)))</f>
        <v>#DIV/0!</v>
      </c>
      <c r="W30" s="180" t="e">
        <f t="shared" si="42"/>
        <v>#DIV/0!</v>
      </c>
      <c r="X30" s="179" t="e">
        <f>'Entrada e Saida'!$H$26*(IF('Entrada e Saida'!$H$15="PESO",(P30/(SUM(P:P))),(Q30/(SUM(Q:Q)))))</f>
        <v>#DIV/0!</v>
      </c>
      <c r="Y30" s="179" t="e">
        <f>'Entrada e Saida'!$H$27*(IF('Entrada e Saida'!$H$15="PESO",(P30/(SUM(P:P))),(Q30/(SUM(Q:Q)))))</f>
        <v>#DIV/0!</v>
      </c>
      <c r="Z30" s="179" t="e">
        <f>'Entrada e Saida'!$H$28*(IF('Entrada e Saida'!$H$15="PESO",(P30/(SUM(P:P))),(Q30/(SUM(Q:Q)))))</f>
        <v>#DIV/0!</v>
      </c>
      <c r="AA30" s="181" t="e">
        <f t="shared" si="43"/>
        <v>#DIV/0!</v>
      </c>
      <c r="AB30" s="178" t="e">
        <f t="shared" si="44"/>
        <v>#DIV/0!</v>
      </c>
      <c r="AC30" s="178" t="e">
        <f t="shared" si="45"/>
        <v>#DIV/0!</v>
      </c>
      <c r="AD30" s="178" t="e">
        <f t="shared" si="46"/>
        <v>#DIV/0!</v>
      </c>
      <c r="AE30" s="177" t="e">
        <f t="shared" si="47"/>
        <v>#DIV/0!</v>
      </c>
      <c r="AF30" s="182">
        <f>IFERROR(D30*F30*L30*'Entrada e Saida'!$K$8,0)</f>
        <v>0</v>
      </c>
      <c r="AG30" s="178" t="e">
        <f>((W30+AA30+AB30+AC30+AD30+AE30+AF30)/(1-'Entrada e Saida'!$G$65))*'Entrada e Saida'!$I$66</f>
        <v>#DIV/0!</v>
      </c>
      <c r="AH30" s="180" t="e">
        <f t="shared" si="48"/>
        <v>#DIV/0!</v>
      </c>
      <c r="AI30" s="183" t="e">
        <f>'Entrada e Saida'!$K$51*(IF('Entrada e Saida'!$H$15="PESO",(P30/(SUM(P:P))),(Q30/(SUM(Q:Q)))))</f>
        <v>#DIV/0!</v>
      </c>
      <c r="AJ30" s="183">
        <f>(('Entrada e Saida'!$K$10-'Entrada e Saida'!$K$8)*E30*D30)</f>
        <v>0</v>
      </c>
      <c r="AK30" s="184" t="e">
        <f>IF('Entrada e Saida'!$H$15="PESO",W30+AA30+AH30+AI30+AJ30,W30+AA30+AH30+AI30+AJ30-S30+T30-U30+V30)</f>
        <v>#DIV/0!</v>
      </c>
      <c r="AL30" s="185" t="e">
        <f>IF('Entrada e Saida'!$H$12="REAL",AC30,0)</f>
        <v>#DIV/0!</v>
      </c>
      <c r="AM30" s="185" t="e">
        <f>IF('Entrada e Saida'!$H$12="REAL",AD30,0)</f>
        <v>#DIV/0!</v>
      </c>
      <c r="AN30" s="186" t="e">
        <f>IF('Entrada e Saida'!$H$13= "NÃO",AE30,0)</f>
        <v>#DIV/0!</v>
      </c>
      <c r="AO30" s="186" t="e">
        <f t="shared" si="49"/>
        <v>#DIV/0!</v>
      </c>
      <c r="AP30" s="184" t="e">
        <f t="shared" si="50"/>
        <v>#DIV/0!</v>
      </c>
      <c r="AQ30" s="178" t="e">
        <f>IF('Entrada e Saida'!$H$11="TRADING",AU30*'Custo Resumido'!D30,0)</f>
        <v>#DIV/0!</v>
      </c>
      <c r="AR30" s="178" t="e">
        <f>IF('Entrada e Saida'!$H$11="TRADING",AU30*'Entrada e Saida'!$G$63,0)</f>
        <v>#DIV/0!</v>
      </c>
      <c r="AS30" s="178" t="e">
        <f>IF('Entrada e Saida'!$H$11="TRADING",AU30*'Entrada e Saida'!$G$64,0)</f>
        <v>#DIV/0!</v>
      </c>
      <c r="AT30" s="178" t="e">
        <f>IF('Entrada e Saida'!$H$11="TRADING",AU30*'Entrada e Saida'!$G$65,0)</f>
        <v>#DIV/0!</v>
      </c>
      <c r="AU30" s="184" t="e">
        <f>IF('Entrada e Saida'!$H$11="TRADING",AP30/(1-(SUM('Entrada e Saida'!$G$63:$G$65)+'Custo Resumido'!D30)),0)</f>
        <v>#DIV/0!</v>
      </c>
      <c r="AV30" s="178" t="e">
        <f>IF('Entrada e Saida'!$H$13="NÃO",AU30*M30,0)</f>
        <v>#DIV/0!</v>
      </c>
      <c r="AW30" s="184" t="e">
        <f t="shared" si="51"/>
        <v>#DIV/0!</v>
      </c>
      <c r="AX30" s="178" t="e">
        <f>'Entrada e Saida'!$G$74*AU30</f>
        <v>#DIV/0!</v>
      </c>
      <c r="AY30" s="184" t="e">
        <f t="shared" si="52"/>
        <v>#DIV/0!</v>
      </c>
      <c r="AZ30" s="184" t="e">
        <f>AQ30+('Entrada e Saida'!$G$65-'Entrada e Saida'!$I$65)*AU30-AX30</f>
        <v>#DIV/0!</v>
      </c>
      <c r="BA30" s="3" t="e">
        <f>IF('Entrada e Saida'!$H$12="REAL",AZ30*'Entrada e Saida'!$G$81,AU30*'Entrada e Saida'!$G$81)</f>
        <v>#DIV/0!</v>
      </c>
      <c r="BB30" s="3" t="e">
        <f>IF('Entrada e Saida'!$H$12="REAL",AZ30*'Entrada e Saida'!$G$82,AU30*'Entrada e Saida'!$G$82)</f>
        <v>#DIV/0!</v>
      </c>
      <c r="BC30" s="4" t="e">
        <f t="shared" si="53"/>
        <v>#DIV/0!</v>
      </c>
      <c r="BD30" s="3" t="e">
        <f>IF('Entrada e Saida'!$H$11="TRADING",AW30/D30,AK30/D30)</f>
        <v>#DIV/0!</v>
      </c>
      <c r="BE30" s="3" t="e">
        <f t="shared" si="54"/>
        <v>#DIV/0!</v>
      </c>
      <c r="BF30" s="2" t="e">
        <f t="shared" si="55"/>
        <v>#DIV/0!</v>
      </c>
      <c r="BG30" s="3" t="e">
        <f>IF('Entrada e Saida'!$H$11="TRADING",AV30/D30,AN30/D30)</f>
        <v>#DIV/0!</v>
      </c>
      <c r="BH30" s="3" t="e">
        <f>IF('Entrada e Saida'!$H$11="TRADING",IF('Entrada e Saida'!$H$12="REAL",AR30/D30,0),AL30/D30)</f>
        <v>#DIV/0!</v>
      </c>
      <c r="BI30" s="3" t="e">
        <f>IF('Entrada e Saida'!$H$11="TRADING",IF('Entrada e Saida'!$H$12="REAL",AS30/D30,0),AM30/D30)</f>
        <v>#DIV/0!</v>
      </c>
      <c r="BJ30" s="3" t="e">
        <f>IF('Entrada e Saida'!$H$11="TRADING",AT30/D30,AO30/D30)</f>
        <v>#DIV/0!</v>
      </c>
      <c r="BK30" s="2" t="e">
        <f t="shared" si="56"/>
        <v>#DIV/0!</v>
      </c>
      <c r="BL30" s="2">
        <f>IF(O30&gt;0,IFERROR(IF('Entrada e Saida'!$H$11="DIRETA",0,(IF('Entrada e Saida'!$H$14="P.JURIDICA",(BD30*(1+O30)*N30)-((BD30/(1+M30))*'Entrada e Saida'!$G$65),((Produtos!N30-'Entrada e Saida'!$G$65)*Produtos!BD30)))),0),0)</f>
        <v>0</v>
      </c>
      <c r="BM30" s="2" t="e">
        <f t="shared" si="57"/>
        <v>#DIV/0!</v>
      </c>
    </row>
    <row r="31" spans="1:65" s="1" customFormat="1">
      <c r="A31" s="211"/>
      <c r="B31" s="172" t="e">
        <f>VLOOKUP(A31,'Master Modelo'!A:I,7,FALSE)</f>
        <v>#N/A</v>
      </c>
      <c r="C31" s="145" t="e">
        <f>VLOOKUP(A31,'Master Modelo'!A:I,2,FALSE)</f>
        <v>#N/A</v>
      </c>
      <c r="D31" s="146"/>
      <c r="E31" s="148">
        <f>IFERROR(VLOOKUP(A31,'Master Modelo'!A:I,9,FALSE),0)</f>
        <v>0</v>
      </c>
      <c r="F31" s="189">
        <f>IFERROR(VLOOKUP(A31,'Master Modelo'!A:I,8,FALSE),0)</f>
        <v>0</v>
      </c>
      <c r="G31" s="189">
        <f>IFERROR(VLOOKUP(A31,'Master Modelo'!A:K,11,FALSE),0)</f>
        <v>0</v>
      </c>
      <c r="H31" s="173" t="e">
        <f t="shared" si="40"/>
        <v>#DIV/0!</v>
      </c>
      <c r="I31" s="163">
        <f>IFERROR(VLOOKUP(A31,'Master Modelo'!A:I,3,FALSE),0)</f>
        <v>0</v>
      </c>
      <c r="J31" s="164">
        <f>IFERROR(VLOOKUP(A31,'Master Modelo'!A:I,5,FALSE),0)</f>
        <v>0</v>
      </c>
      <c r="K31" s="164">
        <f>IFERROR(VLOOKUP(A31,'Master Modelo'!A:I,6,FALSE),0)</f>
        <v>0</v>
      </c>
      <c r="L31" s="165" t="e">
        <f>VLOOKUP(A31,'Master Modelo'!A:J,10,FALSE)</f>
        <v>#N/A</v>
      </c>
      <c r="M31" s="163">
        <f>IFERROR(VLOOKUP(A31,'Master Modelo'!A:I,4,FALSE),0)</f>
        <v>0</v>
      </c>
      <c r="N31" s="175"/>
      <c r="O31" s="187"/>
      <c r="P31" s="177">
        <f t="shared" si="41"/>
        <v>0</v>
      </c>
      <c r="Q31" s="177">
        <f t="shared" si="10"/>
        <v>0</v>
      </c>
      <c r="R31" s="178">
        <f>D31*E31*'Entrada e Saida'!$K$8</f>
        <v>0</v>
      </c>
      <c r="S31" s="179" t="e">
        <f>'Entrada e Saida'!$H$21*'Entrada e Saida'!$K$8*(P31/(SUM(P:P)))</f>
        <v>#DIV/0!</v>
      </c>
      <c r="T31" s="179" t="e">
        <f>'Entrada e Saida'!$H$21*'Entrada e Saida'!$K$8*(Q31/(SUM(Q:Q)))</f>
        <v>#DIV/0!</v>
      </c>
      <c r="U31" s="179" t="e">
        <f>'Entrada e Saida'!$H$22*(P31/(SUM(P:P)))</f>
        <v>#DIV/0!</v>
      </c>
      <c r="V31" s="179" t="e">
        <f>'Entrada e Saida'!$H$22*(Q31/(SUM(Q:Q)))</f>
        <v>#DIV/0!</v>
      </c>
      <c r="W31" s="180" t="e">
        <f t="shared" si="42"/>
        <v>#DIV/0!</v>
      </c>
      <c r="X31" s="179" t="e">
        <f>'Entrada e Saida'!$H$26*(IF('Entrada e Saida'!$H$15="PESO",(P31/(SUM(P:P))),(Q31/(SUM(Q:Q)))))</f>
        <v>#DIV/0!</v>
      </c>
      <c r="Y31" s="179" t="e">
        <f>'Entrada e Saida'!$H$27*(IF('Entrada e Saida'!$H$15="PESO",(P31/(SUM(P:P))),(Q31/(SUM(Q:Q)))))</f>
        <v>#DIV/0!</v>
      </c>
      <c r="Z31" s="179" t="e">
        <f>'Entrada e Saida'!$H$28*(IF('Entrada e Saida'!$H$15="PESO",(P31/(SUM(P:P))),(Q31/(SUM(Q:Q)))))</f>
        <v>#DIV/0!</v>
      </c>
      <c r="AA31" s="181" t="e">
        <f t="shared" si="43"/>
        <v>#DIV/0!</v>
      </c>
      <c r="AB31" s="178" t="e">
        <f t="shared" si="44"/>
        <v>#DIV/0!</v>
      </c>
      <c r="AC31" s="178" t="e">
        <f t="shared" si="45"/>
        <v>#DIV/0!</v>
      </c>
      <c r="AD31" s="178" t="e">
        <f t="shared" si="46"/>
        <v>#DIV/0!</v>
      </c>
      <c r="AE31" s="177" t="e">
        <f t="shared" si="47"/>
        <v>#DIV/0!</v>
      </c>
      <c r="AF31" s="182">
        <f>IFERROR(D31*F31*L31*'Entrada e Saida'!$K$8,0)</f>
        <v>0</v>
      </c>
      <c r="AG31" s="178" t="e">
        <f>((W31+AA31+AB31+AC31+AD31+AE31+AF31)/(1-'Entrada e Saida'!$G$65))*'Entrada e Saida'!$I$66</f>
        <v>#DIV/0!</v>
      </c>
      <c r="AH31" s="180" t="e">
        <f t="shared" si="48"/>
        <v>#DIV/0!</v>
      </c>
      <c r="AI31" s="183" t="e">
        <f>'Entrada e Saida'!$K$51*(IF('Entrada e Saida'!$H$15="PESO",(P31/(SUM(P:P))),(Q31/(SUM(Q:Q)))))</f>
        <v>#DIV/0!</v>
      </c>
      <c r="AJ31" s="183">
        <f>(('Entrada e Saida'!$K$10-'Entrada e Saida'!$K$8)*E31*D31)</f>
        <v>0</v>
      </c>
      <c r="AK31" s="184" t="e">
        <f>IF('Entrada e Saida'!$H$15="PESO",W31+AA31+AH31+AI31+AJ31,W31+AA31+AH31+AI31+AJ31-S31+T31-U31+V31)</f>
        <v>#DIV/0!</v>
      </c>
      <c r="AL31" s="185" t="e">
        <f>IF('Entrada e Saida'!$H$12="REAL",AC31,0)</f>
        <v>#DIV/0!</v>
      </c>
      <c r="AM31" s="185" t="e">
        <f>IF('Entrada e Saida'!$H$12="REAL",AD31,0)</f>
        <v>#DIV/0!</v>
      </c>
      <c r="AN31" s="186" t="e">
        <f>IF('Entrada e Saida'!$H$13= "NÃO",AE31,0)</f>
        <v>#DIV/0!</v>
      </c>
      <c r="AO31" s="186" t="e">
        <f t="shared" si="49"/>
        <v>#DIV/0!</v>
      </c>
      <c r="AP31" s="184" t="e">
        <f t="shared" si="50"/>
        <v>#DIV/0!</v>
      </c>
      <c r="AQ31" s="178" t="e">
        <f>IF('Entrada e Saida'!$H$11="TRADING",AU31*'Custo Resumido'!D31,0)</f>
        <v>#DIV/0!</v>
      </c>
      <c r="AR31" s="178" t="e">
        <f>IF('Entrada e Saida'!$H$11="TRADING",AU31*'Entrada e Saida'!$G$63,0)</f>
        <v>#DIV/0!</v>
      </c>
      <c r="AS31" s="178" t="e">
        <f>IF('Entrada e Saida'!$H$11="TRADING",AU31*'Entrada e Saida'!$G$64,0)</f>
        <v>#DIV/0!</v>
      </c>
      <c r="AT31" s="178" t="e">
        <f>IF('Entrada e Saida'!$H$11="TRADING",AU31*'Entrada e Saida'!$G$65,0)</f>
        <v>#DIV/0!</v>
      </c>
      <c r="AU31" s="184" t="e">
        <f>IF('Entrada e Saida'!$H$11="TRADING",AP31/(1-(SUM('Entrada e Saida'!$G$63:$G$65)+'Custo Resumido'!D31)),0)</f>
        <v>#DIV/0!</v>
      </c>
      <c r="AV31" s="178" t="e">
        <f>IF('Entrada e Saida'!$H$13="NÃO",AU31*M31,0)</f>
        <v>#DIV/0!</v>
      </c>
      <c r="AW31" s="184" t="e">
        <f t="shared" si="51"/>
        <v>#DIV/0!</v>
      </c>
      <c r="AX31" s="178" t="e">
        <f>'Entrada e Saida'!$G$74*AU31</f>
        <v>#DIV/0!</v>
      </c>
      <c r="AY31" s="184" t="e">
        <f t="shared" si="52"/>
        <v>#DIV/0!</v>
      </c>
      <c r="AZ31" s="184" t="e">
        <f>AQ31+('Entrada e Saida'!$G$65-'Entrada e Saida'!$I$65)*AU31-AX31</f>
        <v>#DIV/0!</v>
      </c>
      <c r="BA31" s="3" t="e">
        <f>IF('Entrada e Saida'!$H$12="REAL",AZ31*'Entrada e Saida'!$G$81,AU31*'Entrada e Saida'!$G$81)</f>
        <v>#DIV/0!</v>
      </c>
      <c r="BB31" s="3" t="e">
        <f>IF('Entrada e Saida'!$H$12="REAL",AZ31*'Entrada e Saida'!$G$82,AU31*'Entrada e Saida'!$G$82)</f>
        <v>#DIV/0!</v>
      </c>
      <c r="BC31" s="4" t="e">
        <f t="shared" si="53"/>
        <v>#DIV/0!</v>
      </c>
      <c r="BD31" s="3" t="e">
        <f>IF('Entrada e Saida'!$H$11="TRADING",AW31/D31,AK31/D31)</f>
        <v>#DIV/0!</v>
      </c>
      <c r="BE31" s="3" t="e">
        <f t="shared" si="54"/>
        <v>#DIV/0!</v>
      </c>
      <c r="BF31" s="2" t="e">
        <f t="shared" si="55"/>
        <v>#DIV/0!</v>
      </c>
      <c r="BG31" s="3" t="e">
        <f>IF('Entrada e Saida'!$H$11="TRADING",AV31/D31,AN31/D31)</f>
        <v>#DIV/0!</v>
      </c>
      <c r="BH31" s="3" t="e">
        <f>IF('Entrada e Saida'!$H$11="TRADING",IF('Entrada e Saida'!$H$12="REAL",AR31/D31,0),AL31/D31)</f>
        <v>#DIV/0!</v>
      </c>
      <c r="BI31" s="3" t="e">
        <f>IF('Entrada e Saida'!$H$11="TRADING",IF('Entrada e Saida'!$H$12="REAL",AS31/D31,0),AM31/D31)</f>
        <v>#DIV/0!</v>
      </c>
      <c r="BJ31" s="3" t="e">
        <f>IF('Entrada e Saida'!$H$11="TRADING",AT31/D31,AO31/D31)</f>
        <v>#DIV/0!</v>
      </c>
      <c r="BK31" s="2" t="e">
        <f t="shared" si="56"/>
        <v>#DIV/0!</v>
      </c>
      <c r="BL31" s="2">
        <f>IF(O31&gt;0,IFERROR(IF('Entrada e Saida'!$H$11="DIRETA",0,(IF('Entrada e Saida'!$H$14="P.JURIDICA",(BD31*(1+O31)*N31)-((BD31/(1+M31))*'Entrada e Saida'!$G$65),((Produtos!N31-'Entrada e Saida'!$G$65)*Produtos!BD31)))),0),0)</f>
        <v>0</v>
      </c>
      <c r="BM31" s="2" t="e">
        <f t="shared" si="57"/>
        <v>#DIV/0!</v>
      </c>
    </row>
    <row r="32" spans="1:65" s="1" customFormat="1">
      <c r="A32" s="211"/>
      <c r="B32" s="172" t="e">
        <f>VLOOKUP(A32,'Master Modelo'!A:I,7,FALSE)</f>
        <v>#N/A</v>
      </c>
      <c r="C32" s="145" t="e">
        <f>VLOOKUP(A32,'Master Modelo'!A:I,2,FALSE)</f>
        <v>#N/A</v>
      </c>
      <c r="D32" s="146"/>
      <c r="E32" s="148">
        <f>IFERROR(VLOOKUP(A32,'Master Modelo'!A:I,9,FALSE),0)</f>
        <v>0</v>
      </c>
      <c r="F32" s="189">
        <f>IFERROR(VLOOKUP(A32,'Master Modelo'!A:I,8,FALSE),0)</f>
        <v>0</v>
      </c>
      <c r="G32" s="189">
        <f>IFERROR(VLOOKUP(A32,'Master Modelo'!A:K,11,FALSE),0)</f>
        <v>0</v>
      </c>
      <c r="H32" s="173" t="e">
        <f t="shared" si="40"/>
        <v>#DIV/0!</v>
      </c>
      <c r="I32" s="163">
        <f>IFERROR(VLOOKUP(A32,'Master Modelo'!A:I,3,FALSE),0)</f>
        <v>0</v>
      </c>
      <c r="J32" s="164">
        <f>IFERROR(VLOOKUP(A32,'Master Modelo'!A:I,5,FALSE),0)</f>
        <v>0</v>
      </c>
      <c r="K32" s="164">
        <f>IFERROR(VLOOKUP(A32,'Master Modelo'!A:I,6,FALSE),0)</f>
        <v>0</v>
      </c>
      <c r="L32" s="165" t="e">
        <f>VLOOKUP(A32,'Master Modelo'!A:J,10,FALSE)</f>
        <v>#N/A</v>
      </c>
      <c r="M32" s="163">
        <f>IFERROR(VLOOKUP(A32,'Master Modelo'!A:I,4,FALSE),0)</f>
        <v>0</v>
      </c>
      <c r="N32" s="175"/>
      <c r="O32" s="187"/>
      <c r="P32" s="177">
        <f t="shared" si="41"/>
        <v>0</v>
      </c>
      <c r="Q32" s="177">
        <f t="shared" si="10"/>
        <v>0</v>
      </c>
      <c r="R32" s="178">
        <f>D32*E32*'Entrada e Saida'!$K$8</f>
        <v>0</v>
      </c>
      <c r="S32" s="179" t="e">
        <f>'Entrada e Saida'!$H$21*'Entrada e Saida'!$K$8*(P32/(SUM(P:P)))</f>
        <v>#DIV/0!</v>
      </c>
      <c r="T32" s="179" t="e">
        <f>'Entrada e Saida'!$H$21*'Entrada e Saida'!$K$8*(Q32/(SUM(Q:Q)))</f>
        <v>#DIV/0!</v>
      </c>
      <c r="U32" s="179" t="e">
        <f>'Entrada e Saida'!$H$22*(P32/(SUM(P:P)))</f>
        <v>#DIV/0!</v>
      </c>
      <c r="V32" s="179" t="e">
        <f>'Entrada e Saida'!$H$22*(Q32/(SUM(Q:Q)))</f>
        <v>#DIV/0!</v>
      </c>
      <c r="W32" s="180" t="e">
        <f t="shared" si="42"/>
        <v>#DIV/0!</v>
      </c>
      <c r="X32" s="179" t="e">
        <f>'Entrada e Saida'!$H$26*(IF('Entrada e Saida'!$H$15="PESO",(P32/(SUM(P:P))),(Q32/(SUM(Q:Q)))))</f>
        <v>#DIV/0!</v>
      </c>
      <c r="Y32" s="179" t="e">
        <f>'Entrada e Saida'!$H$27*(IF('Entrada e Saida'!$H$15="PESO",(P32/(SUM(P:P))),(Q32/(SUM(Q:Q)))))</f>
        <v>#DIV/0!</v>
      </c>
      <c r="Z32" s="179" t="e">
        <f>'Entrada e Saida'!$H$28*(IF('Entrada e Saida'!$H$15="PESO",(P32/(SUM(P:P))),(Q32/(SUM(Q:Q)))))</f>
        <v>#DIV/0!</v>
      </c>
      <c r="AA32" s="181" t="e">
        <f t="shared" si="43"/>
        <v>#DIV/0!</v>
      </c>
      <c r="AB32" s="178" t="e">
        <f t="shared" si="44"/>
        <v>#DIV/0!</v>
      </c>
      <c r="AC32" s="178" t="e">
        <f t="shared" si="45"/>
        <v>#DIV/0!</v>
      </c>
      <c r="AD32" s="178" t="e">
        <f t="shared" si="46"/>
        <v>#DIV/0!</v>
      </c>
      <c r="AE32" s="177" t="e">
        <f t="shared" si="47"/>
        <v>#DIV/0!</v>
      </c>
      <c r="AF32" s="182">
        <f>IFERROR(D32*F32*L32*'Entrada e Saida'!$K$8,0)</f>
        <v>0</v>
      </c>
      <c r="AG32" s="178" t="e">
        <f>((W32+AA32+AB32+AC32+AD32+AE32+AF32)/(1-'Entrada e Saida'!$G$65))*'Entrada e Saida'!$I$66</f>
        <v>#DIV/0!</v>
      </c>
      <c r="AH32" s="180" t="e">
        <f t="shared" si="48"/>
        <v>#DIV/0!</v>
      </c>
      <c r="AI32" s="183" t="e">
        <f>'Entrada e Saida'!$K$51*(IF('Entrada e Saida'!$H$15="PESO",(P32/(SUM(P:P))),(Q32/(SUM(Q:Q)))))</f>
        <v>#DIV/0!</v>
      </c>
      <c r="AJ32" s="183">
        <f>(('Entrada e Saida'!$K$10-'Entrada e Saida'!$K$8)*E32*D32)</f>
        <v>0</v>
      </c>
      <c r="AK32" s="184" t="e">
        <f>IF('Entrada e Saida'!$H$15="PESO",W32+AA32+AH32+AI32+AJ32,W32+AA32+AH32+AI32+AJ32-S32+T32-U32+V32)</f>
        <v>#DIV/0!</v>
      </c>
      <c r="AL32" s="185" t="e">
        <f>IF('Entrada e Saida'!$H$12="REAL",AC32,0)</f>
        <v>#DIV/0!</v>
      </c>
      <c r="AM32" s="185" t="e">
        <f>IF('Entrada e Saida'!$H$12="REAL",AD32,0)</f>
        <v>#DIV/0!</v>
      </c>
      <c r="AN32" s="186" t="e">
        <f>IF('Entrada e Saida'!$H$13= "NÃO",AE32,0)</f>
        <v>#DIV/0!</v>
      </c>
      <c r="AO32" s="186" t="e">
        <f t="shared" si="49"/>
        <v>#DIV/0!</v>
      </c>
      <c r="AP32" s="184" t="e">
        <f t="shared" si="50"/>
        <v>#DIV/0!</v>
      </c>
      <c r="AQ32" s="178" t="e">
        <f>IF('Entrada e Saida'!$H$11="TRADING",AU32*'Custo Resumido'!D32,0)</f>
        <v>#DIV/0!</v>
      </c>
      <c r="AR32" s="178" t="e">
        <f>IF('Entrada e Saida'!$H$11="TRADING",AU32*'Entrada e Saida'!$G$63,0)</f>
        <v>#DIV/0!</v>
      </c>
      <c r="AS32" s="178" t="e">
        <f>IF('Entrada e Saida'!$H$11="TRADING",AU32*'Entrada e Saida'!$G$64,0)</f>
        <v>#DIV/0!</v>
      </c>
      <c r="AT32" s="178" t="e">
        <f>IF('Entrada e Saida'!$H$11="TRADING",AU32*'Entrada e Saida'!$G$65,0)</f>
        <v>#DIV/0!</v>
      </c>
      <c r="AU32" s="184" t="e">
        <f>IF('Entrada e Saida'!$H$11="TRADING",AP32/(1-(SUM('Entrada e Saida'!$G$63:$G$65)+'Custo Resumido'!D32)),0)</f>
        <v>#DIV/0!</v>
      </c>
      <c r="AV32" s="178" t="e">
        <f>IF('Entrada e Saida'!$H$13="NÃO",AU32*M32,0)</f>
        <v>#DIV/0!</v>
      </c>
      <c r="AW32" s="184" t="e">
        <f t="shared" si="51"/>
        <v>#DIV/0!</v>
      </c>
      <c r="AX32" s="178" t="e">
        <f>'Entrada e Saida'!$G$74*AU32</f>
        <v>#DIV/0!</v>
      </c>
      <c r="AY32" s="184" t="e">
        <f t="shared" si="52"/>
        <v>#DIV/0!</v>
      </c>
      <c r="AZ32" s="184" t="e">
        <f>AQ32+('Entrada e Saida'!$G$65-'Entrada e Saida'!$I$65)*AU32-AX32</f>
        <v>#DIV/0!</v>
      </c>
      <c r="BA32" s="3" t="e">
        <f>IF('Entrada e Saida'!$H$12="REAL",AZ32*'Entrada e Saida'!$G$81,AU32*'Entrada e Saida'!$G$81)</f>
        <v>#DIV/0!</v>
      </c>
      <c r="BB32" s="3" t="e">
        <f>IF('Entrada e Saida'!$H$12="REAL",AZ32*'Entrada e Saida'!$G$82,AU32*'Entrada e Saida'!$G$82)</f>
        <v>#DIV/0!</v>
      </c>
      <c r="BC32" s="4" t="e">
        <f t="shared" si="53"/>
        <v>#DIV/0!</v>
      </c>
      <c r="BD32" s="3" t="e">
        <f>IF('Entrada e Saida'!$H$11="TRADING",AW32/D32,AK32/D32)</f>
        <v>#DIV/0!</v>
      </c>
      <c r="BE32" s="3" t="e">
        <f t="shared" si="54"/>
        <v>#DIV/0!</v>
      </c>
      <c r="BF32" s="2" t="e">
        <f t="shared" si="55"/>
        <v>#DIV/0!</v>
      </c>
      <c r="BG32" s="3" t="e">
        <f>IF('Entrada e Saida'!$H$11="TRADING",AV32/D32,AN32/D32)</f>
        <v>#DIV/0!</v>
      </c>
      <c r="BH32" s="3" t="e">
        <f>IF('Entrada e Saida'!$H$11="TRADING",IF('Entrada e Saida'!$H$12="REAL",AR32/D32,0),AL32/D32)</f>
        <v>#DIV/0!</v>
      </c>
      <c r="BI32" s="3" t="e">
        <f>IF('Entrada e Saida'!$H$11="TRADING",IF('Entrada e Saida'!$H$12="REAL",AS32/D32,0),AM32/D32)</f>
        <v>#DIV/0!</v>
      </c>
      <c r="BJ32" s="3" t="e">
        <f>IF('Entrada e Saida'!$H$11="TRADING",AT32/D32,AO32/D32)</f>
        <v>#DIV/0!</v>
      </c>
      <c r="BK32" s="2" t="e">
        <f t="shared" si="56"/>
        <v>#DIV/0!</v>
      </c>
      <c r="BL32" s="2">
        <f>IF(O32&gt;0,IFERROR(IF('Entrada e Saida'!$H$11="DIRETA",0,(IF('Entrada e Saida'!$H$14="P.JURIDICA",(BD32*(1+O32)*N32)-((BD32/(1+M32))*'Entrada e Saida'!$G$65),((Produtos!N32-'Entrada e Saida'!$G$65)*Produtos!BD32)))),0),0)</f>
        <v>0</v>
      </c>
      <c r="BM32" s="2" t="e">
        <f t="shared" si="57"/>
        <v>#DIV/0!</v>
      </c>
    </row>
    <row r="33" spans="1:65" s="1" customFormat="1">
      <c r="A33" s="211"/>
      <c r="B33" s="172" t="e">
        <f>VLOOKUP(A33,'Master Modelo'!A:I,7,FALSE)</f>
        <v>#N/A</v>
      </c>
      <c r="C33" s="145" t="e">
        <f>VLOOKUP(A33,'Master Modelo'!A:I,2,FALSE)</f>
        <v>#N/A</v>
      </c>
      <c r="D33" s="146"/>
      <c r="E33" s="148">
        <f>IFERROR(VLOOKUP(A33,'Master Modelo'!A:I,9,FALSE),0)</f>
        <v>0</v>
      </c>
      <c r="F33" s="189">
        <f>IFERROR(VLOOKUP(A33,'Master Modelo'!A:I,8,FALSE),0)</f>
        <v>0</v>
      </c>
      <c r="G33" s="189">
        <f>IFERROR(VLOOKUP(A33,'Master Modelo'!A:K,11,FALSE),0)</f>
        <v>0</v>
      </c>
      <c r="H33" s="173" t="e">
        <f t="shared" si="40"/>
        <v>#DIV/0!</v>
      </c>
      <c r="I33" s="163">
        <f>IFERROR(VLOOKUP(A33,'Master Modelo'!A:I,3,FALSE),0)</f>
        <v>0</v>
      </c>
      <c r="J33" s="164">
        <f>IFERROR(VLOOKUP(A33,'Master Modelo'!A:I,5,FALSE),0)</f>
        <v>0</v>
      </c>
      <c r="K33" s="164">
        <f>IFERROR(VLOOKUP(A33,'Master Modelo'!A:I,6,FALSE),0)</f>
        <v>0</v>
      </c>
      <c r="L33" s="165" t="e">
        <f>VLOOKUP(A33,'Master Modelo'!A:J,10,FALSE)</f>
        <v>#N/A</v>
      </c>
      <c r="M33" s="163">
        <f>IFERROR(VLOOKUP(A33,'Master Modelo'!A:I,4,FALSE),0)</f>
        <v>0</v>
      </c>
      <c r="N33" s="175"/>
      <c r="O33" s="187"/>
      <c r="P33" s="177">
        <f t="shared" si="41"/>
        <v>0</v>
      </c>
      <c r="Q33" s="177">
        <f t="shared" si="10"/>
        <v>0</v>
      </c>
      <c r="R33" s="178">
        <f>D33*E33*'Entrada e Saida'!$K$8</f>
        <v>0</v>
      </c>
      <c r="S33" s="179" t="e">
        <f>'Entrada e Saida'!$H$21*'Entrada e Saida'!$K$8*(P33/(SUM(P:P)))</f>
        <v>#DIV/0!</v>
      </c>
      <c r="T33" s="179" t="e">
        <f>'Entrada e Saida'!$H$21*'Entrada e Saida'!$K$8*(Q33/(SUM(Q:Q)))</f>
        <v>#DIV/0!</v>
      </c>
      <c r="U33" s="179" t="e">
        <f>'Entrada e Saida'!$H$22*(P33/(SUM(P:P)))</f>
        <v>#DIV/0!</v>
      </c>
      <c r="V33" s="179" t="e">
        <f>'Entrada e Saida'!$H$22*(Q33/(SUM(Q:Q)))</f>
        <v>#DIV/0!</v>
      </c>
      <c r="W33" s="180" t="e">
        <f t="shared" si="42"/>
        <v>#DIV/0!</v>
      </c>
      <c r="X33" s="179" t="e">
        <f>'Entrada e Saida'!$H$26*(IF('Entrada e Saida'!$H$15="PESO",(P33/(SUM(P:P))),(Q33/(SUM(Q:Q)))))</f>
        <v>#DIV/0!</v>
      </c>
      <c r="Y33" s="179" t="e">
        <f>'Entrada e Saida'!$H$27*(IF('Entrada e Saida'!$H$15="PESO",(P33/(SUM(P:P))),(Q33/(SUM(Q:Q)))))</f>
        <v>#DIV/0!</v>
      </c>
      <c r="Z33" s="179" t="e">
        <f>'Entrada e Saida'!$H$28*(IF('Entrada e Saida'!$H$15="PESO",(P33/(SUM(P:P))),(Q33/(SUM(Q:Q)))))</f>
        <v>#DIV/0!</v>
      </c>
      <c r="AA33" s="181" t="e">
        <f t="shared" si="43"/>
        <v>#DIV/0!</v>
      </c>
      <c r="AB33" s="178" t="e">
        <f t="shared" si="44"/>
        <v>#DIV/0!</v>
      </c>
      <c r="AC33" s="178" t="e">
        <f t="shared" si="45"/>
        <v>#DIV/0!</v>
      </c>
      <c r="AD33" s="178" t="e">
        <f t="shared" si="46"/>
        <v>#DIV/0!</v>
      </c>
      <c r="AE33" s="177" t="e">
        <f t="shared" si="47"/>
        <v>#DIV/0!</v>
      </c>
      <c r="AF33" s="182">
        <f>IFERROR(D33*F33*L33*'Entrada e Saida'!$K$8,0)</f>
        <v>0</v>
      </c>
      <c r="AG33" s="178" t="e">
        <f>((W33+AA33+AB33+AC33+AD33+AE33+AF33)/(1-'Entrada e Saida'!$G$65))*'Entrada e Saida'!$I$66</f>
        <v>#DIV/0!</v>
      </c>
      <c r="AH33" s="180" t="e">
        <f t="shared" si="48"/>
        <v>#DIV/0!</v>
      </c>
      <c r="AI33" s="183" t="e">
        <f>'Entrada e Saida'!$K$51*(IF('Entrada e Saida'!$H$15="PESO",(P33/(SUM(P:P))),(Q33/(SUM(Q:Q)))))</f>
        <v>#DIV/0!</v>
      </c>
      <c r="AJ33" s="183">
        <f>(('Entrada e Saida'!$K$10-'Entrada e Saida'!$K$8)*E33*D33)</f>
        <v>0</v>
      </c>
      <c r="AK33" s="184" t="e">
        <f>IF('Entrada e Saida'!$H$15="PESO",W33+AA33+AH33+AI33+AJ33,W33+AA33+AH33+AI33+AJ33-S33+T33-U33+V33)</f>
        <v>#DIV/0!</v>
      </c>
      <c r="AL33" s="185" t="e">
        <f>IF('Entrada e Saida'!$H$12="REAL",AC33,0)</f>
        <v>#DIV/0!</v>
      </c>
      <c r="AM33" s="185" t="e">
        <f>IF('Entrada e Saida'!$H$12="REAL",AD33,0)</f>
        <v>#DIV/0!</v>
      </c>
      <c r="AN33" s="186" t="e">
        <f>IF('Entrada e Saida'!$H$13= "NÃO",AE33,0)</f>
        <v>#DIV/0!</v>
      </c>
      <c r="AO33" s="186" t="e">
        <f t="shared" si="49"/>
        <v>#DIV/0!</v>
      </c>
      <c r="AP33" s="184" t="e">
        <f t="shared" si="50"/>
        <v>#DIV/0!</v>
      </c>
      <c r="AQ33" s="178" t="e">
        <f>IF('Entrada e Saida'!$H$11="TRADING",AU33*'Custo Resumido'!D33,0)</f>
        <v>#DIV/0!</v>
      </c>
      <c r="AR33" s="178" t="e">
        <f>IF('Entrada e Saida'!$H$11="TRADING",AU33*'Entrada e Saida'!$G$63,0)</f>
        <v>#DIV/0!</v>
      </c>
      <c r="AS33" s="178" t="e">
        <f>IF('Entrada e Saida'!$H$11="TRADING",AU33*'Entrada e Saida'!$G$64,0)</f>
        <v>#DIV/0!</v>
      </c>
      <c r="AT33" s="178" t="e">
        <f>IF('Entrada e Saida'!$H$11="TRADING",AU33*'Entrada e Saida'!$G$65,0)</f>
        <v>#DIV/0!</v>
      </c>
      <c r="AU33" s="184" t="e">
        <f>IF('Entrada e Saida'!$H$11="TRADING",AP33/(1-(SUM('Entrada e Saida'!$G$63:$G$65)+'Custo Resumido'!D33)),0)</f>
        <v>#DIV/0!</v>
      </c>
      <c r="AV33" s="178" t="e">
        <f>IF('Entrada e Saida'!$H$13="NÃO",AU33*M33,0)</f>
        <v>#DIV/0!</v>
      </c>
      <c r="AW33" s="184" t="e">
        <f t="shared" si="51"/>
        <v>#DIV/0!</v>
      </c>
      <c r="AX33" s="178" t="e">
        <f>'Entrada e Saida'!$G$74*AU33</f>
        <v>#DIV/0!</v>
      </c>
      <c r="AY33" s="184" t="e">
        <f t="shared" si="52"/>
        <v>#DIV/0!</v>
      </c>
      <c r="AZ33" s="184" t="e">
        <f>AQ33+('Entrada e Saida'!$G$65-'Entrada e Saida'!$I$65)*AU33-AX33</f>
        <v>#DIV/0!</v>
      </c>
      <c r="BA33" s="3" t="e">
        <f>IF('Entrada e Saida'!$H$12="REAL",AZ33*'Entrada e Saida'!$G$81,AU33*'Entrada e Saida'!$G$81)</f>
        <v>#DIV/0!</v>
      </c>
      <c r="BB33" s="3" t="e">
        <f>IF('Entrada e Saida'!$H$12="REAL",AZ33*'Entrada e Saida'!$G$82,AU33*'Entrada e Saida'!$G$82)</f>
        <v>#DIV/0!</v>
      </c>
      <c r="BC33" s="4" t="e">
        <f t="shared" si="53"/>
        <v>#DIV/0!</v>
      </c>
      <c r="BD33" s="3" t="e">
        <f>IF('Entrada e Saida'!$H$11="TRADING",AW33/D33,AK33/D33)</f>
        <v>#DIV/0!</v>
      </c>
      <c r="BE33" s="3" t="e">
        <f t="shared" si="54"/>
        <v>#DIV/0!</v>
      </c>
      <c r="BF33" s="2" t="e">
        <f t="shared" si="55"/>
        <v>#DIV/0!</v>
      </c>
      <c r="BG33" s="3" t="e">
        <f>IF('Entrada e Saida'!$H$11="TRADING",AV33/D33,AN33/D33)</f>
        <v>#DIV/0!</v>
      </c>
      <c r="BH33" s="3" t="e">
        <f>IF('Entrada e Saida'!$H$11="TRADING",IF('Entrada e Saida'!$H$12="REAL",AR33/D33,0),AL33/D33)</f>
        <v>#DIV/0!</v>
      </c>
      <c r="BI33" s="3" t="e">
        <f>IF('Entrada e Saida'!$H$11="TRADING",IF('Entrada e Saida'!$H$12="REAL",AS33/D33,0),AM33/D33)</f>
        <v>#DIV/0!</v>
      </c>
      <c r="BJ33" s="3" t="e">
        <f>IF('Entrada e Saida'!$H$11="TRADING",AT33/D33,AO33/D33)</f>
        <v>#DIV/0!</v>
      </c>
      <c r="BK33" s="2" t="e">
        <f t="shared" si="56"/>
        <v>#DIV/0!</v>
      </c>
      <c r="BL33" s="2">
        <f>IF(O33&gt;0,IFERROR(IF('Entrada e Saida'!$H$11="DIRETA",0,(IF('Entrada e Saida'!$H$14="P.JURIDICA",(BD33*(1+O33)*N33)-((BD33/(1+M33))*'Entrada e Saida'!$G$65),((Produtos!N33-'Entrada e Saida'!$G$65)*Produtos!BD33)))),0),0)</f>
        <v>0</v>
      </c>
      <c r="BM33" s="2" t="e">
        <f t="shared" si="57"/>
        <v>#DIV/0!</v>
      </c>
    </row>
    <row r="34" spans="1:65" s="1" customFormat="1">
      <c r="A34" s="211"/>
      <c r="B34" s="172" t="e">
        <f>VLOOKUP(A34,'Master Modelo'!A:I,7,FALSE)</f>
        <v>#N/A</v>
      </c>
      <c r="C34" s="145" t="e">
        <f>VLOOKUP(A34,'Master Modelo'!A:I,2,FALSE)</f>
        <v>#N/A</v>
      </c>
      <c r="D34" s="146"/>
      <c r="E34" s="148">
        <f>IFERROR(VLOOKUP(A34,'Master Modelo'!A:I,9,FALSE),0)</f>
        <v>0</v>
      </c>
      <c r="F34" s="189">
        <f>IFERROR(VLOOKUP(A34,'Master Modelo'!A:I,8,FALSE),0)</f>
        <v>0</v>
      </c>
      <c r="G34" s="189">
        <f>IFERROR(VLOOKUP(A34,'Master Modelo'!A:K,11,FALSE),0)</f>
        <v>0</v>
      </c>
      <c r="H34" s="173" t="e">
        <f t="shared" si="40"/>
        <v>#DIV/0!</v>
      </c>
      <c r="I34" s="163">
        <f>IFERROR(VLOOKUP(A34,'Master Modelo'!A:I,3,FALSE),0)</f>
        <v>0</v>
      </c>
      <c r="J34" s="164">
        <f>IFERROR(VLOOKUP(A34,'Master Modelo'!A:I,5,FALSE),0)</f>
        <v>0</v>
      </c>
      <c r="K34" s="164">
        <f>IFERROR(VLOOKUP(A34,'Master Modelo'!A:I,6,FALSE),0)</f>
        <v>0</v>
      </c>
      <c r="L34" s="165" t="e">
        <f>VLOOKUP(A34,'Master Modelo'!A:J,10,FALSE)</f>
        <v>#N/A</v>
      </c>
      <c r="M34" s="163">
        <f>IFERROR(VLOOKUP(A34,'Master Modelo'!A:I,4,FALSE),0)</f>
        <v>0</v>
      </c>
      <c r="N34" s="175"/>
      <c r="O34" s="187"/>
      <c r="P34" s="177">
        <f t="shared" si="41"/>
        <v>0</v>
      </c>
      <c r="Q34" s="177">
        <f t="shared" si="10"/>
        <v>0</v>
      </c>
      <c r="R34" s="178">
        <f>D34*E34*'Entrada e Saida'!$K$8</f>
        <v>0</v>
      </c>
      <c r="S34" s="179" t="e">
        <f>'Entrada e Saida'!$H$21*'Entrada e Saida'!$K$8*(P34/(SUM(P:P)))</f>
        <v>#DIV/0!</v>
      </c>
      <c r="T34" s="179" t="e">
        <f>'Entrada e Saida'!$H$21*'Entrada e Saida'!$K$8*(Q34/(SUM(Q:Q)))</f>
        <v>#DIV/0!</v>
      </c>
      <c r="U34" s="179" t="e">
        <f>'Entrada e Saida'!$H$22*(P34/(SUM(P:P)))</f>
        <v>#DIV/0!</v>
      </c>
      <c r="V34" s="179" t="e">
        <f>'Entrada e Saida'!$H$22*(Q34/(SUM(Q:Q)))</f>
        <v>#DIV/0!</v>
      </c>
      <c r="W34" s="180" t="e">
        <f t="shared" si="42"/>
        <v>#DIV/0!</v>
      </c>
      <c r="X34" s="179" t="e">
        <f>'Entrada e Saida'!$H$26*(IF('Entrada e Saida'!$H$15="PESO",(P34/(SUM(P:P))),(Q34/(SUM(Q:Q)))))</f>
        <v>#DIV/0!</v>
      </c>
      <c r="Y34" s="179" t="e">
        <f>'Entrada e Saida'!$H$27*(IF('Entrada e Saida'!$H$15="PESO",(P34/(SUM(P:P))),(Q34/(SUM(Q:Q)))))</f>
        <v>#DIV/0!</v>
      </c>
      <c r="Z34" s="179" t="e">
        <f>'Entrada e Saida'!$H$28*(IF('Entrada e Saida'!$H$15="PESO",(P34/(SUM(P:P))),(Q34/(SUM(Q:Q)))))</f>
        <v>#DIV/0!</v>
      </c>
      <c r="AA34" s="181" t="e">
        <f t="shared" si="43"/>
        <v>#DIV/0!</v>
      </c>
      <c r="AB34" s="178" t="e">
        <f t="shared" si="44"/>
        <v>#DIV/0!</v>
      </c>
      <c r="AC34" s="178" t="e">
        <f t="shared" si="45"/>
        <v>#DIV/0!</v>
      </c>
      <c r="AD34" s="178" t="e">
        <f t="shared" si="46"/>
        <v>#DIV/0!</v>
      </c>
      <c r="AE34" s="177" t="e">
        <f t="shared" si="47"/>
        <v>#DIV/0!</v>
      </c>
      <c r="AF34" s="182">
        <f>IFERROR(D34*F34*L34*'Entrada e Saida'!$K$8,0)</f>
        <v>0</v>
      </c>
      <c r="AG34" s="178" t="e">
        <f>((W34+AA34+AB34+AC34+AD34+AE34+AF34)/(1-'Entrada e Saida'!$G$65))*'Entrada e Saida'!$I$66</f>
        <v>#DIV/0!</v>
      </c>
      <c r="AH34" s="180" t="e">
        <f t="shared" si="48"/>
        <v>#DIV/0!</v>
      </c>
      <c r="AI34" s="183" t="e">
        <f>'Entrada e Saida'!$K$51*(IF('Entrada e Saida'!$H$15="PESO",(P34/(SUM(P:P))),(Q34/(SUM(Q:Q)))))</f>
        <v>#DIV/0!</v>
      </c>
      <c r="AJ34" s="183">
        <f>(('Entrada e Saida'!$K$10-'Entrada e Saida'!$K$8)*E34*D34)</f>
        <v>0</v>
      </c>
      <c r="AK34" s="184" t="e">
        <f>IF('Entrada e Saida'!$H$15="PESO",W34+AA34+AH34+AI34+AJ34,W34+AA34+AH34+AI34+AJ34-S34+T34-U34+V34)</f>
        <v>#DIV/0!</v>
      </c>
      <c r="AL34" s="185" t="e">
        <f>IF('Entrada e Saida'!$H$12="REAL",AC34,0)</f>
        <v>#DIV/0!</v>
      </c>
      <c r="AM34" s="185" t="e">
        <f>IF('Entrada e Saida'!$H$12="REAL",AD34,0)</f>
        <v>#DIV/0!</v>
      </c>
      <c r="AN34" s="186" t="e">
        <f>IF('Entrada e Saida'!$H$13= "NÃO",AE34,0)</f>
        <v>#DIV/0!</v>
      </c>
      <c r="AO34" s="186" t="e">
        <f t="shared" si="49"/>
        <v>#DIV/0!</v>
      </c>
      <c r="AP34" s="184" t="e">
        <f t="shared" si="50"/>
        <v>#DIV/0!</v>
      </c>
      <c r="AQ34" s="178" t="e">
        <f>IF('Entrada e Saida'!$H$11="TRADING",AU34*'Custo Resumido'!D34,0)</f>
        <v>#DIV/0!</v>
      </c>
      <c r="AR34" s="178" t="e">
        <f>IF('Entrada e Saida'!$H$11="TRADING",AU34*'Entrada e Saida'!$G$63,0)</f>
        <v>#DIV/0!</v>
      </c>
      <c r="AS34" s="178" t="e">
        <f>IF('Entrada e Saida'!$H$11="TRADING",AU34*'Entrada e Saida'!$G$64,0)</f>
        <v>#DIV/0!</v>
      </c>
      <c r="AT34" s="178" t="e">
        <f>IF('Entrada e Saida'!$H$11="TRADING",AU34*'Entrada e Saida'!$G$65,0)</f>
        <v>#DIV/0!</v>
      </c>
      <c r="AU34" s="184" t="e">
        <f>IF('Entrada e Saida'!$H$11="TRADING",AP34/(1-(SUM('Entrada e Saida'!$G$63:$G$65)+'Custo Resumido'!D34)),0)</f>
        <v>#DIV/0!</v>
      </c>
      <c r="AV34" s="178" t="e">
        <f>IF('Entrada e Saida'!$H$13="NÃO",AU34*M34,0)</f>
        <v>#DIV/0!</v>
      </c>
      <c r="AW34" s="184" t="e">
        <f t="shared" si="51"/>
        <v>#DIV/0!</v>
      </c>
      <c r="AX34" s="178" t="e">
        <f>'Entrada e Saida'!$G$74*AU34</f>
        <v>#DIV/0!</v>
      </c>
      <c r="AY34" s="184" t="e">
        <f t="shared" si="52"/>
        <v>#DIV/0!</v>
      </c>
      <c r="AZ34" s="184" t="e">
        <f>AQ34+('Entrada e Saida'!$G$65-'Entrada e Saida'!$I$65)*AU34-AX34</f>
        <v>#DIV/0!</v>
      </c>
      <c r="BA34" s="3" t="e">
        <f>IF('Entrada e Saida'!$H$12="REAL",AZ34*'Entrada e Saida'!$G$81,AU34*'Entrada e Saida'!$G$81)</f>
        <v>#DIV/0!</v>
      </c>
      <c r="BB34" s="3" t="e">
        <f>IF('Entrada e Saida'!$H$12="REAL",AZ34*'Entrada e Saida'!$G$82,AU34*'Entrada e Saida'!$G$82)</f>
        <v>#DIV/0!</v>
      </c>
      <c r="BC34" s="4" t="e">
        <f t="shared" si="53"/>
        <v>#DIV/0!</v>
      </c>
      <c r="BD34" s="3" t="e">
        <f>IF('Entrada e Saida'!$H$11="TRADING",AW34/D34,AK34/D34)</f>
        <v>#DIV/0!</v>
      </c>
      <c r="BE34" s="3" t="e">
        <f t="shared" si="54"/>
        <v>#DIV/0!</v>
      </c>
      <c r="BF34" s="2" t="e">
        <f t="shared" si="55"/>
        <v>#DIV/0!</v>
      </c>
      <c r="BG34" s="3" t="e">
        <f>IF('Entrada e Saida'!$H$11="TRADING",AV34/D34,AN34/D34)</f>
        <v>#DIV/0!</v>
      </c>
      <c r="BH34" s="3" t="e">
        <f>IF('Entrada e Saida'!$H$11="TRADING",IF('Entrada e Saida'!$H$12="REAL",AR34/D34,0),AL34/D34)</f>
        <v>#DIV/0!</v>
      </c>
      <c r="BI34" s="3" t="e">
        <f>IF('Entrada e Saida'!$H$11="TRADING",IF('Entrada e Saida'!$H$12="REAL",AS34/D34,0),AM34/D34)</f>
        <v>#DIV/0!</v>
      </c>
      <c r="BJ34" s="3" t="e">
        <f>IF('Entrada e Saida'!$H$11="TRADING",AT34/D34,AO34/D34)</f>
        <v>#DIV/0!</v>
      </c>
      <c r="BK34" s="2" t="e">
        <f t="shared" si="56"/>
        <v>#DIV/0!</v>
      </c>
      <c r="BL34" s="2">
        <f>IF(O34&gt;0,IFERROR(IF('Entrada e Saida'!$H$11="DIRETA",0,(IF('Entrada e Saida'!$H$14="P.JURIDICA",(BD34*(1+O34)*N34)-((BD34/(1+M34))*'Entrada e Saida'!$G$65),((Produtos!N34-'Entrada e Saida'!$G$65)*Produtos!BD34)))),0),0)</f>
        <v>0</v>
      </c>
      <c r="BM34" s="2" t="e">
        <f t="shared" si="57"/>
        <v>#DIV/0!</v>
      </c>
    </row>
    <row r="35" spans="1:65" s="1" customFormat="1">
      <c r="A35" s="211"/>
      <c r="B35" s="172" t="e">
        <f>VLOOKUP(A35,'Master Modelo'!A:I,7,FALSE)</f>
        <v>#N/A</v>
      </c>
      <c r="C35" s="145" t="e">
        <f>VLOOKUP(A35,'Master Modelo'!A:I,2,FALSE)</f>
        <v>#N/A</v>
      </c>
      <c r="D35" s="146"/>
      <c r="E35" s="148">
        <f>IFERROR(VLOOKUP(A35,'Master Modelo'!A:I,9,FALSE),0)</f>
        <v>0</v>
      </c>
      <c r="F35" s="189">
        <f>IFERROR(VLOOKUP(A35,'Master Modelo'!A:I,8,FALSE),0)</f>
        <v>0</v>
      </c>
      <c r="G35" s="189">
        <f>IFERROR(VLOOKUP(A35,'Master Modelo'!A:K,11,FALSE),0)</f>
        <v>0</v>
      </c>
      <c r="H35" s="173" t="e">
        <f t="shared" si="40"/>
        <v>#DIV/0!</v>
      </c>
      <c r="I35" s="163">
        <f>IFERROR(VLOOKUP(A35,'Master Modelo'!A:I,3,FALSE),0)</f>
        <v>0</v>
      </c>
      <c r="J35" s="164">
        <f>IFERROR(VLOOKUP(A35,'Master Modelo'!A:I,5,FALSE),0)</f>
        <v>0</v>
      </c>
      <c r="K35" s="164">
        <f>IFERROR(VLOOKUP(A35,'Master Modelo'!A:I,6,FALSE),0)</f>
        <v>0</v>
      </c>
      <c r="L35" s="165" t="e">
        <f>VLOOKUP(A35,'Master Modelo'!A:J,10,FALSE)</f>
        <v>#N/A</v>
      </c>
      <c r="M35" s="163">
        <f>IFERROR(VLOOKUP(A35,'Master Modelo'!A:I,4,FALSE),0)</f>
        <v>0</v>
      </c>
      <c r="N35" s="175"/>
      <c r="O35" s="187"/>
      <c r="P35" s="177">
        <f t="shared" si="41"/>
        <v>0</v>
      </c>
      <c r="Q35" s="177">
        <f t="shared" si="10"/>
        <v>0</v>
      </c>
      <c r="R35" s="178">
        <f>D35*E35*'Entrada e Saida'!$K$8</f>
        <v>0</v>
      </c>
      <c r="S35" s="179" t="e">
        <f>'Entrada e Saida'!$H$21*'Entrada e Saida'!$K$8*(P35/(SUM(P:P)))</f>
        <v>#DIV/0!</v>
      </c>
      <c r="T35" s="179" t="e">
        <f>'Entrada e Saida'!$H$21*'Entrada e Saida'!$K$8*(Q35/(SUM(Q:Q)))</f>
        <v>#DIV/0!</v>
      </c>
      <c r="U35" s="179" t="e">
        <f>'Entrada e Saida'!$H$22*(P35/(SUM(P:P)))</f>
        <v>#DIV/0!</v>
      </c>
      <c r="V35" s="179" t="e">
        <f>'Entrada e Saida'!$H$22*(Q35/(SUM(Q:Q)))</f>
        <v>#DIV/0!</v>
      </c>
      <c r="W35" s="180" t="e">
        <f t="shared" si="42"/>
        <v>#DIV/0!</v>
      </c>
      <c r="X35" s="179" t="e">
        <f>'Entrada e Saida'!$H$26*(IF('Entrada e Saida'!$H$15="PESO",(P35/(SUM(P:P))),(Q35/(SUM(Q:Q)))))</f>
        <v>#DIV/0!</v>
      </c>
      <c r="Y35" s="179" t="e">
        <f>'Entrada e Saida'!$H$27*(IF('Entrada e Saida'!$H$15="PESO",(P35/(SUM(P:P))),(Q35/(SUM(Q:Q)))))</f>
        <v>#DIV/0!</v>
      </c>
      <c r="Z35" s="179" t="e">
        <f>'Entrada e Saida'!$H$28*(IF('Entrada e Saida'!$H$15="PESO",(P35/(SUM(P:P))),(Q35/(SUM(Q:Q)))))</f>
        <v>#DIV/0!</v>
      </c>
      <c r="AA35" s="181" t="e">
        <f t="shared" si="43"/>
        <v>#DIV/0!</v>
      </c>
      <c r="AB35" s="178" t="e">
        <f t="shared" si="44"/>
        <v>#DIV/0!</v>
      </c>
      <c r="AC35" s="178" t="e">
        <f t="shared" si="45"/>
        <v>#DIV/0!</v>
      </c>
      <c r="AD35" s="178" t="e">
        <f t="shared" si="46"/>
        <v>#DIV/0!</v>
      </c>
      <c r="AE35" s="177" t="e">
        <f t="shared" si="47"/>
        <v>#DIV/0!</v>
      </c>
      <c r="AF35" s="182">
        <f>IFERROR(D35*F35*L35*'Entrada e Saida'!$K$8,0)</f>
        <v>0</v>
      </c>
      <c r="AG35" s="178" t="e">
        <f>((W35+AA35+AB35+AC35+AD35+AE35+AF35)/(1-'Entrada e Saida'!$G$65))*'Entrada e Saida'!$I$66</f>
        <v>#DIV/0!</v>
      </c>
      <c r="AH35" s="180" t="e">
        <f t="shared" si="48"/>
        <v>#DIV/0!</v>
      </c>
      <c r="AI35" s="183" t="e">
        <f>'Entrada e Saida'!$K$51*(IF('Entrada e Saida'!$H$15="PESO",(P35/(SUM(P:P))),(Q35/(SUM(Q:Q)))))</f>
        <v>#DIV/0!</v>
      </c>
      <c r="AJ35" s="183">
        <f>(('Entrada e Saida'!$K$10-'Entrada e Saida'!$K$8)*E35*D35)</f>
        <v>0</v>
      </c>
      <c r="AK35" s="184" t="e">
        <f>IF('Entrada e Saida'!$H$15="PESO",W35+AA35+AH35+AI35+AJ35,W35+AA35+AH35+AI35+AJ35-S35+T35-U35+V35)</f>
        <v>#DIV/0!</v>
      </c>
      <c r="AL35" s="185" t="e">
        <f>IF('Entrada e Saida'!$H$12="REAL",AC35,0)</f>
        <v>#DIV/0!</v>
      </c>
      <c r="AM35" s="185" t="e">
        <f>IF('Entrada e Saida'!$H$12="REAL",AD35,0)</f>
        <v>#DIV/0!</v>
      </c>
      <c r="AN35" s="186" t="e">
        <f>IF('Entrada e Saida'!$H$13= "NÃO",AE35,0)</f>
        <v>#DIV/0!</v>
      </c>
      <c r="AO35" s="186" t="e">
        <f t="shared" si="49"/>
        <v>#DIV/0!</v>
      </c>
      <c r="AP35" s="184" t="e">
        <f t="shared" si="50"/>
        <v>#DIV/0!</v>
      </c>
      <c r="AQ35" s="178" t="e">
        <f>IF('Entrada e Saida'!$H$11="TRADING",AU35*'Custo Resumido'!D35,0)</f>
        <v>#DIV/0!</v>
      </c>
      <c r="AR35" s="178" t="e">
        <f>IF('Entrada e Saida'!$H$11="TRADING",AU35*'Entrada e Saida'!$G$63,0)</f>
        <v>#DIV/0!</v>
      </c>
      <c r="AS35" s="178" t="e">
        <f>IF('Entrada e Saida'!$H$11="TRADING",AU35*'Entrada e Saida'!$G$64,0)</f>
        <v>#DIV/0!</v>
      </c>
      <c r="AT35" s="178" t="e">
        <f>IF('Entrada e Saida'!$H$11="TRADING",AU35*'Entrada e Saida'!$G$65,0)</f>
        <v>#DIV/0!</v>
      </c>
      <c r="AU35" s="184" t="e">
        <f>IF('Entrada e Saida'!$H$11="TRADING",AP35/(1-(SUM('Entrada e Saida'!$G$63:$G$65)+'Custo Resumido'!D35)),0)</f>
        <v>#DIV/0!</v>
      </c>
      <c r="AV35" s="178" t="e">
        <f>IF('Entrada e Saida'!$H$13="NÃO",AU35*M35,0)</f>
        <v>#DIV/0!</v>
      </c>
      <c r="AW35" s="184" t="e">
        <f t="shared" si="51"/>
        <v>#DIV/0!</v>
      </c>
      <c r="AX35" s="178" t="e">
        <f>'Entrada e Saida'!$G$74*AU35</f>
        <v>#DIV/0!</v>
      </c>
      <c r="AY35" s="184" t="e">
        <f t="shared" si="52"/>
        <v>#DIV/0!</v>
      </c>
      <c r="AZ35" s="184" t="e">
        <f>AQ35+('Entrada e Saida'!$G$65-'Entrada e Saida'!$I$65)*AU35-AX35</f>
        <v>#DIV/0!</v>
      </c>
      <c r="BA35" s="3" t="e">
        <f>IF('Entrada e Saida'!$H$12="REAL",AZ35*'Entrada e Saida'!$G$81,AU35*'Entrada e Saida'!$G$81)</f>
        <v>#DIV/0!</v>
      </c>
      <c r="BB35" s="3" t="e">
        <f>IF('Entrada e Saida'!$H$12="REAL",AZ35*'Entrada e Saida'!$G$82,AU35*'Entrada e Saida'!$G$82)</f>
        <v>#DIV/0!</v>
      </c>
      <c r="BC35" s="4" t="e">
        <f t="shared" si="53"/>
        <v>#DIV/0!</v>
      </c>
      <c r="BD35" s="3" t="e">
        <f>IF('Entrada e Saida'!$H$11="TRADING",AW35/D35,AK35/D35)</f>
        <v>#DIV/0!</v>
      </c>
      <c r="BE35" s="3" t="e">
        <f t="shared" si="54"/>
        <v>#DIV/0!</v>
      </c>
      <c r="BF35" s="2" t="e">
        <f t="shared" si="55"/>
        <v>#DIV/0!</v>
      </c>
      <c r="BG35" s="3" t="e">
        <f>IF('Entrada e Saida'!$H$11="TRADING",AV35/D35,AN35/D35)</f>
        <v>#DIV/0!</v>
      </c>
      <c r="BH35" s="3" t="e">
        <f>IF('Entrada e Saida'!$H$11="TRADING",IF('Entrada e Saida'!$H$12="REAL",AR35/D35,0),AL35/D35)</f>
        <v>#DIV/0!</v>
      </c>
      <c r="BI35" s="3" t="e">
        <f>IF('Entrada e Saida'!$H$11="TRADING",IF('Entrada e Saida'!$H$12="REAL",AS35/D35,0),AM35/D35)</f>
        <v>#DIV/0!</v>
      </c>
      <c r="BJ35" s="3" t="e">
        <f>IF('Entrada e Saida'!$H$11="TRADING",AT35/D35,AO35/D35)</f>
        <v>#DIV/0!</v>
      </c>
      <c r="BK35" s="2" t="e">
        <f t="shared" si="56"/>
        <v>#DIV/0!</v>
      </c>
      <c r="BL35" s="2">
        <f>IF(O35&gt;0,IFERROR(IF('Entrada e Saida'!$H$11="DIRETA",0,(IF('Entrada e Saida'!$H$14="P.JURIDICA",(BD35*(1+O35)*N35)-((BD35/(1+M35))*'Entrada e Saida'!$G$65),((Produtos!N35-'Entrada e Saida'!$G$65)*Produtos!BD35)))),0),0)</f>
        <v>0</v>
      </c>
      <c r="BM35" s="2" t="e">
        <f t="shared" si="57"/>
        <v>#DIV/0!</v>
      </c>
    </row>
    <row r="36" spans="1:65" s="1" customFormat="1">
      <c r="A36" s="211"/>
      <c r="B36" s="172" t="e">
        <f>VLOOKUP(A36,'Master Modelo'!A:I,7,FALSE)</f>
        <v>#N/A</v>
      </c>
      <c r="C36" s="145" t="e">
        <f>VLOOKUP(A36,'Master Modelo'!A:I,2,FALSE)</f>
        <v>#N/A</v>
      </c>
      <c r="D36" s="146"/>
      <c r="E36" s="148">
        <f>IFERROR(VLOOKUP(A36,'Master Modelo'!A:I,9,FALSE),0)</f>
        <v>0</v>
      </c>
      <c r="F36" s="189">
        <f>IFERROR(VLOOKUP(A36,'Master Modelo'!A:I,8,FALSE),0)</f>
        <v>0</v>
      </c>
      <c r="G36" s="189">
        <f>IFERROR(VLOOKUP(A36,'Master Modelo'!A:K,11,FALSE),0)</f>
        <v>0</v>
      </c>
      <c r="H36" s="173" t="e">
        <f t="shared" si="40"/>
        <v>#DIV/0!</v>
      </c>
      <c r="I36" s="163">
        <f>IFERROR(VLOOKUP(A36,'Master Modelo'!A:I,3,FALSE),0)</f>
        <v>0</v>
      </c>
      <c r="J36" s="164">
        <f>IFERROR(VLOOKUP(A36,'Master Modelo'!A:I,5,FALSE),0)</f>
        <v>0</v>
      </c>
      <c r="K36" s="164">
        <f>IFERROR(VLOOKUP(A36,'Master Modelo'!A:I,6,FALSE),0)</f>
        <v>0</v>
      </c>
      <c r="L36" s="165" t="e">
        <f>VLOOKUP(A36,'Master Modelo'!A:J,10,FALSE)</f>
        <v>#N/A</v>
      </c>
      <c r="M36" s="163">
        <f>IFERROR(VLOOKUP(A36,'Master Modelo'!A:I,4,FALSE),0)</f>
        <v>0</v>
      </c>
      <c r="N36" s="175"/>
      <c r="O36" s="187"/>
      <c r="P36" s="177">
        <f t="shared" si="41"/>
        <v>0</v>
      </c>
      <c r="Q36" s="177">
        <f t="shared" si="10"/>
        <v>0</v>
      </c>
      <c r="R36" s="178">
        <f>D36*E36*'Entrada e Saida'!$K$8</f>
        <v>0</v>
      </c>
      <c r="S36" s="179" t="e">
        <f>'Entrada e Saida'!$H$21*'Entrada e Saida'!$K$8*(P36/(SUM(P:P)))</f>
        <v>#DIV/0!</v>
      </c>
      <c r="T36" s="179" t="e">
        <f>'Entrada e Saida'!$H$21*'Entrada e Saida'!$K$8*(Q36/(SUM(Q:Q)))</f>
        <v>#DIV/0!</v>
      </c>
      <c r="U36" s="179" t="e">
        <f>'Entrada e Saida'!$H$22*(P36/(SUM(P:P)))</f>
        <v>#DIV/0!</v>
      </c>
      <c r="V36" s="179" t="e">
        <f>'Entrada e Saida'!$H$22*(Q36/(SUM(Q:Q)))</f>
        <v>#DIV/0!</v>
      </c>
      <c r="W36" s="180" t="e">
        <f t="shared" si="42"/>
        <v>#DIV/0!</v>
      </c>
      <c r="X36" s="179" t="e">
        <f>'Entrada e Saida'!$H$26*(IF('Entrada e Saida'!$H$15="PESO",(P36/(SUM(P:P))),(Q36/(SUM(Q:Q)))))</f>
        <v>#DIV/0!</v>
      </c>
      <c r="Y36" s="179" t="e">
        <f>'Entrada e Saida'!$H$27*(IF('Entrada e Saida'!$H$15="PESO",(P36/(SUM(P:P))),(Q36/(SUM(Q:Q)))))</f>
        <v>#DIV/0!</v>
      </c>
      <c r="Z36" s="179" t="e">
        <f>'Entrada e Saida'!$H$28*(IF('Entrada e Saida'!$H$15="PESO",(P36/(SUM(P:P))),(Q36/(SUM(Q:Q)))))</f>
        <v>#DIV/0!</v>
      </c>
      <c r="AA36" s="181" t="e">
        <f t="shared" si="43"/>
        <v>#DIV/0!</v>
      </c>
      <c r="AB36" s="178" t="e">
        <f t="shared" si="44"/>
        <v>#DIV/0!</v>
      </c>
      <c r="AC36" s="178" t="e">
        <f t="shared" si="45"/>
        <v>#DIV/0!</v>
      </c>
      <c r="AD36" s="178" t="e">
        <f t="shared" si="46"/>
        <v>#DIV/0!</v>
      </c>
      <c r="AE36" s="177" t="e">
        <f t="shared" si="47"/>
        <v>#DIV/0!</v>
      </c>
      <c r="AF36" s="182">
        <f>IFERROR(D36*F36*L36*'Entrada e Saida'!$K$8,0)</f>
        <v>0</v>
      </c>
      <c r="AG36" s="178" t="e">
        <f>((W36+AA36+AB36+AC36+AD36+AE36+AF36)/(1-'Entrada e Saida'!$G$65))*'Entrada e Saida'!$I$66</f>
        <v>#DIV/0!</v>
      </c>
      <c r="AH36" s="180" t="e">
        <f t="shared" si="48"/>
        <v>#DIV/0!</v>
      </c>
      <c r="AI36" s="183" t="e">
        <f>'Entrada e Saida'!$K$51*(IF('Entrada e Saida'!$H$15="PESO",(P36/(SUM(P:P))),(Q36/(SUM(Q:Q)))))</f>
        <v>#DIV/0!</v>
      </c>
      <c r="AJ36" s="183">
        <f>(('Entrada e Saida'!$K$10-'Entrada e Saida'!$K$8)*E36*D36)</f>
        <v>0</v>
      </c>
      <c r="AK36" s="184" t="e">
        <f>IF('Entrada e Saida'!$H$15="PESO",W36+AA36+AH36+AI36+AJ36,W36+AA36+AH36+AI36+AJ36-S36+T36-U36+V36)</f>
        <v>#DIV/0!</v>
      </c>
      <c r="AL36" s="185" t="e">
        <f>IF('Entrada e Saida'!$H$12="REAL",AC36,0)</f>
        <v>#DIV/0!</v>
      </c>
      <c r="AM36" s="185" t="e">
        <f>IF('Entrada e Saida'!$H$12="REAL",AD36,0)</f>
        <v>#DIV/0!</v>
      </c>
      <c r="AN36" s="186" t="e">
        <f>IF('Entrada e Saida'!$H$13= "NÃO",AE36,0)</f>
        <v>#DIV/0!</v>
      </c>
      <c r="AO36" s="186" t="e">
        <f t="shared" si="49"/>
        <v>#DIV/0!</v>
      </c>
      <c r="AP36" s="184" t="e">
        <f t="shared" si="50"/>
        <v>#DIV/0!</v>
      </c>
      <c r="AQ36" s="178" t="e">
        <f>IF('Entrada e Saida'!$H$11="TRADING",AU36*'Custo Resumido'!D36,0)</f>
        <v>#DIV/0!</v>
      </c>
      <c r="AR36" s="178" t="e">
        <f>IF('Entrada e Saida'!$H$11="TRADING",AU36*'Entrada e Saida'!$G$63,0)</f>
        <v>#DIV/0!</v>
      </c>
      <c r="AS36" s="178" t="e">
        <f>IF('Entrada e Saida'!$H$11="TRADING",AU36*'Entrada e Saida'!$G$64,0)</f>
        <v>#DIV/0!</v>
      </c>
      <c r="AT36" s="178" t="e">
        <f>IF('Entrada e Saida'!$H$11="TRADING",AU36*'Entrada e Saida'!$G$65,0)</f>
        <v>#DIV/0!</v>
      </c>
      <c r="AU36" s="184" t="e">
        <f>IF('Entrada e Saida'!$H$11="TRADING",AP36/(1-(SUM('Entrada e Saida'!$G$63:$G$65)+'Custo Resumido'!D36)),0)</f>
        <v>#DIV/0!</v>
      </c>
      <c r="AV36" s="178" t="e">
        <f>IF('Entrada e Saida'!$H$13="NÃO",AU36*M36,0)</f>
        <v>#DIV/0!</v>
      </c>
      <c r="AW36" s="184" t="e">
        <f t="shared" si="51"/>
        <v>#DIV/0!</v>
      </c>
      <c r="AX36" s="178" t="e">
        <f>'Entrada e Saida'!$G$74*AU36</f>
        <v>#DIV/0!</v>
      </c>
      <c r="AY36" s="184" t="e">
        <f t="shared" si="52"/>
        <v>#DIV/0!</v>
      </c>
      <c r="AZ36" s="184" t="e">
        <f>AQ36+('Entrada e Saida'!$G$65-'Entrada e Saida'!$I$65)*AU36-AX36</f>
        <v>#DIV/0!</v>
      </c>
      <c r="BA36" s="3" t="e">
        <f>IF('Entrada e Saida'!$H$12="REAL",AZ36*'Entrada e Saida'!$G$81,AU36*'Entrada e Saida'!$G$81)</f>
        <v>#DIV/0!</v>
      </c>
      <c r="BB36" s="3" t="e">
        <f>IF('Entrada e Saida'!$H$12="REAL",AZ36*'Entrada e Saida'!$G$82,AU36*'Entrada e Saida'!$G$82)</f>
        <v>#DIV/0!</v>
      </c>
      <c r="BC36" s="4" t="e">
        <f t="shared" si="53"/>
        <v>#DIV/0!</v>
      </c>
      <c r="BD36" s="3" t="e">
        <f>IF('Entrada e Saida'!$H$11="TRADING",AW36/D36,AK36/D36)</f>
        <v>#DIV/0!</v>
      </c>
      <c r="BE36" s="3" t="e">
        <f t="shared" si="54"/>
        <v>#DIV/0!</v>
      </c>
      <c r="BF36" s="2" t="e">
        <f t="shared" si="55"/>
        <v>#DIV/0!</v>
      </c>
      <c r="BG36" s="3" t="e">
        <f>IF('Entrada e Saida'!$H$11="TRADING",AV36/D36,AN36/D36)</f>
        <v>#DIV/0!</v>
      </c>
      <c r="BH36" s="3" t="e">
        <f>IF('Entrada e Saida'!$H$11="TRADING",IF('Entrada e Saida'!$H$12="REAL",AR36/D36,0),AL36/D36)</f>
        <v>#DIV/0!</v>
      </c>
      <c r="BI36" s="3" t="e">
        <f>IF('Entrada e Saida'!$H$11="TRADING",IF('Entrada e Saida'!$H$12="REAL",AS36/D36,0),AM36/D36)</f>
        <v>#DIV/0!</v>
      </c>
      <c r="BJ36" s="3" t="e">
        <f>IF('Entrada e Saida'!$H$11="TRADING",AT36/D36,AO36/D36)</f>
        <v>#DIV/0!</v>
      </c>
      <c r="BK36" s="2" t="e">
        <f t="shared" si="56"/>
        <v>#DIV/0!</v>
      </c>
      <c r="BL36" s="2">
        <f>IF(O36&gt;0,IFERROR(IF('Entrada e Saida'!$H$11="DIRETA",0,(IF('Entrada e Saida'!$H$14="P.JURIDICA",(BD36*(1+O36)*N36)-((BD36/(1+M36))*'Entrada e Saida'!$G$65),((Produtos!N36-'Entrada e Saida'!$G$65)*Produtos!BD36)))),0),0)</f>
        <v>0</v>
      </c>
      <c r="BM36" s="2" t="e">
        <f t="shared" si="57"/>
        <v>#DIV/0!</v>
      </c>
    </row>
    <row r="37" spans="1:65" s="1" customFormat="1">
      <c r="A37" s="127"/>
      <c r="B37" s="172" t="e">
        <f>VLOOKUP(A37,'Master Modelo'!A:I,7,FALSE)</f>
        <v>#N/A</v>
      </c>
      <c r="C37" s="145" t="e">
        <f>VLOOKUP(A37,'Master Modelo'!A:I,2,FALSE)</f>
        <v>#N/A</v>
      </c>
      <c r="D37" s="146"/>
      <c r="E37" s="148">
        <f>IFERROR(VLOOKUP(A37,'Master Modelo'!A:I,9,FALSE),0)</f>
        <v>0</v>
      </c>
      <c r="F37" s="189">
        <f>IFERROR(VLOOKUP(A37,'Master Modelo'!A:I,8,FALSE),0)</f>
        <v>0</v>
      </c>
      <c r="G37" s="189">
        <f>IFERROR(VLOOKUP(A37,'Master Modelo'!A:K,11,FALSE),0)</f>
        <v>0</v>
      </c>
      <c r="H37" s="173" t="e">
        <f t="shared" si="40"/>
        <v>#DIV/0!</v>
      </c>
      <c r="I37" s="163">
        <f>IFERROR(VLOOKUP(A37,'Master Modelo'!A:I,3,FALSE),0)</f>
        <v>0</v>
      </c>
      <c r="J37" s="164">
        <f>IFERROR(VLOOKUP(A37,'Master Modelo'!A:I,5,FALSE),0)</f>
        <v>0</v>
      </c>
      <c r="K37" s="164">
        <f>IFERROR(VLOOKUP(A37,'Master Modelo'!A:I,6,FALSE),0)</f>
        <v>0</v>
      </c>
      <c r="L37" s="165" t="e">
        <f>VLOOKUP(A37,'Master Modelo'!A:J,10,FALSE)</f>
        <v>#N/A</v>
      </c>
      <c r="M37" s="163">
        <f>IFERROR(VLOOKUP(A37,'Master Modelo'!A:I,4,FALSE),0)</f>
        <v>0</v>
      </c>
      <c r="N37" s="175"/>
      <c r="O37" s="187"/>
      <c r="P37" s="177">
        <f t="shared" si="41"/>
        <v>0</v>
      </c>
      <c r="Q37" s="177">
        <f t="shared" si="10"/>
        <v>0</v>
      </c>
      <c r="R37" s="178">
        <f>D37*E37*'Entrada e Saida'!$K$8</f>
        <v>0</v>
      </c>
      <c r="S37" s="179" t="e">
        <f>'Entrada e Saida'!$H$21*'Entrada e Saida'!$K$8*(P37/(SUM(P:P)))</f>
        <v>#DIV/0!</v>
      </c>
      <c r="T37" s="179" t="e">
        <f>'Entrada e Saida'!$H$21*'Entrada e Saida'!$K$8*(Q37/(SUM(Q:Q)))</f>
        <v>#DIV/0!</v>
      </c>
      <c r="U37" s="179" t="e">
        <f>'Entrada e Saida'!$H$22*(P37/(SUM(P:P)))</f>
        <v>#DIV/0!</v>
      </c>
      <c r="V37" s="179" t="e">
        <f>'Entrada e Saida'!$H$22*(Q37/(SUM(Q:Q)))</f>
        <v>#DIV/0!</v>
      </c>
      <c r="W37" s="180" t="e">
        <f t="shared" si="42"/>
        <v>#DIV/0!</v>
      </c>
      <c r="X37" s="179" t="e">
        <f>'Entrada e Saida'!$H$26*(IF('Entrada e Saida'!$H$15="PESO",(P37/(SUM(P:P))),(Q37/(SUM(Q:Q)))))</f>
        <v>#DIV/0!</v>
      </c>
      <c r="Y37" s="179" t="e">
        <f>'Entrada e Saida'!$H$27*(IF('Entrada e Saida'!$H$15="PESO",(P37/(SUM(P:P))),(Q37/(SUM(Q:Q)))))</f>
        <v>#DIV/0!</v>
      </c>
      <c r="Z37" s="179" t="e">
        <f>'Entrada e Saida'!$H$28*(IF('Entrada e Saida'!$H$15="PESO",(P37/(SUM(P:P))),(Q37/(SUM(Q:Q)))))</f>
        <v>#DIV/0!</v>
      </c>
      <c r="AA37" s="181" t="e">
        <f t="shared" si="43"/>
        <v>#DIV/0!</v>
      </c>
      <c r="AB37" s="178" t="e">
        <f t="shared" si="44"/>
        <v>#DIV/0!</v>
      </c>
      <c r="AC37" s="178" t="e">
        <f t="shared" si="45"/>
        <v>#DIV/0!</v>
      </c>
      <c r="AD37" s="178" t="e">
        <f t="shared" si="46"/>
        <v>#DIV/0!</v>
      </c>
      <c r="AE37" s="177" t="e">
        <f t="shared" si="47"/>
        <v>#DIV/0!</v>
      </c>
      <c r="AF37" s="182">
        <f>IFERROR(D37*F37*L37*'Entrada e Saida'!$K$8,0)</f>
        <v>0</v>
      </c>
      <c r="AG37" s="178" t="e">
        <f>((W37+AA37+AB37+AC37+AD37+AE37+AF37)/(1-'Entrada e Saida'!$G$65))*'Entrada e Saida'!$I$66</f>
        <v>#DIV/0!</v>
      </c>
      <c r="AH37" s="180" t="e">
        <f t="shared" si="48"/>
        <v>#DIV/0!</v>
      </c>
      <c r="AI37" s="183" t="e">
        <f>'Entrada e Saida'!$K$51*(IF('Entrada e Saida'!$H$15="PESO",(P37/(SUM(P:P))),(Q37/(SUM(Q:Q)))))</f>
        <v>#DIV/0!</v>
      </c>
      <c r="AJ37" s="183">
        <f>(('Entrada e Saida'!$K$10-'Entrada e Saida'!$K$8)*E37*D37)</f>
        <v>0</v>
      </c>
      <c r="AK37" s="184" t="e">
        <f>IF('Entrada e Saida'!$H$15="PESO",W37+AA37+AH37+AI37+AJ37,W37+AA37+AH37+AI37+AJ37-S37+T37-U37+V37)</f>
        <v>#DIV/0!</v>
      </c>
      <c r="AL37" s="185" t="e">
        <f>IF('Entrada e Saida'!$H$12="REAL",AC37,0)</f>
        <v>#DIV/0!</v>
      </c>
      <c r="AM37" s="185" t="e">
        <f>IF('Entrada e Saida'!$H$12="REAL",AD37,0)</f>
        <v>#DIV/0!</v>
      </c>
      <c r="AN37" s="186" t="e">
        <f>IF('Entrada e Saida'!$H$13= "NÃO",AE37,0)</f>
        <v>#DIV/0!</v>
      </c>
      <c r="AO37" s="186" t="e">
        <f t="shared" si="49"/>
        <v>#DIV/0!</v>
      </c>
      <c r="AP37" s="184" t="e">
        <f t="shared" si="50"/>
        <v>#DIV/0!</v>
      </c>
      <c r="AQ37" s="178" t="e">
        <f>IF('Entrada e Saida'!$H$11="TRADING",AU37*'Custo Resumido'!D37,0)</f>
        <v>#DIV/0!</v>
      </c>
      <c r="AR37" s="178" t="e">
        <f>IF('Entrada e Saida'!$H$11="TRADING",AU37*'Entrada e Saida'!$G$63,0)</f>
        <v>#DIV/0!</v>
      </c>
      <c r="AS37" s="178" t="e">
        <f>IF('Entrada e Saida'!$H$11="TRADING",AU37*'Entrada e Saida'!$G$64,0)</f>
        <v>#DIV/0!</v>
      </c>
      <c r="AT37" s="178" t="e">
        <f>IF('Entrada e Saida'!$H$11="TRADING",AU37*'Entrada e Saida'!$G$65,0)</f>
        <v>#DIV/0!</v>
      </c>
      <c r="AU37" s="184" t="e">
        <f>IF('Entrada e Saida'!$H$11="TRADING",AP37/(1-(SUM('Entrada e Saida'!$G$63:$G$65)+'Custo Resumido'!D37)),0)</f>
        <v>#DIV/0!</v>
      </c>
      <c r="AV37" s="178" t="e">
        <f>IF('Entrada e Saida'!$H$13="NÃO",AU37*M37,0)</f>
        <v>#DIV/0!</v>
      </c>
      <c r="AW37" s="184" t="e">
        <f t="shared" si="51"/>
        <v>#DIV/0!</v>
      </c>
      <c r="AX37" s="178" t="e">
        <f>'Entrada e Saida'!$G$74*AU37</f>
        <v>#DIV/0!</v>
      </c>
      <c r="AY37" s="184" t="e">
        <f t="shared" si="52"/>
        <v>#DIV/0!</v>
      </c>
      <c r="AZ37" s="184" t="e">
        <f>AQ37+('Entrada e Saida'!$G$65-'Entrada e Saida'!$I$65)*AU37-AX37</f>
        <v>#DIV/0!</v>
      </c>
      <c r="BA37" s="3" t="e">
        <f>IF('Entrada e Saida'!$H$12="REAL",AZ37*'Entrada e Saida'!$G$81,AU37*'Entrada e Saida'!$G$81)</f>
        <v>#DIV/0!</v>
      </c>
      <c r="BB37" s="3" t="e">
        <f>IF('Entrada e Saida'!$H$12="REAL",AZ37*'Entrada e Saida'!$G$82,AU37*'Entrada e Saida'!$G$82)</f>
        <v>#DIV/0!</v>
      </c>
      <c r="BC37" s="4" t="e">
        <f t="shared" si="53"/>
        <v>#DIV/0!</v>
      </c>
      <c r="BD37" s="3" t="e">
        <f>IF('Entrada e Saida'!$H$11="TRADING",AW37/D37,AK37/D37)</f>
        <v>#DIV/0!</v>
      </c>
      <c r="BE37" s="3" t="e">
        <f t="shared" si="54"/>
        <v>#DIV/0!</v>
      </c>
      <c r="BF37" s="2" t="e">
        <f t="shared" si="55"/>
        <v>#DIV/0!</v>
      </c>
      <c r="BG37" s="3" t="e">
        <f>IF('Entrada e Saida'!$H$11="TRADING",AV37/D37,AN37/D37)</f>
        <v>#DIV/0!</v>
      </c>
      <c r="BH37" s="3" t="e">
        <f>IF('Entrada e Saida'!$H$11="TRADING",IF('Entrada e Saida'!$H$12="REAL",AR37/D37,0),AL37/D37)</f>
        <v>#DIV/0!</v>
      </c>
      <c r="BI37" s="3" t="e">
        <f>IF('Entrada e Saida'!$H$11="TRADING",IF('Entrada e Saida'!$H$12="REAL",AS37/D37,0),AM37/D37)</f>
        <v>#DIV/0!</v>
      </c>
      <c r="BJ37" s="3" t="e">
        <f>IF('Entrada e Saida'!$H$11="TRADING",AT37/D37,AO37/D37)</f>
        <v>#DIV/0!</v>
      </c>
      <c r="BK37" s="2" t="e">
        <f t="shared" si="56"/>
        <v>#DIV/0!</v>
      </c>
      <c r="BL37" s="2">
        <f>IF(O37&gt;0,IFERROR(IF('Entrada e Saida'!$H$11="DIRETA",0,(IF('Entrada e Saida'!$H$14="P.JURIDICA",(BD37*(1+O37)*N37)-((BD37/(1+M37))*'Entrada e Saida'!$G$65),((Produtos!N37-'Entrada e Saida'!$G$65)*Produtos!BD37)))),0),0)</f>
        <v>0</v>
      </c>
      <c r="BM37" s="2" t="e">
        <f t="shared" si="57"/>
        <v>#DIV/0!</v>
      </c>
    </row>
    <row r="38" spans="1:65" s="1" customFormat="1">
      <c r="A38" s="127"/>
      <c r="B38" s="172" t="e">
        <f>VLOOKUP(A38,'Master Modelo'!A:I,7,FALSE)</f>
        <v>#N/A</v>
      </c>
      <c r="C38" s="145" t="e">
        <f>VLOOKUP(A38,'Master Modelo'!A:I,2,FALSE)</f>
        <v>#N/A</v>
      </c>
      <c r="D38" s="146"/>
      <c r="E38" s="148">
        <f>IFERROR(VLOOKUP(A38,'Master Modelo'!A:I,9,FALSE),0)</f>
        <v>0</v>
      </c>
      <c r="F38" s="189">
        <f>IFERROR(VLOOKUP(A38,'Master Modelo'!A:I,8,FALSE),0)</f>
        <v>0</v>
      </c>
      <c r="G38" s="189">
        <f>IFERROR(VLOOKUP(A38,'Master Modelo'!A:K,11,FALSE),0)</f>
        <v>0</v>
      </c>
      <c r="H38" s="173" t="e">
        <f t="shared" si="40"/>
        <v>#DIV/0!</v>
      </c>
      <c r="I38" s="163">
        <f>IFERROR(VLOOKUP(A38,'Master Modelo'!A:I,3,FALSE),0)</f>
        <v>0</v>
      </c>
      <c r="J38" s="164">
        <f>IFERROR(VLOOKUP(A38,'Master Modelo'!A:I,5,FALSE),0)</f>
        <v>0</v>
      </c>
      <c r="K38" s="164">
        <f>IFERROR(VLOOKUP(A38,'Master Modelo'!A:I,6,FALSE),0)</f>
        <v>0</v>
      </c>
      <c r="L38" s="165" t="e">
        <f>VLOOKUP(A38,'Master Modelo'!A:J,10,FALSE)</f>
        <v>#N/A</v>
      </c>
      <c r="M38" s="163">
        <f>IFERROR(VLOOKUP(A38,'Master Modelo'!A:I,4,FALSE),0)</f>
        <v>0</v>
      </c>
      <c r="N38" s="175"/>
      <c r="O38" s="187"/>
      <c r="P38" s="177">
        <f t="shared" si="41"/>
        <v>0</v>
      </c>
      <c r="Q38" s="177">
        <f t="shared" si="10"/>
        <v>0</v>
      </c>
      <c r="R38" s="178">
        <f>D38*E38*'Entrada e Saida'!$K$8</f>
        <v>0</v>
      </c>
      <c r="S38" s="179" t="e">
        <f>'Entrada e Saida'!$H$21*'Entrada e Saida'!$K$8*(P38/(SUM(P:P)))</f>
        <v>#DIV/0!</v>
      </c>
      <c r="T38" s="179" t="e">
        <f>'Entrada e Saida'!$H$21*'Entrada e Saida'!$K$8*(Q38/(SUM(Q:Q)))</f>
        <v>#DIV/0!</v>
      </c>
      <c r="U38" s="179" t="e">
        <f>'Entrada e Saida'!$H$22*(P38/(SUM(P:P)))</f>
        <v>#DIV/0!</v>
      </c>
      <c r="V38" s="179" t="e">
        <f>'Entrada e Saida'!$H$22*(Q38/(SUM(Q:Q)))</f>
        <v>#DIV/0!</v>
      </c>
      <c r="W38" s="180" t="e">
        <f t="shared" si="42"/>
        <v>#DIV/0!</v>
      </c>
      <c r="X38" s="179" t="e">
        <f>'Entrada e Saida'!$H$26*(IF('Entrada e Saida'!$H$15="PESO",(P38/(SUM(P:P))),(Q38/(SUM(Q:Q)))))</f>
        <v>#DIV/0!</v>
      </c>
      <c r="Y38" s="179" t="e">
        <f>'Entrada e Saida'!$H$27*(IF('Entrada e Saida'!$H$15="PESO",(P38/(SUM(P:P))),(Q38/(SUM(Q:Q)))))</f>
        <v>#DIV/0!</v>
      </c>
      <c r="Z38" s="179" t="e">
        <f>'Entrada e Saida'!$H$28*(IF('Entrada e Saida'!$H$15="PESO",(P38/(SUM(P:P))),(Q38/(SUM(Q:Q)))))</f>
        <v>#DIV/0!</v>
      </c>
      <c r="AA38" s="181" t="e">
        <f t="shared" si="43"/>
        <v>#DIV/0!</v>
      </c>
      <c r="AB38" s="178" t="e">
        <f t="shared" si="44"/>
        <v>#DIV/0!</v>
      </c>
      <c r="AC38" s="178" t="e">
        <f t="shared" si="45"/>
        <v>#DIV/0!</v>
      </c>
      <c r="AD38" s="178" t="e">
        <f t="shared" si="46"/>
        <v>#DIV/0!</v>
      </c>
      <c r="AE38" s="177" t="e">
        <f t="shared" si="47"/>
        <v>#DIV/0!</v>
      </c>
      <c r="AF38" s="182">
        <f>IFERROR(D38*F38*L38*'Entrada e Saida'!$K$8,0)</f>
        <v>0</v>
      </c>
      <c r="AG38" s="178" t="e">
        <f>((W38+AA38+AB38+AC38+AD38+AE38+AF38)/(1-'Entrada e Saida'!$G$65))*'Entrada e Saida'!$I$66</f>
        <v>#DIV/0!</v>
      </c>
      <c r="AH38" s="180" t="e">
        <f t="shared" si="48"/>
        <v>#DIV/0!</v>
      </c>
      <c r="AI38" s="183" t="e">
        <f>'Entrada e Saida'!$K$51*(IF('Entrada e Saida'!$H$15="PESO",(P38/(SUM(P:P))),(Q38/(SUM(Q:Q)))))</f>
        <v>#DIV/0!</v>
      </c>
      <c r="AJ38" s="183">
        <f>(('Entrada e Saida'!$K$10-'Entrada e Saida'!$K$8)*E38*D38)</f>
        <v>0</v>
      </c>
      <c r="AK38" s="184" t="e">
        <f>IF('Entrada e Saida'!$H$15="PESO",W38+AA38+AH38+AI38+AJ38,W38+AA38+AH38+AI38+AJ38-S38+T38-U38+V38)</f>
        <v>#DIV/0!</v>
      </c>
      <c r="AL38" s="185" t="e">
        <f>IF('Entrada e Saida'!$H$12="REAL",AC38,0)</f>
        <v>#DIV/0!</v>
      </c>
      <c r="AM38" s="185" t="e">
        <f>IF('Entrada e Saida'!$H$12="REAL",AD38,0)</f>
        <v>#DIV/0!</v>
      </c>
      <c r="AN38" s="186" t="e">
        <f>IF('Entrada e Saida'!$H$13= "NÃO",AE38,0)</f>
        <v>#DIV/0!</v>
      </c>
      <c r="AO38" s="186" t="e">
        <f t="shared" si="49"/>
        <v>#DIV/0!</v>
      </c>
      <c r="AP38" s="184" t="e">
        <f t="shared" si="50"/>
        <v>#DIV/0!</v>
      </c>
      <c r="AQ38" s="178" t="e">
        <f>IF('Entrada e Saida'!$H$11="TRADING",AU38*'Custo Resumido'!D38,0)</f>
        <v>#DIV/0!</v>
      </c>
      <c r="AR38" s="178" t="e">
        <f>IF('Entrada e Saida'!$H$11="TRADING",AU38*'Entrada e Saida'!$G$63,0)</f>
        <v>#DIV/0!</v>
      </c>
      <c r="AS38" s="178" t="e">
        <f>IF('Entrada e Saida'!$H$11="TRADING",AU38*'Entrada e Saida'!$G$64,0)</f>
        <v>#DIV/0!</v>
      </c>
      <c r="AT38" s="178" t="e">
        <f>IF('Entrada e Saida'!$H$11="TRADING",AU38*'Entrada e Saida'!$G$65,0)</f>
        <v>#DIV/0!</v>
      </c>
      <c r="AU38" s="184" t="e">
        <f>IF('Entrada e Saida'!$H$11="TRADING",AP38/(1-(SUM('Entrada e Saida'!$G$63:$G$65)+'Custo Resumido'!D38)),0)</f>
        <v>#DIV/0!</v>
      </c>
      <c r="AV38" s="178" t="e">
        <f>IF('Entrada e Saida'!$H$13="NÃO",AU38*M38,0)</f>
        <v>#DIV/0!</v>
      </c>
      <c r="AW38" s="184" t="e">
        <f t="shared" si="51"/>
        <v>#DIV/0!</v>
      </c>
      <c r="AX38" s="178" t="e">
        <f>'Entrada e Saida'!$G$74*AU38</f>
        <v>#DIV/0!</v>
      </c>
      <c r="AY38" s="184" t="e">
        <f t="shared" si="52"/>
        <v>#DIV/0!</v>
      </c>
      <c r="AZ38" s="184" t="e">
        <f>AQ38+('Entrada e Saida'!$G$65-'Entrada e Saida'!$I$65)*AU38-AX38</f>
        <v>#DIV/0!</v>
      </c>
      <c r="BA38" s="3" t="e">
        <f>IF('Entrada e Saida'!$H$12="REAL",AZ38*'Entrada e Saida'!$G$81,AU38*'Entrada e Saida'!$G$81)</f>
        <v>#DIV/0!</v>
      </c>
      <c r="BB38" s="3" t="e">
        <f>IF('Entrada e Saida'!$H$12="REAL",AZ38*'Entrada e Saida'!$G$82,AU38*'Entrada e Saida'!$G$82)</f>
        <v>#DIV/0!</v>
      </c>
      <c r="BC38" s="4" t="e">
        <f t="shared" si="53"/>
        <v>#DIV/0!</v>
      </c>
      <c r="BD38" s="3" t="e">
        <f>IF('Entrada e Saida'!$H$11="TRADING",AW38/D38,AK38/D38)</f>
        <v>#DIV/0!</v>
      </c>
      <c r="BE38" s="3" t="e">
        <f t="shared" si="54"/>
        <v>#DIV/0!</v>
      </c>
      <c r="BF38" s="2" t="e">
        <f t="shared" si="55"/>
        <v>#DIV/0!</v>
      </c>
      <c r="BG38" s="3" t="e">
        <f>IF('Entrada e Saida'!$H$11="TRADING",AV38/D38,AN38/D38)</f>
        <v>#DIV/0!</v>
      </c>
      <c r="BH38" s="3" t="e">
        <f>IF('Entrada e Saida'!$H$11="TRADING",IF('Entrada e Saida'!$H$12="REAL",AR38/D38,0),AL38/D38)</f>
        <v>#DIV/0!</v>
      </c>
      <c r="BI38" s="3" t="e">
        <f>IF('Entrada e Saida'!$H$11="TRADING",IF('Entrada e Saida'!$H$12="REAL",AS38/D38,0),AM38/D38)</f>
        <v>#DIV/0!</v>
      </c>
      <c r="BJ38" s="3" t="e">
        <f>IF('Entrada e Saida'!$H$11="TRADING",AT38/D38,AO38/D38)</f>
        <v>#DIV/0!</v>
      </c>
      <c r="BK38" s="2" t="e">
        <f t="shared" si="56"/>
        <v>#DIV/0!</v>
      </c>
      <c r="BL38" s="2">
        <f>IF(O38&gt;0,IFERROR(IF('Entrada e Saida'!$H$11="DIRETA",0,(IF('Entrada e Saida'!$H$14="P.JURIDICA",(BD38*(1+O38)*N38)-((BD38/(1+M38))*'Entrada e Saida'!$G$65),((Produtos!N38-'Entrada e Saida'!$G$65)*Produtos!BD38)))),0),0)</f>
        <v>0</v>
      </c>
      <c r="BM38" s="2" t="e">
        <f t="shared" si="57"/>
        <v>#DIV/0!</v>
      </c>
    </row>
    <row r="39" spans="1:65" s="1" customFormat="1">
      <c r="A39" s="127"/>
      <c r="B39" s="172" t="e">
        <f>VLOOKUP(A39,'Master Modelo'!A:I,7,FALSE)</f>
        <v>#N/A</v>
      </c>
      <c r="C39" s="145" t="e">
        <f>VLOOKUP(A39,'Master Modelo'!A:I,2,FALSE)</f>
        <v>#N/A</v>
      </c>
      <c r="D39" s="146"/>
      <c r="E39" s="148">
        <f>IFERROR(VLOOKUP(A39,'Master Modelo'!A:I,9,FALSE),0)</f>
        <v>0</v>
      </c>
      <c r="F39" s="189">
        <f>IFERROR(VLOOKUP(A39,'Master Modelo'!A:I,8,FALSE),0)</f>
        <v>0</v>
      </c>
      <c r="G39" s="189">
        <f>IFERROR(VLOOKUP(A39,'Master Modelo'!A:K,11,FALSE),0)</f>
        <v>0</v>
      </c>
      <c r="H39" s="173" t="e">
        <f t="shared" si="40"/>
        <v>#DIV/0!</v>
      </c>
      <c r="I39" s="163">
        <f>IFERROR(VLOOKUP(A39,'Master Modelo'!A:I,3,FALSE),0)</f>
        <v>0</v>
      </c>
      <c r="J39" s="164">
        <f>IFERROR(VLOOKUP(A39,'Master Modelo'!A:I,5,FALSE),0)</f>
        <v>0</v>
      </c>
      <c r="K39" s="164">
        <f>IFERROR(VLOOKUP(A39,'Master Modelo'!A:I,6,FALSE),0)</f>
        <v>0</v>
      </c>
      <c r="L39" s="165" t="e">
        <f>VLOOKUP(A39,'Master Modelo'!A:J,10,FALSE)</f>
        <v>#N/A</v>
      </c>
      <c r="M39" s="163">
        <f>IFERROR(VLOOKUP(A39,'Master Modelo'!A:I,4,FALSE),0)</f>
        <v>0</v>
      </c>
      <c r="N39" s="175"/>
      <c r="O39" s="187"/>
      <c r="P39" s="177">
        <f t="shared" si="41"/>
        <v>0</v>
      </c>
      <c r="Q39" s="177">
        <f t="shared" si="10"/>
        <v>0</v>
      </c>
      <c r="R39" s="178">
        <f>D39*E39*'Entrada e Saida'!$K$8</f>
        <v>0</v>
      </c>
      <c r="S39" s="179" t="e">
        <f>'Entrada e Saida'!$H$21*'Entrada e Saida'!$K$8*(P39/(SUM(P:P)))</f>
        <v>#DIV/0!</v>
      </c>
      <c r="T39" s="179" t="e">
        <f>'Entrada e Saida'!$H$21*'Entrada e Saida'!$K$8*(Q39/(SUM(Q:Q)))</f>
        <v>#DIV/0!</v>
      </c>
      <c r="U39" s="179" t="e">
        <f>'Entrada e Saida'!$H$22*(P39/(SUM(P:P)))</f>
        <v>#DIV/0!</v>
      </c>
      <c r="V39" s="179" t="e">
        <f>'Entrada e Saida'!$H$22*(Q39/(SUM(Q:Q)))</f>
        <v>#DIV/0!</v>
      </c>
      <c r="W39" s="180" t="e">
        <f t="shared" si="42"/>
        <v>#DIV/0!</v>
      </c>
      <c r="X39" s="179" t="e">
        <f>'Entrada e Saida'!$H$26*(IF('Entrada e Saida'!$H$15="PESO",(P39/(SUM(P:P))),(Q39/(SUM(Q:Q)))))</f>
        <v>#DIV/0!</v>
      </c>
      <c r="Y39" s="179" t="e">
        <f>'Entrada e Saida'!$H$27*(IF('Entrada e Saida'!$H$15="PESO",(P39/(SUM(P:P))),(Q39/(SUM(Q:Q)))))</f>
        <v>#DIV/0!</v>
      </c>
      <c r="Z39" s="179" t="e">
        <f>'Entrada e Saida'!$H$28*(IF('Entrada e Saida'!$H$15="PESO",(P39/(SUM(P:P))),(Q39/(SUM(Q:Q)))))</f>
        <v>#DIV/0!</v>
      </c>
      <c r="AA39" s="181" t="e">
        <f t="shared" si="43"/>
        <v>#DIV/0!</v>
      </c>
      <c r="AB39" s="178" t="e">
        <f t="shared" si="44"/>
        <v>#DIV/0!</v>
      </c>
      <c r="AC39" s="178" t="e">
        <f t="shared" si="45"/>
        <v>#DIV/0!</v>
      </c>
      <c r="AD39" s="178" t="e">
        <f t="shared" si="46"/>
        <v>#DIV/0!</v>
      </c>
      <c r="AE39" s="177" t="e">
        <f t="shared" si="47"/>
        <v>#DIV/0!</v>
      </c>
      <c r="AF39" s="182">
        <f>IFERROR(D39*F39*L39*'Entrada e Saida'!$K$8,0)</f>
        <v>0</v>
      </c>
      <c r="AG39" s="178" t="e">
        <f>((W39+AA39+AB39+AC39+AD39+AE39+AF39)/(1-'Entrada e Saida'!$G$65))*'Entrada e Saida'!$I$66</f>
        <v>#DIV/0!</v>
      </c>
      <c r="AH39" s="180" t="e">
        <f t="shared" si="48"/>
        <v>#DIV/0!</v>
      </c>
      <c r="AI39" s="183" t="e">
        <f>'Entrada e Saida'!$K$51*(IF('Entrada e Saida'!$H$15="PESO",(P39/(SUM(P:P))),(Q39/(SUM(Q:Q)))))</f>
        <v>#DIV/0!</v>
      </c>
      <c r="AJ39" s="183">
        <f>(('Entrada e Saida'!$K$10-'Entrada e Saida'!$K$8)*E39*D39)</f>
        <v>0</v>
      </c>
      <c r="AK39" s="184" t="e">
        <f>IF('Entrada e Saida'!$H$15="PESO",W39+AA39+AH39+AI39+AJ39,W39+AA39+AH39+AI39+AJ39-S39+T39-U39+V39)</f>
        <v>#DIV/0!</v>
      </c>
      <c r="AL39" s="185" t="e">
        <f>IF('Entrada e Saida'!$H$12="REAL",AC39,0)</f>
        <v>#DIV/0!</v>
      </c>
      <c r="AM39" s="185" t="e">
        <f>IF('Entrada e Saida'!$H$12="REAL",AD39,0)</f>
        <v>#DIV/0!</v>
      </c>
      <c r="AN39" s="186" t="e">
        <f>IF('Entrada e Saida'!$H$13= "NÃO",AE39,0)</f>
        <v>#DIV/0!</v>
      </c>
      <c r="AO39" s="186" t="e">
        <f t="shared" si="49"/>
        <v>#DIV/0!</v>
      </c>
      <c r="AP39" s="184" t="e">
        <f t="shared" si="50"/>
        <v>#DIV/0!</v>
      </c>
      <c r="AQ39" s="178" t="e">
        <f>IF('Entrada e Saida'!$H$11="TRADING",AU39*'Custo Resumido'!D39,0)</f>
        <v>#DIV/0!</v>
      </c>
      <c r="AR39" s="178" t="e">
        <f>IF('Entrada e Saida'!$H$11="TRADING",AU39*'Entrada e Saida'!$G$63,0)</f>
        <v>#DIV/0!</v>
      </c>
      <c r="AS39" s="178" t="e">
        <f>IF('Entrada e Saida'!$H$11="TRADING",AU39*'Entrada e Saida'!$G$64,0)</f>
        <v>#DIV/0!</v>
      </c>
      <c r="AT39" s="178" t="e">
        <f>IF('Entrada e Saida'!$H$11="TRADING",AU39*'Entrada e Saida'!$G$65,0)</f>
        <v>#DIV/0!</v>
      </c>
      <c r="AU39" s="184" t="e">
        <f>IF('Entrada e Saida'!$H$11="TRADING",AP39/(1-(SUM('Entrada e Saida'!$G$63:$G$65)+'Custo Resumido'!D39)),0)</f>
        <v>#DIV/0!</v>
      </c>
      <c r="AV39" s="178" t="e">
        <f>IF('Entrada e Saida'!$H$13="NÃO",AU39*M39,0)</f>
        <v>#DIV/0!</v>
      </c>
      <c r="AW39" s="184" t="e">
        <f t="shared" si="51"/>
        <v>#DIV/0!</v>
      </c>
      <c r="AX39" s="178" t="e">
        <f>'Entrada e Saida'!$G$74*AU39</f>
        <v>#DIV/0!</v>
      </c>
      <c r="AY39" s="184" t="e">
        <f t="shared" si="52"/>
        <v>#DIV/0!</v>
      </c>
      <c r="AZ39" s="184" t="e">
        <f>AQ39+('Entrada e Saida'!$G$65-'Entrada e Saida'!$I$65)*AU39-AX39</f>
        <v>#DIV/0!</v>
      </c>
      <c r="BA39" s="3" t="e">
        <f>IF('Entrada e Saida'!$H$12="REAL",AZ39*'Entrada e Saida'!$G$81,AU39*'Entrada e Saida'!$G$81)</f>
        <v>#DIV/0!</v>
      </c>
      <c r="BB39" s="3" t="e">
        <f>IF('Entrada e Saida'!$H$12="REAL",AZ39*'Entrada e Saida'!$G$82,AU39*'Entrada e Saida'!$G$82)</f>
        <v>#DIV/0!</v>
      </c>
      <c r="BC39" s="4" t="e">
        <f t="shared" si="53"/>
        <v>#DIV/0!</v>
      </c>
      <c r="BD39" s="3" t="e">
        <f>IF('Entrada e Saida'!$H$11="TRADING",AW39/D39,AK39/D39)</f>
        <v>#DIV/0!</v>
      </c>
      <c r="BE39" s="3" t="e">
        <f t="shared" si="54"/>
        <v>#DIV/0!</v>
      </c>
      <c r="BF39" s="2" t="e">
        <f t="shared" si="55"/>
        <v>#DIV/0!</v>
      </c>
      <c r="BG39" s="3" t="e">
        <f>IF('Entrada e Saida'!$H$11="TRADING",AV39/D39,AN39/D39)</f>
        <v>#DIV/0!</v>
      </c>
      <c r="BH39" s="3" t="e">
        <f>IF('Entrada e Saida'!$H$11="TRADING",IF('Entrada e Saida'!$H$12="REAL",AR39/D39,0),AL39/D39)</f>
        <v>#DIV/0!</v>
      </c>
      <c r="BI39" s="3" t="e">
        <f>IF('Entrada e Saida'!$H$11="TRADING",IF('Entrada e Saida'!$H$12="REAL",AS39/D39,0),AM39/D39)</f>
        <v>#DIV/0!</v>
      </c>
      <c r="BJ39" s="3" t="e">
        <f>IF('Entrada e Saida'!$H$11="TRADING",AT39/D39,AO39/D39)</f>
        <v>#DIV/0!</v>
      </c>
      <c r="BK39" s="2" t="e">
        <f t="shared" si="56"/>
        <v>#DIV/0!</v>
      </c>
      <c r="BL39" s="2">
        <f>IF(O39&gt;0,IFERROR(IF('Entrada e Saida'!$H$11="DIRETA",0,(IF('Entrada e Saida'!$H$14="P.JURIDICA",(BD39*(1+O39)*N39)-((BD39/(1+M39))*'Entrada e Saida'!$G$65),((Produtos!N39-'Entrada e Saida'!$G$65)*Produtos!BD39)))),0),0)</f>
        <v>0</v>
      </c>
      <c r="BM39" s="2" t="e">
        <f t="shared" si="57"/>
        <v>#DIV/0!</v>
      </c>
    </row>
    <row r="40" spans="1:65" s="1" customFormat="1">
      <c r="A40" s="127"/>
      <c r="B40" s="172" t="e">
        <f>VLOOKUP(A40,'Master Modelo'!A:I,7,FALSE)</f>
        <v>#N/A</v>
      </c>
      <c r="C40" s="145" t="e">
        <f>VLOOKUP(A40,'Master Modelo'!A:I,2,FALSE)</f>
        <v>#N/A</v>
      </c>
      <c r="D40" s="146"/>
      <c r="E40" s="148">
        <f>IFERROR(VLOOKUP(A40,'Master Modelo'!A:I,9,FALSE),0)</f>
        <v>0</v>
      </c>
      <c r="F40" s="189">
        <f>IFERROR(VLOOKUP(A40,'Master Modelo'!A:I,8,FALSE),0)</f>
        <v>0</v>
      </c>
      <c r="G40" s="189">
        <f>IFERROR(VLOOKUP(A40,'Master Modelo'!A:K,11,FALSE),0)</f>
        <v>0</v>
      </c>
      <c r="H40" s="173" t="e">
        <f t="shared" si="40"/>
        <v>#DIV/0!</v>
      </c>
      <c r="I40" s="163">
        <f>IFERROR(VLOOKUP(A40,'Master Modelo'!A:I,3,FALSE),0)</f>
        <v>0</v>
      </c>
      <c r="J40" s="164">
        <f>IFERROR(VLOOKUP(A40,'Master Modelo'!A:I,5,FALSE),0)</f>
        <v>0</v>
      </c>
      <c r="K40" s="164">
        <f>IFERROR(VLOOKUP(A40,'Master Modelo'!A:I,6,FALSE),0)</f>
        <v>0</v>
      </c>
      <c r="L40" s="165" t="e">
        <f>VLOOKUP(A40,'Master Modelo'!A:J,10,FALSE)</f>
        <v>#N/A</v>
      </c>
      <c r="M40" s="163">
        <f>IFERROR(VLOOKUP(A40,'Master Modelo'!A:I,4,FALSE),0)</f>
        <v>0</v>
      </c>
      <c r="N40" s="175"/>
      <c r="O40" s="187"/>
      <c r="P40" s="177">
        <f t="shared" si="41"/>
        <v>0</v>
      </c>
      <c r="Q40" s="177">
        <f t="shared" si="10"/>
        <v>0</v>
      </c>
      <c r="R40" s="178">
        <f>D40*E40*'Entrada e Saida'!$K$8</f>
        <v>0</v>
      </c>
      <c r="S40" s="179" t="e">
        <f>'Entrada e Saida'!$H$21*'Entrada e Saida'!$K$8*(P40/(SUM(P:P)))</f>
        <v>#DIV/0!</v>
      </c>
      <c r="T40" s="179" t="e">
        <f>'Entrada e Saida'!$H$21*'Entrada e Saida'!$K$8*(Q40/(SUM(Q:Q)))</f>
        <v>#DIV/0!</v>
      </c>
      <c r="U40" s="179" t="e">
        <f>'Entrada e Saida'!$H$22*(P40/(SUM(P:P)))</f>
        <v>#DIV/0!</v>
      </c>
      <c r="V40" s="179" t="e">
        <f>'Entrada e Saida'!$H$22*(Q40/(SUM(Q:Q)))</f>
        <v>#DIV/0!</v>
      </c>
      <c r="W40" s="180" t="e">
        <f t="shared" si="42"/>
        <v>#DIV/0!</v>
      </c>
      <c r="X40" s="179" t="e">
        <f>'Entrada e Saida'!$H$26*(IF('Entrada e Saida'!$H$15="PESO",(P40/(SUM(P:P))),(Q40/(SUM(Q:Q)))))</f>
        <v>#DIV/0!</v>
      </c>
      <c r="Y40" s="179" t="e">
        <f>'Entrada e Saida'!$H$27*(IF('Entrada e Saida'!$H$15="PESO",(P40/(SUM(P:P))),(Q40/(SUM(Q:Q)))))</f>
        <v>#DIV/0!</v>
      </c>
      <c r="Z40" s="179" t="e">
        <f>'Entrada e Saida'!$H$28*(IF('Entrada e Saida'!$H$15="PESO",(P40/(SUM(P:P))),(Q40/(SUM(Q:Q)))))</f>
        <v>#DIV/0!</v>
      </c>
      <c r="AA40" s="181" t="e">
        <f t="shared" si="43"/>
        <v>#DIV/0!</v>
      </c>
      <c r="AB40" s="178" t="e">
        <f t="shared" si="44"/>
        <v>#DIV/0!</v>
      </c>
      <c r="AC40" s="178" t="e">
        <f t="shared" si="45"/>
        <v>#DIV/0!</v>
      </c>
      <c r="AD40" s="178" t="e">
        <f t="shared" si="46"/>
        <v>#DIV/0!</v>
      </c>
      <c r="AE40" s="177" t="e">
        <f t="shared" si="47"/>
        <v>#DIV/0!</v>
      </c>
      <c r="AF40" s="182">
        <f>IFERROR(D40*F40*L40*'Entrada e Saida'!$K$8,0)</f>
        <v>0</v>
      </c>
      <c r="AG40" s="178" t="e">
        <f>((W40+AA40+AB40+AC40+AD40+AE40+AF40)/(1-'Entrada e Saida'!$G$65))*'Entrada e Saida'!$I$66</f>
        <v>#DIV/0!</v>
      </c>
      <c r="AH40" s="180" t="e">
        <f t="shared" si="48"/>
        <v>#DIV/0!</v>
      </c>
      <c r="AI40" s="183" t="e">
        <f>'Entrada e Saida'!$K$51*(IF('Entrada e Saida'!$H$15="PESO",(P40/(SUM(P:P))),(Q40/(SUM(Q:Q)))))</f>
        <v>#DIV/0!</v>
      </c>
      <c r="AJ40" s="183">
        <f>(('Entrada e Saida'!$K$10-'Entrada e Saida'!$K$8)*E40*D40)</f>
        <v>0</v>
      </c>
      <c r="AK40" s="184" t="e">
        <f>IF('Entrada e Saida'!$H$15="PESO",W40+AA40+AH40+AI40+AJ40,W40+AA40+AH40+AI40+AJ40-S40+T40-U40+V40)</f>
        <v>#DIV/0!</v>
      </c>
      <c r="AL40" s="185" t="e">
        <f>IF('Entrada e Saida'!$H$12="REAL",AC40,0)</f>
        <v>#DIV/0!</v>
      </c>
      <c r="AM40" s="185" t="e">
        <f>IF('Entrada e Saida'!$H$12="REAL",AD40,0)</f>
        <v>#DIV/0!</v>
      </c>
      <c r="AN40" s="186" t="e">
        <f>IF('Entrada e Saida'!$H$13= "NÃO",AE40,0)</f>
        <v>#DIV/0!</v>
      </c>
      <c r="AO40" s="186" t="e">
        <f t="shared" si="49"/>
        <v>#DIV/0!</v>
      </c>
      <c r="AP40" s="184" t="e">
        <f t="shared" si="50"/>
        <v>#DIV/0!</v>
      </c>
      <c r="AQ40" s="178" t="e">
        <f>IF('Entrada e Saida'!$H$11="TRADING",AU40*'Custo Resumido'!D40,0)</f>
        <v>#DIV/0!</v>
      </c>
      <c r="AR40" s="178" t="e">
        <f>IF('Entrada e Saida'!$H$11="TRADING",AU40*'Entrada e Saida'!$G$63,0)</f>
        <v>#DIV/0!</v>
      </c>
      <c r="AS40" s="178" t="e">
        <f>IF('Entrada e Saida'!$H$11="TRADING",AU40*'Entrada e Saida'!$G$64,0)</f>
        <v>#DIV/0!</v>
      </c>
      <c r="AT40" s="178" t="e">
        <f>IF('Entrada e Saida'!$H$11="TRADING",AU40*'Entrada e Saida'!$G$65,0)</f>
        <v>#DIV/0!</v>
      </c>
      <c r="AU40" s="184" t="e">
        <f>IF('Entrada e Saida'!$H$11="TRADING",AP40/(1-(SUM('Entrada e Saida'!$G$63:$G$65)+'Custo Resumido'!D40)),0)</f>
        <v>#DIV/0!</v>
      </c>
      <c r="AV40" s="178" t="e">
        <f>IF('Entrada e Saida'!$H$13="NÃO",AU40*M40,0)</f>
        <v>#DIV/0!</v>
      </c>
      <c r="AW40" s="184" t="e">
        <f t="shared" si="51"/>
        <v>#DIV/0!</v>
      </c>
      <c r="AX40" s="178" t="e">
        <f>'Entrada e Saida'!$G$74*AU40</f>
        <v>#DIV/0!</v>
      </c>
      <c r="AY40" s="184" t="e">
        <f t="shared" si="52"/>
        <v>#DIV/0!</v>
      </c>
      <c r="AZ40" s="184" t="e">
        <f>AQ40+('Entrada e Saida'!$G$65-'Entrada e Saida'!$I$65)*AU40-AX40</f>
        <v>#DIV/0!</v>
      </c>
      <c r="BA40" s="3" t="e">
        <f>IF('Entrada e Saida'!$H$12="REAL",AZ40*'Entrada e Saida'!$G$81,AU40*'Entrada e Saida'!$G$81)</f>
        <v>#DIV/0!</v>
      </c>
      <c r="BB40" s="3" t="e">
        <f>IF('Entrada e Saida'!$H$12="REAL",AZ40*'Entrada e Saida'!$G$82,AU40*'Entrada e Saida'!$G$82)</f>
        <v>#DIV/0!</v>
      </c>
      <c r="BC40" s="4" t="e">
        <f t="shared" si="53"/>
        <v>#DIV/0!</v>
      </c>
      <c r="BD40" s="3" t="e">
        <f>IF('Entrada e Saida'!$H$11="TRADING",AW40/D40,AK40/D40)</f>
        <v>#DIV/0!</v>
      </c>
      <c r="BE40" s="3" t="e">
        <f t="shared" si="54"/>
        <v>#DIV/0!</v>
      </c>
      <c r="BF40" s="2" t="e">
        <f t="shared" si="55"/>
        <v>#DIV/0!</v>
      </c>
      <c r="BG40" s="3" t="e">
        <f>IF('Entrada e Saida'!$H$11="TRADING",AV40/D40,AN40/D40)</f>
        <v>#DIV/0!</v>
      </c>
      <c r="BH40" s="3" t="e">
        <f>IF('Entrada e Saida'!$H$11="TRADING",IF('Entrada e Saida'!$H$12="REAL",AR40/D40,0),AL40/D40)</f>
        <v>#DIV/0!</v>
      </c>
      <c r="BI40" s="3" t="e">
        <f>IF('Entrada e Saida'!$H$11="TRADING",IF('Entrada e Saida'!$H$12="REAL",AS40/D40,0),AM40/D40)</f>
        <v>#DIV/0!</v>
      </c>
      <c r="BJ40" s="3" t="e">
        <f>IF('Entrada e Saida'!$H$11="TRADING",AT40/D40,AO40/D40)</f>
        <v>#DIV/0!</v>
      </c>
      <c r="BK40" s="2" t="e">
        <f t="shared" si="56"/>
        <v>#DIV/0!</v>
      </c>
      <c r="BL40" s="2">
        <f>IF(O40&gt;0,IFERROR(IF('Entrada e Saida'!$H$11="DIRETA",0,(IF('Entrada e Saida'!$H$14="P.JURIDICA",(BD40*(1+O40)*N40)-((BD40/(1+M40))*'Entrada e Saida'!$G$65),((Produtos!N40-'Entrada e Saida'!$G$65)*Produtos!BD40)))),0),0)</f>
        <v>0</v>
      </c>
      <c r="BM40" s="2" t="e">
        <f t="shared" si="57"/>
        <v>#DIV/0!</v>
      </c>
    </row>
    <row r="41" spans="1:65" s="1" customFormat="1">
      <c r="A41" s="127"/>
      <c r="B41" s="172" t="e">
        <f>VLOOKUP(A41,'Master Modelo'!A:I,7,FALSE)</f>
        <v>#N/A</v>
      </c>
      <c r="C41" s="145" t="e">
        <f>VLOOKUP(A41,'Master Modelo'!A:I,2,FALSE)</f>
        <v>#N/A</v>
      </c>
      <c r="D41" s="146"/>
      <c r="E41" s="148">
        <f>IFERROR(VLOOKUP(A41,'Master Modelo'!A:I,9,FALSE),0)</f>
        <v>0</v>
      </c>
      <c r="F41" s="189">
        <f>IFERROR(VLOOKUP(A41,'Master Modelo'!A:I,8,FALSE),0)</f>
        <v>0</v>
      </c>
      <c r="G41" s="189">
        <f>IFERROR(VLOOKUP(A41,'Master Modelo'!A:K,11,FALSE),0)</f>
        <v>0</v>
      </c>
      <c r="H41" s="173" t="e">
        <f t="shared" si="40"/>
        <v>#DIV/0!</v>
      </c>
      <c r="I41" s="163">
        <f>IFERROR(VLOOKUP(A41,'Master Modelo'!A:I,3,FALSE),0)</f>
        <v>0</v>
      </c>
      <c r="J41" s="164">
        <f>IFERROR(VLOOKUP(A41,'Master Modelo'!A:I,5,FALSE),0)</f>
        <v>0</v>
      </c>
      <c r="K41" s="164">
        <f>IFERROR(VLOOKUP(A41,'Master Modelo'!A:I,6,FALSE),0)</f>
        <v>0</v>
      </c>
      <c r="L41" s="165" t="e">
        <f>VLOOKUP(A41,'Master Modelo'!A:J,10,FALSE)</f>
        <v>#N/A</v>
      </c>
      <c r="M41" s="163">
        <f>IFERROR(VLOOKUP(A41,'Master Modelo'!A:I,4,FALSE),0)</f>
        <v>0</v>
      </c>
      <c r="N41" s="175"/>
      <c r="O41" s="187"/>
      <c r="P41" s="177">
        <f t="shared" si="41"/>
        <v>0</v>
      </c>
      <c r="Q41" s="177">
        <f t="shared" si="10"/>
        <v>0</v>
      </c>
      <c r="R41" s="178">
        <f>D41*E41*'Entrada e Saida'!$K$8</f>
        <v>0</v>
      </c>
      <c r="S41" s="179" t="e">
        <f>'Entrada e Saida'!$H$21*'Entrada e Saida'!$K$8*(P41/(SUM(P:P)))</f>
        <v>#DIV/0!</v>
      </c>
      <c r="T41" s="179" t="e">
        <f>'Entrada e Saida'!$H$21*'Entrada e Saida'!$K$8*(Q41/(SUM(Q:Q)))</f>
        <v>#DIV/0!</v>
      </c>
      <c r="U41" s="179" t="e">
        <f>'Entrada e Saida'!$H$22*(P41/(SUM(P:P)))</f>
        <v>#DIV/0!</v>
      </c>
      <c r="V41" s="179" t="e">
        <f>'Entrada e Saida'!$H$22*(Q41/(SUM(Q:Q)))</f>
        <v>#DIV/0!</v>
      </c>
      <c r="W41" s="180" t="e">
        <f t="shared" si="42"/>
        <v>#DIV/0!</v>
      </c>
      <c r="X41" s="179" t="e">
        <f>'Entrada e Saida'!$H$26*(IF('Entrada e Saida'!$H$15="PESO",(P41/(SUM(P:P))),(Q41/(SUM(Q:Q)))))</f>
        <v>#DIV/0!</v>
      </c>
      <c r="Y41" s="179" t="e">
        <f>'Entrada e Saida'!$H$27*(IF('Entrada e Saida'!$H$15="PESO",(P41/(SUM(P:P))),(Q41/(SUM(Q:Q)))))</f>
        <v>#DIV/0!</v>
      </c>
      <c r="Z41" s="179" t="e">
        <f>'Entrada e Saida'!$H$28*(IF('Entrada e Saida'!$H$15="PESO",(P41/(SUM(P:P))),(Q41/(SUM(Q:Q)))))</f>
        <v>#DIV/0!</v>
      </c>
      <c r="AA41" s="181" t="e">
        <f t="shared" si="43"/>
        <v>#DIV/0!</v>
      </c>
      <c r="AB41" s="178" t="e">
        <f t="shared" si="44"/>
        <v>#DIV/0!</v>
      </c>
      <c r="AC41" s="178" t="e">
        <f t="shared" si="45"/>
        <v>#DIV/0!</v>
      </c>
      <c r="AD41" s="178" t="e">
        <f t="shared" si="46"/>
        <v>#DIV/0!</v>
      </c>
      <c r="AE41" s="177" t="e">
        <f t="shared" si="47"/>
        <v>#DIV/0!</v>
      </c>
      <c r="AF41" s="182">
        <f>IFERROR(D41*F41*L41*'Entrada e Saida'!$K$8,0)</f>
        <v>0</v>
      </c>
      <c r="AG41" s="178" t="e">
        <f>((W41+AA41+AB41+AC41+AD41+AE41+AF41)/(1-'Entrada e Saida'!$G$65))*'Entrada e Saida'!$I$66</f>
        <v>#DIV/0!</v>
      </c>
      <c r="AH41" s="180" t="e">
        <f t="shared" si="48"/>
        <v>#DIV/0!</v>
      </c>
      <c r="AI41" s="183" t="e">
        <f>'Entrada e Saida'!$K$51*(IF('Entrada e Saida'!$H$15="PESO",(P41/(SUM(P:P))),(Q41/(SUM(Q:Q)))))</f>
        <v>#DIV/0!</v>
      </c>
      <c r="AJ41" s="183">
        <f>(('Entrada e Saida'!$K$10-'Entrada e Saida'!$K$8)*E41*D41)</f>
        <v>0</v>
      </c>
      <c r="AK41" s="184" t="e">
        <f>IF('Entrada e Saida'!$H$15="PESO",W41+AA41+AH41+AI41+AJ41,W41+AA41+AH41+AI41+AJ41-S41+T41-U41+V41)</f>
        <v>#DIV/0!</v>
      </c>
      <c r="AL41" s="185" t="e">
        <f>IF('Entrada e Saida'!$H$12="REAL",AC41,0)</f>
        <v>#DIV/0!</v>
      </c>
      <c r="AM41" s="185" t="e">
        <f>IF('Entrada e Saida'!$H$12="REAL",AD41,0)</f>
        <v>#DIV/0!</v>
      </c>
      <c r="AN41" s="186" t="e">
        <f>IF('Entrada e Saida'!$H$13= "NÃO",AE41,0)</f>
        <v>#DIV/0!</v>
      </c>
      <c r="AO41" s="186" t="e">
        <f t="shared" si="49"/>
        <v>#DIV/0!</v>
      </c>
      <c r="AP41" s="184" t="e">
        <f t="shared" si="50"/>
        <v>#DIV/0!</v>
      </c>
      <c r="AQ41" s="178" t="e">
        <f>IF('Entrada e Saida'!$H$11="TRADING",AU41*'Custo Resumido'!D41,0)</f>
        <v>#DIV/0!</v>
      </c>
      <c r="AR41" s="178" t="e">
        <f>IF('Entrada e Saida'!$H$11="TRADING",AU41*'Entrada e Saida'!$G$63,0)</f>
        <v>#DIV/0!</v>
      </c>
      <c r="AS41" s="178" t="e">
        <f>IF('Entrada e Saida'!$H$11="TRADING",AU41*'Entrada e Saida'!$G$64,0)</f>
        <v>#DIV/0!</v>
      </c>
      <c r="AT41" s="178" t="e">
        <f>IF('Entrada e Saida'!$H$11="TRADING",AU41*'Entrada e Saida'!$G$65,0)</f>
        <v>#DIV/0!</v>
      </c>
      <c r="AU41" s="184" t="e">
        <f>IF('Entrada e Saida'!$H$11="TRADING",AP41/(1-(SUM('Entrada e Saida'!$G$63:$G$65)+'Custo Resumido'!D41)),0)</f>
        <v>#DIV/0!</v>
      </c>
      <c r="AV41" s="178" t="e">
        <f>IF('Entrada e Saida'!$H$13="NÃO",AU41*M41,0)</f>
        <v>#DIV/0!</v>
      </c>
      <c r="AW41" s="184" t="e">
        <f t="shared" si="51"/>
        <v>#DIV/0!</v>
      </c>
      <c r="AX41" s="178" t="e">
        <f>'Entrada e Saida'!$G$74*AU41</f>
        <v>#DIV/0!</v>
      </c>
      <c r="AY41" s="184" t="e">
        <f t="shared" si="52"/>
        <v>#DIV/0!</v>
      </c>
      <c r="AZ41" s="184" t="e">
        <f>AQ41+('Entrada e Saida'!$G$65-'Entrada e Saida'!$I$65)*AU41-AX41</f>
        <v>#DIV/0!</v>
      </c>
      <c r="BA41" s="3" t="e">
        <f>IF('Entrada e Saida'!$H$12="REAL",AZ41*'Entrada e Saida'!$G$81,AU41*'Entrada e Saida'!$G$81)</f>
        <v>#DIV/0!</v>
      </c>
      <c r="BB41" s="3" t="e">
        <f>IF('Entrada e Saida'!$H$12="REAL",AZ41*'Entrada e Saida'!$G$82,AU41*'Entrada e Saida'!$G$82)</f>
        <v>#DIV/0!</v>
      </c>
      <c r="BC41" s="4" t="e">
        <f t="shared" si="53"/>
        <v>#DIV/0!</v>
      </c>
      <c r="BD41" s="3" t="e">
        <f>IF('Entrada e Saida'!$H$11="TRADING",AW41/D41,AK41/D41)</f>
        <v>#DIV/0!</v>
      </c>
      <c r="BE41" s="3" t="e">
        <f t="shared" si="54"/>
        <v>#DIV/0!</v>
      </c>
      <c r="BF41" s="2" t="e">
        <f t="shared" si="55"/>
        <v>#DIV/0!</v>
      </c>
      <c r="BG41" s="3" t="e">
        <f>IF('Entrada e Saida'!$H$11="TRADING",AV41/D41,AN41/D41)</f>
        <v>#DIV/0!</v>
      </c>
      <c r="BH41" s="3" t="e">
        <f>IF('Entrada e Saida'!$H$11="TRADING",IF('Entrada e Saida'!$H$12="REAL",AR41/D41,0),AL41/D41)</f>
        <v>#DIV/0!</v>
      </c>
      <c r="BI41" s="3" t="e">
        <f>IF('Entrada e Saida'!$H$11="TRADING",IF('Entrada e Saida'!$H$12="REAL",AS41/D41,0),AM41/D41)</f>
        <v>#DIV/0!</v>
      </c>
      <c r="BJ41" s="3" t="e">
        <f>IF('Entrada e Saida'!$H$11="TRADING",AT41/D41,AO41/D41)</f>
        <v>#DIV/0!</v>
      </c>
      <c r="BK41" s="2" t="e">
        <f t="shared" si="56"/>
        <v>#DIV/0!</v>
      </c>
      <c r="BL41" s="2">
        <f>IF(O41&gt;0,IFERROR(IF('Entrada e Saida'!$H$11="DIRETA",0,(IF('Entrada e Saida'!$H$14="P.JURIDICA",(BD41*(1+O41)*N41)-((BD41/(1+M41))*'Entrada e Saida'!$G$65),((Produtos!N41-'Entrada e Saida'!$G$65)*Produtos!BD41)))),0),0)</f>
        <v>0</v>
      </c>
      <c r="BM41" s="2" t="e">
        <f t="shared" si="57"/>
        <v>#DIV/0!</v>
      </c>
    </row>
    <row r="42" spans="1:65" s="1" customFormat="1">
      <c r="A42" s="127"/>
      <c r="B42" s="172" t="e">
        <f>VLOOKUP(A42,'Master Modelo'!A:I,7,FALSE)</f>
        <v>#N/A</v>
      </c>
      <c r="C42" s="145" t="e">
        <f>VLOOKUP(A42,'Master Modelo'!A:I,2,FALSE)</f>
        <v>#N/A</v>
      </c>
      <c r="D42" s="146"/>
      <c r="E42" s="148">
        <f>IFERROR(VLOOKUP(A42,'Master Modelo'!A:I,9,FALSE),0)</f>
        <v>0</v>
      </c>
      <c r="F42" s="189">
        <f>IFERROR(VLOOKUP(A42,'Master Modelo'!A:I,8,FALSE),0)</f>
        <v>0</v>
      </c>
      <c r="G42" s="189">
        <f>IFERROR(VLOOKUP(A42,'Master Modelo'!A:K,11,FALSE),0)</f>
        <v>0</v>
      </c>
      <c r="H42" s="173" t="e">
        <f t="shared" si="40"/>
        <v>#DIV/0!</v>
      </c>
      <c r="I42" s="163">
        <f>IFERROR(VLOOKUP(A42,'Master Modelo'!A:I,3,FALSE),0)</f>
        <v>0</v>
      </c>
      <c r="J42" s="164">
        <f>IFERROR(VLOOKUP(A42,'Master Modelo'!A:I,5,FALSE),0)</f>
        <v>0</v>
      </c>
      <c r="K42" s="164">
        <f>IFERROR(VLOOKUP(A42,'Master Modelo'!A:I,6,FALSE),0)</f>
        <v>0</v>
      </c>
      <c r="L42" s="165" t="e">
        <f>VLOOKUP(A42,'Master Modelo'!A:J,10,FALSE)</f>
        <v>#N/A</v>
      </c>
      <c r="M42" s="163">
        <f>IFERROR(VLOOKUP(A42,'Master Modelo'!A:I,4,FALSE),0)</f>
        <v>0</v>
      </c>
      <c r="N42" s="175"/>
      <c r="O42" s="187"/>
      <c r="P42" s="177">
        <f t="shared" si="41"/>
        <v>0</v>
      </c>
      <c r="Q42" s="177">
        <f t="shared" si="10"/>
        <v>0</v>
      </c>
      <c r="R42" s="178">
        <f>D42*E42*'Entrada e Saida'!$K$8</f>
        <v>0</v>
      </c>
      <c r="S42" s="179" t="e">
        <f>'Entrada e Saida'!$H$21*'Entrada e Saida'!$K$8*(P42/(SUM(P:P)))</f>
        <v>#DIV/0!</v>
      </c>
      <c r="T42" s="179" t="e">
        <f>'Entrada e Saida'!$H$21*'Entrada e Saida'!$K$8*(Q42/(SUM(Q:Q)))</f>
        <v>#DIV/0!</v>
      </c>
      <c r="U42" s="179" t="e">
        <f>'Entrada e Saida'!$H$22*(P42/(SUM(P:P)))</f>
        <v>#DIV/0!</v>
      </c>
      <c r="V42" s="179" t="e">
        <f>'Entrada e Saida'!$H$22*(Q42/(SUM(Q:Q)))</f>
        <v>#DIV/0!</v>
      </c>
      <c r="W42" s="180" t="e">
        <f t="shared" si="42"/>
        <v>#DIV/0!</v>
      </c>
      <c r="X42" s="179" t="e">
        <f>'Entrada e Saida'!$H$26*(IF('Entrada e Saida'!$H$15="PESO",(P42/(SUM(P:P))),(Q42/(SUM(Q:Q)))))</f>
        <v>#DIV/0!</v>
      </c>
      <c r="Y42" s="179" t="e">
        <f>'Entrada e Saida'!$H$27*(IF('Entrada e Saida'!$H$15="PESO",(P42/(SUM(P:P))),(Q42/(SUM(Q:Q)))))</f>
        <v>#DIV/0!</v>
      </c>
      <c r="Z42" s="179" t="e">
        <f>'Entrada e Saida'!$H$28*(IF('Entrada e Saida'!$H$15="PESO",(P42/(SUM(P:P))),(Q42/(SUM(Q:Q)))))</f>
        <v>#DIV/0!</v>
      </c>
      <c r="AA42" s="181" t="e">
        <f t="shared" si="43"/>
        <v>#DIV/0!</v>
      </c>
      <c r="AB42" s="178" t="e">
        <f t="shared" si="44"/>
        <v>#DIV/0!</v>
      </c>
      <c r="AC42" s="178" t="e">
        <f t="shared" si="45"/>
        <v>#DIV/0!</v>
      </c>
      <c r="AD42" s="178" t="e">
        <f t="shared" si="46"/>
        <v>#DIV/0!</v>
      </c>
      <c r="AE42" s="177" t="e">
        <f t="shared" si="47"/>
        <v>#DIV/0!</v>
      </c>
      <c r="AF42" s="182">
        <f>IFERROR(D42*F42*L42*'Entrada e Saida'!$K$8,0)</f>
        <v>0</v>
      </c>
      <c r="AG42" s="178" t="e">
        <f>((W42+AA42+AB42+AC42+AD42+AE42+AF42)/(1-'Entrada e Saida'!$G$65))*'Entrada e Saida'!$I$66</f>
        <v>#DIV/0!</v>
      </c>
      <c r="AH42" s="180" t="e">
        <f t="shared" si="48"/>
        <v>#DIV/0!</v>
      </c>
      <c r="AI42" s="183" t="e">
        <f>'Entrada e Saida'!$K$51*(IF('Entrada e Saida'!$H$15="PESO",(P42/(SUM(P:P))),(Q42/(SUM(Q:Q)))))</f>
        <v>#DIV/0!</v>
      </c>
      <c r="AJ42" s="183">
        <f>(('Entrada e Saida'!$K$10-'Entrada e Saida'!$K$8)*E42*D42)</f>
        <v>0</v>
      </c>
      <c r="AK42" s="184" t="e">
        <f>IF('Entrada e Saida'!$H$15="PESO",W42+AA42+AH42+AI42+AJ42,W42+AA42+AH42+AI42+AJ42-S42+T42-U42+V42)</f>
        <v>#DIV/0!</v>
      </c>
      <c r="AL42" s="185" t="e">
        <f>IF('Entrada e Saida'!$H$12="REAL",AC42,0)</f>
        <v>#DIV/0!</v>
      </c>
      <c r="AM42" s="185" t="e">
        <f>IF('Entrada e Saida'!$H$12="REAL",AD42,0)</f>
        <v>#DIV/0!</v>
      </c>
      <c r="AN42" s="186" t="e">
        <f>IF('Entrada e Saida'!$H$13= "NÃO",AE42,0)</f>
        <v>#DIV/0!</v>
      </c>
      <c r="AO42" s="186" t="e">
        <f t="shared" si="49"/>
        <v>#DIV/0!</v>
      </c>
      <c r="AP42" s="184" t="e">
        <f t="shared" si="50"/>
        <v>#DIV/0!</v>
      </c>
      <c r="AQ42" s="178" t="e">
        <f>IF('Entrada e Saida'!$H$11="TRADING",AU42*'Custo Resumido'!D42,0)</f>
        <v>#DIV/0!</v>
      </c>
      <c r="AR42" s="178" t="e">
        <f>IF('Entrada e Saida'!$H$11="TRADING",AU42*'Entrada e Saida'!$G$63,0)</f>
        <v>#DIV/0!</v>
      </c>
      <c r="AS42" s="178" t="e">
        <f>IF('Entrada e Saida'!$H$11="TRADING",AU42*'Entrada e Saida'!$G$64,0)</f>
        <v>#DIV/0!</v>
      </c>
      <c r="AT42" s="178" t="e">
        <f>IF('Entrada e Saida'!$H$11="TRADING",AU42*'Entrada e Saida'!$G$65,0)</f>
        <v>#DIV/0!</v>
      </c>
      <c r="AU42" s="184" t="e">
        <f>IF('Entrada e Saida'!$H$11="TRADING",AP42/(1-(SUM('Entrada e Saida'!$G$63:$G$65)+'Custo Resumido'!D42)),0)</f>
        <v>#DIV/0!</v>
      </c>
      <c r="AV42" s="178" t="e">
        <f>IF('Entrada e Saida'!$H$13="NÃO",AU42*M42,0)</f>
        <v>#DIV/0!</v>
      </c>
      <c r="AW42" s="184" t="e">
        <f t="shared" si="51"/>
        <v>#DIV/0!</v>
      </c>
      <c r="AX42" s="178" t="e">
        <f>'Entrada e Saida'!$G$74*AU42</f>
        <v>#DIV/0!</v>
      </c>
      <c r="AY42" s="184" t="e">
        <f t="shared" si="52"/>
        <v>#DIV/0!</v>
      </c>
      <c r="AZ42" s="184" t="e">
        <f>AQ42+('Entrada e Saida'!$G$65-'Entrada e Saida'!$I$65)*AU42-AX42</f>
        <v>#DIV/0!</v>
      </c>
      <c r="BA42" s="3" t="e">
        <f>IF('Entrada e Saida'!$H$12="REAL",AZ42*'Entrada e Saida'!$G$81,AU42*'Entrada e Saida'!$G$81)</f>
        <v>#DIV/0!</v>
      </c>
      <c r="BB42" s="3" t="e">
        <f>IF('Entrada e Saida'!$H$12="REAL",AZ42*'Entrada e Saida'!$G$82,AU42*'Entrada e Saida'!$G$82)</f>
        <v>#DIV/0!</v>
      </c>
      <c r="BC42" s="4" t="e">
        <f t="shared" si="53"/>
        <v>#DIV/0!</v>
      </c>
      <c r="BD42" s="3" t="e">
        <f>IF('Entrada e Saida'!$H$11="TRADING",AW42/D42,AK42/D42)</f>
        <v>#DIV/0!</v>
      </c>
      <c r="BE42" s="3" t="e">
        <f t="shared" si="54"/>
        <v>#DIV/0!</v>
      </c>
      <c r="BF42" s="2" t="e">
        <f t="shared" si="55"/>
        <v>#DIV/0!</v>
      </c>
      <c r="BG42" s="3" t="e">
        <f>IF('Entrada e Saida'!$H$11="TRADING",AV42/D42,AN42/D42)</f>
        <v>#DIV/0!</v>
      </c>
      <c r="BH42" s="3" t="e">
        <f>IF('Entrada e Saida'!$H$11="TRADING",IF('Entrada e Saida'!$H$12="REAL",AR42/D42,0),AL42/D42)</f>
        <v>#DIV/0!</v>
      </c>
      <c r="BI42" s="3" t="e">
        <f>IF('Entrada e Saida'!$H$11="TRADING",IF('Entrada e Saida'!$H$12="REAL",AS42/D42,0),AM42/D42)</f>
        <v>#DIV/0!</v>
      </c>
      <c r="BJ42" s="3" t="e">
        <f>IF('Entrada e Saida'!$H$11="TRADING",AT42/D42,AO42/D42)</f>
        <v>#DIV/0!</v>
      </c>
      <c r="BK42" s="2" t="e">
        <f t="shared" si="56"/>
        <v>#DIV/0!</v>
      </c>
      <c r="BL42" s="2">
        <f>IF(O42&gt;0,IFERROR(IF('Entrada e Saida'!$H$11="DIRETA",0,(IF('Entrada e Saida'!$H$14="P.JURIDICA",(BD42*(1+O42)*N42)-((BD42/(1+M42))*'Entrada e Saida'!$G$65),((Produtos!N42-'Entrada e Saida'!$G$65)*Produtos!BD42)))),0),0)</f>
        <v>0</v>
      </c>
      <c r="BM42" s="2" t="e">
        <f t="shared" si="57"/>
        <v>#DIV/0!</v>
      </c>
    </row>
    <row r="43" spans="1:65" s="1" customFormat="1">
      <c r="A43" s="127"/>
      <c r="B43" s="172" t="e">
        <f>VLOOKUP(A43,'Master Modelo'!A:I,7,FALSE)</f>
        <v>#N/A</v>
      </c>
      <c r="C43" s="145" t="e">
        <f>VLOOKUP(A43,'Master Modelo'!A:I,2,FALSE)</f>
        <v>#N/A</v>
      </c>
      <c r="D43" s="146"/>
      <c r="E43" s="148">
        <f>IFERROR(VLOOKUP(A43,'Master Modelo'!A:I,9,FALSE),0)</f>
        <v>0</v>
      </c>
      <c r="F43" s="189">
        <f>IFERROR(VLOOKUP(A43,'Master Modelo'!A:I,8,FALSE),0)</f>
        <v>0</v>
      </c>
      <c r="G43" s="189">
        <f>IFERROR(VLOOKUP(A43,'Master Modelo'!A:K,11,FALSE),0)</f>
        <v>0</v>
      </c>
      <c r="H43" s="173" t="e">
        <f t="shared" si="40"/>
        <v>#DIV/0!</v>
      </c>
      <c r="I43" s="163">
        <f>IFERROR(VLOOKUP(A43,'Master Modelo'!A:I,3,FALSE),0)</f>
        <v>0</v>
      </c>
      <c r="J43" s="164">
        <f>IFERROR(VLOOKUP(A43,'Master Modelo'!A:I,5,FALSE),0)</f>
        <v>0</v>
      </c>
      <c r="K43" s="164">
        <f>IFERROR(VLOOKUP(A43,'Master Modelo'!A:I,6,FALSE),0)</f>
        <v>0</v>
      </c>
      <c r="L43" s="165" t="e">
        <f>VLOOKUP(A43,'Master Modelo'!A:J,10,FALSE)</f>
        <v>#N/A</v>
      </c>
      <c r="M43" s="163">
        <f>IFERROR(VLOOKUP(A43,'Master Modelo'!A:I,4,FALSE),0)</f>
        <v>0</v>
      </c>
      <c r="N43" s="175"/>
      <c r="O43" s="187"/>
      <c r="P43" s="177">
        <f t="shared" si="41"/>
        <v>0</v>
      </c>
      <c r="Q43" s="177">
        <f t="shared" si="10"/>
        <v>0</v>
      </c>
      <c r="R43" s="178">
        <f>D43*E43*'Entrada e Saida'!$K$8</f>
        <v>0</v>
      </c>
      <c r="S43" s="179" t="e">
        <f>'Entrada e Saida'!$H$21*'Entrada e Saida'!$K$8*(P43/(SUM(P:P)))</f>
        <v>#DIV/0!</v>
      </c>
      <c r="T43" s="179" t="e">
        <f>'Entrada e Saida'!$H$21*'Entrada e Saida'!$K$8*(Q43/(SUM(Q:Q)))</f>
        <v>#DIV/0!</v>
      </c>
      <c r="U43" s="179" t="e">
        <f>'Entrada e Saida'!$H$22*(P43/(SUM(P:P)))</f>
        <v>#DIV/0!</v>
      </c>
      <c r="V43" s="179" t="e">
        <f>'Entrada e Saida'!$H$22*(Q43/(SUM(Q:Q)))</f>
        <v>#DIV/0!</v>
      </c>
      <c r="W43" s="180" t="e">
        <f t="shared" si="42"/>
        <v>#DIV/0!</v>
      </c>
      <c r="X43" s="179" t="e">
        <f>'Entrada e Saida'!$H$26*(IF('Entrada e Saida'!$H$15="PESO",(P43/(SUM(P:P))),(Q43/(SUM(Q:Q)))))</f>
        <v>#DIV/0!</v>
      </c>
      <c r="Y43" s="179" t="e">
        <f>'Entrada e Saida'!$H$27*(IF('Entrada e Saida'!$H$15="PESO",(P43/(SUM(P:P))),(Q43/(SUM(Q:Q)))))</f>
        <v>#DIV/0!</v>
      </c>
      <c r="Z43" s="179" t="e">
        <f>'Entrada e Saida'!$H$28*(IF('Entrada e Saida'!$H$15="PESO",(P43/(SUM(P:P))),(Q43/(SUM(Q:Q)))))</f>
        <v>#DIV/0!</v>
      </c>
      <c r="AA43" s="181" t="e">
        <f t="shared" si="43"/>
        <v>#DIV/0!</v>
      </c>
      <c r="AB43" s="178" t="e">
        <f t="shared" si="44"/>
        <v>#DIV/0!</v>
      </c>
      <c r="AC43" s="178" t="e">
        <f t="shared" si="45"/>
        <v>#DIV/0!</v>
      </c>
      <c r="AD43" s="178" t="e">
        <f t="shared" si="46"/>
        <v>#DIV/0!</v>
      </c>
      <c r="AE43" s="177" t="e">
        <f t="shared" si="47"/>
        <v>#DIV/0!</v>
      </c>
      <c r="AF43" s="182">
        <f>IFERROR(D43*F43*L43*'Entrada e Saida'!$K$8,0)</f>
        <v>0</v>
      </c>
      <c r="AG43" s="178" t="e">
        <f>((W43+AA43+AB43+AC43+AD43+AE43+AF43)/(1-'Entrada e Saida'!$G$65))*'Entrada e Saida'!$I$66</f>
        <v>#DIV/0!</v>
      </c>
      <c r="AH43" s="180" t="e">
        <f t="shared" si="48"/>
        <v>#DIV/0!</v>
      </c>
      <c r="AI43" s="183" t="e">
        <f>'Entrada e Saida'!$K$51*(IF('Entrada e Saida'!$H$15="PESO",(P43/(SUM(P:P))),(Q43/(SUM(Q:Q)))))</f>
        <v>#DIV/0!</v>
      </c>
      <c r="AJ43" s="183">
        <f>(('Entrada e Saida'!$K$10-'Entrada e Saida'!$K$8)*E43*D43)</f>
        <v>0</v>
      </c>
      <c r="AK43" s="184" t="e">
        <f>IF('Entrada e Saida'!$H$15="PESO",W43+AA43+AH43+AI43+AJ43,W43+AA43+AH43+AI43+AJ43-S43+T43-U43+V43)</f>
        <v>#DIV/0!</v>
      </c>
      <c r="AL43" s="185" t="e">
        <f>IF('Entrada e Saida'!$H$12="REAL",AC43,0)</f>
        <v>#DIV/0!</v>
      </c>
      <c r="AM43" s="185" t="e">
        <f>IF('Entrada e Saida'!$H$12="REAL",AD43,0)</f>
        <v>#DIV/0!</v>
      </c>
      <c r="AN43" s="186" t="e">
        <f>IF('Entrada e Saida'!$H$13= "NÃO",AE43,0)</f>
        <v>#DIV/0!</v>
      </c>
      <c r="AO43" s="186" t="e">
        <f t="shared" si="49"/>
        <v>#DIV/0!</v>
      </c>
      <c r="AP43" s="184" t="e">
        <f t="shared" si="50"/>
        <v>#DIV/0!</v>
      </c>
      <c r="AQ43" s="178" t="e">
        <f>IF('Entrada e Saida'!$H$11="TRADING",AU43*'Custo Resumido'!D43,0)</f>
        <v>#DIV/0!</v>
      </c>
      <c r="AR43" s="178" t="e">
        <f>IF('Entrada e Saida'!$H$11="TRADING",AU43*'Entrada e Saida'!$G$63,0)</f>
        <v>#DIV/0!</v>
      </c>
      <c r="AS43" s="178" t="e">
        <f>IF('Entrada e Saida'!$H$11="TRADING",AU43*'Entrada e Saida'!$G$64,0)</f>
        <v>#DIV/0!</v>
      </c>
      <c r="AT43" s="178" t="e">
        <f>IF('Entrada e Saida'!$H$11="TRADING",AU43*'Entrada e Saida'!$G$65,0)</f>
        <v>#DIV/0!</v>
      </c>
      <c r="AU43" s="184" t="e">
        <f>IF('Entrada e Saida'!$H$11="TRADING",AP43/(1-(SUM('Entrada e Saida'!$G$63:$G$65)+'Custo Resumido'!D43)),0)</f>
        <v>#DIV/0!</v>
      </c>
      <c r="AV43" s="178" t="e">
        <f>IF('Entrada e Saida'!$H$13="NÃO",AU43*M43,0)</f>
        <v>#DIV/0!</v>
      </c>
      <c r="AW43" s="184" t="e">
        <f t="shared" si="51"/>
        <v>#DIV/0!</v>
      </c>
      <c r="AX43" s="178" t="e">
        <f>'Entrada e Saida'!$G$74*AU43</f>
        <v>#DIV/0!</v>
      </c>
      <c r="AY43" s="184" t="e">
        <f t="shared" si="52"/>
        <v>#DIV/0!</v>
      </c>
      <c r="AZ43" s="184" t="e">
        <f>AQ43+('Entrada e Saida'!$G$65-'Entrada e Saida'!$I$65)*AU43-AX43</f>
        <v>#DIV/0!</v>
      </c>
      <c r="BA43" s="3" t="e">
        <f>IF('Entrada e Saida'!$H$12="REAL",AZ43*'Entrada e Saida'!$G$81,AU43*'Entrada e Saida'!$G$81)</f>
        <v>#DIV/0!</v>
      </c>
      <c r="BB43" s="3" t="e">
        <f>IF('Entrada e Saida'!$H$12="REAL",AZ43*'Entrada e Saida'!$G$82,AU43*'Entrada e Saida'!$G$82)</f>
        <v>#DIV/0!</v>
      </c>
      <c r="BC43" s="4" t="e">
        <f t="shared" si="53"/>
        <v>#DIV/0!</v>
      </c>
      <c r="BD43" s="3" t="e">
        <f>IF('Entrada e Saida'!$H$11="TRADING",AW43/D43,AK43/D43)</f>
        <v>#DIV/0!</v>
      </c>
      <c r="BE43" s="3" t="e">
        <f t="shared" si="54"/>
        <v>#DIV/0!</v>
      </c>
      <c r="BF43" s="2" t="e">
        <f t="shared" si="55"/>
        <v>#DIV/0!</v>
      </c>
      <c r="BG43" s="3" t="e">
        <f>IF('Entrada e Saida'!$H$11="TRADING",AV43/D43,AN43/D43)</f>
        <v>#DIV/0!</v>
      </c>
      <c r="BH43" s="3" t="e">
        <f>IF('Entrada e Saida'!$H$11="TRADING",IF('Entrada e Saida'!$H$12="REAL",AR43/D43,0),AL43/D43)</f>
        <v>#DIV/0!</v>
      </c>
      <c r="BI43" s="3" t="e">
        <f>IF('Entrada e Saida'!$H$11="TRADING",IF('Entrada e Saida'!$H$12="REAL",AS43/D43,0),AM43/D43)</f>
        <v>#DIV/0!</v>
      </c>
      <c r="BJ43" s="3" t="e">
        <f>IF('Entrada e Saida'!$H$11="TRADING",AT43/D43,AO43/D43)</f>
        <v>#DIV/0!</v>
      </c>
      <c r="BK43" s="2" t="e">
        <f t="shared" si="56"/>
        <v>#DIV/0!</v>
      </c>
      <c r="BL43" s="2">
        <f>IF(O43&gt;0,IFERROR(IF('Entrada e Saida'!$H$11="DIRETA",0,(IF('Entrada e Saida'!$H$14="P.JURIDICA",(BD43*(1+O43)*N43)-((BD43/(1+M43))*'Entrada e Saida'!$G$65),((Produtos!N43-'Entrada e Saida'!$G$65)*Produtos!BD43)))),0),0)</f>
        <v>0</v>
      </c>
      <c r="BM43" s="2" t="e">
        <f t="shared" si="57"/>
        <v>#DIV/0!</v>
      </c>
    </row>
    <row r="44" spans="1:65" s="1" customFormat="1">
      <c r="A44" s="127"/>
      <c r="B44" s="172" t="e">
        <f>VLOOKUP(A44,'Master Modelo'!A:I,7,FALSE)</f>
        <v>#N/A</v>
      </c>
      <c r="C44" s="145" t="e">
        <f>VLOOKUP(A44,'Master Modelo'!A:I,2,FALSE)</f>
        <v>#N/A</v>
      </c>
      <c r="D44" s="146"/>
      <c r="E44" s="148">
        <f>IFERROR(VLOOKUP(A44,'Master Modelo'!A:I,9,FALSE),0)</f>
        <v>0</v>
      </c>
      <c r="F44" s="189">
        <f>IFERROR(VLOOKUP(A44,'Master Modelo'!A:I,8,FALSE),0)</f>
        <v>0</v>
      </c>
      <c r="G44" s="189">
        <f>IFERROR(VLOOKUP(A44,'Master Modelo'!A:K,11,FALSE),0)</f>
        <v>0</v>
      </c>
      <c r="H44" s="173" t="e">
        <f t="shared" si="40"/>
        <v>#DIV/0!</v>
      </c>
      <c r="I44" s="163">
        <f>IFERROR(VLOOKUP(A44,'Master Modelo'!A:I,3,FALSE),0)</f>
        <v>0</v>
      </c>
      <c r="J44" s="164">
        <f>IFERROR(VLOOKUP(A44,'Master Modelo'!A:I,5,FALSE),0)</f>
        <v>0</v>
      </c>
      <c r="K44" s="164">
        <f>IFERROR(VLOOKUP(A44,'Master Modelo'!A:I,6,FALSE),0)</f>
        <v>0</v>
      </c>
      <c r="L44" s="165" t="e">
        <f>VLOOKUP(A44,'Master Modelo'!A:J,10,FALSE)</f>
        <v>#N/A</v>
      </c>
      <c r="M44" s="163">
        <f>IFERROR(VLOOKUP(A44,'Master Modelo'!A:I,4,FALSE),0)</f>
        <v>0</v>
      </c>
      <c r="N44" s="175"/>
      <c r="O44" s="187"/>
      <c r="P44" s="177">
        <f t="shared" si="41"/>
        <v>0</v>
      </c>
      <c r="Q44" s="177">
        <f t="shared" si="10"/>
        <v>0</v>
      </c>
      <c r="R44" s="178">
        <f>D44*E44*'Entrada e Saida'!$K$8</f>
        <v>0</v>
      </c>
      <c r="S44" s="179" t="e">
        <f>'Entrada e Saida'!$H$21*'Entrada e Saida'!$K$8*(P44/(SUM(P:P)))</f>
        <v>#DIV/0!</v>
      </c>
      <c r="T44" s="179" t="e">
        <f>'Entrada e Saida'!$H$21*'Entrada e Saida'!$K$8*(Q44/(SUM(Q:Q)))</f>
        <v>#DIV/0!</v>
      </c>
      <c r="U44" s="179" t="e">
        <f>'Entrada e Saida'!$H$22*(P44/(SUM(P:P)))</f>
        <v>#DIV/0!</v>
      </c>
      <c r="V44" s="179" t="e">
        <f>'Entrada e Saida'!$H$22*(Q44/(SUM(Q:Q)))</f>
        <v>#DIV/0!</v>
      </c>
      <c r="W44" s="180" t="e">
        <f t="shared" si="42"/>
        <v>#DIV/0!</v>
      </c>
      <c r="X44" s="179" t="e">
        <f>'Entrada e Saida'!$H$26*(IF('Entrada e Saida'!$H$15="PESO",(P44/(SUM(P:P))),(Q44/(SUM(Q:Q)))))</f>
        <v>#DIV/0!</v>
      </c>
      <c r="Y44" s="179" t="e">
        <f>'Entrada e Saida'!$H$27*(IF('Entrada e Saida'!$H$15="PESO",(P44/(SUM(P:P))),(Q44/(SUM(Q:Q)))))</f>
        <v>#DIV/0!</v>
      </c>
      <c r="Z44" s="179" t="e">
        <f>'Entrada e Saida'!$H$28*(IF('Entrada e Saida'!$H$15="PESO",(P44/(SUM(P:P))),(Q44/(SUM(Q:Q)))))</f>
        <v>#DIV/0!</v>
      </c>
      <c r="AA44" s="181" t="e">
        <f t="shared" si="43"/>
        <v>#DIV/0!</v>
      </c>
      <c r="AB44" s="178" t="e">
        <f t="shared" si="44"/>
        <v>#DIV/0!</v>
      </c>
      <c r="AC44" s="178" t="e">
        <f t="shared" si="45"/>
        <v>#DIV/0!</v>
      </c>
      <c r="AD44" s="178" t="e">
        <f t="shared" si="46"/>
        <v>#DIV/0!</v>
      </c>
      <c r="AE44" s="177" t="e">
        <f t="shared" si="47"/>
        <v>#DIV/0!</v>
      </c>
      <c r="AF44" s="182">
        <f>IFERROR(D44*F44*L44*'Entrada e Saida'!$K$8,0)</f>
        <v>0</v>
      </c>
      <c r="AG44" s="178" t="e">
        <f>((W44+AA44+AB44+AC44+AD44+AE44+AF44)/(1-'Entrada e Saida'!$G$65))*'Entrada e Saida'!$I$66</f>
        <v>#DIV/0!</v>
      </c>
      <c r="AH44" s="180" t="e">
        <f t="shared" si="48"/>
        <v>#DIV/0!</v>
      </c>
      <c r="AI44" s="183" t="e">
        <f>'Entrada e Saida'!$K$51*(IF('Entrada e Saida'!$H$15="PESO",(P44/(SUM(P:P))),(Q44/(SUM(Q:Q)))))</f>
        <v>#DIV/0!</v>
      </c>
      <c r="AJ44" s="183">
        <f>(('Entrada e Saida'!$K$10-'Entrada e Saida'!$K$8)*E44*D44)</f>
        <v>0</v>
      </c>
      <c r="AK44" s="184" t="e">
        <f>IF('Entrada e Saida'!$H$15="PESO",W44+AA44+AH44+AI44+AJ44,W44+AA44+AH44+AI44+AJ44-S44+T44-U44+V44)</f>
        <v>#DIV/0!</v>
      </c>
      <c r="AL44" s="185" t="e">
        <f>IF('Entrada e Saida'!$H$12="REAL",AC44,0)</f>
        <v>#DIV/0!</v>
      </c>
      <c r="AM44" s="185" t="e">
        <f>IF('Entrada e Saida'!$H$12="REAL",AD44,0)</f>
        <v>#DIV/0!</v>
      </c>
      <c r="AN44" s="186" t="e">
        <f>IF('Entrada e Saida'!$H$13= "NÃO",AE44,0)</f>
        <v>#DIV/0!</v>
      </c>
      <c r="AO44" s="186" t="e">
        <f t="shared" si="49"/>
        <v>#DIV/0!</v>
      </c>
      <c r="AP44" s="184" t="e">
        <f t="shared" si="50"/>
        <v>#DIV/0!</v>
      </c>
      <c r="AQ44" s="178" t="e">
        <f>IF('Entrada e Saida'!$H$11="TRADING",AU44*'Custo Resumido'!D44,0)</f>
        <v>#DIV/0!</v>
      </c>
      <c r="AR44" s="178" t="e">
        <f>IF('Entrada e Saida'!$H$11="TRADING",AU44*'Entrada e Saida'!$G$63,0)</f>
        <v>#DIV/0!</v>
      </c>
      <c r="AS44" s="178" t="e">
        <f>IF('Entrada e Saida'!$H$11="TRADING",AU44*'Entrada e Saida'!$G$64,0)</f>
        <v>#DIV/0!</v>
      </c>
      <c r="AT44" s="178" t="e">
        <f>IF('Entrada e Saida'!$H$11="TRADING",AU44*'Entrada e Saida'!$G$65,0)</f>
        <v>#DIV/0!</v>
      </c>
      <c r="AU44" s="184" t="e">
        <f>IF('Entrada e Saida'!$H$11="TRADING",AP44/(1-(SUM('Entrada e Saida'!$G$63:$G$65)+'Custo Resumido'!D44)),0)</f>
        <v>#DIV/0!</v>
      </c>
      <c r="AV44" s="178" t="e">
        <f>IF('Entrada e Saida'!$H$13="NÃO",AU44*M44,0)</f>
        <v>#DIV/0!</v>
      </c>
      <c r="AW44" s="184" t="e">
        <f t="shared" si="51"/>
        <v>#DIV/0!</v>
      </c>
      <c r="AX44" s="178" t="e">
        <f>'Entrada e Saida'!$G$74*AU44</f>
        <v>#DIV/0!</v>
      </c>
      <c r="AY44" s="184" t="e">
        <f t="shared" si="52"/>
        <v>#DIV/0!</v>
      </c>
      <c r="AZ44" s="184" t="e">
        <f>AQ44+('Entrada e Saida'!$G$65-'Entrada e Saida'!$I$65)*AU44-AX44</f>
        <v>#DIV/0!</v>
      </c>
      <c r="BA44" s="3" t="e">
        <f>IF('Entrada e Saida'!$H$12="REAL",AZ44*'Entrada e Saida'!$G$81,AU44*'Entrada e Saida'!$G$81)</f>
        <v>#DIV/0!</v>
      </c>
      <c r="BB44" s="3" t="e">
        <f>IF('Entrada e Saida'!$H$12="REAL",AZ44*'Entrada e Saida'!$G$82,AU44*'Entrada e Saida'!$G$82)</f>
        <v>#DIV/0!</v>
      </c>
      <c r="BC44" s="4" t="e">
        <f t="shared" si="53"/>
        <v>#DIV/0!</v>
      </c>
      <c r="BD44" s="3" t="e">
        <f>IF('Entrada e Saida'!$H$11="TRADING",AW44/D44,AK44/D44)</f>
        <v>#DIV/0!</v>
      </c>
      <c r="BE44" s="3" t="e">
        <f t="shared" si="54"/>
        <v>#DIV/0!</v>
      </c>
      <c r="BF44" s="2" t="e">
        <f t="shared" si="55"/>
        <v>#DIV/0!</v>
      </c>
      <c r="BG44" s="3" t="e">
        <f>IF('Entrada e Saida'!$H$11="TRADING",AV44/D44,AN44/D44)</f>
        <v>#DIV/0!</v>
      </c>
      <c r="BH44" s="3" t="e">
        <f>IF('Entrada e Saida'!$H$11="TRADING",IF('Entrada e Saida'!$H$12="REAL",AR44/D44,0),AL44/D44)</f>
        <v>#DIV/0!</v>
      </c>
      <c r="BI44" s="3" t="e">
        <f>IF('Entrada e Saida'!$H$11="TRADING",IF('Entrada e Saida'!$H$12="REAL",AS44/D44,0),AM44/D44)</f>
        <v>#DIV/0!</v>
      </c>
      <c r="BJ44" s="3" t="e">
        <f>IF('Entrada e Saida'!$H$11="TRADING",AT44/D44,AO44/D44)</f>
        <v>#DIV/0!</v>
      </c>
      <c r="BK44" s="2" t="e">
        <f t="shared" si="56"/>
        <v>#DIV/0!</v>
      </c>
      <c r="BL44" s="2">
        <f>IF(O44&gt;0,IFERROR(IF('Entrada e Saida'!$H$11="DIRETA",0,(IF('Entrada e Saida'!$H$14="P.JURIDICA",(BD44*(1+O44)*N44)-((BD44/(1+M44))*'Entrada e Saida'!$G$65),((Produtos!N44-'Entrada e Saida'!$G$65)*Produtos!BD44)))),0),0)</f>
        <v>0</v>
      </c>
      <c r="BM44" s="2" t="e">
        <f t="shared" si="57"/>
        <v>#DIV/0!</v>
      </c>
    </row>
    <row r="45" spans="1:65" s="1" customFormat="1">
      <c r="A45" s="127"/>
      <c r="B45" s="172" t="e">
        <f>VLOOKUP(A45,'Master Modelo'!A:I,7,FALSE)</f>
        <v>#N/A</v>
      </c>
      <c r="C45" s="145" t="e">
        <f>VLOOKUP(A45,'Master Modelo'!A:I,2,FALSE)</f>
        <v>#N/A</v>
      </c>
      <c r="D45" s="146"/>
      <c r="E45" s="148">
        <f>IFERROR(VLOOKUP(A45,'Master Modelo'!A:I,9,FALSE),0)</f>
        <v>0</v>
      </c>
      <c r="F45" s="189">
        <f>IFERROR(VLOOKUP(A45,'Master Modelo'!A:I,8,FALSE),0)</f>
        <v>0</v>
      </c>
      <c r="G45" s="189">
        <f>IFERROR(VLOOKUP(A45,'Master Modelo'!A:K,11,FALSE),0)</f>
        <v>0</v>
      </c>
      <c r="H45" s="173" t="e">
        <f t="shared" si="40"/>
        <v>#DIV/0!</v>
      </c>
      <c r="I45" s="163">
        <f>IFERROR(VLOOKUP(A45,'Master Modelo'!A:I,3,FALSE),0)</f>
        <v>0</v>
      </c>
      <c r="J45" s="164">
        <f>IFERROR(VLOOKUP(A45,'Master Modelo'!A:I,5,FALSE),0)</f>
        <v>0</v>
      </c>
      <c r="K45" s="164">
        <f>IFERROR(VLOOKUP(A45,'Master Modelo'!A:I,6,FALSE),0)</f>
        <v>0</v>
      </c>
      <c r="L45" s="165" t="e">
        <f>VLOOKUP(A45,'Master Modelo'!A:J,10,FALSE)</f>
        <v>#N/A</v>
      </c>
      <c r="M45" s="163">
        <f>IFERROR(VLOOKUP(A45,'Master Modelo'!A:I,4,FALSE),0)</f>
        <v>0</v>
      </c>
      <c r="N45" s="175"/>
      <c r="O45" s="187"/>
      <c r="P45" s="177">
        <f t="shared" si="41"/>
        <v>0</v>
      </c>
      <c r="Q45" s="177">
        <f t="shared" si="10"/>
        <v>0</v>
      </c>
      <c r="R45" s="178">
        <f>D45*E45*'Entrada e Saida'!$K$8</f>
        <v>0</v>
      </c>
      <c r="S45" s="179" t="e">
        <f>'Entrada e Saida'!$H$21*'Entrada e Saida'!$K$8*(P45/(SUM(P:P)))</f>
        <v>#DIV/0!</v>
      </c>
      <c r="T45" s="179" t="e">
        <f>'Entrada e Saida'!$H$21*'Entrada e Saida'!$K$8*(Q45/(SUM(Q:Q)))</f>
        <v>#DIV/0!</v>
      </c>
      <c r="U45" s="179" t="e">
        <f>'Entrada e Saida'!$H$22*(P45/(SUM(P:P)))</f>
        <v>#DIV/0!</v>
      </c>
      <c r="V45" s="179" t="e">
        <f>'Entrada e Saida'!$H$22*(Q45/(SUM(Q:Q)))</f>
        <v>#DIV/0!</v>
      </c>
      <c r="W45" s="180" t="e">
        <f t="shared" si="42"/>
        <v>#DIV/0!</v>
      </c>
      <c r="X45" s="179" t="e">
        <f>'Entrada e Saida'!$H$26*(IF('Entrada e Saida'!$H$15="PESO",(P45/(SUM(P:P))),(Q45/(SUM(Q:Q)))))</f>
        <v>#DIV/0!</v>
      </c>
      <c r="Y45" s="179" t="e">
        <f>'Entrada e Saida'!$H$27*(IF('Entrada e Saida'!$H$15="PESO",(P45/(SUM(P:P))),(Q45/(SUM(Q:Q)))))</f>
        <v>#DIV/0!</v>
      </c>
      <c r="Z45" s="179" t="e">
        <f>'Entrada e Saida'!$H$28*(IF('Entrada e Saida'!$H$15="PESO",(P45/(SUM(P:P))),(Q45/(SUM(Q:Q)))))</f>
        <v>#DIV/0!</v>
      </c>
      <c r="AA45" s="181" t="e">
        <f t="shared" si="43"/>
        <v>#DIV/0!</v>
      </c>
      <c r="AB45" s="178" t="e">
        <f t="shared" si="44"/>
        <v>#DIV/0!</v>
      </c>
      <c r="AC45" s="178" t="e">
        <f t="shared" si="45"/>
        <v>#DIV/0!</v>
      </c>
      <c r="AD45" s="178" t="e">
        <f t="shared" si="46"/>
        <v>#DIV/0!</v>
      </c>
      <c r="AE45" s="177" t="e">
        <f t="shared" si="47"/>
        <v>#DIV/0!</v>
      </c>
      <c r="AF45" s="182">
        <f>IFERROR(D45*F45*L45*'Entrada e Saida'!$K$8,0)</f>
        <v>0</v>
      </c>
      <c r="AG45" s="178" t="e">
        <f>((W45+AA45+AB45+AC45+AD45+AE45+AF45)/(1-'Entrada e Saida'!$G$65))*'Entrada e Saida'!$I$66</f>
        <v>#DIV/0!</v>
      </c>
      <c r="AH45" s="180" t="e">
        <f t="shared" si="48"/>
        <v>#DIV/0!</v>
      </c>
      <c r="AI45" s="183" t="e">
        <f>'Entrada e Saida'!$K$51*(IF('Entrada e Saida'!$H$15="PESO",(P45/(SUM(P:P))),(Q45/(SUM(Q:Q)))))</f>
        <v>#DIV/0!</v>
      </c>
      <c r="AJ45" s="183">
        <f>(('Entrada e Saida'!$K$10-'Entrada e Saida'!$K$8)*E45*D45)</f>
        <v>0</v>
      </c>
      <c r="AK45" s="184" t="e">
        <f>IF('Entrada e Saida'!$H$15="PESO",W45+AA45+AH45+AI45+AJ45,W45+AA45+AH45+AI45+AJ45-S45+T45-U45+V45)</f>
        <v>#DIV/0!</v>
      </c>
      <c r="AL45" s="185" t="e">
        <f>IF('Entrada e Saida'!$H$12="REAL",AC45,0)</f>
        <v>#DIV/0!</v>
      </c>
      <c r="AM45" s="185" t="e">
        <f>IF('Entrada e Saida'!$H$12="REAL",AD45,0)</f>
        <v>#DIV/0!</v>
      </c>
      <c r="AN45" s="186" t="e">
        <f>IF('Entrada e Saida'!$H$13= "NÃO",AE45,0)</f>
        <v>#DIV/0!</v>
      </c>
      <c r="AO45" s="186" t="e">
        <f t="shared" si="49"/>
        <v>#DIV/0!</v>
      </c>
      <c r="AP45" s="184" t="e">
        <f t="shared" si="50"/>
        <v>#DIV/0!</v>
      </c>
      <c r="AQ45" s="178" t="e">
        <f>IF('Entrada e Saida'!$H$11="TRADING",AU45*'Custo Resumido'!D45,0)</f>
        <v>#DIV/0!</v>
      </c>
      <c r="AR45" s="178" t="e">
        <f>IF('Entrada e Saida'!$H$11="TRADING",AU45*'Entrada e Saida'!$G$63,0)</f>
        <v>#DIV/0!</v>
      </c>
      <c r="AS45" s="178" t="e">
        <f>IF('Entrada e Saida'!$H$11="TRADING",AU45*'Entrada e Saida'!$G$64,0)</f>
        <v>#DIV/0!</v>
      </c>
      <c r="AT45" s="178" t="e">
        <f>IF('Entrada e Saida'!$H$11="TRADING",AU45*'Entrada e Saida'!$G$65,0)</f>
        <v>#DIV/0!</v>
      </c>
      <c r="AU45" s="184" t="e">
        <f>IF('Entrada e Saida'!$H$11="TRADING",AP45/(1-(SUM('Entrada e Saida'!$G$63:$G$65)+'Custo Resumido'!D45)),0)</f>
        <v>#DIV/0!</v>
      </c>
      <c r="AV45" s="178" t="e">
        <f>IF('Entrada e Saida'!$H$13="NÃO",AU45*M45,0)</f>
        <v>#DIV/0!</v>
      </c>
      <c r="AW45" s="184" t="e">
        <f t="shared" si="51"/>
        <v>#DIV/0!</v>
      </c>
      <c r="AX45" s="178" t="e">
        <f>'Entrada e Saida'!$G$74*AU45</f>
        <v>#DIV/0!</v>
      </c>
      <c r="AY45" s="184" t="e">
        <f t="shared" si="52"/>
        <v>#DIV/0!</v>
      </c>
      <c r="AZ45" s="184" t="e">
        <f>AQ45+('Entrada e Saida'!$G$65-'Entrada e Saida'!$I$65)*AU45-AX45</f>
        <v>#DIV/0!</v>
      </c>
      <c r="BA45" s="3" t="e">
        <f>IF('Entrada e Saida'!$H$12="REAL",AZ45*'Entrada e Saida'!$G$81,AU45*'Entrada e Saida'!$G$81)</f>
        <v>#DIV/0!</v>
      </c>
      <c r="BB45" s="3" t="e">
        <f>IF('Entrada e Saida'!$H$12="REAL",AZ45*'Entrada e Saida'!$G$82,AU45*'Entrada e Saida'!$G$82)</f>
        <v>#DIV/0!</v>
      </c>
      <c r="BC45" s="4" t="e">
        <f t="shared" si="53"/>
        <v>#DIV/0!</v>
      </c>
      <c r="BD45" s="3" t="e">
        <f>IF('Entrada e Saida'!$H$11="TRADING",AW45/D45,AK45/D45)</f>
        <v>#DIV/0!</v>
      </c>
      <c r="BE45" s="3" t="e">
        <f t="shared" si="54"/>
        <v>#DIV/0!</v>
      </c>
      <c r="BF45" s="2" t="e">
        <f t="shared" si="55"/>
        <v>#DIV/0!</v>
      </c>
      <c r="BG45" s="3" t="e">
        <f>IF('Entrada e Saida'!$H$11="TRADING",AV45/D45,AN45/D45)</f>
        <v>#DIV/0!</v>
      </c>
      <c r="BH45" s="3" t="e">
        <f>IF('Entrada e Saida'!$H$11="TRADING",IF('Entrada e Saida'!$H$12="REAL",AR45/D45,0),AL45/D45)</f>
        <v>#DIV/0!</v>
      </c>
      <c r="BI45" s="3" t="e">
        <f>IF('Entrada e Saida'!$H$11="TRADING",IF('Entrada e Saida'!$H$12="REAL",AS45/D45,0),AM45/D45)</f>
        <v>#DIV/0!</v>
      </c>
      <c r="BJ45" s="3" t="e">
        <f>IF('Entrada e Saida'!$H$11="TRADING",AT45/D45,AO45/D45)</f>
        <v>#DIV/0!</v>
      </c>
      <c r="BK45" s="2" t="e">
        <f t="shared" si="56"/>
        <v>#DIV/0!</v>
      </c>
      <c r="BL45" s="2">
        <f>IF(O45&gt;0,IFERROR(IF('Entrada e Saida'!$H$11="DIRETA",0,(IF('Entrada e Saida'!$H$14="P.JURIDICA",(BD45*(1+O45)*N45)-((BD45/(1+M45))*'Entrada e Saida'!$G$65),((Produtos!N45-'Entrada e Saida'!$G$65)*Produtos!BD45)))),0),0)</f>
        <v>0</v>
      </c>
      <c r="BM45" s="2" t="e">
        <f t="shared" si="57"/>
        <v>#DIV/0!</v>
      </c>
    </row>
    <row r="46" spans="1:65" s="1" customFormat="1">
      <c r="A46" s="127"/>
      <c r="B46" s="172" t="e">
        <f>VLOOKUP(A46,'Master Modelo'!A:I,7,FALSE)</f>
        <v>#N/A</v>
      </c>
      <c r="C46" s="145" t="e">
        <f>VLOOKUP(A46,'Master Modelo'!A:I,2,FALSE)</f>
        <v>#N/A</v>
      </c>
      <c r="D46" s="146"/>
      <c r="E46" s="148">
        <f>IFERROR(VLOOKUP(A46,'Master Modelo'!A:I,9,FALSE),0)</f>
        <v>0</v>
      </c>
      <c r="F46" s="189">
        <f>IFERROR(VLOOKUP(A46,'Master Modelo'!A:I,8,FALSE),0)</f>
        <v>0</v>
      </c>
      <c r="G46" s="189">
        <f>IFERROR(VLOOKUP(A46,'Master Modelo'!A:K,11,FALSE),0)</f>
        <v>0</v>
      </c>
      <c r="H46" s="173" t="e">
        <f t="shared" si="40"/>
        <v>#DIV/0!</v>
      </c>
      <c r="I46" s="163">
        <f>IFERROR(VLOOKUP(A46,'Master Modelo'!A:I,3,FALSE),0)</f>
        <v>0</v>
      </c>
      <c r="J46" s="164">
        <f>IFERROR(VLOOKUP(A46,'Master Modelo'!A:I,5,FALSE),0)</f>
        <v>0</v>
      </c>
      <c r="K46" s="164">
        <f>IFERROR(VLOOKUP(A46,'Master Modelo'!A:I,6,FALSE),0)</f>
        <v>0</v>
      </c>
      <c r="L46" s="165" t="e">
        <f>VLOOKUP(A46,'Master Modelo'!A:J,10,FALSE)</f>
        <v>#N/A</v>
      </c>
      <c r="M46" s="163">
        <f>IFERROR(VLOOKUP(A46,'Master Modelo'!A:I,4,FALSE),0)</f>
        <v>0</v>
      </c>
      <c r="N46" s="175"/>
      <c r="O46" s="187"/>
      <c r="P46" s="177">
        <f t="shared" si="41"/>
        <v>0</v>
      </c>
      <c r="Q46" s="177">
        <f t="shared" si="10"/>
        <v>0</v>
      </c>
      <c r="R46" s="178">
        <f>D46*E46*'Entrada e Saida'!$K$8</f>
        <v>0</v>
      </c>
      <c r="S46" s="179" t="e">
        <f>'Entrada e Saida'!$H$21*'Entrada e Saida'!$K$8*(P46/(SUM(P:P)))</f>
        <v>#DIV/0!</v>
      </c>
      <c r="T46" s="179" t="e">
        <f>'Entrada e Saida'!$H$21*'Entrada e Saida'!$K$8*(Q46/(SUM(Q:Q)))</f>
        <v>#DIV/0!</v>
      </c>
      <c r="U46" s="179" t="e">
        <f>'Entrada e Saida'!$H$22*(P46/(SUM(P:P)))</f>
        <v>#DIV/0!</v>
      </c>
      <c r="V46" s="179" t="e">
        <f>'Entrada e Saida'!$H$22*(Q46/(SUM(Q:Q)))</f>
        <v>#DIV/0!</v>
      </c>
      <c r="W46" s="180" t="e">
        <f t="shared" si="42"/>
        <v>#DIV/0!</v>
      </c>
      <c r="X46" s="179" t="e">
        <f>'Entrada e Saida'!$H$26*(IF('Entrada e Saida'!$H$15="PESO",(P46/(SUM(P:P))),(Q46/(SUM(Q:Q)))))</f>
        <v>#DIV/0!</v>
      </c>
      <c r="Y46" s="179" t="e">
        <f>'Entrada e Saida'!$H$27*(IF('Entrada e Saida'!$H$15="PESO",(P46/(SUM(P:P))),(Q46/(SUM(Q:Q)))))</f>
        <v>#DIV/0!</v>
      </c>
      <c r="Z46" s="179" t="e">
        <f>'Entrada e Saida'!$H$28*(IF('Entrada e Saida'!$H$15="PESO",(P46/(SUM(P:P))),(Q46/(SUM(Q:Q)))))</f>
        <v>#DIV/0!</v>
      </c>
      <c r="AA46" s="181" t="e">
        <f t="shared" si="43"/>
        <v>#DIV/0!</v>
      </c>
      <c r="AB46" s="178" t="e">
        <f t="shared" si="44"/>
        <v>#DIV/0!</v>
      </c>
      <c r="AC46" s="178" t="e">
        <f t="shared" si="45"/>
        <v>#DIV/0!</v>
      </c>
      <c r="AD46" s="178" t="e">
        <f t="shared" si="46"/>
        <v>#DIV/0!</v>
      </c>
      <c r="AE46" s="177" t="e">
        <f t="shared" si="47"/>
        <v>#DIV/0!</v>
      </c>
      <c r="AF46" s="182">
        <f>IFERROR(D46*F46*L46*'Entrada e Saida'!$K$8,0)</f>
        <v>0</v>
      </c>
      <c r="AG46" s="178" t="e">
        <f>((W46+AA46+AB46+AC46+AD46+AE46+AF46)/(1-'Entrada e Saida'!$G$65))*'Entrada e Saida'!$I$66</f>
        <v>#DIV/0!</v>
      </c>
      <c r="AH46" s="180" t="e">
        <f t="shared" si="48"/>
        <v>#DIV/0!</v>
      </c>
      <c r="AI46" s="183" t="e">
        <f>'Entrada e Saida'!$K$51*(IF('Entrada e Saida'!$H$15="PESO",(P46/(SUM(P:P))),(Q46/(SUM(Q:Q)))))</f>
        <v>#DIV/0!</v>
      </c>
      <c r="AJ46" s="183">
        <f>(('Entrada e Saida'!$K$10-'Entrada e Saida'!$K$8)*E46*D46)</f>
        <v>0</v>
      </c>
      <c r="AK46" s="184" t="e">
        <f>IF('Entrada e Saida'!$H$15="PESO",W46+AA46+AH46+AI46+AJ46,W46+AA46+AH46+AI46+AJ46-S46+T46-U46+V46)</f>
        <v>#DIV/0!</v>
      </c>
      <c r="AL46" s="185" t="e">
        <f>IF('Entrada e Saida'!$H$12="REAL",AC46,0)</f>
        <v>#DIV/0!</v>
      </c>
      <c r="AM46" s="185" t="e">
        <f>IF('Entrada e Saida'!$H$12="REAL",AD46,0)</f>
        <v>#DIV/0!</v>
      </c>
      <c r="AN46" s="186" t="e">
        <f>IF('Entrada e Saida'!$H$13= "NÃO",AE46,0)</f>
        <v>#DIV/0!</v>
      </c>
      <c r="AO46" s="186" t="e">
        <f t="shared" si="49"/>
        <v>#DIV/0!</v>
      </c>
      <c r="AP46" s="184" t="e">
        <f t="shared" si="50"/>
        <v>#DIV/0!</v>
      </c>
      <c r="AQ46" s="178" t="e">
        <f>IF('Entrada e Saida'!$H$11="TRADING",AU46*'Custo Resumido'!D46,0)</f>
        <v>#DIV/0!</v>
      </c>
      <c r="AR46" s="178" t="e">
        <f>IF('Entrada e Saida'!$H$11="TRADING",AU46*'Entrada e Saida'!$G$63,0)</f>
        <v>#DIV/0!</v>
      </c>
      <c r="AS46" s="178" t="e">
        <f>IF('Entrada e Saida'!$H$11="TRADING",AU46*'Entrada e Saida'!$G$64,0)</f>
        <v>#DIV/0!</v>
      </c>
      <c r="AT46" s="178" t="e">
        <f>IF('Entrada e Saida'!$H$11="TRADING",AU46*'Entrada e Saida'!$G$65,0)</f>
        <v>#DIV/0!</v>
      </c>
      <c r="AU46" s="184" t="e">
        <f>IF('Entrada e Saida'!$H$11="TRADING",AP46/(1-(SUM('Entrada e Saida'!$G$63:$G$65)+'Custo Resumido'!D46)),0)</f>
        <v>#DIV/0!</v>
      </c>
      <c r="AV46" s="178" t="e">
        <f>IF('Entrada e Saida'!$H$13="NÃO",AU46*M46,0)</f>
        <v>#DIV/0!</v>
      </c>
      <c r="AW46" s="184" t="e">
        <f t="shared" si="51"/>
        <v>#DIV/0!</v>
      </c>
      <c r="AX46" s="178" t="e">
        <f>'Entrada e Saida'!$G$74*AU46</f>
        <v>#DIV/0!</v>
      </c>
      <c r="AY46" s="184" t="e">
        <f t="shared" si="52"/>
        <v>#DIV/0!</v>
      </c>
      <c r="AZ46" s="184" t="e">
        <f>AQ46+('Entrada e Saida'!$G$65-'Entrada e Saida'!$I$65)*AU46-AX46</f>
        <v>#DIV/0!</v>
      </c>
      <c r="BA46" s="3" t="e">
        <f>IF('Entrada e Saida'!$H$12="REAL",AZ46*'Entrada e Saida'!$G$81,AU46*'Entrada e Saida'!$G$81)</f>
        <v>#DIV/0!</v>
      </c>
      <c r="BB46" s="3" t="e">
        <f>IF('Entrada e Saida'!$H$12="REAL",AZ46*'Entrada e Saida'!$G$82,AU46*'Entrada e Saida'!$G$82)</f>
        <v>#DIV/0!</v>
      </c>
      <c r="BC46" s="4" t="e">
        <f t="shared" si="53"/>
        <v>#DIV/0!</v>
      </c>
      <c r="BD46" s="3" t="e">
        <f>IF('Entrada e Saida'!$H$11="TRADING",AW46/D46,AK46/D46)</f>
        <v>#DIV/0!</v>
      </c>
      <c r="BE46" s="3" t="e">
        <f t="shared" si="54"/>
        <v>#DIV/0!</v>
      </c>
      <c r="BF46" s="2" t="e">
        <f t="shared" si="55"/>
        <v>#DIV/0!</v>
      </c>
      <c r="BG46" s="3" t="e">
        <f>IF('Entrada e Saida'!$H$11="TRADING",AV46/D46,AN46/D46)</f>
        <v>#DIV/0!</v>
      </c>
      <c r="BH46" s="3" t="e">
        <f>IF('Entrada e Saida'!$H$11="TRADING",IF('Entrada e Saida'!$H$12="REAL",AR46/D46,0),AL46/D46)</f>
        <v>#DIV/0!</v>
      </c>
      <c r="BI46" s="3" t="e">
        <f>IF('Entrada e Saida'!$H$11="TRADING",IF('Entrada e Saida'!$H$12="REAL",AS46/D46,0),AM46/D46)</f>
        <v>#DIV/0!</v>
      </c>
      <c r="BJ46" s="3" t="e">
        <f>IF('Entrada e Saida'!$H$11="TRADING",AT46/D46,AO46/D46)</f>
        <v>#DIV/0!</v>
      </c>
      <c r="BK46" s="2" t="e">
        <f t="shared" si="56"/>
        <v>#DIV/0!</v>
      </c>
      <c r="BL46" s="2">
        <f>IF(O46&gt;0,IFERROR(IF('Entrada e Saida'!$H$11="DIRETA",0,(IF('Entrada e Saida'!$H$14="P.JURIDICA",(BD46*(1+O46)*N46)-((BD46/(1+M46))*'Entrada e Saida'!$G$65),((Produtos!N46-'Entrada e Saida'!$G$65)*Produtos!BD46)))),0),0)</f>
        <v>0</v>
      </c>
      <c r="BM46" s="2" t="e">
        <f t="shared" si="57"/>
        <v>#DIV/0!</v>
      </c>
    </row>
    <row r="47" spans="1:65" s="1" customFormat="1">
      <c r="A47" s="127"/>
      <c r="B47" s="172" t="e">
        <f>VLOOKUP(A47,'Master Modelo'!A:I,7,FALSE)</f>
        <v>#N/A</v>
      </c>
      <c r="C47" s="145" t="e">
        <f>VLOOKUP(A47,'Master Modelo'!A:I,2,FALSE)</f>
        <v>#N/A</v>
      </c>
      <c r="D47" s="146"/>
      <c r="E47" s="148">
        <f>IFERROR(VLOOKUP(A47,'Master Modelo'!A:I,9,FALSE),0)</f>
        <v>0</v>
      </c>
      <c r="F47" s="189">
        <f>IFERROR(VLOOKUP(A47,'Master Modelo'!A:I,8,FALSE),0)</f>
        <v>0</v>
      </c>
      <c r="G47" s="189">
        <f>IFERROR(VLOOKUP(A47,'Master Modelo'!A:K,11,FALSE),0)</f>
        <v>0</v>
      </c>
      <c r="H47" s="173" t="e">
        <f t="shared" si="40"/>
        <v>#DIV/0!</v>
      </c>
      <c r="I47" s="163">
        <f>IFERROR(VLOOKUP(A47,'Master Modelo'!A:I,3,FALSE),0)</f>
        <v>0</v>
      </c>
      <c r="J47" s="164">
        <f>IFERROR(VLOOKUP(A47,'Master Modelo'!A:I,5,FALSE),0)</f>
        <v>0</v>
      </c>
      <c r="K47" s="164">
        <f>IFERROR(VLOOKUP(A47,'Master Modelo'!A:I,6,FALSE),0)</f>
        <v>0</v>
      </c>
      <c r="L47" s="165" t="e">
        <f>VLOOKUP(A47,'Master Modelo'!A:J,10,FALSE)</f>
        <v>#N/A</v>
      </c>
      <c r="M47" s="163">
        <f>IFERROR(VLOOKUP(A47,'Master Modelo'!A:I,4,FALSE),0)</f>
        <v>0</v>
      </c>
      <c r="N47" s="175"/>
      <c r="O47" s="187"/>
      <c r="P47" s="177">
        <f t="shared" si="41"/>
        <v>0</v>
      </c>
      <c r="Q47" s="177">
        <f t="shared" si="10"/>
        <v>0</v>
      </c>
      <c r="R47" s="178">
        <f>D47*E47*'Entrada e Saida'!$K$8</f>
        <v>0</v>
      </c>
      <c r="S47" s="179" t="e">
        <f>'Entrada e Saida'!$H$21*'Entrada e Saida'!$K$8*(P47/(SUM(P:P)))</f>
        <v>#DIV/0!</v>
      </c>
      <c r="T47" s="179" t="e">
        <f>'Entrada e Saida'!$H$21*'Entrada e Saida'!$K$8*(Q47/(SUM(Q:Q)))</f>
        <v>#DIV/0!</v>
      </c>
      <c r="U47" s="179" t="e">
        <f>'Entrada e Saida'!$H$22*(P47/(SUM(P:P)))</f>
        <v>#DIV/0!</v>
      </c>
      <c r="V47" s="179" t="e">
        <f>'Entrada e Saida'!$H$22*(Q47/(SUM(Q:Q)))</f>
        <v>#DIV/0!</v>
      </c>
      <c r="W47" s="180" t="e">
        <f t="shared" si="42"/>
        <v>#DIV/0!</v>
      </c>
      <c r="X47" s="179" t="e">
        <f>'Entrada e Saida'!$H$26*(IF('Entrada e Saida'!$H$15="PESO",(P47/(SUM(P:P))),(Q47/(SUM(Q:Q)))))</f>
        <v>#DIV/0!</v>
      </c>
      <c r="Y47" s="179" t="e">
        <f>'Entrada e Saida'!$H$27*(IF('Entrada e Saida'!$H$15="PESO",(P47/(SUM(P:P))),(Q47/(SUM(Q:Q)))))</f>
        <v>#DIV/0!</v>
      </c>
      <c r="Z47" s="179" t="e">
        <f>'Entrada e Saida'!$H$28*(IF('Entrada e Saida'!$H$15="PESO",(P47/(SUM(P:P))),(Q47/(SUM(Q:Q)))))</f>
        <v>#DIV/0!</v>
      </c>
      <c r="AA47" s="181" t="e">
        <f t="shared" si="43"/>
        <v>#DIV/0!</v>
      </c>
      <c r="AB47" s="178" t="e">
        <f t="shared" si="44"/>
        <v>#DIV/0!</v>
      </c>
      <c r="AC47" s="178" t="e">
        <f t="shared" si="45"/>
        <v>#DIV/0!</v>
      </c>
      <c r="AD47" s="178" t="e">
        <f t="shared" si="46"/>
        <v>#DIV/0!</v>
      </c>
      <c r="AE47" s="177" t="e">
        <f t="shared" si="47"/>
        <v>#DIV/0!</v>
      </c>
      <c r="AF47" s="182">
        <f>IFERROR(D47*F47*L47*'Entrada e Saida'!$K$8,0)</f>
        <v>0</v>
      </c>
      <c r="AG47" s="178" t="e">
        <f>((W47+AA47+AB47+AC47+AD47+AE47+AF47)/(1-'Entrada e Saida'!$G$65))*'Entrada e Saida'!$I$66</f>
        <v>#DIV/0!</v>
      </c>
      <c r="AH47" s="180" t="e">
        <f t="shared" si="48"/>
        <v>#DIV/0!</v>
      </c>
      <c r="AI47" s="183" t="e">
        <f>'Entrada e Saida'!$K$51*(IF('Entrada e Saida'!$H$15="PESO",(P47/(SUM(P:P))),(Q47/(SUM(Q:Q)))))</f>
        <v>#DIV/0!</v>
      </c>
      <c r="AJ47" s="183">
        <f>(('Entrada e Saida'!$K$10-'Entrada e Saida'!$K$8)*E47*D47)</f>
        <v>0</v>
      </c>
      <c r="AK47" s="184" t="e">
        <f>IF('Entrada e Saida'!$H$15="PESO",W47+AA47+AH47+AI47+AJ47,W47+AA47+AH47+AI47+AJ47-S47+T47-U47+V47)</f>
        <v>#DIV/0!</v>
      </c>
      <c r="AL47" s="185" t="e">
        <f>IF('Entrada e Saida'!$H$12="REAL",AC47,0)</f>
        <v>#DIV/0!</v>
      </c>
      <c r="AM47" s="185" t="e">
        <f>IF('Entrada e Saida'!$H$12="REAL",AD47,0)</f>
        <v>#DIV/0!</v>
      </c>
      <c r="AN47" s="186" t="e">
        <f>IF('Entrada e Saida'!$H$13= "NÃO",AE47,0)</f>
        <v>#DIV/0!</v>
      </c>
      <c r="AO47" s="186" t="e">
        <f t="shared" si="49"/>
        <v>#DIV/0!</v>
      </c>
      <c r="AP47" s="184" t="e">
        <f t="shared" si="50"/>
        <v>#DIV/0!</v>
      </c>
      <c r="AQ47" s="178" t="e">
        <f>IF('Entrada e Saida'!$H$11="TRADING",AU47*'Custo Resumido'!D47,0)</f>
        <v>#DIV/0!</v>
      </c>
      <c r="AR47" s="178" t="e">
        <f>IF('Entrada e Saida'!$H$11="TRADING",AU47*'Entrada e Saida'!$G$63,0)</f>
        <v>#DIV/0!</v>
      </c>
      <c r="AS47" s="178" t="e">
        <f>IF('Entrada e Saida'!$H$11="TRADING",AU47*'Entrada e Saida'!$G$64,0)</f>
        <v>#DIV/0!</v>
      </c>
      <c r="AT47" s="178" t="e">
        <f>IF('Entrada e Saida'!$H$11="TRADING",AU47*'Entrada e Saida'!$G$65,0)</f>
        <v>#DIV/0!</v>
      </c>
      <c r="AU47" s="184" t="e">
        <f>IF('Entrada e Saida'!$H$11="TRADING",AP47/(1-(SUM('Entrada e Saida'!$G$63:$G$65)+'Custo Resumido'!D47)),0)</f>
        <v>#DIV/0!</v>
      </c>
      <c r="AV47" s="178" t="e">
        <f>IF('Entrada e Saida'!$H$13="NÃO",AU47*M47,0)</f>
        <v>#DIV/0!</v>
      </c>
      <c r="AW47" s="184" t="e">
        <f t="shared" si="51"/>
        <v>#DIV/0!</v>
      </c>
      <c r="AX47" s="178" t="e">
        <f>'Entrada e Saida'!$G$74*AU47</f>
        <v>#DIV/0!</v>
      </c>
      <c r="AY47" s="184" t="e">
        <f t="shared" si="52"/>
        <v>#DIV/0!</v>
      </c>
      <c r="AZ47" s="184" t="e">
        <f>AQ47+('Entrada e Saida'!$G$65-'Entrada e Saida'!$I$65)*AU47-AX47</f>
        <v>#DIV/0!</v>
      </c>
      <c r="BA47" s="3" t="e">
        <f>IF('Entrada e Saida'!$H$12="REAL",AZ47*'Entrada e Saida'!$G$81,AU47*'Entrada e Saida'!$G$81)</f>
        <v>#DIV/0!</v>
      </c>
      <c r="BB47" s="3" t="e">
        <f>IF('Entrada e Saida'!$H$12="REAL",AZ47*'Entrada e Saida'!$G$82,AU47*'Entrada e Saida'!$G$82)</f>
        <v>#DIV/0!</v>
      </c>
      <c r="BC47" s="4" t="e">
        <f t="shared" si="53"/>
        <v>#DIV/0!</v>
      </c>
      <c r="BD47" s="3" t="e">
        <f>IF('Entrada e Saida'!$H$11="TRADING",AW47/D47,AK47/D47)</f>
        <v>#DIV/0!</v>
      </c>
      <c r="BE47" s="3" t="e">
        <f t="shared" si="54"/>
        <v>#DIV/0!</v>
      </c>
      <c r="BF47" s="2" t="e">
        <f t="shared" si="55"/>
        <v>#DIV/0!</v>
      </c>
      <c r="BG47" s="3" t="e">
        <f>IF('Entrada e Saida'!$H$11="TRADING",AV47/D47,AN47/D47)</f>
        <v>#DIV/0!</v>
      </c>
      <c r="BH47" s="3" t="e">
        <f>IF('Entrada e Saida'!$H$11="TRADING",IF('Entrada e Saida'!$H$12="REAL",AR47/D47,0),AL47/D47)</f>
        <v>#DIV/0!</v>
      </c>
      <c r="BI47" s="3" t="e">
        <f>IF('Entrada e Saida'!$H$11="TRADING",IF('Entrada e Saida'!$H$12="REAL",AS47/D47,0),AM47/D47)</f>
        <v>#DIV/0!</v>
      </c>
      <c r="BJ47" s="3" t="e">
        <f>IF('Entrada e Saida'!$H$11="TRADING",AT47/D47,AO47/D47)</f>
        <v>#DIV/0!</v>
      </c>
      <c r="BK47" s="2" t="e">
        <f t="shared" si="56"/>
        <v>#DIV/0!</v>
      </c>
      <c r="BL47" s="2">
        <f>IF(O47&gt;0,IFERROR(IF('Entrada e Saida'!$H$11="DIRETA",0,(IF('Entrada e Saida'!$H$14="P.JURIDICA",(BD47*(1+O47)*N47)-((BD47/(1+M47))*'Entrada e Saida'!$G$65),((Produtos!N47-'Entrada e Saida'!$G$65)*Produtos!BD47)))),0),0)</f>
        <v>0</v>
      </c>
      <c r="BM47" s="2" t="e">
        <f t="shared" si="57"/>
        <v>#DIV/0!</v>
      </c>
    </row>
    <row r="48" spans="1:65" s="1" customFormat="1">
      <c r="A48" s="127"/>
      <c r="B48" s="172" t="e">
        <f>VLOOKUP(A48,'Master Modelo'!A:I,7,FALSE)</f>
        <v>#N/A</v>
      </c>
      <c r="C48" s="145" t="e">
        <f>VLOOKUP(A48,'Master Modelo'!A:I,2,FALSE)</f>
        <v>#N/A</v>
      </c>
      <c r="D48" s="146"/>
      <c r="E48" s="148">
        <f>IFERROR(VLOOKUP(A48,'Master Modelo'!A:I,9,FALSE),0)</f>
        <v>0</v>
      </c>
      <c r="F48" s="189">
        <f>IFERROR(VLOOKUP(A48,'Master Modelo'!A:I,8,FALSE),0)</f>
        <v>0</v>
      </c>
      <c r="G48" s="189">
        <f>IFERROR(VLOOKUP(A48,'Master Modelo'!A:K,11,FALSE),0)</f>
        <v>0</v>
      </c>
      <c r="H48" s="173" t="e">
        <f t="shared" si="40"/>
        <v>#DIV/0!</v>
      </c>
      <c r="I48" s="163">
        <f>IFERROR(VLOOKUP(A48,'Master Modelo'!A:I,3,FALSE),0)</f>
        <v>0</v>
      </c>
      <c r="J48" s="164">
        <f>IFERROR(VLOOKUP(A48,'Master Modelo'!A:I,5,FALSE),0)</f>
        <v>0</v>
      </c>
      <c r="K48" s="164">
        <f>IFERROR(VLOOKUP(A48,'Master Modelo'!A:I,6,FALSE),0)</f>
        <v>0</v>
      </c>
      <c r="L48" s="165" t="e">
        <f>VLOOKUP(A48,'Master Modelo'!A:J,10,FALSE)</f>
        <v>#N/A</v>
      </c>
      <c r="M48" s="163">
        <f>IFERROR(VLOOKUP(A48,'Master Modelo'!A:I,4,FALSE),0)</f>
        <v>0</v>
      </c>
      <c r="N48" s="175"/>
      <c r="O48" s="187"/>
      <c r="P48" s="177">
        <f t="shared" si="41"/>
        <v>0</v>
      </c>
      <c r="Q48" s="177">
        <f t="shared" si="10"/>
        <v>0</v>
      </c>
      <c r="R48" s="178">
        <f>D48*E48*'Entrada e Saida'!$K$8</f>
        <v>0</v>
      </c>
      <c r="S48" s="179" t="e">
        <f>'Entrada e Saida'!$H$21*'Entrada e Saida'!$K$8*(P48/(SUM(P:P)))</f>
        <v>#DIV/0!</v>
      </c>
      <c r="T48" s="179" t="e">
        <f>'Entrada e Saida'!$H$21*'Entrada e Saida'!$K$8*(Q48/(SUM(Q:Q)))</f>
        <v>#DIV/0!</v>
      </c>
      <c r="U48" s="179" t="e">
        <f>'Entrada e Saida'!$H$22*(P48/(SUM(P:P)))</f>
        <v>#DIV/0!</v>
      </c>
      <c r="V48" s="179" t="e">
        <f>'Entrada e Saida'!$H$22*(Q48/(SUM(Q:Q)))</f>
        <v>#DIV/0!</v>
      </c>
      <c r="W48" s="180" t="e">
        <f t="shared" si="42"/>
        <v>#DIV/0!</v>
      </c>
      <c r="X48" s="179" t="e">
        <f>'Entrada e Saida'!$H$26*(IF('Entrada e Saida'!$H$15="PESO",(P48/(SUM(P:P))),(Q48/(SUM(Q:Q)))))</f>
        <v>#DIV/0!</v>
      </c>
      <c r="Y48" s="179" t="e">
        <f>'Entrada e Saida'!$H$27*(IF('Entrada e Saida'!$H$15="PESO",(P48/(SUM(P:P))),(Q48/(SUM(Q:Q)))))</f>
        <v>#DIV/0!</v>
      </c>
      <c r="Z48" s="179" t="e">
        <f>'Entrada e Saida'!$H$28*(IF('Entrada e Saida'!$H$15="PESO",(P48/(SUM(P:P))),(Q48/(SUM(Q:Q)))))</f>
        <v>#DIV/0!</v>
      </c>
      <c r="AA48" s="181" t="e">
        <f t="shared" si="43"/>
        <v>#DIV/0!</v>
      </c>
      <c r="AB48" s="178" t="e">
        <f t="shared" si="44"/>
        <v>#DIV/0!</v>
      </c>
      <c r="AC48" s="178" t="e">
        <f t="shared" si="45"/>
        <v>#DIV/0!</v>
      </c>
      <c r="AD48" s="178" t="e">
        <f t="shared" si="46"/>
        <v>#DIV/0!</v>
      </c>
      <c r="AE48" s="177" t="e">
        <f t="shared" si="47"/>
        <v>#DIV/0!</v>
      </c>
      <c r="AF48" s="182">
        <f>IFERROR(D48*F48*L48*'Entrada e Saida'!$K$8,0)</f>
        <v>0</v>
      </c>
      <c r="AG48" s="178" t="e">
        <f>((W48+AA48+AB48+AC48+AD48+AE48+AF48)/(1-'Entrada e Saida'!$G$65))*'Entrada e Saida'!$I$66</f>
        <v>#DIV/0!</v>
      </c>
      <c r="AH48" s="180" t="e">
        <f t="shared" si="48"/>
        <v>#DIV/0!</v>
      </c>
      <c r="AI48" s="183" t="e">
        <f>'Entrada e Saida'!$K$51*(IF('Entrada e Saida'!$H$15="PESO",(P48/(SUM(P:P))),(Q48/(SUM(Q:Q)))))</f>
        <v>#DIV/0!</v>
      </c>
      <c r="AJ48" s="183">
        <f>(('Entrada e Saida'!$K$10-'Entrada e Saida'!$K$8)*E48*D48)</f>
        <v>0</v>
      </c>
      <c r="AK48" s="184" t="e">
        <f>IF('Entrada e Saida'!$H$15="PESO",W48+AA48+AH48+AI48+AJ48,W48+AA48+AH48+AI48+AJ48-S48+T48-U48+V48)</f>
        <v>#DIV/0!</v>
      </c>
      <c r="AL48" s="185" t="e">
        <f>IF('Entrada e Saida'!$H$12="REAL",AC48,0)</f>
        <v>#DIV/0!</v>
      </c>
      <c r="AM48" s="185" t="e">
        <f>IF('Entrada e Saida'!$H$12="REAL",AD48,0)</f>
        <v>#DIV/0!</v>
      </c>
      <c r="AN48" s="186" t="e">
        <f>IF('Entrada e Saida'!$H$13= "NÃO",AE48,0)</f>
        <v>#DIV/0!</v>
      </c>
      <c r="AO48" s="186" t="e">
        <f t="shared" si="49"/>
        <v>#DIV/0!</v>
      </c>
      <c r="AP48" s="184" t="e">
        <f t="shared" si="50"/>
        <v>#DIV/0!</v>
      </c>
      <c r="AQ48" s="178" t="e">
        <f>IF('Entrada e Saida'!$H$11="TRADING",AU48*'Custo Resumido'!D48,0)</f>
        <v>#DIV/0!</v>
      </c>
      <c r="AR48" s="178" t="e">
        <f>IF('Entrada e Saida'!$H$11="TRADING",AU48*'Entrada e Saida'!$G$63,0)</f>
        <v>#DIV/0!</v>
      </c>
      <c r="AS48" s="178" t="e">
        <f>IF('Entrada e Saida'!$H$11="TRADING",AU48*'Entrada e Saida'!$G$64,0)</f>
        <v>#DIV/0!</v>
      </c>
      <c r="AT48" s="178" t="e">
        <f>IF('Entrada e Saida'!$H$11="TRADING",AU48*'Entrada e Saida'!$G$65,0)</f>
        <v>#DIV/0!</v>
      </c>
      <c r="AU48" s="184" t="e">
        <f>IF('Entrada e Saida'!$H$11="TRADING",AP48/(1-(SUM('Entrada e Saida'!$G$63:$G$65)+'Custo Resumido'!D48)),0)</f>
        <v>#DIV/0!</v>
      </c>
      <c r="AV48" s="178" t="e">
        <f>IF('Entrada e Saida'!$H$13="NÃO",AU48*M48,0)</f>
        <v>#DIV/0!</v>
      </c>
      <c r="AW48" s="184" t="e">
        <f t="shared" si="51"/>
        <v>#DIV/0!</v>
      </c>
      <c r="AX48" s="178" t="e">
        <f>'Entrada e Saida'!$G$74*AU48</f>
        <v>#DIV/0!</v>
      </c>
      <c r="AY48" s="184" t="e">
        <f t="shared" si="52"/>
        <v>#DIV/0!</v>
      </c>
      <c r="AZ48" s="184" t="e">
        <f>AQ48+('Entrada e Saida'!$G$65-'Entrada e Saida'!$I$65)*AU48-AX48</f>
        <v>#DIV/0!</v>
      </c>
      <c r="BA48" s="3" t="e">
        <f>IF('Entrada e Saida'!$H$12="REAL",AZ48*'Entrada e Saida'!$G$81,AU48*'Entrada e Saida'!$G$81)</f>
        <v>#DIV/0!</v>
      </c>
      <c r="BB48" s="3" t="e">
        <f>IF('Entrada e Saida'!$H$12="REAL",AZ48*'Entrada e Saida'!$G$82,AU48*'Entrada e Saida'!$G$82)</f>
        <v>#DIV/0!</v>
      </c>
      <c r="BC48" s="4" t="e">
        <f t="shared" si="53"/>
        <v>#DIV/0!</v>
      </c>
      <c r="BD48" s="3" t="e">
        <f>IF('Entrada e Saida'!$H$11="TRADING",AW48/D48,AK48/D48)</f>
        <v>#DIV/0!</v>
      </c>
      <c r="BE48" s="3" t="e">
        <f t="shared" si="54"/>
        <v>#DIV/0!</v>
      </c>
      <c r="BF48" s="2" t="e">
        <f t="shared" si="55"/>
        <v>#DIV/0!</v>
      </c>
      <c r="BG48" s="3" t="e">
        <f>IF('Entrada e Saida'!$H$11="TRADING",AV48/D48,AN48/D48)</f>
        <v>#DIV/0!</v>
      </c>
      <c r="BH48" s="3" t="e">
        <f>IF('Entrada e Saida'!$H$11="TRADING",IF('Entrada e Saida'!$H$12="REAL",AR48/D48,0),AL48/D48)</f>
        <v>#DIV/0!</v>
      </c>
      <c r="BI48" s="3" t="e">
        <f>IF('Entrada e Saida'!$H$11="TRADING",IF('Entrada e Saida'!$H$12="REAL",AS48/D48,0),AM48/D48)</f>
        <v>#DIV/0!</v>
      </c>
      <c r="BJ48" s="3" t="e">
        <f>IF('Entrada e Saida'!$H$11="TRADING",AT48/D48,AO48/D48)</f>
        <v>#DIV/0!</v>
      </c>
      <c r="BK48" s="2" t="e">
        <f t="shared" si="56"/>
        <v>#DIV/0!</v>
      </c>
      <c r="BL48" s="2">
        <f>IF(O48&gt;0,IFERROR(IF('Entrada e Saida'!$H$11="DIRETA",0,(IF('Entrada e Saida'!$H$14="P.JURIDICA",(BD48*(1+O48)*N48)-((BD48/(1+M48))*'Entrada e Saida'!$G$65),((Produtos!N48-'Entrada e Saida'!$G$65)*Produtos!BD48)))),0),0)</f>
        <v>0</v>
      </c>
      <c r="BM48" s="2" t="e">
        <f t="shared" si="57"/>
        <v>#DIV/0!</v>
      </c>
    </row>
    <row r="49" spans="1:65" s="1" customFormat="1">
      <c r="A49" s="127"/>
      <c r="B49" s="172" t="e">
        <f>VLOOKUP(A49,'Master Modelo'!A:I,7,FALSE)</f>
        <v>#N/A</v>
      </c>
      <c r="C49" s="145" t="e">
        <f>VLOOKUP(A49,'Master Modelo'!A:I,2,FALSE)</f>
        <v>#N/A</v>
      </c>
      <c r="D49" s="146"/>
      <c r="E49" s="148">
        <f>IFERROR(VLOOKUP(A49,'Master Modelo'!A:I,9,FALSE),0)</f>
        <v>0</v>
      </c>
      <c r="F49" s="189">
        <f>IFERROR(VLOOKUP(A49,'Master Modelo'!A:I,8,FALSE),0)</f>
        <v>0</v>
      </c>
      <c r="G49" s="189">
        <f>IFERROR(VLOOKUP(A49,'Master Modelo'!A:K,11,FALSE),0)</f>
        <v>0</v>
      </c>
      <c r="H49" s="173" t="e">
        <f t="shared" si="40"/>
        <v>#DIV/0!</v>
      </c>
      <c r="I49" s="163">
        <f>IFERROR(VLOOKUP(A49,'Master Modelo'!A:I,3,FALSE),0)</f>
        <v>0</v>
      </c>
      <c r="J49" s="164">
        <f>IFERROR(VLOOKUP(A49,'Master Modelo'!A:I,5,FALSE),0)</f>
        <v>0</v>
      </c>
      <c r="K49" s="164">
        <f>IFERROR(VLOOKUP(A49,'Master Modelo'!A:I,6,FALSE),0)</f>
        <v>0</v>
      </c>
      <c r="L49" s="165" t="e">
        <f>VLOOKUP(A49,'Master Modelo'!A:J,10,FALSE)</f>
        <v>#N/A</v>
      </c>
      <c r="M49" s="163">
        <f>IFERROR(VLOOKUP(A49,'Master Modelo'!A:I,4,FALSE),0)</f>
        <v>0</v>
      </c>
      <c r="N49" s="175"/>
      <c r="O49" s="187"/>
      <c r="P49" s="177">
        <f t="shared" si="41"/>
        <v>0</v>
      </c>
      <c r="Q49" s="177">
        <f t="shared" si="10"/>
        <v>0</v>
      </c>
      <c r="R49" s="178">
        <f>D49*E49*'Entrada e Saida'!$K$8</f>
        <v>0</v>
      </c>
      <c r="S49" s="179" t="e">
        <f>'Entrada e Saida'!$H$21*'Entrada e Saida'!$K$8*(P49/(SUM(P:P)))</f>
        <v>#DIV/0!</v>
      </c>
      <c r="T49" s="179" t="e">
        <f>'Entrada e Saida'!$H$21*'Entrada e Saida'!$K$8*(Q49/(SUM(Q:Q)))</f>
        <v>#DIV/0!</v>
      </c>
      <c r="U49" s="179" t="e">
        <f>'Entrada e Saida'!$H$22*(P49/(SUM(P:P)))</f>
        <v>#DIV/0!</v>
      </c>
      <c r="V49" s="179" t="e">
        <f>'Entrada e Saida'!$H$22*(Q49/(SUM(Q:Q)))</f>
        <v>#DIV/0!</v>
      </c>
      <c r="W49" s="180" t="e">
        <f t="shared" si="42"/>
        <v>#DIV/0!</v>
      </c>
      <c r="X49" s="179" t="e">
        <f>'Entrada e Saida'!$H$26*(IF('Entrada e Saida'!$H$15="PESO",(P49/(SUM(P:P))),(Q49/(SUM(Q:Q)))))</f>
        <v>#DIV/0!</v>
      </c>
      <c r="Y49" s="179" t="e">
        <f>'Entrada e Saida'!$H$27*(IF('Entrada e Saida'!$H$15="PESO",(P49/(SUM(P:P))),(Q49/(SUM(Q:Q)))))</f>
        <v>#DIV/0!</v>
      </c>
      <c r="Z49" s="179" t="e">
        <f>'Entrada e Saida'!$H$28*(IF('Entrada e Saida'!$H$15="PESO",(P49/(SUM(P:P))),(Q49/(SUM(Q:Q)))))</f>
        <v>#DIV/0!</v>
      </c>
      <c r="AA49" s="181" t="e">
        <f t="shared" si="43"/>
        <v>#DIV/0!</v>
      </c>
      <c r="AB49" s="178" t="e">
        <f t="shared" si="44"/>
        <v>#DIV/0!</v>
      </c>
      <c r="AC49" s="178" t="e">
        <f t="shared" si="45"/>
        <v>#DIV/0!</v>
      </c>
      <c r="AD49" s="178" t="e">
        <f t="shared" si="46"/>
        <v>#DIV/0!</v>
      </c>
      <c r="AE49" s="177" t="e">
        <f t="shared" si="47"/>
        <v>#DIV/0!</v>
      </c>
      <c r="AF49" s="182">
        <f>IFERROR(D49*F49*L49*'Entrada e Saida'!$K$8,0)</f>
        <v>0</v>
      </c>
      <c r="AG49" s="178" t="e">
        <f>((W49+AA49+AB49+AC49+AD49+AE49+AF49)/(1-'Entrada e Saida'!$G$65))*'Entrada e Saida'!$I$66</f>
        <v>#DIV/0!</v>
      </c>
      <c r="AH49" s="180" t="e">
        <f t="shared" si="48"/>
        <v>#DIV/0!</v>
      </c>
      <c r="AI49" s="183" t="e">
        <f>'Entrada e Saida'!$K$51*(IF('Entrada e Saida'!$H$15="PESO",(P49/(SUM(P:P))),(Q49/(SUM(Q:Q)))))</f>
        <v>#DIV/0!</v>
      </c>
      <c r="AJ49" s="183">
        <f>(('Entrada e Saida'!$K$10-'Entrada e Saida'!$K$8)*E49*D49)</f>
        <v>0</v>
      </c>
      <c r="AK49" s="184" t="e">
        <f>IF('Entrada e Saida'!$H$15="PESO",W49+AA49+AH49+AI49+AJ49,W49+AA49+AH49+AI49+AJ49-S49+T49-U49+V49)</f>
        <v>#DIV/0!</v>
      </c>
      <c r="AL49" s="185" t="e">
        <f>IF('Entrada e Saida'!$H$12="REAL",AC49,0)</f>
        <v>#DIV/0!</v>
      </c>
      <c r="AM49" s="185" t="e">
        <f>IF('Entrada e Saida'!$H$12="REAL",AD49,0)</f>
        <v>#DIV/0!</v>
      </c>
      <c r="AN49" s="186" t="e">
        <f>IF('Entrada e Saida'!$H$13= "NÃO",AE49,0)</f>
        <v>#DIV/0!</v>
      </c>
      <c r="AO49" s="186" t="e">
        <f t="shared" si="49"/>
        <v>#DIV/0!</v>
      </c>
      <c r="AP49" s="184" t="e">
        <f t="shared" si="50"/>
        <v>#DIV/0!</v>
      </c>
      <c r="AQ49" s="178" t="e">
        <f>IF('Entrada e Saida'!$H$11="TRADING",AU49*'Custo Resumido'!D49,0)</f>
        <v>#DIV/0!</v>
      </c>
      <c r="AR49" s="178" t="e">
        <f>IF('Entrada e Saida'!$H$11="TRADING",AU49*'Entrada e Saida'!$G$63,0)</f>
        <v>#DIV/0!</v>
      </c>
      <c r="AS49" s="178" t="e">
        <f>IF('Entrada e Saida'!$H$11="TRADING",AU49*'Entrada e Saida'!$G$64,0)</f>
        <v>#DIV/0!</v>
      </c>
      <c r="AT49" s="178" t="e">
        <f>IF('Entrada e Saida'!$H$11="TRADING",AU49*'Entrada e Saida'!$G$65,0)</f>
        <v>#DIV/0!</v>
      </c>
      <c r="AU49" s="184" t="e">
        <f>IF('Entrada e Saida'!$H$11="TRADING",AP49/(1-(SUM('Entrada e Saida'!$G$63:$G$65)+'Custo Resumido'!D49)),0)</f>
        <v>#DIV/0!</v>
      </c>
      <c r="AV49" s="178" t="e">
        <f>IF('Entrada e Saida'!$H$13="NÃO",AU49*M49,0)</f>
        <v>#DIV/0!</v>
      </c>
      <c r="AW49" s="184" t="e">
        <f t="shared" si="51"/>
        <v>#DIV/0!</v>
      </c>
      <c r="AX49" s="178" t="e">
        <f>'Entrada e Saida'!$G$74*AU49</f>
        <v>#DIV/0!</v>
      </c>
      <c r="AY49" s="184" t="e">
        <f t="shared" si="52"/>
        <v>#DIV/0!</v>
      </c>
      <c r="AZ49" s="184" t="e">
        <f>AQ49+('Entrada e Saida'!$G$65-'Entrada e Saida'!$I$65)*AU49-AX49</f>
        <v>#DIV/0!</v>
      </c>
      <c r="BA49" s="3" t="e">
        <f>IF('Entrada e Saida'!$H$12="REAL",AZ49*'Entrada e Saida'!$G$81,AU49*'Entrada e Saida'!$G$81)</f>
        <v>#DIV/0!</v>
      </c>
      <c r="BB49" s="3" t="e">
        <f>IF('Entrada e Saida'!$H$12="REAL",AZ49*'Entrada e Saida'!$G$82,AU49*'Entrada e Saida'!$G$82)</f>
        <v>#DIV/0!</v>
      </c>
      <c r="BC49" s="4" t="e">
        <f t="shared" si="53"/>
        <v>#DIV/0!</v>
      </c>
      <c r="BD49" s="3" t="e">
        <f>IF('Entrada e Saida'!$H$11="TRADING",AW49/D49,AK49/D49)</f>
        <v>#DIV/0!</v>
      </c>
      <c r="BE49" s="3" t="e">
        <f t="shared" si="54"/>
        <v>#DIV/0!</v>
      </c>
      <c r="BF49" s="2" t="e">
        <f t="shared" si="55"/>
        <v>#DIV/0!</v>
      </c>
      <c r="BG49" s="3" t="e">
        <f>IF('Entrada e Saida'!$H$11="TRADING",AV49/D49,AN49/D49)</f>
        <v>#DIV/0!</v>
      </c>
      <c r="BH49" s="3" t="e">
        <f>IF('Entrada e Saida'!$H$11="TRADING",IF('Entrada e Saida'!$H$12="REAL",AR49/D49,0),AL49/D49)</f>
        <v>#DIV/0!</v>
      </c>
      <c r="BI49" s="3" t="e">
        <f>IF('Entrada e Saida'!$H$11="TRADING",IF('Entrada e Saida'!$H$12="REAL",AS49/D49,0),AM49/D49)</f>
        <v>#DIV/0!</v>
      </c>
      <c r="BJ49" s="3" t="e">
        <f>IF('Entrada e Saida'!$H$11="TRADING",AT49/D49,AO49/D49)</f>
        <v>#DIV/0!</v>
      </c>
      <c r="BK49" s="2" t="e">
        <f t="shared" si="56"/>
        <v>#DIV/0!</v>
      </c>
      <c r="BL49" s="2">
        <f>IF(O49&gt;0,IFERROR(IF('Entrada e Saida'!$H$11="DIRETA",0,(IF('Entrada e Saida'!$H$14="P.JURIDICA",(BD49*(1+O49)*N49)-((BD49/(1+M49))*'Entrada e Saida'!$G$65),((Produtos!N49-'Entrada e Saida'!$G$65)*Produtos!BD49)))),0),0)</f>
        <v>0</v>
      </c>
      <c r="BM49" s="2" t="e">
        <f t="shared" si="57"/>
        <v>#DIV/0!</v>
      </c>
    </row>
    <row r="50" spans="1:65" s="1" customFormat="1">
      <c r="A50" s="127"/>
      <c r="B50" s="172" t="e">
        <f>VLOOKUP(A50,'Master Modelo'!A:I,7,FALSE)</f>
        <v>#N/A</v>
      </c>
      <c r="C50" s="145" t="e">
        <f>VLOOKUP(A50,'Master Modelo'!A:I,2,FALSE)</f>
        <v>#N/A</v>
      </c>
      <c r="D50" s="146"/>
      <c r="E50" s="148">
        <f>IFERROR(VLOOKUP(A50,'Master Modelo'!A:I,9,FALSE),0)</f>
        <v>0</v>
      </c>
      <c r="F50" s="189">
        <f>IFERROR(VLOOKUP(A50,'Master Modelo'!A:I,8,FALSE),0)</f>
        <v>0</v>
      </c>
      <c r="G50" s="189">
        <f>IFERROR(VLOOKUP(A50,'Master Modelo'!A:K,11,FALSE),0)</f>
        <v>0</v>
      </c>
      <c r="H50" s="173" t="e">
        <f t="shared" si="40"/>
        <v>#DIV/0!</v>
      </c>
      <c r="I50" s="163">
        <f>IFERROR(VLOOKUP(A50,'Master Modelo'!A:I,3,FALSE),0)</f>
        <v>0</v>
      </c>
      <c r="J50" s="164">
        <f>IFERROR(VLOOKUP(A50,'Master Modelo'!A:I,5,FALSE),0)</f>
        <v>0</v>
      </c>
      <c r="K50" s="164">
        <f>IFERROR(VLOOKUP(A50,'Master Modelo'!A:I,6,FALSE),0)</f>
        <v>0</v>
      </c>
      <c r="L50" s="165" t="e">
        <f>VLOOKUP(A50,'Master Modelo'!A:J,10,FALSE)</f>
        <v>#N/A</v>
      </c>
      <c r="M50" s="163">
        <f>IFERROR(VLOOKUP(A50,'Master Modelo'!A:I,4,FALSE),0)</f>
        <v>0</v>
      </c>
      <c r="N50" s="175"/>
      <c r="O50" s="187"/>
      <c r="P50" s="177">
        <f t="shared" si="41"/>
        <v>0</v>
      </c>
      <c r="Q50" s="177">
        <f t="shared" si="10"/>
        <v>0</v>
      </c>
      <c r="R50" s="178">
        <f>D50*E50*'Entrada e Saida'!$K$8</f>
        <v>0</v>
      </c>
      <c r="S50" s="179" t="e">
        <f>'Entrada e Saida'!$H$21*'Entrada e Saida'!$K$8*(P50/(SUM(P:P)))</f>
        <v>#DIV/0!</v>
      </c>
      <c r="T50" s="179" t="e">
        <f>'Entrada e Saida'!$H$21*'Entrada e Saida'!$K$8*(Q50/(SUM(Q:Q)))</f>
        <v>#DIV/0!</v>
      </c>
      <c r="U50" s="179" t="e">
        <f>'Entrada e Saida'!$H$22*(P50/(SUM(P:P)))</f>
        <v>#DIV/0!</v>
      </c>
      <c r="V50" s="179" t="e">
        <f>'Entrada e Saida'!$H$22*(Q50/(SUM(Q:Q)))</f>
        <v>#DIV/0!</v>
      </c>
      <c r="W50" s="180" t="e">
        <f t="shared" si="42"/>
        <v>#DIV/0!</v>
      </c>
      <c r="X50" s="179" t="e">
        <f>'Entrada e Saida'!$H$26*(IF('Entrada e Saida'!$H$15="PESO",(P50/(SUM(P:P))),(Q50/(SUM(Q:Q)))))</f>
        <v>#DIV/0!</v>
      </c>
      <c r="Y50" s="179" t="e">
        <f>'Entrada e Saida'!$H$27*(IF('Entrada e Saida'!$H$15="PESO",(P50/(SUM(P:P))),(Q50/(SUM(Q:Q)))))</f>
        <v>#DIV/0!</v>
      </c>
      <c r="Z50" s="179" t="e">
        <f>'Entrada e Saida'!$H$28*(IF('Entrada e Saida'!$H$15="PESO",(P50/(SUM(P:P))),(Q50/(SUM(Q:Q)))))</f>
        <v>#DIV/0!</v>
      </c>
      <c r="AA50" s="181" t="e">
        <f t="shared" si="43"/>
        <v>#DIV/0!</v>
      </c>
      <c r="AB50" s="178" t="e">
        <f t="shared" si="44"/>
        <v>#DIV/0!</v>
      </c>
      <c r="AC50" s="178" t="e">
        <f t="shared" si="45"/>
        <v>#DIV/0!</v>
      </c>
      <c r="AD50" s="178" t="e">
        <f t="shared" si="46"/>
        <v>#DIV/0!</v>
      </c>
      <c r="AE50" s="177" t="e">
        <f t="shared" si="47"/>
        <v>#DIV/0!</v>
      </c>
      <c r="AF50" s="182">
        <f>IFERROR(D50*F50*L50*'Entrada e Saida'!$K$8,0)</f>
        <v>0</v>
      </c>
      <c r="AG50" s="178" t="e">
        <f>((W50+AA50+AB50+AC50+AD50+AE50+AF50)/(1-'Entrada e Saida'!$G$65))*'Entrada e Saida'!$I$66</f>
        <v>#DIV/0!</v>
      </c>
      <c r="AH50" s="180" t="e">
        <f t="shared" si="48"/>
        <v>#DIV/0!</v>
      </c>
      <c r="AI50" s="183" t="e">
        <f>'Entrada e Saida'!$K$51*(IF('Entrada e Saida'!$H$15="PESO",(P50/(SUM(P:P))),(Q50/(SUM(Q:Q)))))</f>
        <v>#DIV/0!</v>
      </c>
      <c r="AJ50" s="183">
        <f>(('Entrada e Saida'!$K$10-'Entrada e Saida'!$K$8)*E50*D50)</f>
        <v>0</v>
      </c>
      <c r="AK50" s="184" t="e">
        <f>IF('Entrada e Saida'!$H$15="PESO",W50+AA50+AH50+AI50+AJ50,W50+AA50+AH50+AI50+AJ50-S50+T50-U50+V50)</f>
        <v>#DIV/0!</v>
      </c>
      <c r="AL50" s="185" t="e">
        <f>IF('Entrada e Saida'!$H$12="REAL",AC50,0)</f>
        <v>#DIV/0!</v>
      </c>
      <c r="AM50" s="185" t="e">
        <f>IF('Entrada e Saida'!$H$12="REAL",AD50,0)</f>
        <v>#DIV/0!</v>
      </c>
      <c r="AN50" s="186" t="e">
        <f>IF('Entrada e Saida'!$H$13= "NÃO",AE50,0)</f>
        <v>#DIV/0!</v>
      </c>
      <c r="AO50" s="186" t="e">
        <f t="shared" si="49"/>
        <v>#DIV/0!</v>
      </c>
      <c r="AP50" s="184" t="e">
        <f t="shared" si="50"/>
        <v>#DIV/0!</v>
      </c>
      <c r="AQ50" s="178" t="e">
        <f>IF('Entrada e Saida'!$H$11="TRADING",AU50*'Custo Resumido'!D50,0)</f>
        <v>#DIV/0!</v>
      </c>
      <c r="AR50" s="178" t="e">
        <f>IF('Entrada e Saida'!$H$11="TRADING",AU50*'Entrada e Saida'!$G$63,0)</f>
        <v>#DIV/0!</v>
      </c>
      <c r="AS50" s="178" t="e">
        <f>IF('Entrada e Saida'!$H$11="TRADING",AU50*'Entrada e Saida'!$G$64,0)</f>
        <v>#DIV/0!</v>
      </c>
      <c r="AT50" s="178" t="e">
        <f>IF('Entrada e Saida'!$H$11="TRADING",AU50*'Entrada e Saida'!$G$65,0)</f>
        <v>#DIV/0!</v>
      </c>
      <c r="AU50" s="184" t="e">
        <f>IF('Entrada e Saida'!$H$11="TRADING",AP50/(1-(SUM('Entrada e Saida'!$G$63:$G$65)+'Custo Resumido'!D50)),0)</f>
        <v>#DIV/0!</v>
      </c>
      <c r="AV50" s="178" t="e">
        <f>IF('Entrada e Saida'!$H$13="NÃO",AU50*M50,0)</f>
        <v>#DIV/0!</v>
      </c>
      <c r="AW50" s="184" t="e">
        <f t="shared" si="51"/>
        <v>#DIV/0!</v>
      </c>
      <c r="AX50" s="178" t="e">
        <f>'Entrada e Saida'!$G$74*AU50</f>
        <v>#DIV/0!</v>
      </c>
      <c r="AY50" s="184" t="e">
        <f t="shared" si="52"/>
        <v>#DIV/0!</v>
      </c>
      <c r="AZ50" s="184" t="e">
        <f>AQ50+('Entrada e Saida'!$G$65-'Entrada e Saida'!$I$65)*AU50-AX50</f>
        <v>#DIV/0!</v>
      </c>
      <c r="BA50" s="3" t="e">
        <f>IF('Entrada e Saida'!$H$12="REAL",AZ50*'Entrada e Saida'!$G$81,AU50*'Entrada e Saida'!$G$81)</f>
        <v>#DIV/0!</v>
      </c>
      <c r="BB50" s="3" t="e">
        <f>IF('Entrada e Saida'!$H$12="REAL",AZ50*'Entrada e Saida'!$G$82,AU50*'Entrada e Saida'!$G$82)</f>
        <v>#DIV/0!</v>
      </c>
      <c r="BC50" s="4" t="e">
        <f t="shared" si="53"/>
        <v>#DIV/0!</v>
      </c>
      <c r="BD50" s="3" t="e">
        <f>IF('Entrada e Saida'!$H$11="TRADING",AW50/D50,AK50/D50)</f>
        <v>#DIV/0!</v>
      </c>
      <c r="BE50" s="3" t="e">
        <f t="shared" si="54"/>
        <v>#DIV/0!</v>
      </c>
      <c r="BF50" s="2" t="e">
        <f t="shared" si="55"/>
        <v>#DIV/0!</v>
      </c>
      <c r="BG50" s="3" t="e">
        <f>IF('Entrada e Saida'!$H$11="TRADING",AV50/D50,AN50/D50)</f>
        <v>#DIV/0!</v>
      </c>
      <c r="BH50" s="3" t="e">
        <f>IF('Entrada e Saida'!$H$11="TRADING",IF('Entrada e Saida'!$H$12="REAL",AR50/D50,0),AL50/D50)</f>
        <v>#DIV/0!</v>
      </c>
      <c r="BI50" s="3" t="e">
        <f>IF('Entrada e Saida'!$H$11="TRADING",IF('Entrada e Saida'!$H$12="REAL",AS50/D50,0),AM50/D50)</f>
        <v>#DIV/0!</v>
      </c>
      <c r="BJ50" s="3" t="e">
        <f>IF('Entrada e Saida'!$H$11="TRADING",AT50/D50,AO50/D50)</f>
        <v>#DIV/0!</v>
      </c>
      <c r="BK50" s="2" t="e">
        <f t="shared" si="56"/>
        <v>#DIV/0!</v>
      </c>
      <c r="BL50" s="2">
        <f>IF(O50&gt;0,IFERROR(IF('Entrada e Saida'!$H$11="DIRETA",0,(IF('Entrada e Saida'!$H$14="P.JURIDICA",(BD50*(1+O50)*N50)-((BD50/(1+M50))*'Entrada e Saida'!$G$65),((Produtos!N50-'Entrada e Saida'!$G$65)*Produtos!BD50)))),0),0)</f>
        <v>0</v>
      </c>
      <c r="BM50" s="2" t="e">
        <f t="shared" si="57"/>
        <v>#DIV/0!</v>
      </c>
    </row>
    <row r="51" spans="1:65" s="1" customFormat="1">
      <c r="A51" s="127"/>
      <c r="B51" s="172" t="e">
        <f>VLOOKUP(A51,'Master Modelo'!A:I,7,FALSE)</f>
        <v>#N/A</v>
      </c>
      <c r="C51" s="145" t="e">
        <f>VLOOKUP(A51,'Master Modelo'!A:I,2,FALSE)</f>
        <v>#N/A</v>
      </c>
      <c r="D51" s="146"/>
      <c r="E51" s="148">
        <f>IFERROR(VLOOKUP(A51,'Master Modelo'!A:I,9,FALSE),0)</f>
        <v>0</v>
      </c>
      <c r="F51" s="189">
        <f>IFERROR(VLOOKUP(A51,'Master Modelo'!A:I,8,FALSE),0)</f>
        <v>0</v>
      </c>
      <c r="G51" s="189">
        <f>IFERROR(VLOOKUP(A51,'Master Modelo'!A:K,11,FALSE),0)</f>
        <v>0</v>
      </c>
      <c r="H51" s="173" t="e">
        <f t="shared" si="40"/>
        <v>#DIV/0!</v>
      </c>
      <c r="I51" s="163">
        <f>IFERROR(VLOOKUP(A51,'Master Modelo'!A:I,3,FALSE),0)</f>
        <v>0</v>
      </c>
      <c r="J51" s="164">
        <f>IFERROR(VLOOKUP(A51,'Master Modelo'!A:I,5,FALSE),0)</f>
        <v>0</v>
      </c>
      <c r="K51" s="164">
        <f>IFERROR(VLOOKUP(A51,'Master Modelo'!A:I,6,FALSE),0)</f>
        <v>0</v>
      </c>
      <c r="L51" s="165" t="e">
        <f>VLOOKUP(A51,'Master Modelo'!A:J,10,FALSE)</f>
        <v>#N/A</v>
      </c>
      <c r="M51" s="163">
        <f>IFERROR(VLOOKUP(A51,'Master Modelo'!A:I,4,FALSE),0)</f>
        <v>0</v>
      </c>
      <c r="N51" s="175"/>
      <c r="O51" s="187"/>
      <c r="P51" s="177">
        <f t="shared" si="41"/>
        <v>0</v>
      </c>
      <c r="Q51" s="177">
        <f t="shared" si="10"/>
        <v>0</v>
      </c>
      <c r="R51" s="178">
        <f>D51*E51*'Entrada e Saida'!$K$8</f>
        <v>0</v>
      </c>
      <c r="S51" s="179" t="e">
        <f>'Entrada e Saida'!$H$21*'Entrada e Saida'!$K$8*(P51/(SUM(P:P)))</f>
        <v>#DIV/0!</v>
      </c>
      <c r="T51" s="179" t="e">
        <f>'Entrada e Saida'!$H$21*'Entrada e Saida'!$K$8*(Q51/(SUM(Q:Q)))</f>
        <v>#DIV/0!</v>
      </c>
      <c r="U51" s="179" t="e">
        <f>'Entrada e Saida'!$H$22*(P51/(SUM(P:P)))</f>
        <v>#DIV/0!</v>
      </c>
      <c r="V51" s="179" t="e">
        <f>'Entrada e Saida'!$H$22*(Q51/(SUM(Q:Q)))</f>
        <v>#DIV/0!</v>
      </c>
      <c r="W51" s="180" t="e">
        <f t="shared" si="42"/>
        <v>#DIV/0!</v>
      </c>
      <c r="X51" s="179" t="e">
        <f>'Entrada e Saida'!$H$26*(IF('Entrada e Saida'!$H$15="PESO",(P51/(SUM(P:P))),(Q51/(SUM(Q:Q)))))</f>
        <v>#DIV/0!</v>
      </c>
      <c r="Y51" s="179" t="e">
        <f>'Entrada e Saida'!$H$27*(IF('Entrada e Saida'!$H$15="PESO",(P51/(SUM(P:P))),(Q51/(SUM(Q:Q)))))</f>
        <v>#DIV/0!</v>
      </c>
      <c r="Z51" s="179" t="e">
        <f>'Entrada e Saida'!$H$28*(IF('Entrada e Saida'!$H$15="PESO",(P51/(SUM(P:P))),(Q51/(SUM(Q:Q)))))</f>
        <v>#DIV/0!</v>
      </c>
      <c r="AA51" s="181" t="e">
        <f t="shared" si="43"/>
        <v>#DIV/0!</v>
      </c>
      <c r="AB51" s="178" t="e">
        <f t="shared" si="44"/>
        <v>#DIV/0!</v>
      </c>
      <c r="AC51" s="178" t="e">
        <f t="shared" si="45"/>
        <v>#DIV/0!</v>
      </c>
      <c r="AD51" s="178" t="e">
        <f t="shared" si="46"/>
        <v>#DIV/0!</v>
      </c>
      <c r="AE51" s="177" t="e">
        <f t="shared" si="47"/>
        <v>#DIV/0!</v>
      </c>
      <c r="AF51" s="182">
        <f>IFERROR(D51*F51*L51*'Entrada e Saida'!$K$8,0)</f>
        <v>0</v>
      </c>
      <c r="AG51" s="178" t="e">
        <f>((W51+AA51+AB51+AC51+AD51+AE51+AF51)/(1-'Entrada e Saida'!$G$65))*'Entrada e Saida'!$I$66</f>
        <v>#DIV/0!</v>
      </c>
      <c r="AH51" s="180" t="e">
        <f t="shared" si="48"/>
        <v>#DIV/0!</v>
      </c>
      <c r="AI51" s="183" t="e">
        <f>'Entrada e Saida'!$K$51*(IF('Entrada e Saida'!$H$15="PESO",(P51/(SUM(P:P))),(Q51/(SUM(Q:Q)))))</f>
        <v>#DIV/0!</v>
      </c>
      <c r="AJ51" s="183">
        <f>(('Entrada e Saida'!$K$10-'Entrada e Saida'!$K$8)*E51*D51)</f>
        <v>0</v>
      </c>
      <c r="AK51" s="184" t="e">
        <f>IF('Entrada e Saida'!$H$15="PESO",W51+AA51+AH51+AI51+AJ51,W51+AA51+AH51+AI51+AJ51-S51+T51-U51+V51)</f>
        <v>#DIV/0!</v>
      </c>
      <c r="AL51" s="185" t="e">
        <f>IF('Entrada e Saida'!$H$12="REAL",AC51,0)</f>
        <v>#DIV/0!</v>
      </c>
      <c r="AM51" s="185" t="e">
        <f>IF('Entrada e Saida'!$H$12="REAL",AD51,0)</f>
        <v>#DIV/0!</v>
      </c>
      <c r="AN51" s="186" t="e">
        <f>IF('Entrada e Saida'!$H$13= "NÃO",AE51,0)</f>
        <v>#DIV/0!</v>
      </c>
      <c r="AO51" s="186" t="e">
        <f t="shared" si="49"/>
        <v>#DIV/0!</v>
      </c>
      <c r="AP51" s="184" t="e">
        <f t="shared" si="50"/>
        <v>#DIV/0!</v>
      </c>
      <c r="AQ51" s="178" t="e">
        <f>IF('Entrada e Saida'!$H$11="TRADING",AU51*'Custo Resumido'!D51,0)</f>
        <v>#DIV/0!</v>
      </c>
      <c r="AR51" s="178" t="e">
        <f>IF('Entrada e Saida'!$H$11="TRADING",AU51*'Entrada e Saida'!$G$63,0)</f>
        <v>#DIV/0!</v>
      </c>
      <c r="AS51" s="178" t="e">
        <f>IF('Entrada e Saida'!$H$11="TRADING",AU51*'Entrada e Saida'!$G$64,0)</f>
        <v>#DIV/0!</v>
      </c>
      <c r="AT51" s="178" t="e">
        <f>IF('Entrada e Saida'!$H$11="TRADING",AU51*'Entrada e Saida'!$G$65,0)</f>
        <v>#DIV/0!</v>
      </c>
      <c r="AU51" s="184" t="e">
        <f>IF('Entrada e Saida'!$H$11="TRADING",AP51/(1-(SUM('Entrada e Saida'!$G$63:$G$65)+'Custo Resumido'!D51)),0)</f>
        <v>#DIV/0!</v>
      </c>
      <c r="AV51" s="178" t="e">
        <f>IF('Entrada e Saida'!$H$13="NÃO",AU51*M51,0)</f>
        <v>#DIV/0!</v>
      </c>
      <c r="AW51" s="184" t="e">
        <f t="shared" si="51"/>
        <v>#DIV/0!</v>
      </c>
      <c r="AX51" s="178" t="e">
        <f>'Entrada e Saida'!$G$74*AU51</f>
        <v>#DIV/0!</v>
      </c>
      <c r="AY51" s="184" t="e">
        <f t="shared" si="52"/>
        <v>#DIV/0!</v>
      </c>
      <c r="AZ51" s="184" t="e">
        <f>AQ51+('Entrada e Saida'!$G$65-'Entrada e Saida'!$I$65)*AU51-AX51</f>
        <v>#DIV/0!</v>
      </c>
      <c r="BA51" s="3" t="e">
        <f>IF('Entrada e Saida'!$H$12="REAL",AZ51*'Entrada e Saida'!$G$81,AU51*'Entrada e Saida'!$G$81)</f>
        <v>#DIV/0!</v>
      </c>
      <c r="BB51" s="3" t="e">
        <f>IF('Entrada e Saida'!$H$12="REAL",AZ51*'Entrada e Saida'!$G$82,AU51*'Entrada e Saida'!$G$82)</f>
        <v>#DIV/0!</v>
      </c>
      <c r="BC51" s="4" t="e">
        <f t="shared" si="53"/>
        <v>#DIV/0!</v>
      </c>
      <c r="BD51" s="3" t="e">
        <f>IF('Entrada e Saida'!$H$11="TRADING",AW51/D51,AK51/D51)</f>
        <v>#DIV/0!</v>
      </c>
      <c r="BE51" s="3" t="e">
        <f t="shared" si="54"/>
        <v>#DIV/0!</v>
      </c>
      <c r="BF51" s="2" t="e">
        <f t="shared" si="55"/>
        <v>#DIV/0!</v>
      </c>
      <c r="BG51" s="3" t="e">
        <f>IF('Entrada e Saida'!$H$11="TRADING",AV51/D51,AN51/D51)</f>
        <v>#DIV/0!</v>
      </c>
      <c r="BH51" s="3" t="e">
        <f>IF('Entrada e Saida'!$H$11="TRADING",IF('Entrada e Saida'!$H$12="REAL",AR51/D51,0),AL51/D51)</f>
        <v>#DIV/0!</v>
      </c>
      <c r="BI51" s="3" t="e">
        <f>IF('Entrada e Saida'!$H$11="TRADING",IF('Entrada e Saida'!$H$12="REAL",AS51/D51,0),AM51/D51)</f>
        <v>#DIV/0!</v>
      </c>
      <c r="BJ51" s="3" t="e">
        <f>IF('Entrada e Saida'!$H$11="TRADING",AT51/D51,AO51/D51)</f>
        <v>#DIV/0!</v>
      </c>
      <c r="BK51" s="2" t="e">
        <f t="shared" si="56"/>
        <v>#DIV/0!</v>
      </c>
      <c r="BL51" s="2">
        <f>IF(O51&gt;0,IFERROR(IF('Entrada e Saida'!$H$11="DIRETA",0,(IF('Entrada e Saida'!$H$14="P.JURIDICA",(BD51*(1+O51)*N51)-((BD51/(1+M51))*'Entrada e Saida'!$G$65),((Produtos!N51-'Entrada e Saida'!$G$65)*Produtos!BD51)))),0),0)</f>
        <v>0</v>
      </c>
      <c r="BM51" s="2" t="e">
        <f t="shared" si="57"/>
        <v>#DIV/0!</v>
      </c>
    </row>
    <row r="52" spans="1:65" s="1" customFormat="1">
      <c r="A52" s="127"/>
      <c r="B52" s="172" t="e">
        <f>VLOOKUP(A52,'Master Modelo'!A:I,7,FALSE)</f>
        <v>#N/A</v>
      </c>
      <c r="C52" s="145" t="e">
        <f>VLOOKUP(A52,'Master Modelo'!A:I,2,FALSE)</f>
        <v>#N/A</v>
      </c>
      <c r="D52" s="146"/>
      <c r="E52" s="148">
        <f>IFERROR(VLOOKUP(A52,'Master Modelo'!A:I,9,FALSE),0)</f>
        <v>0</v>
      </c>
      <c r="F52" s="189">
        <f>IFERROR(VLOOKUP(A52,'Master Modelo'!A:I,8,FALSE),0)</f>
        <v>0</v>
      </c>
      <c r="G52" s="189">
        <f>IFERROR(VLOOKUP(A52,'Master Modelo'!A:K,11,FALSE),0)</f>
        <v>0</v>
      </c>
      <c r="H52" s="173" t="e">
        <f t="shared" si="40"/>
        <v>#DIV/0!</v>
      </c>
      <c r="I52" s="163">
        <f>IFERROR(VLOOKUP(A52,'Master Modelo'!A:I,3,FALSE),0)</f>
        <v>0</v>
      </c>
      <c r="J52" s="164">
        <f>IFERROR(VLOOKUP(A52,'Master Modelo'!A:I,5,FALSE),0)</f>
        <v>0</v>
      </c>
      <c r="K52" s="164">
        <f>IFERROR(VLOOKUP(A52,'Master Modelo'!A:I,6,FALSE),0)</f>
        <v>0</v>
      </c>
      <c r="L52" s="165" t="e">
        <f>VLOOKUP(A52,'Master Modelo'!A:J,10,FALSE)</f>
        <v>#N/A</v>
      </c>
      <c r="M52" s="163">
        <f>IFERROR(VLOOKUP(A52,'Master Modelo'!A:I,4,FALSE),0)</f>
        <v>0</v>
      </c>
      <c r="N52" s="175"/>
      <c r="O52" s="187"/>
      <c r="P52" s="177">
        <f t="shared" si="41"/>
        <v>0</v>
      </c>
      <c r="Q52" s="177">
        <f t="shared" si="10"/>
        <v>0</v>
      </c>
      <c r="R52" s="178">
        <f>D52*E52*'Entrada e Saida'!$K$8</f>
        <v>0</v>
      </c>
      <c r="S52" s="179" t="e">
        <f>'Entrada e Saida'!$H$21*'Entrada e Saida'!$K$8*(P52/(SUM(P:P)))</f>
        <v>#DIV/0!</v>
      </c>
      <c r="T52" s="179" t="e">
        <f>'Entrada e Saida'!$H$21*'Entrada e Saida'!$K$8*(Q52/(SUM(Q:Q)))</f>
        <v>#DIV/0!</v>
      </c>
      <c r="U52" s="179" t="e">
        <f>'Entrada e Saida'!$H$22*(P52/(SUM(P:P)))</f>
        <v>#DIV/0!</v>
      </c>
      <c r="V52" s="179" t="e">
        <f>'Entrada e Saida'!$H$22*(Q52/(SUM(Q:Q)))</f>
        <v>#DIV/0!</v>
      </c>
      <c r="W52" s="180" t="e">
        <f t="shared" si="42"/>
        <v>#DIV/0!</v>
      </c>
      <c r="X52" s="179" t="e">
        <f>'Entrada e Saida'!$H$26*(IF('Entrada e Saida'!$H$15="PESO",(P52/(SUM(P:P))),(Q52/(SUM(Q:Q)))))</f>
        <v>#DIV/0!</v>
      </c>
      <c r="Y52" s="179" t="e">
        <f>'Entrada e Saida'!$H$27*(IF('Entrada e Saida'!$H$15="PESO",(P52/(SUM(P:P))),(Q52/(SUM(Q:Q)))))</f>
        <v>#DIV/0!</v>
      </c>
      <c r="Z52" s="179" t="e">
        <f>'Entrada e Saida'!$H$28*(IF('Entrada e Saida'!$H$15="PESO",(P52/(SUM(P:P))),(Q52/(SUM(Q:Q)))))</f>
        <v>#DIV/0!</v>
      </c>
      <c r="AA52" s="181" t="e">
        <f t="shared" si="43"/>
        <v>#DIV/0!</v>
      </c>
      <c r="AB52" s="178" t="e">
        <f t="shared" si="44"/>
        <v>#DIV/0!</v>
      </c>
      <c r="AC52" s="178" t="e">
        <f t="shared" si="45"/>
        <v>#DIV/0!</v>
      </c>
      <c r="AD52" s="178" t="e">
        <f t="shared" si="46"/>
        <v>#DIV/0!</v>
      </c>
      <c r="AE52" s="177" t="e">
        <f t="shared" si="47"/>
        <v>#DIV/0!</v>
      </c>
      <c r="AF52" s="182">
        <f>IFERROR(D52*F52*L52*'Entrada e Saida'!$K$8,0)</f>
        <v>0</v>
      </c>
      <c r="AG52" s="178" t="e">
        <f>((W52+AA52+AB52+AC52+AD52+AE52+AF52)/(1-'Entrada e Saida'!$G$65))*'Entrada e Saida'!$I$66</f>
        <v>#DIV/0!</v>
      </c>
      <c r="AH52" s="180" t="e">
        <f t="shared" si="48"/>
        <v>#DIV/0!</v>
      </c>
      <c r="AI52" s="183" t="e">
        <f>'Entrada e Saida'!$K$51*(IF('Entrada e Saida'!$H$15="PESO",(P52/(SUM(P:P))),(Q52/(SUM(Q:Q)))))</f>
        <v>#DIV/0!</v>
      </c>
      <c r="AJ52" s="183">
        <f>(('Entrada e Saida'!$K$10-'Entrada e Saida'!$K$8)*E52*D52)</f>
        <v>0</v>
      </c>
      <c r="AK52" s="184" t="e">
        <f>IF('Entrada e Saida'!$H$15="PESO",W52+AA52+AH52+AI52+AJ52,W52+AA52+AH52+AI52+AJ52-S52+T52-U52+V52)</f>
        <v>#DIV/0!</v>
      </c>
      <c r="AL52" s="185" t="e">
        <f>IF('Entrada e Saida'!$H$12="REAL",AC52,0)</f>
        <v>#DIV/0!</v>
      </c>
      <c r="AM52" s="185" t="e">
        <f>IF('Entrada e Saida'!$H$12="REAL",AD52,0)</f>
        <v>#DIV/0!</v>
      </c>
      <c r="AN52" s="186" t="e">
        <f>IF('Entrada e Saida'!$H$13= "NÃO",AE52,0)</f>
        <v>#DIV/0!</v>
      </c>
      <c r="AO52" s="186" t="e">
        <f t="shared" si="49"/>
        <v>#DIV/0!</v>
      </c>
      <c r="AP52" s="184" t="e">
        <f t="shared" si="50"/>
        <v>#DIV/0!</v>
      </c>
      <c r="AQ52" s="178" t="e">
        <f>IF('Entrada e Saida'!$H$11="TRADING",AU52*'Custo Resumido'!D52,0)</f>
        <v>#DIV/0!</v>
      </c>
      <c r="AR52" s="178" t="e">
        <f>IF('Entrada e Saida'!$H$11="TRADING",AU52*'Entrada e Saida'!$G$63,0)</f>
        <v>#DIV/0!</v>
      </c>
      <c r="AS52" s="178" t="e">
        <f>IF('Entrada e Saida'!$H$11="TRADING",AU52*'Entrada e Saida'!$G$64,0)</f>
        <v>#DIV/0!</v>
      </c>
      <c r="AT52" s="178" t="e">
        <f>IF('Entrada e Saida'!$H$11="TRADING",AU52*'Entrada e Saida'!$G$65,0)</f>
        <v>#DIV/0!</v>
      </c>
      <c r="AU52" s="184" t="e">
        <f>IF('Entrada e Saida'!$H$11="TRADING",AP52/(1-(SUM('Entrada e Saida'!$G$63:$G$65)+'Custo Resumido'!D52)),0)</f>
        <v>#DIV/0!</v>
      </c>
      <c r="AV52" s="178" t="e">
        <f>IF('Entrada e Saida'!$H$13="NÃO",AU52*M52,0)</f>
        <v>#DIV/0!</v>
      </c>
      <c r="AW52" s="184" t="e">
        <f t="shared" si="51"/>
        <v>#DIV/0!</v>
      </c>
      <c r="AX52" s="178" t="e">
        <f>'Entrada e Saida'!$G$74*AU52</f>
        <v>#DIV/0!</v>
      </c>
      <c r="AY52" s="184" t="e">
        <f t="shared" si="52"/>
        <v>#DIV/0!</v>
      </c>
      <c r="AZ52" s="184" t="e">
        <f>AQ52+('Entrada e Saida'!$G$65-'Entrada e Saida'!$I$65)*AU52-AX52</f>
        <v>#DIV/0!</v>
      </c>
      <c r="BA52" s="3" t="e">
        <f>IF('Entrada e Saida'!$H$12="REAL",AZ52*'Entrada e Saida'!$G$81,AU52*'Entrada e Saida'!$G$81)</f>
        <v>#DIV/0!</v>
      </c>
      <c r="BB52" s="3" t="e">
        <f>IF('Entrada e Saida'!$H$12="REAL",AZ52*'Entrada e Saida'!$G$82,AU52*'Entrada e Saida'!$G$82)</f>
        <v>#DIV/0!</v>
      </c>
      <c r="BC52" s="4" t="e">
        <f t="shared" si="53"/>
        <v>#DIV/0!</v>
      </c>
      <c r="BD52" s="3" t="e">
        <f>IF('Entrada e Saida'!$H$11="TRADING",AW52/D52,AK52/D52)</f>
        <v>#DIV/0!</v>
      </c>
      <c r="BE52" s="3" t="e">
        <f t="shared" si="54"/>
        <v>#DIV/0!</v>
      </c>
      <c r="BF52" s="2" t="e">
        <f t="shared" si="55"/>
        <v>#DIV/0!</v>
      </c>
      <c r="BG52" s="3" t="e">
        <f>IF('Entrada e Saida'!$H$11="TRADING",AV52/D52,AN52/D52)</f>
        <v>#DIV/0!</v>
      </c>
      <c r="BH52" s="3" t="e">
        <f>IF('Entrada e Saida'!$H$11="TRADING",IF('Entrada e Saida'!$H$12="REAL",AR52/D52,0),AL52/D52)</f>
        <v>#DIV/0!</v>
      </c>
      <c r="BI52" s="3" t="e">
        <f>IF('Entrada e Saida'!$H$11="TRADING",IF('Entrada e Saida'!$H$12="REAL",AS52/D52,0),AM52/D52)</f>
        <v>#DIV/0!</v>
      </c>
      <c r="BJ52" s="3" t="e">
        <f>IF('Entrada e Saida'!$H$11="TRADING",AT52/D52,AO52/D52)</f>
        <v>#DIV/0!</v>
      </c>
      <c r="BK52" s="2" t="e">
        <f t="shared" si="56"/>
        <v>#DIV/0!</v>
      </c>
      <c r="BL52" s="2">
        <f>IF(O52&gt;0,IFERROR(IF('Entrada e Saida'!$H$11="DIRETA",0,(IF('Entrada e Saida'!$H$14="P.JURIDICA",(BD52*(1+O52)*N52)-((BD52/(1+M52))*'Entrada e Saida'!$G$65),((Produtos!N52-'Entrada e Saida'!$G$65)*Produtos!BD52)))),0),0)</f>
        <v>0</v>
      </c>
      <c r="BM52" s="2" t="e">
        <f t="shared" si="57"/>
        <v>#DIV/0!</v>
      </c>
    </row>
    <row r="53" spans="1:65" s="1" customFormat="1">
      <c r="A53" s="127"/>
      <c r="B53" s="172" t="e">
        <f>VLOOKUP(A53,'Master Modelo'!A:I,7,FALSE)</f>
        <v>#N/A</v>
      </c>
      <c r="C53" s="145" t="e">
        <f>VLOOKUP(A53,'Master Modelo'!A:I,2,FALSE)</f>
        <v>#N/A</v>
      </c>
      <c r="D53" s="146"/>
      <c r="E53" s="148">
        <f>IFERROR(VLOOKUP(A53,'Master Modelo'!A:I,9,FALSE),0)</f>
        <v>0</v>
      </c>
      <c r="F53" s="189">
        <f>IFERROR(VLOOKUP(A53,'Master Modelo'!A:I,8,FALSE),0)</f>
        <v>0</v>
      </c>
      <c r="G53" s="189">
        <f>IFERROR(VLOOKUP(A53,'Master Modelo'!A:K,11,FALSE),0)</f>
        <v>0</v>
      </c>
      <c r="H53" s="173" t="e">
        <f t="shared" si="40"/>
        <v>#DIV/0!</v>
      </c>
      <c r="I53" s="163">
        <f>IFERROR(VLOOKUP(A53,'Master Modelo'!A:I,3,FALSE),0)</f>
        <v>0</v>
      </c>
      <c r="J53" s="164">
        <f>IFERROR(VLOOKUP(A53,'Master Modelo'!A:I,5,FALSE),0)</f>
        <v>0</v>
      </c>
      <c r="K53" s="164">
        <f>IFERROR(VLOOKUP(A53,'Master Modelo'!A:I,6,FALSE),0)</f>
        <v>0</v>
      </c>
      <c r="L53" s="165" t="e">
        <f>VLOOKUP(A53,'Master Modelo'!A:J,10,FALSE)</f>
        <v>#N/A</v>
      </c>
      <c r="M53" s="163">
        <f>IFERROR(VLOOKUP(A53,'Master Modelo'!A:I,4,FALSE),0)</f>
        <v>0</v>
      </c>
      <c r="N53" s="175"/>
      <c r="O53" s="187"/>
      <c r="P53" s="177">
        <f t="shared" si="41"/>
        <v>0</v>
      </c>
      <c r="Q53" s="177">
        <f t="shared" si="10"/>
        <v>0</v>
      </c>
      <c r="R53" s="178">
        <f>D53*E53*'Entrada e Saida'!$K$8</f>
        <v>0</v>
      </c>
      <c r="S53" s="179" t="e">
        <f>'Entrada e Saida'!$H$21*'Entrada e Saida'!$K$8*(P53/(SUM(P:P)))</f>
        <v>#DIV/0!</v>
      </c>
      <c r="T53" s="179" t="e">
        <f>'Entrada e Saida'!$H$21*'Entrada e Saida'!$K$8*(Q53/(SUM(Q:Q)))</f>
        <v>#DIV/0!</v>
      </c>
      <c r="U53" s="179" t="e">
        <f>'Entrada e Saida'!$H$22*(P53/(SUM(P:P)))</f>
        <v>#DIV/0!</v>
      </c>
      <c r="V53" s="179" t="e">
        <f>'Entrada e Saida'!$H$22*(Q53/(SUM(Q:Q)))</f>
        <v>#DIV/0!</v>
      </c>
      <c r="W53" s="180" t="e">
        <f t="shared" si="42"/>
        <v>#DIV/0!</v>
      </c>
      <c r="X53" s="179" t="e">
        <f>'Entrada e Saida'!$H$26*(IF('Entrada e Saida'!$H$15="PESO",(P53/(SUM(P:P))),(Q53/(SUM(Q:Q)))))</f>
        <v>#DIV/0!</v>
      </c>
      <c r="Y53" s="179" t="e">
        <f>'Entrada e Saida'!$H$27*(IF('Entrada e Saida'!$H$15="PESO",(P53/(SUM(P:P))),(Q53/(SUM(Q:Q)))))</f>
        <v>#DIV/0!</v>
      </c>
      <c r="Z53" s="179" t="e">
        <f>'Entrada e Saida'!$H$28*(IF('Entrada e Saida'!$H$15="PESO",(P53/(SUM(P:P))),(Q53/(SUM(Q:Q)))))</f>
        <v>#DIV/0!</v>
      </c>
      <c r="AA53" s="181" t="e">
        <f t="shared" si="43"/>
        <v>#DIV/0!</v>
      </c>
      <c r="AB53" s="178" t="e">
        <f t="shared" si="44"/>
        <v>#DIV/0!</v>
      </c>
      <c r="AC53" s="178" t="e">
        <f t="shared" si="45"/>
        <v>#DIV/0!</v>
      </c>
      <c r="AD53" s="178" t="e">
        <f t="shared" si="46"/>
        <v>#DIV/0!</v>
      </c>
      <c r="AE53" s="177" t="e">
        <f t="shared" si="47"/>
        <v>#DIV/0!</v>
      </c>
      <c r="AF53" s="182">
        <f>IFERROR(D53*F53*L53*'Entrada e Saida'!$K$8,0)</f>
        <v>0</v>
      </c>
      <c r="AG53" s="178" t="e">
        <f>((W53+AA53+AB53+AC53+AD53+AE53+AF53)/(1-'Entrada e Saida'!$G$65))*'Entrada e Saida'!$I$66</f>
        <v>#DIV/0!</v>
      </c>
      <c r="AH53" s="180" t="e">
        <f t="shared" si="48"/>
        <v>#DIV/0!</v>
      </c>
      <c r="AI53" s="183" t="e">
        <f>'Entrada e Saida'!$K$51*(IF('Entrada e Saida'!$H$15="PESO",(P53/(SUM(P:P))),(Q53/(SUM(Q:Q)))))</f>
        <v>#DIV/0!</v>
      </c>
      <c r="AJ53" s="183">
        <f>(('Entrada e Saida'!$K$10-'Entrada e Saida'!$K$8)*E53*D53)</f>
        <v>0</v>
      </c>
      <c r="AK53" s="184" t="e">
        <f>IF('Entrada e Saida'!$H$15="PESO",W53+AA53+AH53+AI53+AJ53,W53+AA53+AH53+AI53+AJ53-S53+T53-U53+V53)</f>
        <v>#DIV/0!</v>
      </c>
      <c r="AL53" s="185" t="e">
        <f>IF('Entrada e Saida'!$H$12="REAL",AC53,0)</f>
        <v>#DIV/0!</v>
      </c>
      <c r="AM53" s="185" t="e">
        <f>IF('Entrada e Saida'!$H$12="REAL",AD53,0)</f>
        <v>#DIV/0!</v>
      </c>
      <c r="AN53" s="186" t="e">
        <f>IF('Entrada e Saida'!$H$13= "NÃO",AE53,0)</f>
        <v>#DIV/0!</v>
      </c>
      <c r="AO53" s="186" t="e">
        <f t="shared" si="49"/>
        <v>#DIV/0!</v>
      </c>
      <c r="AP53" s="184" t="e">
        <f t="shared" si="50"/>
        <v>#DIV/0!</v>
      </c>
      <c r="AQ53" s="178" t="e">
        <f>IF('Entrada e Saida'!$H$11="TRADING",AU53*'Custo Resumido'!D53,0)</f>
        <v>#DIV/0!</v>
      </c>
      <c r="AR53" s="178" t="e">
        <f>IF('Entrada e Saida'!$H$11="TRADING",AU53*'Entrada e Saida'!$G$63,0)</f>
        <v>#DIV/0!</v>
      </c>
      <c r="AS53" s="178" t="e">
        <f>IF('Entrada e Saida'!$H$11="TRADING",AU53*'Entrada e Saida'!$G$64,0)</f>
        <v>#DIV/0!</v>
      </c>
      <c r="AT53" s="178" t="e">
        <f>IF('Entrada e Saida'!$H$11="TRADING",AU53*'Entrada e Saida'!$G$65,0)</f>
        <v>#DIV/0!</v>
      </c>
      <c r="AU53" s="184" t="e">
        <f>IF('Entrada e Saida'!$H$11="TRADING",AP53/(1-(SUM('Entrada e Saida'!$G$63:$G$65)+'Custo Resumido'!D53)),0)</f>
        <v>#DIV/0!</v>
      </c>
      <c r="AV53" s="178" t="e">
        <f>IF('Entrada e Saida'!$H$13="NÃO",AU53*M53,0)</f>
        <v>#DIV/0!</v>
      </c>
      <c r="AW53" s="184" t="e">
        <f t="shared" si="51"/>
        <v>#DIV/0!</v>
      </c>
      <c r="AX53" s="178" t="e">
        <f>'Entrada e Saida'!$G$74*AU53</f>
        <v>#DIV/0!</v>
      </c>
      <c r="AY53" s="184" t="e">
        <f t="shared" si="52"/>
        <v>#DIV/0!</v>
      </c>
      <c r="AZ53" s="184" t="e">
        <f>AQ53+('Entrada e Saida'!$G$65-'Entrada e Saida'!$I$65)*AU53-AX53</f>
        <v>#DIV/0!</v>
      </c>
      <c r="BA53" s="3" t="e">
        <f>IF('Entrada e Saida'!$H$12="REAL",AZ53*'Entrada e Saida'!$G$81,AU53*'Entrada e Saida'!$G$81)</f>
        <v>#DIV/0!</v>
      </c>
      <c r="BB53" s="3" t="e">
        <f>IF('Entrada e Saida'!$H$12="REAL",AZ53*'Entrada e Saida'!$G$82,AU53*'Entrada e Saida'!$G$82)</f>
        <v>#DIV/0!</v>
      </c>
      <c r="BC53" s="4" t="e">
        <f t="shared" si="53"/>
        <v>#DIV/0!</v>
      </c>
      <c r="BD53" s="3" t="e">
        <f>IF('Entrada e Saida'!$H$11="TRADING",AW53/D53,AK53/D53)</f>
        <v>#DIV/0!</v>
      </c>
      <c r="BE53" s="3" t="e">
        <f t="shared" si="54"/>
        <v>#DIV/0!</v>
      </c>
      <c r="BF53" s="2" t="e">
        <f t="shared" si="55"/>
        <v>#DIV/0!</v>
      </c>
      <c r="BG53" s="3" t="e">
        <f>IF('Entrada e Saida'!$H$11="TRADING",AV53/D53,AN53/D53)</f>
        <v>#DIV/0!</v>
      </c>
      <c r="BH53" s="3" t="e">
        <f>IF('Entrada e Saida'!$H$11="TRADING",IF('Entrada e Saida'!$H$12="REAL",AR53/D53,0),AL53/D53)</f>
        <v>#DIV/0!</v>
      </c>
      <c r="BI53" s="3" t="e">
        <f>IF('Entrada e Saida'!$H$11="TRADING",IF('Entrada e Saida'!$H$12="REAL",AS53/D53,0),AM53/D53)</f>
        <v>#DIV/0!</v>
      </c>
      <c r="BJ53" s="3" t="e">
        <f>IF('Entrada e Saida'!$H$11="TRADING",AT53/D53,AO53/D53)</f>
        <v>#DIV/0!</v>
      </c>
      <c r="BK53" s="2" t="e">
        <f t="shared" si="56"/>
        <v>#DIV/0!</v>
      </c>
      <c r="BL53" s="2">
        <f>IF(O53&gt;0,IFERROR(IF('Entrada e Saida'!$H$11="DIRETA",0,(IF('Entrada e Saida'!$H$14="P.JURIDICA",(BD53*(1+O53)*N53)-((BD53/(1+M53))*'Entrada e Saida'!$G$65),((Produtos!N53-'Entrada e Saida'!$G$65)*Produtos!BD53)))),0),0)</f>
        <v>0</v>
      </c>
      <c r="BM53" s="2" t="e">
        <f t="shared" si="57"/>
        <v>#DIV/0!</v>
      </c>
    </row>
    <row r="54" spans="1:65" s="1" customFormat="1">
      <c r="A54" s="127"/>
      <c r="B54" s="172" t="e">
        <f>VLOOKUP(A54,'Master Modelo'!A:I,7,FALSE)</f>
        <v>#N/A</v>
      </c>
      <c r="C54" s="145" t="e">
        <f>VLOOKUP(A54,'Master Modelo'!A:I,2,FALSE)</f>
        <v>#N/A</v>
      </c>
      <c r="D54" s="146"/>
      <c r="E54" s="148">
        <f>IFERROR(VLOOKUP(A54,'Master Modelo'!A:I,9,FALSE),0)</f>
        <v>0</v>
      </c>
      <c r="F54" s="189">
        <f>IFERROR(VLOOKUP(A54,'Master Modelo'!A:I,8,FALSE),0)</f>
        <v>0</v>
      </c>
      <c r="G54" s="189">
        <f>IFERROR(VLOOKUP(A54,'Master Modelo'!A:K,11,FALSE),0)</f>
        <v>0</v>
      </c>
      <c r="H54" s="173" t="e">
        <f t="shared" si="40"/>
        <v>#DIV/0!</v>
      </c>
      <c r="I54" s="163">
        <f>IFERROR(VLOOKUP(A54,'Master Modelo'!A:I,3,FALSE),0)</f>
        <v>0</v>
      </c>
      <c r="J54" s="164">
        <f>IFERROR(VLOOKUP(A54,'Master Modelo'!A:I,5,FALSE),0)</f>
        <v>0</v>
      </c>
      <c r="K54" s="164">
        <f>IFERROR(VLOOKUP(A54,'Master Modelo'!A:I,6,FALSE),0)</f>
        <v>0</v>
      </c>
      <c r="L54" s="165" t="e">
        <f>VLOOKUP(A54,'Master Modelo'!A:J,10,FALSE)</f>
        <v>#N/A</v>
      </c>
      <c r="M54" s="163">
        <f>IFERROR(VLOOKUP(A54,'Master Modelo'!A:I,4,FALSE),0)</f>
        <v>0</v>
      </c>
      <c r="N54" s="175"/>
      <c r="O54" s="187"/>
      <c r="P54" s="177">
        <f t="shared" si="41"/>
        <v>0</v>
      </c>
      <c r="Q54" s="177">
        <f t="shared" si="10"/>
        <v>0</v>
      </c>
      <c r="R54" s="178">
        <f>D54*E54*'Entrada e Saida'!$K$8</f>
        <v>0</v>
      </c>
      <c r="S54" s="179" t="e">
        <f>'Entrada e Saida'!$H$21*'Entrada e Saida'!$K$8*(P54/(SUM(P:P)))</f>
        <v>#DIV/0!</v>
      </c>
      <c r="T54" s="179" t="e">
        <f>'Entrada e Saida'!$H$21*'Entrada e Saida'!$K$8*(Q54/(SUM(Q:Q)))</f>
        <v>#DIV/0!</v>
      </c>
      <c r="U54" s="179" t="e">
        <f>'Entrada e Saida'!$H$22*(P54/(SUM(P:P)))</f>
        <v>#DIV/0!</v>
      </c>
      <c r="V54" s="179" t="e">
        <f>'Entrada e Saida'!$H$22*(Q54/(SUM(Q:Q)))</f>
        <v>#DIV/0!</v>
      </c>
      <c r="W54" s="180" t="e">
        <f t="shared" si="42"/>
        <v>#DIV/0!</v>
      </c>
      <c r="X54" s="179" t="e">
        <f>'Entrada e Saida'!$H$26*(IF('Entrada e Saida'!$H$15="PESO",(P54/(SUM(P:P))),(Q54/(SUM(Q:Q)))))</f>
        <v>#DIV/0!</v>
      </c>
      <c r="Y54" s="179" t="e">
        <f>'Entrada e Saida'!$H$27*(IF('Entrada e Saida'!$H$15="PESO",(P54/(SUM(P:P))),(Q54/(SUM(Q:Q)))))</f>
        <v>#DIV/0!</v>
      </c>
      <c r="Z54" s="179" t="e">
        <f>'Entrada e Saida'!$H$28*(IF('Entrada e Saida'!$H$15="PESO",(P54/(SUM(P:P))),(Q54/(SUM(Q:Q)))))</f>
        <v>#DIV/0!</v>
      </c>
      <c r="AA54" s="181" t="e">
        <f t="shared" si="43"/>
        <v>#DIV/0!</v>
      </c>
      <c r="AB54" s="178" t="e">
        <f t="shared" si="44"/>
        <v>#DIV/0!</v>
      </c>
      <c r="AC54" s="178" t="e">
        <f t="shared" si="45"/>
        <v>#DIV/0!</v>
      </c>
      <c r="AD54" s="178" t="e">
        <f t="shared" si="46"/>
        <v>#DIV/0!</v>
      </c>
      <c r="AE54" s="177" t="e">
        <f t="shared" si="47"/>
        <v>#DIV/0!</v>
      </c>
      <c r="AF54" s="182">
        <f>IFERROR(D54*F54*L54*'Entrada e Saida'!$K$8,0)</f>
        <v>0</v>
      </c>
      <c r="AG54" s="178" t="e">
        <f>((W54+AA54+AB54+AC54+AD54+AE54+AF54)/(1-'Entrada e Saida'!$G$65))*'Entrada e Saida'!$I$66</f>
        <v>#DIV/0!</v>
      </c>
      <c r="AH54" s="180" t="e">
        <f t="shared" si="48"/>
        <v>#DIV/0!</v>
      </c>
      <c r="AI54" s="183" t="e">
        <f>'Entrada e Saida'!$K$51*(IF('Entrada e Saida'!$H$15="PESO",(P54/(SUM(P:P))),(Q54/(SUM(Q:Q)))))</f>
        <v>#DIV/0!</v>
      </c>
      <c r="AJ54" s="183">
        <f>(('Entrada e Saida'!$K$10-'Entrada e Saida'!$K$8)*E54*D54)</f>
        <v>0</v>
      </c>
      <c r="AK54" s="184" t="e">
        <f>IF('Entrada e Saida'!$H$15="PESO",W54+AA54+AH54+AI54+AJ54,W54+AA54+AH54+AI54+AJ54-S54+T54-U54+V54)</f>
        <v>#DIV/0!</v>
      </c>
      <c r="AL54" s="185" t="e">
        <f>IF('Entrada e Saida'!$H$12="REAL",AC54,0)</f>
        <v>#DIV/0!</v>
      </c>
      <c r="AM54" s="185" t="e">
        <f>IF('Entrada e Saida'!$H$12="REAL",AD54,0)</f>
        <v>#DIV/0!</v>
      </c>
      <c r="AN54" s="186" t="e">
        <f>IF('Entrada e Saida'!$H$13= "NÃO",AE54,0)</f>
        <v>#DIV/0!</v>
      </c>
      <c r="AO54" s="186" t="e">
        <f t="shared" si="49"/>
        <v>#DIV/0!</v>
      </c>
      <c r="AP54" s="184" t="e">
        <f t="shared" si="50"/>
        <v>#DIV/0!</v>
      </c>
      <c r="AQ54" s="178" t="e">
        <f>IF('Entrada e Saida'!$H$11="TRADING",AU54*'Custo Resumido'!D54,0)</f>
        <v>#DIV/0!</v>
      </c>
      <c r="AR54" s="178" t="e">
        <f>IF('Entrada e Saida'!$H$11="TRADING",AU54*'Entrada e Saida'!$G$63,0)</f>
        <v>#DIV/0!</v>
      </c>
      <c r="AS54" s="178" t="e">
        <f>IF('Entrada e Saida'!$H$11="TRADING",AU54*'Entrada e Saida'!$G$64,0)</f>
        <v>#DIV/0!</v>
      </c>
      <c r="AT54" s="178" t="e">
        <f>IF('Entrada e Saida'!$H$11="TRADING",AU54*'Entrada e Saida'!$G$65,0)</f>
        <v>#DIV/0!</v>
      </c>
      <c r="AU54" s="184" t="e">
        <f>IF('Entrada e Saida'!$H$11="TRADING",AP54/(1-(SUM('Entrada e Saida'!$G$63:$G$65)+'Custo Resumido'!D54)),0)</f>
        <v>#DIV/0!</v>
      </c>
      <c r="AV54" s="178" t="e">
        <f>IF('Entrada e Saida'!$H$13="NÃO",AU54*M54,0)</f>
        <v>#DIV/0!</v>
      </c>
      <c r="AW54" s="184" t="e">
        <f t="shared" si="51"/>
        <v>#DIV/0!</v>
      </c>
      <c r="AX54" s="178" t="e">
        <f>'Entrada e Saida'!$G$74*AU54</f>
        <v>#DIV/0!</v>
      </c>
      <c r="AY54" s="184" t="e">
        <f t="shared" si="52"/>
        <v>#DIV/0!</v>
      </c>
      <c r="AZ54" s="184" t="e">
        <f>AQ54+('Entrada e Saida'!$G$65-'Entrada e Saida'!$I$65)*AU54-AX54</f>
        <v>#DIV/0!</v>
      </c>
      <c r="BA54" s="3" t="e">
        <f>IF('Entrada e Saida'!$H$12="REAL",AZ54*'Entrada e Saida'!$G$81,AU54*'Entrada e Saida'!$G$81)</f>
        <v>#DIV/0!</v>
      </c>
      <c r="BB54" s="3" t="e">
        <f>IF('Entrada e Saida'!$H$12="REAL",AZ54*'Entrada e Saida'!$G$82,AU54*'Entrada e Saida'!$G$82)</f>
        <v>#DIV/0!</v>
      </c>
      <c r="BC54" s="4" t="e">
        <f t="shared" si="53"/>
        <v>#DIV/0!</v>
      </c>
      <c r="BD54" s="3" t="e">
        <f>IF('Entrada e Saida'!$H$11="TRADING",AW54/D54,AK54/D54)</f>
        <v>#DIV/0!</v>
      </c>
      <c r="BE54" s="3" t="e">
        <f t="shared" si="54"/>
        <v>#DIV/0!</v>
      </c>
      <c r="BF54" s="2" t="e">
        <f t="shared" si="55"/>
        <v>#DIV/0!</v>
      </c>
      <c r="BG54" s="3" t="e">
        <f>IF('Entrada e Saida'!$H$11="TRADING",AV54/D54,AN54/D54)</f>
        <v>#DIV/0!</v>
      </c>
      <c r="BH54" s="3" t="e">
        <f>IF('Entrada e Saida'!$H$11="TRADING",IF('Entrada e Saida'!$H$12="REAL",AR54/D54,0),AL54/D54)</f>
        <v>#DIV/0!</v>
      </c>
      <c r="BI54" s="3" t="e">
        <f>IF('Entrada e Saida'!$H$11="TRADING",IF('Entrada e Saida'!$H$12="REAL",AS54/D54,0),AM54/D54)</f>
        <v>#DIV/0!</v>
      </c>
      <c r="BJ54" s="3" t="e">
        <f>IF('Entrada e Saida'!$H$11="TRADING",AT54/D54,AO54/D54)</f>
        <v>#DIV/0!</v>
      </c>
      <c r="BK54" s="2" t="e">
        <f t="shared" si="56"/>
        <v>#DIV/0!</v>
      </c>
      <c r="BL54" s="2">
        <f>IF(O54&gt;0,IFERROR(IF('Entrada e Saida'!$H$11="DIRETA",0,(IF('Entrada e Saida'!$H$14="P.JURIDICA",(BD54*(1+O54)*N54)-((BD54/(1+M54))*'Entrada e Saida'!$G$65),((Produtos!N54-'Entrada e Saida'!$G$65)*Produtos!BD54)))),0),0)</f>
        <v>0</v>
      </c>
      <c r="BM54" s="2" t="e">
        <f t="shared" si="57"/>
        <v>#DIV/0!</v>
      </c>
    </row>
    <row r="55" spans="1:65" s="1" customFormat="1">
      <c r="A55" s="127"/>
      <c r="B55" s="172" t="e">
        <f>VLOOKUP(A55,'Master Modelo'!A:I,7,FALSE)</f>
        <v>#N/A</v>
      </c>
      <c r="C55" s="145" t="e">
        <f>VLOOKUP(A55,'Master Modelo'!A:I,2,FALSE)</f>
        <v>#N/A</v>
      </c>
      <c r="D55" s="146"/>
      <c r="E55" s="148">
        <f>IFERROR(VLOOKUP(A55,'Master Modelo'!A:I,9,FALSE),0)</f>
        <v>0</v>
      </c>
      <c r="F55" s="189">
        <f>IFERROR(VLOOKUP(A55,'Master Modelo'!A:I,8,FALSE),0)</f>
        <v>0</v>
      </c>
      <c r="G55" s="189">
        <f>IFERROR(VLOOKUP(A55,'Master Modelo'!A:K,11,FALSE),0)</f>
        <v>0</v>
      </c>
      <c r="H55" s="173" t="e">
        <f t="shared" si="40"/>
        <v>#DIV/0!</v>
      </c>
      <c r="I55" s="163">
        <f>IFERROR(VLOOKUP(A55,'Master Modelo'!A:I,3,FALSE),0)</f>
        <v>0</v>
      </c>
      <c r="J55" s="164">
        <f>IFERROR(VLOOKUP(A55,'Master Modelo'!A:I,5,FALSE),0)</f>
        <v>0</v>
      </c>
      <c r="K55" s="164">
        <f>IFERROR(VLOOKUP(A55,'Master Modelo'!A:I,6,FALSE),0)</f>
        <v>0</v>
      </c>
      <c r="L55" s="165" t="e">
        <f>VLOOKUP(A55,'Master Modelo'!A:J,10,FALSE)</f>
        <v>#N/A</v>
      </c>
      <c r="M55" s="163">
        <f>IFERROR(VLOOKUP(A55,'Master Modelo'!A:I,4,FALSE),0)</f>
        <v>0</v>
      </c>
      <c r="N55" s="175"/>
      <c r="O55" s="187"/>
      <c r="P55" s="177">
        <f t="shared" si="41"/>
        <v>0</v>
      </c>
      <c r="Q55" s="177">
        <f t="shared" si="10"/>
        <v>0</v>
      </c>
      <c r="R55" s="178">
        <f>D55*E55*'Entrada e Saida'!$K$8</f>
        <v>0</v>
      </c>
      <c r="S55" s="179" t="e">
        <f>'Entrada e Saida'!$H$21*'Entrada e Saida'!$K$8*(P55/(SUM(P:P)))</f>
        <v>#DIV/0!</v>
      </c>
      <c r="T55" s="179" t="e">
        <f>'Entrada e Saida'!$H$21*'Entrada e Saida'!$K$8*(Q55/(SUM(Q:Q)))</f>
        <v>#DIV/0!</v>
      </c>
      <c r="U55" s="179" t="e">
        <f>'Entrada e Saida'!$H$22*(P55/(SUM(P:P)))</f>
        <v>#DIV/0!</v>
      </c>
      <c r="V55" s="179" t="e">
        <f>'Entrada e Saida'!$H$22*(Q55/(SUM(Q:Q)))</f>
        <v>#DIV/0!</v>
      </c>
      <c r="W55" s="180" t="e">
        <f t="shared" si="42"/>
        <v>#DIV/0!</v>
      </c>
      <c r="X55" s="179" t="e">
        <f>'Entrada e Saida'!$H$26*(IF('Entrada e Saida'!$H$15="PESO",(P55/(SUM(P:P))),(Q55/(SUM(Q:Q)))))</f>
        <v>#DIV/0!</v>
      </c>
      <c r="Y55" s="179" t="e">
        <f>'Entrada e Saida'!$H$27*(IF('Entrada e Saida'!$H$15="PESO",(P55/(SUM(P:P))),(Q55/(SUM(Q:Q)))))</f>
        <v>#DIV/0!</v>
      </c>
      <c r="Z55" s="179" t="e">
        <f>'Entrada e Saida'!$H$28*(IF('Entrada e Saida'!$H$15="PESO",(P55/(SUM(P:P))),(Q55/(SUM(Q:Q)))))</f>
        <v>#DIV/0!</v>
      </c>
      <c r="AA55" s="181" t="e">
        <f t="shared" si="43"/>
        <v>#DIV/0!</v>
      </c>
      <c r="AB55" s="178" t="e">
        <f t="shared" si="44"/>
        <v>#DIV/0!</v>
      </c>
      <c r="AC55" s="178" t="e">
        <f t="shared" si="45"/>
        <v>#DIV/0!</v>
      </c>
      <c r="AD55" s="178" t="e">
        <f t="shared" si="46"/>
        <v>#DIV/0!</v>
      </c>
      <c r="AE55" s="177" t="e">
        <f t="shared" si="47"/>
        <v>#DIV/0!</v>
      </c>
      <c r="AF55" s="182">
        <f>IFERROR(D55*F55*L55*'Entrada e Saida'!$K$8,0)</f>
        <v>0</v>
      </c>
      <c r="AG55" s="178" t="e">
        <f>((W55+AA55+AB55+AC55+AD55+AE55+AF55)/(1-'Entrada e Saida'!$G$65))*'Entrada e Saida'!$I$66</f>
        <v>#DIV/0!</v>
      </c>
      <c r="AH55" s="180" t="e">
        <f t="shared" si="48"/>
        <v>#DIV/0!</v>
      </c>
      <c r="AI55" s="183" t="e">
        <f>'Entrada e Saida'!$K$51*(IF('Entrada e Saida'!$H$15="PESO",(P55/(SUM(P:P))),(Q55/(SUM(Q:Q)))))</f>
        <v>#DIV/0!</v>
      </c>
      <c r="AJ55" s="183">
        <f>(('Entrada e Saida'!$K$10-'Entrada e Saida'!$K$8)*E55*D55)</f>
        <v>0</v>
      </c>
      <c r="AK55" s="184" t="e">
        <f>IF('Entrada e Saida'!$H$15="PESO",W55+AA55+AH55+AI55+AJ55,W55+AA55+AH55+AI55+AJ55-S55+T55-U55+V55)</f>
        <v>#DIV/0!</v>
      </c>
      <c r="AL55" s="185" t="e">
        <f>IF('Entrada e Saida'!$H$12="REAL",AC55,0)</f>
        <v>#DIV/0!</v>
      </c>
      <c r="AM55" s="185" t="e">
        <f>IF('Entrada e Saida'!$H$12="REAL",AD55,0)</f>
        <v>#DIV/0!</v>
      </c>
      <c r="AN55" s="186" t="e">
        <f>IF('Entrada e Saida'!$H$13= "NÃO",AE55,0)</f>
        <v>#DIV/0!</v>
      </c>
      <c r="AO55" s="186" t="e">
        <f t="shared" si="49"/>
        <v>#DIV/0!</v>
      </c>
      <c r="AP55" s="184" t="e">
        <f t="shared" si="50"/>
        <v>#DIV/0!</v>
      </c>
      <c r="AQ55" s="178" t="e">
        <f>IF('Entrada e Saida'!$H$11="TRADING",AU55*'Custo Resumido'!D55,0)</f>
        <v>#DIV/0!</v>
      </c>
      <c r="AR55" s="178" t="e">
        <f>IF('Entrada e Saida'!$H$11="TRADING",AU55*'Entrada e Saida'!$G$63,0)</f>
        <v>#DIV/0!</v>
      </c>
      <c r="AS55" s="178" t="e">
        <f>IF('Entrada e Saida'!$H$11="TRADING",AU55*'Entrada e Saida'!$G$64,0)</f>
        <v>#DIV/0!</v>
      </c>
      <c r="AT55" s="178" t="e">
        <f>IF('Entrada e Saida'!$H$11="TRADING",AU55*'Entrada e Saida'!$G$65,0)</f>
        <v>#DIV/0!</v>
      </c>
      <c r="AU55" s="184" t="e">
        <f>IF('Entrada e Saida'!$H$11="TRADING",AP55/(1-(SUM('Entrada e Saida'!$G$63:$G$65)+'Custo Resumido'!D55)),0)</f>
        <v>#DIV/0!</v>
      </c>
      <c r="AV55" s="178" t="e">
        <f>IF('Entrada e Saida'!$H$13="NÃO",AU55*M55,0)</f>
        <v>#DIV/0!</v>
      </c>
      <c r="AW55" s="184" t="e">
        <f t="shared" si="51"/>
        <v>#DIV/0!</v>
      </c>
      <c r="AX55" s="178" t="e">
        <f>'Entrada e Saida'!$G$74*AU55</f>
        <v>#DIV/0!</v>
      </c>
      <c r="AY55" s="184" t="e">
        <f t="shared" si="52"/>
        <v>#DIV/0!</v>
      </c>
      <c r="AZ55" s="184" t="e">
        <f>AQ55+('Entrada e Saida'!$G$65-'Entrada e Saida'!$I$65)*AU55-AX55</f>
        <v>#DIV/0!</v>
      </c>
      <c r="BA55" s="3" t="e">
        <f>IF('Entrada e Saida'!$H$12="REAL",AZ55*'Entrada e Saida'!$G$81,AU55*'Entrada e Saida'!$G$81)</f>
        <v>#DIV/0!</v>
      </c>
      <c r="BB55" s="3" t="e">
        <f>IF('Entrada e Saida'!$H$12="REAL",AZ55*'Entrada e Saida'!$G$82,AU55*'Entrada e Saida'!$G$82)</f>
        <v>#DIV/0!</v>
      </c>
      <c r="BC55" s="4" t="e">
        <f t="shared" si="53"/>
        <v>#DIV/0!</v>
      </c>
      <c r="BD55" s="3" t="e">
        <f>IF('Entrada e Saida'!$H$11="TRADING",AW55/D55,AK55/D55)</f>
        <v>#DIV/0!</v>
      </c>
      <c r="BE55" s="3" t="e">
        <f t="shared" si="54"/>
        <v>#DIV/0!</v>
      </c>
      <c r="BF55" s="2" t="e">
        <f t="shared" si="55"/>
        <v>#DIV/0!</v>
      </c>
      <c r="BG55" s="3" t="e">
        <f>IF('Entrada e Saida'!$H$11="TRADING",AV55/D55,AN55/D55)</f>
        <v>#DIV/0!</v>
      </c>
      <c r="BH55" s="3" t="e">
        <f>IF('Entrada e Saida'!$H$11="TRADING",IF('Entrada e Saida'!$H$12="REAL",AR55/D55,0),AL55/D55)</f>
        <v>#DIV/0!</v>
      </c>
      <c r="BI55" s="3" t="e">
        <f>IF('Entrada e Saida'!$H$11="TRADING",IF('Entrada e Saida'!$H$12="REAL",AS55/D55,0),AM55/D55)</f>
        <v>#DIV/0!</v>
      </c>
      <c r="BJ55" s="3" t="e">
        <f>IF('Entrada e Saida'!$H$11="TRADING",AT55/D55,AO55/D55)</f>
        <v>#DIV/0!</v>
      </c>
      <c r="BK55" s="2" t="e">
        <f t="shared" si="56"/>
        <v>#DIV/0!</v>
      </c>
      <c r="BL55" s="2">
        <f>IF(O55&gt;0,IFERROR(IF('Entrada e Saida'!$H$11="DIRETA",0,(IF('Entrada e Saida'!$H$14="P.JURIDICA",(BD55*(1+O55)*N55)-((BD55/(1+M55))*'Entrada e Saida'!$G$65),((Produtos!N55-'Entrada e Saida'!$G$65)*Produtos!BD55)))),0),0)</f>
        <v>0</v>
      </c>
      <c r="BM55" s="2" t="e">
        <f t="shared" si="57"/>
        <v>#DIV/0!</v>
      </c>
    </row>
    <row r="56" spans="1:65" s="1" customFormat="1">
      <c r="A56" s="127"/>
      <c r="B56" s="172" t="e">
        <f>VLOOKUP(A56,'Master Modelo'!A:I,7,FALSE)</f>
        <v>#N/A</v>
      </c>
      <c r="C56" s="145" t="e">
        <f>VLOOKUP(A56,'Master Modelo'!A:I,2,FALSE)</f>
        <v>#N/A</v>
      </c>
      <c r="D56" s="146"/>
      <c r="E56" s="148">
        <f>IFERROR(VLOOKUP(A56,'Master Modelo'!A:I,9,FALSE),0)</f>
        <v>0</v>
      </c>
      <c r="F56" s="189">
        <f>IFERROR(VLOOKUP(A56,'Master Modelo'!A:I,8,FALSE),0)</f>
        <v>0</v>
      </c>
      <c r="G56" s="189">
        <f>IFERROR(VLOOKUP(A56,'Master Modelo'!A:K,11,FALSE),0)</f>
        <v>0</v>
      </c>
      <c r="H56" s="173" t="e">
        <f t="shared" si="40"/>
        <v>#DIV/0!</v>
      </c>
      <c r="I56" s="163">
        <f>IFERROR(VLOOKUP(A56,'Master Modelo'!A:I,3,FALSE),0)</f>
        <v>0</v>
      </c>
      <c r="J56" s="164">
        <f>IFERROR(VLOOKUP(A56,'Master Modelo'!A:I,5,FALSE),0)</f>
        <v>0</v>
      </c>
      <c r="K56" s="164">
        <f>IFERROR(VLOOKUP(A56,'Master Modelo'!A:I,6,FALSE),0)</f>
        <v>0</v>
      </c>
      <c r="L56" s="165" t="e">
        <f>VLOOKUP(A56,'Master Modelo'!A:J,10,FALSE)</f>
        <v>#N/A</v>
      </c>
      <c r="M56" s="163">
        <f>IFERROR(VLOOKUP(A56,'Master Modelo'!A:I,4,FALSE),0)</f>
        <v>0</v>
      </c>
      <c r="N56" s="175"/>
      <c r="O56" s="187"/>
      <c r="P56" s="177">
        <f t="shared" si="41"/>
        <v>0</v>
      </c>
      <c r="Q56" s="177">
        <f t="shared" si="10"/>
        <v>0</v>
      </c>
      <c r="R56" s="178">
        <f>D56*E56*'Entrada e Saida'!$K$8</f>
        <v>0</v>
      </c>
      <c r="S56" s="179" t="e">
        <f>'Entrada e Saida'!$H$21*'Entrada e Saida'!$K$8*(P56/(SUM(P:P)))</f>
        <v>#DIV/0!</v>
      </c>
      <c r="T56" s="179" t="e">
        <f>'Entrada e Saida'!$H$21*'Entrada e Saida'!$K$8*(Q56/(SUM(Q:Q)))</f>
        <v>#DIV/0!</v>
      </c>
      <c r="U56" s="179" t="e">
        <f>'Entrada e Saida'!$H$22*(P56/(SUM(P:P)))</f>
        <v>#DIV/0!</v>
      </c>
      <c r="V56" s="179" t="e">
        <f>'Entrada e Saida'!$H$22*(Q56/(SUM(Q:Q)))</f>
        <v>#DIV/0!</v>
      </c>
      <c r="W56" s="180" t="e">
        <f t="shared" si="42"/>
        <v>#DIV/0!</v>
      </c>
      <c r="X56" s="179" t="e">
        <f>'Entrada e Saida'!$H$26*(IF('Entrada e Saida'!$H$15="PESO",(P56/(SUM(P:P))),(Q56/(SUM(Q:Q)))))</f>
        <v>#DIV/0!</v>
      </c>
      <c r="Y56" s="179" t="e">
        <f>'Entrada e Saida'!$H$27*(IF('Entrada e Saida'!$H$15="PESO",(P56/(SUM(P:P))),(Q56/(SUM(Q:Q)))))</f>
        <v>#DIV/0!</v>
      </c>
      <c r="Z56" s="179" t="e">
        <f>'Entrada e Saida'!$H$28*(IF('Entrada e Saida'!$H$15="PESO",(P56/(SUM(P:P))),(Q56/(SUM(Q:Q)))))</f>
        <v>#DIV/0!</v>
      </c>
      <c r="AA56" s="181" t="e">
        <f t="shared" si="43"/>
        <v>#DIV/0!</v>
      </c>
      <c r="AB56" s="178" t="e">
        <f t="shared" si="44"/>
        <v>#DIV/0!</v>
      </c>
      <c r="AC56" s="178" t="e">
        <f t="shared" si="45"/>
        <v>#DIV/0!</v>
      </c>
      <c r="AD56" s="178" t="e">
        <f t="shared" si="46"/>
        <v>#DIV/0!</v>
      </c>
      <c r="AE56" s="177" t="e">
        <f t="shared" si="47"/>
        <v>#DIV/0!</v>
      </c>
      <c r="AF56" s="182">
        <f>IFERROR(D56*F56*L56*'Entrada e Saida'!$K$8,0)</f>
        <v>0</v>
      </c>
      <c r="AG56" s="178" t="e">
        <f>((W56+AA56+AB56+AC56+AD56+AE56+AF56)/(1-'Entrada e Saida'!$G$65))*'Entrada e Saida'!$I$66</f>
        <v>#DIV/0!</v>
      </c>
      <c r="AH56" s="180" t="e">
        <f t="shared" si="48"/>
        <v>#DIV/0!</v>
      </c>
      <c r="AI56" s="183" t="e">
        <f>'Entrada e Saida'!$K$51*(IF('Entrada e Saida'!$H$15="PESO",(P56/(SUM(P:P))),(Q56/(SUM(Q:Q)))))</f>
        <v>#DIV/0!</v>
      </c>
      <c r="AJ56" s="183">
        <f>(('Entrada e Saida'!$K$10-'Entrada e Saida'!$K$8)*E56*D56)</f>
        <v>0</v>
      </c>
      <c r="AK56" s="184" t="e">
        <f>IF('Entrada e Saida'!$H$15="PESO",W56+AA56+AH56+AI56+AJ56,W56+AA56+AH56+AI56+AJ56-S56+T56-U56+V56)</f>
        <v>#DIV/0!</v>
      </c>
      <c r="AL56" s="185" t="e">
        <f>IF('Entrada e Saida'!$H$12="REAL",AC56,0)</f>
        <v>#DIV/0!</v>
      </c>
      <c r="AM56" s="185" t="e">
        <f>IF('Entrada e Saida'!$H$12="REAL",AD56,0)</f>
        <v>#DIV/0!</v>
      </c>
      <c r="AN56" s="186" t="e">
        <f>IF('Entrada e Saida'!$H$13= "NÃO",AE56,0)</f>
        <v>#DIV/0!</v>
      </c>
      <c r="AO56" s="186" t="e">
        <f t="shared" si="49"/>
        <v>#DIV/0!</v>
      </c>
      <c r="AP56" s="184" t="e">
        <f t="shared" si="50"/>
        <v>#DIV/0!</v>
      </c>
      <c r="AQ56" s="178" t="e">
        <f>IF('Entrada e Saida'!$H$11="TRADING",AU56*'Custo Resumido'!D56,0)</f>
        <v>#DIV/0!</v>
      </c>
      <c r="AR56" s="178" t="e">
        <f>IF('Entrada e Saida'!$H$11="TRADING",AU56*'Entrada e Saida'!$G$63,0)</f>
        <v>#DIV/0!</v>
      </c>
      <c r="AS56" s="178" t="e">
        <f>IF('Entrada e Saida'!$H$11="TRADING",AU56*'Entrada e Saida'!$G$64,0)</f>
        <v>#DIV/0!</v>
      </c>
      <c r="AT56" s="178" t="e">
        <f>IF('Entrada e Saida'!$H$11="TRADING",AU56*'Entrada e Saida'!$G$65,0)</f>
        <v>#DIV/0!</v>
      </c>
      <c r="AU56" s="184" t="e">
        <f>IF('Entrada e Saida'!$H$11="TRADING",AP56/(1-(SUM('Entrada e Saida'!$G$63:$G$65)+'Custo Resumido'!D56)),0)</f>
        <v>#DIV/0!</v>
      </c>
      <c r="AV56" s="178" t="e">
        <f>IF('Entrada e Saida'!$H$13="NÃO",AU56*M56,0)</f>
        <v>#DIV/0!</v>
      </c>
      <c r="AW56" s="184" t="e">
        <f t="shared" si="51"/>
        <v>#DIV/0!</v>
      </c>
      <c r="AX56" s="178" t="e">
        <f>'Entrada e Saida'!$G$74*AU56</f>
        <v>#DIV/0!</v>
      </c>
      <c r="AY56" s="184" t="e">
        <f t="shared" si="52"/>
        <v>#DIV/0!</v>
      </c>
      <c r="AZ56" s="184" t="e">
        <f>AQ56+('Entrada e Saida'!$G$65-'Entrada e Saida'!$I$65)*AU56-AX56</f>
        <v>#DIV/0!</v>
      </c>
      <c r="BA56" s="3" t="e">
        <f>IF('Entrada e Saida'!$H$12="REAL",AZ56*'Entrada e Saida'!$G$81,AU56*'Entrada e Saida'!$G$81)</f>
        <v>#DIV/0!</v>
      </c>
      <c r="BB56" s="3" t="e">
        <f>IF('Entrada e Saida'!$H$12="REAL",AZ56*'Entrada e Saida'!$G$82,AU56*'Entrada e Saida'!$G$82)</f>
        <v>#DIV/0!</v>
      </c>
      <c r="BC56" s="4" t="e">
        <f t="shared" si="53"/>
        <v>#DIV/0!</v>
      </c>
      <c r="BD56" s="3" t="e">
        <f>IF('Entrada e Saida'!$H$11="TRADING",AW56/D56,AK56/D56)</f>
        <v>#DIV/0!</v>
      </c>
      <c r="BE56" s="3" t="e">
        <f t="shared" si="54"/>
        <v>#DIV/0!</v>
      </c>
      <c r="BF56" s="2" t="e">
        <f t="shared" si="55"/>
        <v>#DIV/0!</v>
      </c>
      <c r="BG56" s="3" t="e">
        <f>IF('Entrada e Saida'!$H$11="TRADING",AV56/D56,AN56/D56)</f>
        <v>#DIV/0!</v>
      </c>
      <c r="BH56" s="3" t="e">
        <f>IF('Entrada e Saida'!$H$11="TRADING",IF('Entrada e Saida'!$H$12="REAL",AR56/D56,0),AL56/D56)</f>
        <v>#DIV/0!</v>
      </c>
      <c r="BI56" s="3" t="e">
        <f>IF('Entrada e Saida'!$H$11="TRADING",IF('Entrada e Saida'!$H$12="REAL",AS56/D56,0),AM56/D56)</f>
        <v>#DIV/0!</v>
      </c>
      <c r="BJ56" s="3" t="e">
        <f>IF('Entrada e Saida'!$H$11="TRADING",AT56/D56,AO56/D56)</f>
        <v>#DIV/0!</v>
      </c>
      <c r="BK56" s="2" t="e">
        <f t="shared" si="56"/>
        <v>#DIV/0!</v>
      </c>
      <c r="BL56" s="2">
        <f>IF(O56&gt;0,IFERROR(IF('Entrada e Saida'!$H$11="DIRETA",0,(IF('Entrada e Saida'!$H$14="P.JURIDICA",(BD56*(1+O56)*N56)-((BD56/(1+M56))*'Entrada e Saida'!$G$65),((Produtos!N56-'Entrada e Saida'!$G$65)*Produtos!BD56)))),0),0)</f>
        <v>0</v>
      </c>
      <c r="BM56" s="2" t="e">
        <f t="shared" si="57"/>
        <v>#DIV/0!</v>
      </c>
    </row>
    <row r="57" spans="1:65" s="1" customFormat="1">
      <c r="A57" s="127"/>
      <c r="B57" s="172" t="e">
        <f>VLOOKUP(A57,'Master Modelo'!A:I,7,FALSE)</f>
        <v>#N/A</v>
      </c>
      <c r="C57" s="145" t="e">
        <f>VLOOKUP(A57,'Master Modelo'!A:I,2,FALSE)</f>
        <v>#N/A</v>
      </c>
      <c r="D57" s="146"/>
      <c r="E57" s="148">
        <f>IFERROR(VLOOKUP(A57,'Master Modelo'!A:I,9,FALSE),0)</f>
        <v>0</v>
      </c>
      <c r="F57" s="189">
        <f>IFERROR(VLOOKUP(A57,'Master Modelo'!A:I,8,FALSE),0)</f>
        <v>0</v>
      </c>
      <c r="G57" s="189">
        <f>IFERROR(VLOOKUP(A57,'Master Modelo'!A:K,11,FALSE),0)</f>
        <v>0</v>
      </c>
      <c r="H57" s="173" t="e">
        <f t="shared" si="40"/>
        <v>#DIV/0!</v>
      </c>
      <c r="I57" s="163">
        <f>IFERROR(VLOOKUP(A57,'Master Modelo'!A:I,3,FALSE),0)</f>
        <v>0</v>
      </c>
      <c r="J57" s="164">
        <f>IFERROR(VLOOKUP(A57,'Master Modelo'!A:I,5,FALSE),0)</f>
        <v>0</v>
      </c>
      <c r="K57" s="164">
        <f>IFERROR(VLOOKUP(A57,'Master Modelo'!A:I,6,FALSE),0)</f>
        <v>0</v>
      </c>
      <c r="L57" s="165" t="e">
        <f>VLOOKUP(A57,'Master Modelo'!A:J,10,FALSE)</f>
        <v>#N/A</v>
      </c>
      <c r="M57" s="163">
        <f>IFERROR(VLOOKUP(A57,'Master Modelo'!A:I,4,FALSE),0)</f>
        <v>0</v>
      </c>
      <c r="N57" s="175"/>
      <c r="O57" s="187"/>
      <c r="P57" s="177">
        <f t="shared" si="41"/>
        <v>0</v>
      </c>
      <c r="Q57" s="177">
        <f t="shared" si="10"/>
        <v>0</v>
      </c>
      <c r="R57" s="178">
        <f>D57*E57*'Entrada e Saida'!$K$8</f>
        <v>0</v>
      </c>
      <c r="S57" s="179" t="e">
        <f>'Entrada e Saida'!$H$21*'Entrada e Saida'!$K$8*(P57/(SUM(P:P)))</f>
        <v>#DIV/0!</v>
      </c>
      <c r="T57" s="179" t="e">
        <f>'Entrada e Saida'!$H$21*'Entrada e Saida'!$K$8*(Q57/(SUM(Q:Q)))</f>
        <v>#DIV/0!</v>
      </c>
      <c r="U57" s="179" t="e">
        <f>'Entrada e Saida'!$H$22*(P57/(SUM(P:P)))</f>
        <v>#DIV/0!</v>
      </c>
      <c r="V57" s="179" t="e">
        <f>'Entrada e Saida'!$H$22*(Q57/(SUM(Q:Q)))</f>
        <v>#DIV/0!</v>
      </c>
      <c r="W57" s="180" t="e">
        <f t="shared" si="42"/>
        <v>#DIV/0!</v>
      </c>
      <c r="X57" s="179" t="e">
        <f>'Entrada e Saida'!$H$26*(IF('Entrada e Saida'!$H$15="PESO",(P57/(SUM(P:P))),(Q57/(SUM(Q:Q)))))</f>
        <v>#DIV/0!</v>
      </c>
      <c r="Y57" s="179" t="e">
        <f>'Entrada e Saida'!$H$27*(IF('Entrada e Saida'!$H$15="PESO",(P57/(SUM(P:P))),(Q57/(SUM(Q:Q)))))</f>
        <v>#DIV/0!</v>
      </c>
      <c r="Z57" s="179" t="e">
        <f>'Entrada e Saida'!$H$28*(IF('Entrada e Saida'!$H$15="PESO",(P57/(SUM(P:P))),(Q57/(SUM(Q:Q)))))</f>
        <v>#DIV/0!</v>
      </c>
      <c r="AA57" s="181" t="e">
        <f t="shared" si="43"/>
        <v>#DIV/0!</v>
      </c>
      <c r="AB57" s="178" t="e">
        <f t="shared" si="44"/>
        <v>#DIV/0!</v>
      </c>
      <c r="AC57" s="178" t="e">
        <f t="shared" si="45"/>
        <v>#DIV/0!</v>
      </c>
      <c r="AD57" s="178" t="e">
        <f t="shared" si="46"/>
        <v>#DIV/0!</v>
      </c>
      <c r="AE57" s="177" t="e">
        <f t="shared" si="47"/>
        <v>#DIV/0!</v>
      </c>
      <c r="AF57" s="182">
        <f>IFERROR(D57*F57*L57*'Entrada e Saida'!$K$8,0)</f>
        <v>0</v>
      </c>
      <c r="AG57" s="178" t="e">
        <f>((W57+AA57+AB57+AC57+AD57+AE57+AF57)/(1-'Entrada e Saida'!$G$65))*'Entrada e Saida'!$I$66</f>
        <v>#DIV/0!</v>
      </c>
      <c r="AH57" s="180" t="e">
        <f t="shared" si="48"/>
        <v>#DIV/0!</v>
      </c>
      <c r="AI57" s="183" t="e">
        <f>'Entrada e Saida'!$K$51*(IF('Entrada e Saida'!$H$15="PESO",(P57/(SUM(P:P))),(Q57/(SUM(Q:Q)))))</f>
        <v>#DIV/0!</v>
      </c>
      <c r="AJ57" s="183">
        <f>(('Entrada e Saida'!$K$10-'Entrada e Saida'!$K$8)*E57*D57)</f>
        <v>0</v>
      </c>
      <c r="AK57" s="184" t="e">
        <f>IF('Entrada e Saida'!$H$15="PESO",W57+AA57+AH57+AI57+AJ57,W57+AA57+AH57+AI57+AJ57-S57+T57-U57+V57)</f>
        <v>#DIV/0!</v>
      </c>
      <c r="AL57" s="185" t="e">
        <f>IF('Entrada e Saida'!$H$12="REAL",AC57,0)</f>
        <v>#DIV/0!</v>
      </c>
      <c r="AM57" s="185" t="e">
        <f>IF('Entrada e Saida'!$H$12="REAL",AD57,0)</f>
        <v>#DIV/0!</v>
      </c>
      <c r="AN57" s="186" t="e">
        <f>IF('Entrada e Saida'!$H$13= "NÃO",AE57,0)</f>
        <v>#DIV/0!</v>
      </c>
      <c r="AO57" s="186" t="e">
        <f t="shared" si="49"/>
        <v>#DIV/0!</v>
      </c>
      <c r="AP57" s="184" t="e">
        <f t="shared" si="50"/>
        <v>#DIV/0!</v>
      </c>
      <c r="AQ57" s="178" t="e">
        <f>IF('Entrada e Saida'!$H$11="TRADING",AU57*'Custo Resumido'!D57,0)</f>
        <v>#DIV/0!</v>
      </c>
      <c r="AR57" s="178" t="e">
        <f>IF('Entrada e Saida'!$H$11="TRADING",AU57*'Entrada e Saida'!$G$63,0)</f>
        <v>#DIV/0!</v>
      </c>
      <c r="AS57" s="178" t="e">
        <f>IF('Entrada e Saida'!$H$11="TRADING",AU57*'Entrada e Saida'!$G$64,0)</f>
        <v>#DIV/0!</v>
      </c>
      <c r="AT57" s="178" t="e">
        <f>IF('Entrada e Saida'!$H$11="TRADING",AU57*'Entrada e Saida'!$G$65,0)</f>
        <v>#DIV/0!</v>
      </c>
      <c r="AU57" s="184" t="e">
        <f>IF('Entrada e Saida'!$H$11="TRADING",AP57/(1-(SUM('Entrada e Saida'!$G$63:$G$65)+'Custo Resumido'!D57)),0)</f>
        <v>#DIV/0!</v>
      </c>
      <c r="AV57" s="178" t="e">
        <f>IF('Entrada e Saida'!$H$13="NÃO",AU57*M57,0)</f>
        <v>#DIV/0!</v>
      </c>
      <c r="AW57" s="184" t="e">
        <f t="shared" si="51"/>
        <v>#DIV/0!</v>
      </c>
      <c r="AX57" s="178" t="e">
        <f>'Entrada e Saida'!$G$74*AU57</f>
        <v>#DIV/0!</v>
      </c>
      <c r="AY57" s="184" t="e">
        <f t="shared" si="52"/>
        <v>#DIV/0!</v>
      </c>
      <c r="AZ57" s="184" t="e">
        <f>AQ57+('Entrada e Saida'!$G$65-'Entrada e Saida'!$I$65)*AU57-AX57</f>
        <v>#DIV/0!</v>
      </c>
      <c r="BA57" s="3" t="e">
        <f>IF('Entrada e Saida'!$H$12="REAL",AZ57*'Entrada e Saida'!$G$81,AU57*'Entrada e Saida'!$G$81)</f>
        <v>#DIV/0!</v>
      </c>
      <c r="BB57" s="3" t="e">
        <f>IF('Entrada e Saida'!$H$12="REAL",AZ57*'Entrada e Saida'!$G$82,AU57*'Entrada e Saida'!$G$82)</f>
        <v>#DIV/0!</v>
      </c>
      <c r="BC57" s="4" t="e">
        <f t="shared" si="53"/>
        <v>#DIV/0!</v>
      </c>
      <c r="BD57" s="3" t="e">
        <f>IF('Entrada e Saida'!$H$11="TRADING",AW57/D57,AK57/D57)</f>
        <v>#DIV/0!</v>
      </c>
      <c r="BE57" s="3" t="e">
        <f t="shared" si="54"/>
        <v>#DIV/0!</v>
      </c>
      <c r="BF57" s="2" t="e">
        <f t="shared" si="55"/>
        <v>#DIV/0!</v>
      </c>
      <c r="BG57" s="3" t="e">
        <f>IF('Entrada e Saida'!$H$11="TRADING",AV57/D57,AN57/D57)</f>
        <v>#DIV/0!</v>
      </c>
      <c r="BH57" s="3" t="e">
        <f>IF('Entrada e Saida'!$H$11="TRADING",IF('Entrada e Saida'!$H$12="REAL",AR57/D57,0),AL57/D57)</f>
        <v>#DIV/0!</v>
      </c>
      <c r="BI57" s="3" t="e">
        <f>IF('Entrada e Saida'!$H$11="TRADING",IF('Entrada e Saida'!$H$12="REAL",AS57/D57,0),AM57/D57)</f>
        <v>#DIV/0!</v>
      </c>
      <c r="BJ57" s="3" t="e">
        <f>IF('Entrada e Saida'!$H$11="TRADING",AT57/D57,AO57/D57)</f>
        <v>#DIV/0!</v>
      </c>
      <c r="BK57" s="2" t="e">
        <f t="shared" si="56"/>
        <v>#DIV/0!</v>
      </c>
      <c r="BL57" s="2">
        <f>IF(O57&gt;0,IFERROR(IF('Entrada e Saida'!$H$11="DIRETA",0,(IF('Entrada e Saida'!$H$14="P.JURIDICA",(BD57*(1+O57)*N57)-((BD57/(1+M57))*'Entrada e Saida'!$G$65),((Produtos!N57-'Entrada e Saida'!$G$65)*Produtos!BD57)))),0),0)</f>
        <v>0</v>
      </c>
      <c r="BM57" s="2" t="e">
        <f t="shared" si="57"/>
        <v>#DIV/0!</v>
      </c>
    </row>
    <row r="58" spans="1:65" s="1" customFormat="1">
      <c r="A58" s="127"/>
      <c r="B58" s="172" t="e">
        <f>VLOOKUP(A58,'Master Modelo'!A:I,7,FALSE)</f>
        <v>#N/A</v>
      </c>
      <c r="C58" s="145" t="e">
        <f>VLOOKUP(A58,'Master Modelo'!A:I,2,FALSE)</f>
        <v>#N/A</v>
      </c>
      <c r="D58" s="146"/>
      <c r="E58" s="148">
        <f>IFERROR(VLOOKUP(A58,'Master Modelo'!A:I,9,FALSE),0)</f>
        <v>0</v>
      </c>
      <c r="F58" s="189">
        <f>IFERROR(VLOOKUP(A58,'Master Modelo'!A:I,8,FALSE),0)</f>
        <v>0</v>
      </c>
      <c r="G58" s="189">
        <f>IFERROR(VLOOKUP(A58,'Master Modelo'!A:K,11,FALSE),0)</f>
        <v>0</v>
      </c>
      <c r="H58" s="173" t="e">
        <f t="shared" si="40"/>
        <v>#DIV/0!</v>
      </c>
      <c r="I58" s="163">
        <f>IFERROR(VLOOKUP(A58,'Master Modelo'!A:I,3,FALSE),0)</f>
        <v>0</v>
      </c>
      <c r="J58" s="164">
        <f>IFERROR(VLOOKUP(A58,'Master Modelo'!A:I,5,FALSE),0)</f>
        <v>0</v>
      </c>
      <c r="K58" s="164">
        <f>IFERROR(VLOOKUP(A58,'Master Modelo'!A:I,6,FALSE),0)</f>
        <v>0</v>
      </c>
      <c r="L58" s="165" t="e">
        <f>VLOOKUP(A58,'Master Modelo'!A:J,10,FALSE)</f>
        <v>#N/A</v>
      </c>
      <c r="M58" s="163">
        <f>IFERROR(VLOOKUP(A58,'Master Modelo'!A:I,4,FALSE),0)</f>
        <v>0</v>
      </c>
      <c r="N58" s="175"/>
      <c r="O58" s="187"/>
      <c r="P58" s="177">
        <f t="shared" si="41"/>
        <v>0</v>
      </c>
      <c r="Q58" s="177">
        <f t="shared" si="10"/>
        <v>0</v>
      </c>
      <c r="R58" s="178">
        <f>D58*E58*'Entrada e Saida'!$K$8</f>
        <v>0</v>
      </c>
      <c r="S58" s="179" t="e">
        <f>'Entrada e Saida'!$H$21*'Entrada e Saida'!$K$8*(P58/(SUM(P:P)))</f>
        <v>#DIV/0!</v>
      </c>
      <c r="T58" s="179" t="e">
        <f>'Entrada e Saida'!$H$21*'Entrada e Saida'!$K$8*(Q58/(SUM(Q:Q)))</f>
        <v>#DIV/0!</v>
      </c>
      <c r="U58" s="179" t="e">
        <f>'Entrada e Saida'!$H$22*(P58/(SUM(P:P)))</f>
        <v>#DIV/0!</v>
      </c>
      <c r="V58" s="179" t="e">
        <f>'Entrada e Saida'!$H$22*(Q58/(SUM(Q:Q)))</f>
        <v>#DIV/0!</v>
      </c>
      <c r="W58" s="180" t="e">
        <f t="shared" si="42"/>
        <v>#DIV/0!</v>
      </c>
      <c r="X58" s="179" t="e">
        <f>'Entrada e Saida'!$H$26*(IF('Entrada e Saida'!$H$15="PESO",(P58/(SUM(P:P))),(Q58/(SUM(Q:Q)))))</f>
        <v>#DIV/0!</v>
      </c>
      <c r="Y58" s="179" t="e">
        <f>'Entrada e Saida'!$H$27*(IF('Entrada e Saida'!$H$15="PESO",(P58/(SUM(P:P))),(Q58/(SUM(Q:Q)))))</f>
        <v>#DIV/0!</v>
      </c>
      <c r="Z58" s="179" t="e">
        <f>'Entrada e Saida'!$H$28*(IF('Entrada e Saida'!$H$15="PESO",(P58/(SUM(P:P))),(Q58/(SUM(Q:Q)))))</f>
        <v>#DIV/0!</v>
      </c>
      <c r="AA58" s="181" t="e">
        <f t="shared" si="43"/>
        <v>#DIV/0!</v>
      </c>
      <c r="AB58" s="178" t="e">
        <f t="shared" si="44"/>
        <v>#DIV/0!</v>
      </c>
      <c r="AC58" s="178" t="e">
        <f t="shared" si="45"/>
        <v>#DIV/0!</v>
      </c>
      <c r="AD58" s="178" t="e">
        <f t="shared" si="46"/>
        <v>#DIV/0!</v>
      </c>
      <c r="AE58" s="177" t="e">
        <f t="shared" si="47"/>
        <v>#DIV/0!</v>
      </c>
      <c r="AF58" s="182">
        <f>IFERROR(D58*F58*L58*'Entrada e Saida'!$K$8,0)</f>
        <v>0</v>
      </c>
      <c r="AG58" s="178" t="e">
        <f>((W58+AA58+AB58+AC58+AD58+AE58+AF58)/(1-'Entrada e Saida'!$G$65))*'Entrada e Saida'!$I$66</f>
        <v>#DIV/0!</v>
      </c>
      <c r="AH58" s="180" t="e">
        <f t="shared" si="48"/>
        <v>#DIV/0!</v>
      </c>
      <c r="AI58" s="183" t="e">
        <f>'Entrada e Saida'!$K$51*(IF('Entrada e Saida'!$H$15="PESO",(P58/(SUM(P:P))),(Q58/(SUM(Q:Q)))))</f>
        <v>#DIV/0!</v>
      </c>
      <c r="AJ58" s="183">
        <f>(('Entrada e Saida'!$K$10-'Entrada e Saida'!$K$8)*E58*D58)</f>
        <v>0</v>
      </c>
      <c r="AK58" s="184" t="e">
        <f>IF('Entrada e Saida'!$H$15="PESO",W58+AA58+AH58+AI58+AJ58,W58+AA58+AH58+AI58+AJ58-S58+T58-U58+V58)</f>
        <v>#DIV/0!</v>
      </c>
      <c r="AL58" s="185" t="e">
        <f>IF('Entrada e Saida'!$H$12="REAL",AC58,0)</f>
        <v>#DIV/0!</v>
      </c>
      <c r="AM58" s="185" t="e">
        <f>IF('Entrada e Saida'!$H$12="REAL",AD58,0)</f>
        <v>#DIV/0!</v>
      </c>
      <c r="AN58" s="186" t="e">
        <f>IF('Entrada e Saida'!$H$13= "NÃO",AE58,0)</f>
        <v>#DIV/0!</v>
      </c>
      <c r="AO58" s="186" t="e">
        <f t="shared" si="49"/>
        <v>#DIV/0!</v>
      </c>
      <c r="AP58" s="184" t="e">
        <f t="shared" si="50"/>
        <v>#DIV/0!</v>
      </c>
      <c r="AQ58" s="178" t="e">
        <f>IF('Entrada e Saida'!$H$11="TRADING",AU58*'Custo Resumido'!D58,0)</f>
        <v>#DIV/0!</v>
      </c>
      <c r="AR58" s="178" t="e">
        <f>IF('Entrada e Saida'!$H$11="TRADING",AU58*'Entrada e Saida'!$G$63,0)</f>
        <v>#DIV/0!</v>
      </c>
      <c r="AS58" s="178" t="e">
        <f>IF('Entrada e Saida'!$H$11="TRADING",AU58*'Entrada e Saida'!$G$64,0)</f>
        <v>#DIV/0!</v>
      </c>
      <c r="AT58" s="178" t="e">
        <f>IF('Entrada e Saida'!$H$11="TRADING",AU58*'Entrada e Saida'!$G$65,0)</f>
        <v>#DIV/0!</v>
      </c>
      <c r="AU58" s="184" t="e">
        <f>IF('Entrada e Saida'!$H$11="TRADING",AP58/(1-(SUM('Entrada e Saida'!$G$63:$G$65)+'Custo Resumido'!D58)),0)</f>
        <v>#DIV/0!</v>
      </c>
      <c r="AV58" s="178" t="e">
        <f>IF('Entrada e Saida'!$H$13="NÃO",AU58*M58,0)</f>
        <v>#DIV/0!</v>
      </c>
      <c r="AW58" s="184" t="e">
        <f t="shared" si="51"/>
        <v>#DIV/0!</v>
      </c>
      <c r="AX58" s="178" t="e">
        <f>'Entrada e Saida'!$G$74*AU58</f>
        <v>#DIV/0!</v>
      </c>
      <c r="AY58" s="184" t="e">
        <f t="shared" si="52"/>
        <v>#DIV/0!</v>
      </c>
      <c r="AZ58" s="184" t="e">
        <f>AQ58+('Entrada e Saida'!$G$65-'Entrada e Saida'!$I$65)*AU58-AX58</f>
        <v>#DIV/0!</v>
      </c>
      <c r="BA58" s="3" t="e">
        <f>IF('Entrada e Saida'!$H$12="REAL",AZ58*'Entrada e Saida'!$G$81,AU58*'Entrada e Saida'!$G$81)</f>
        <v>#DIV/0!</v>
      </c>
      <c r="BB58" s="3" t="e">
        <f>IF('Entrada e Saida'!$H$12="REAL",AZ58*'Entrada e Saida'!$G$82,AU58*'Entrada e Saida'!$G$82)</f>
        <v>#DIV/0!</v>
      </c>
      <c r="BC58" s="4" t="e">
        <f t="shared" si="53"/>
        <v>#DIV/0!</v>
      </c>
      <c r="BD58" s="3" t="e">
        <f>IF('Entrada e Saida'!$H$11="TRADING",AW58/D58,AK58/D58)</f>
        <v>#DIV/0!</v>
      </c>
      <c r="BE58" s="3" t="e">
        <f t="shared" si="54"/>
        <v>#DIV/0!</v>
      </c>
      <c r="BF58" s="2" t="e">
        <f t="shared" si="55"/>
        <v>#DIV/0!</v>
      </c>
      <c r="BG58" s="3" t="e">
        <f>IF('Entrada e Saida'!$H$11="TRADING",AV58/D58,AN58/D58)</f>
        <v>#DIV/0!</v>
      </c>
      <c r="BH58" s="3" t="e">
        <f>IF('Entrada e Saida'!$H$11="TRADING",IF('Entrada e Saida'!$H$12="REAL",AR58/D58,0),AL58/D58)</f>
        <v>#DIV/0!</v>
      </c>
      <c r="BI58" s="3" t="e">
        <f>IF('Entrada e Saida'!$H$11="TRADING",IF('Entrada e Saida'!$H$12="REAL",AS58/D58,0),AM58/D58)</f>
        <v>#DIV/0!</v>
      </c>
      <c r="BJ58" s="3" t="e">
        <f>IF('Entrada e Saida'!$H$11="TRADING",AT58/D58,AO58/D58)</f>
        <v>#DIV/0!</v>
      </c>
      <c r="BK58" s="2" t="e">
        <f t="shared" si="56"/>
        <v>#DIV/0!</v>
      </c>
      <c r="BL58" s="2">
        <f>IF(O58&gt;0,IFERROR(IF('Entrada e Saida'!$H$11="DIRETA",0,(IF('Entrada e Saida'!$H$14="P.JURIDICA",(BD58*(1+O58)*N58)-((BD58/(1+M58))*'Entrada e Saida'!$G$65),((Produtos!N58-'Entrada e Saida'!$G$65)*Produtos!BD58)))),0),0)</f>
        <v>0</v>
      </c>
      <c r="BM58" s="2" t="e">
        <f t="shared" si="57"/>
        <v>#DIV/0!</v>
      </c>
    </row>
    <row r="59" spans="1:65" s="1" customFormat="1">
      <c r="A59" s="127"/>
      <c r="B59" s="172" t="e">
        <f>VLOOKUP(A59,'Master Modelo'!A:I,7,FALSE)</f>
        <v>#N/A</v>
      </c>
      <c r="C59" s="145" t="e">
        <f>VLOOKUP(A59,'Master Modelo'!A:I,2,FALSE)</f>
        <v>#N/A</v>
      </c>
      <c r="D59" s="146"/>
      <c r="E59" s="148">
        <f>IFERROR(VLOOKUP(A59,'Master Modelo'!A:I,9,FALSE),0)</f>
        <v>0</v>
      </c>
      <c r="F59" s="189">
        <f>IFERROR(VLOOKUP(A59,'Master Modelo'!A:I,8,FALSE),0)</f>
        <v>0</v>
      </c>
      <c r="G59" s="189">
        <f>IFERROR(VLOOKUP(A59,'Master Modelo'!A:K,11,FALSE),0)</f>
        <v>0</v>
      </c>
      <c r="H59" s="173" t="e">
        <f t="shared" si="40"/>
        <v>#DIV/0!</v>
      </c>
      <c r="I59" s="163">
        <f>IFERROR(VLOOKUP(A59,'Master Modelo'!A:I,3,FALSE),0)</f>
        <v>0</v>
      </c>
      <c r="J59" s="164">
        <f>IFERROR(VLOOKUP(A59,'Master Modelo'!A:I,5,FALSE),0)</f>
        <v>0</v>
      </c>
      <c r="K59" s="164">
        <f>IFERROR(VLOOKUP(A59,'Master Modelo'!A:I,6,FALSE),0)</f>
        <v>0</v>
      </c>
      <c r="L59" s="165" t="e">
        <f>VLOOKUP(A59,'Master Modelo'!A:J,10,FALSE)</f>
        <v>#N/A</v>
      </c>
      <c r="M59" s="163">
        <f>IFERROR(VLOOKUP(A59,'Master Modelo'!A:I,4,FALSE),0)</f>
        <v>0</v>
      </c>
      <c r="N59" s="175"/>
      <c r="O59" s="187"/>
      <c r="P59" s="177">
        <f t="shared" si="41"/>
        <v>0</v>
      </c>
      <c r="Q59" s="177">
        <f t="shared" si="10"/>
        <v>0</v>
      </c>
      <c r="R59" s="178">
        <f>D59*E59*'Entrada e Saida'!$K$8</f>
        <v>0</v>
      </c>
      <c r="S59" s="179" t="e">
        <f>'Entrada e Saida'!$H$21*'Entrada e Saida'!$K$8*(P59/(SUM(P:P)))</f>
        <v>#DIV/0!</v>
      </c>
      <c r="T59" s="179" t="e">
        <f>'Entrada e Saida'!$H$21*'Entrada e Saida'!$K$8*(Q59/(SUM(Q:Q)))</f>
        <v>#DIV/0!</v>
      </c>
      <c r="U59" s="179" t="e">
        <f>'Entrada e Saida'!$H$22*(P59/(SUM(P:P)))</f>
        <v>#DIV/0!</v>
      </c>
      <c r="V59" s="179" t="e">
        <f>'Entrada e Saida'!$H$22*(Q59/(SUM(Q:Q)))</f>
        <v>#DIV/0!</v>
      </c>
      <c r="W59" s="180" t="e">
        <f t="shared" si="42"/>
        <v>#DIV/0!</v>
      </c>
      <c r="X59" s="179" t="e">
        <f>'Entrada e Saida'!$H$26*(IF('Entrada e Saida'!$H$15="PESO",(P59/(SUM(P:P))),(Q59/(SUM(Q:Q)))))</f>
        <v>#DIV/0!</v>
      </c>
      <c r="Y59" s="179" t="e">
        <f>'Entrada e Saida'!$H$27*(IF('Entrada e Saida'!$H$15="PESO",(P59/(SUM(P:P))),(Q59/(SUM(Q:Q)))))</f>
        <v>#DIV/0!</v>
      </c>
      <c r="Z59" s="179" t="e">
        <f>'Entrada e Saida'!$H$28*(IF('Entrada e Saida'!$H$15="PESO",(P59/(SUM(P:P))),(Q59/(SUM(Q:Q)))))</f>
        <v>#DIV/0!</v>
      </c>
      <c r="AA59" s="181" t="e">
        <f t="shared" si="43"/>
        <v>#DIV/0!</v>
      </c>
      <c r="AB59" s="178" t="e">
        <f t="shared" si="44"/>
        <v>#DIV/0!</v>
      </c>
      <c r="AC59" s="178" t="e">
        <f t="shared" si="45"/>
        <v>#DIV/0!</v>
      </c>
      <c r="AD59" s="178" t="e">
        <f t="shared" si="46"/>
        <v>#DIV/0!</v>
      </c>
      <c r="AE59" s="177" t="e">
        <f t="shared" si="47"/>
        <v>#DIV/0!</v>
      </c>
      <c r="AF59" s="182">
        <f>IFERROR(D59*F59*L59*'Entrada e Saida'!$K$8,0)</f>
        <v>0</v>
      </c>
      <c r="AG59" s="178" t="e">
        <f>((W59+AA59+AB59+AC59+AD59+AE59+AF59)/(1-'Entrada e Saida'!$G$65))*'Entrada e Saida'!$I$66</f>
        <v>#DIV/0!</v>
      </c>
      <c r="AH59" s="180" t="e">
        <f t="shared" si="48"/>
        <v>#DIV/0!</v>
      </c>
      <c r="AI59" s="183" t="e">
        <f>'Entrada e Saida'!$K$51*(IF('Entrada e Saida'!$H$15="PESO",(P59/(SUM(P:P))),(Q59/(SUM(Q:Q)))))</f>
        <v>#DIV/0!</v>
      </c>
      <c r="AJ59" s="183">
        <f>(('Entrada e Saida'!$K$10-'Entrada e Saida'!$K$8)*E59*D59)</f>
        <v>0</v>
      </c>
      <c r="AK59" s="184" t="e">
        <f>IF('Entrada e Saida'!$H$15="PESO",W59+AA59+AH59+AI59+AJ59,W59+AA59+AH59+AI59+AJ59-S59+T59-U59+V59)</f>
        <v>#DIV/0!</v>
      </c>
      <c r="AL59" s="185" t="e">
        <f>IF('Entrada e Saida'!$H$12="REAL",AC59,0)</f>
        <v>#DIV/0!</v>
      </c>
      <c r="AM59" s="185" t="e">
        <f>IF('Entrada e Saida'!$H$12="REAL",AD59,0)</f>
        <v>#DIV/0!</v>
      </c>
      <c r="AN59" s="186" t="e">
        <f>IF('Entrada e Saida'!$H$13= "NÃO",AE59,0)</f>
        <v>#DIV/0!</v>
      </c>
      <c r="AO59" s="186" t="e">
        <f t="shared" si="49"/>
        <v>#DIV/0!</v>
      </c>
      <c r="AP59" s="184" t="e">
        <f t="shared" si="50"/>
        <v>#DIV/0!</v>
      </c>
      <c r="AQ59" s="178" t="e">
        <f>IF('Entrada e Saida'!$H$11="TRADING",AU59*'Custo Resumido'!D59,0)</f>
        <v>#DIV/0!</v>
      </c>
      <c r="AR59" s="178" t="e">
        <f>IF('Entrada e Saida'!$H$11="TRADING",AU59*'Entrada e Saida'!$G$63,0)</f>
        <v>#DIV/0!</v>
      </c>
      <c r="AS59" s="178" t="e">
        <f>IF('Entrada e Saida'!$H$11="TRADING",AU59*'Entrada e Saida'!$G$64,0)</f>
        <v>#DIV/0!</v>
      </c>
      <c r="AT59" s="178" t="e">
        <f>IF('Entrada e Saida'!$H$11="TRADING",AU59*'Entrada e Saida'!$G$65,0)</f>
        <v>#DIV/0!</v>
      </c>
      <c r="AU59" s="184" t="e">
        <f>IF('Entrada e Saida'!$H$11="TRADING",AP59/(1-(SUM('Entrada e Saida'!$G$63:$G$65)+'Custo Resumido'!D59)),0)</f>
        <v>#DIV/0!</v>
      </c>
      <c r="AV59" s="178" t="e">
        <f>IF('Entrada e Saida'!$H$13="NÃO",AU59*M59,0)</f>
        <v>#DIV/0!</v>
      </c>
      <c r="AW59" s="184" t="e">
        <f t="shared" si="51"/>
        <v>#DIV/0!</v>
      </c>
      <c r="AX59" s="178" t="e">
        <f>'Entrada e Saida'!$G$74*AU59</f>
        <v>#DIV/0!</v>
      </c>
      <c r="AY59" s="184" t="e">
        <f t="shared" si="52"/>
        <v>#DIV/0!</v>
      </c>
      <c r="AZ59" s="184" t="e">
        <f>AQ59+('Entrada e Saida'!$G$65-'Entrada e Saida'!$I$65)*AU59-AX59</f>
        <v>#DIV/0!</v>
      </c>
      <c r="BA59" s="3" t="e">
        <f>IF('Entrada e Saida'!$H$12="REAL",AZ59*'Entrada e Saida'!$G$81,AU59*'Entrada e Saida'!$G$81)</f>
        <v>#DIV/0!</v>
      </c>
      <c r="BB59" s="3" t="e">
        <f>IF('Entrada e Saida'!$H$12="REAL",AZ59*'Entrada e Saida'!$G$82,AU59*'Entrada e Saida'!$G$82)</f>
        <v>#DIV/0!</v>
      </c>
      <c r="BC59" s="4" t="e">
        <f t="shared" si="53"/>
        <v>#DIV/0!</v>
      </c>
      <c r="BD59" s="3" t="e">
        <f>IF('Entrada e Saida'!$H$11="TRADING",AW59/D59,AK59/D59)</f>
        <v>#DIV/0!</v>
      </c>
      <c r="BE59" s="3" t="e">
        <f t="shared" si="54"/>
        <v>#DIV/0!</v>
      </c>
      <c r="BF59" s="2" t="e">
        <f t="shared" si="55"/>
        <v>#DIV/0!</v>
      </c>
      <c r="BG59" s="3" t="e">
        <f>IF('Entrada e Saida'!$H$11="TRADING",AV59/D59,AN59/D59)</f>
        <v>#DIV/0!</v>
      </c>
      <c r="BH59" s="3" t="e">
        <f>IF('Entrada e Saida'!$H$11="TRADING",IF('Entrada e Saida'!$H$12="REAL",AR59/D59,0),AL59/D59)</f>
        <v>#DIV/0!</v>
      </c>
      <c r="BI59" s="3" t="e">
        <f>IF('Entrada e Saida'!$H$11="TRADING",IF('Entrada e Saida'!$H$12="REAL",AS59/D59,0),AM59/D59)</f>
        <v>#DIV/0!</v>
      </c>
      <c r="BJ59" s="3" t="e">
        <f>IF('Entrada e Saida'!$H$11="TRADING",AT59/D59,AO59/D59)</f>
        <v>#DIV/0!</v>
      </c>
      <c r="BK59" s="2" t="e">
        <f t="shared" si="56"/>
        <v>#DIV/0!</v>
      </c>
      <c r="BL59" s="2">
        <f>IF(O59&gt;0,IFERROR(IF('Entrada e Saida'!$H$11="DIRETA",0,(IF('Entrada e Saida'!$H$14="P.JURIDICA",(BD59*(1+O59)*N59)-((BD59/(1+M59))*'Entrada e Saida'!$G$65),((Produtos!N59-'Entrada e Saida'!$G$65)*Produtos!BD59)))),0),0)</f>
        <v>0</v>
      </c>
      <c r="BM59" s="2" t="e">
        <f t="shared" si="57"/>
        <v>#DIV/0!</v>
      </c>
    </row>
    <row r="60" spans="1:65" s="1" customFormat="1">
      <c r="A60" s="127"/>
      <c r="B60" s="172" t="e">
        <f>VLOOKUP(A60,'Master Modelo'!A:I,7,FALSE)</f>
        <v>#N/A</v>
      </c>
      <c r="C60" s="145" t="e">
        <f>VLOOKUP(A60,'Master Modelo'!A:I,2,FALSE)</f>
        <v>#N/A</v>
      </c>
      <c r="D60" s="146"/>
      <c r="E60" s="148">
        <f>IFERROR(VLOOKUP(A60,'Master Modelo'!A:I,9,FALSE),0)</f>
        <v>0</v>
      </c>
      <c r="F60" s="189">
        <f>IFERROR(VLOOKUP(A60,'Master Modelo'!A:I,8,FALSE),0)</f>
        <v>0</v>
      </c>
      <c r="G60" s="189">
        <f>IFERROR(VLOOKUP(A60,'Master Modelo'!A:K,11,FALSE),0)</f>
        <v>0</v>
      </c>
      <c r="H60" s="173" t="e">
        <f t="shared" si="40"/>
        <v>#DIV/0!</v>
      </c>
      <c r="I60" s="163">
        <f>IFERROR(VLOOKUP(A60,'Master Modelo'!A:I,3,FALSE),0)</f>
        <v>0</v>
      </c>
      <c r="J60" s="164">
        <f>IFERROR(VLOOKUP(A60,'Master Modelo'!A:I,5,FALSE),0)</f>
        <v>0</v>
      </c>
      <c r="K60" s="164">
        <f>IFERROR(VLOOKUP(A60,'Master Modelo'!A:I,6,FALSE),0)</f>
        <v>0</v>
      </c>
      <c r="L60" s="165" t="e">
        <f>VLOOKUP(A60,'Master Modelo'!A:J,10,FALSE)</f>
        <v>#N/A</v>
      </c>
      <c r="M60" s="163">
        <f>IFERROR(VLOOKUP(A60,'Master Modelo'!A:I,4,FALSE),0)</f>
        <v>0</v>
      </c>
      <c r="N60" s="175"/>
      <c r="O60" s="187"/>
      <c r="P60" s="177">
        <f t="shared" si="41"/>
        <v>0</v>
      </c>
      <c r="Q60" s="177">
        <f t="shared" si="10"/>
        <v>0</v>
      </c>
      <c r="R60" s="178">
        <f>D60*E60*'Entrada e Saida'!$K$8</f>
        <v>0</v>
      </c>
      <c r="S60" s="179" t="e">
        <f>'Entrada e Saida'!$H$21*'Entrada e Saida'!$K$8*(P60/(SUM(P:P)))</f>
        <v>#DIV/0!</v>
      </c>
      <c r="T60" s="179" t="e">
        <f>'Entrada e Saida'!$H$21*'Entrada e Saida'!$K$8*(Q60/(SUM(Q:Q)))</f>
        <v>#DIV/0!</v>
      </c>
      <c r="U60" s="179" t="e">
        <f>'Entrada e Saida'!$H$22*(P60/(SUM(P:P)))</f>
        <v>#DIV/0!</v>
      </c>
      <c r="V60" s="179" t="e">
        <f>'Entrada e Saida'!$H$22*(Q60/(SUM(Q:Q)))</f>
        <v>#DIV/0!</v>
      </c>
      <c r="W60" s="180" t="e">
        <f t="shared" si="42"/>
        <v>#DIV/0!</v>
      </c>
      <c r="X60" s="179" t="e">
        <f>'Entrada e Saida'!$H$26*(IF('Entrada e Saida'!$H$15="PESO",(P60/(SUM(P:P))),(Q60/(SUM(Q:Q)))))</f>
        <v>#DIV/0!</v>
      </c>
      <c r="Y60" s="179" t="e">
        <f>'Entrada e Saida'!$H$27*(IF('Entrada e Saida'!$H$15="PESO",(P60/(SUM(P:P))),(Q60/(SUM(Q:Q)))))</f>
        <v>#DIV/0!</v>
      </c>
      <c r="Z60" s="179" t="e">
        <f>'Entrada e Saida'!$H$28*(IF('Entrada e Saida'!$H$15="PESO",(P60/(SUM(P:P))),(Q60/(SUM(Q:Q)))))</f>
        <v>#DIV/0!</v>
      </c>
      <c r="AA60" s="181" t="e">
        <f t="shared" si="43"/>
        <v>#DIV/0!</v>
      </c>
      <c r="AB60" s="178" t="e">
        <f t="shared" si="44"/>
        <v>#DIV/0!</v>
      </c>
      <c r="AC60" s="178" t="e">
        <f t="shared" si="45"/>
        <v>#DIV/0!</v>
      </c>
      <c r="AD60" s="178" t="e">
        <f t="shared" si="46"/>
        <v>#DIV/0!</v>
      </c>
      <c r="AE60" s="177" t="e">
        <f t="shared" si="47"/>
        <v>#DIV/0!</v>
      </c>
      <c r="AF60" s="182">
        <f>IFERROR(D60*F60*L60*'Entrada e Saida'!$K$8,0)</f>
        <v>0</v>
      </c>
      <c r="AG60" s="178" t="e">
        <f>((W60+AA60+AB60+AC60+AD60+AE60+AF60)/(1-'Entrada e Saida'!$G$65))*'Entrada e Saida'!$I$66</f>
        <v>#DIV/0!</v>
      </c>
      <c r="AH60" s="180" t="e">
        <f t="shared" si="48"/>
        <v>#DIV/0!</v>
      </c>
      <c r="AI60" s="183" t="e">
        <f>'Entrada e Saida'!$K$51*(IF('Entrada e Saida'!$H$15="PESO",(P60/(SUM(P:P))),(Q60/(SUM(Q:Q)))))</f>
        <v>#DIV/0!</v>
      </c>
      <c r="AJ60" s="183">
        <f>(('Entrada e Saida'!$K$10-'Entrada e Saida'!$K$8)*E60*D60)</f>
        <v>0</v>
      </c>
      <c r="AK60" s="184" t="e">
        <f>IF('Entrada e Saida'!$H$15="PESO",W60+AA60+AH60+AI60+AJ60,W60+AA60+AH60+AI60+AJ60-S60+T60-U60+V60)</f>
        <v>#DIV/0!</v>
      </c>
      <c r="AL60" s="185" t="e">
        <f>IF('Entrada e Saida'!$H$12="REAL",AC60,0)</f>
        <v>#DIV/0!</v>
      </c>
      <c r="AM60" s="185" t="e">
        <f>IF('Entrada e Saida'!$H$12="REAL",AD60,0)</f>
        <v>#DIV/0!</v>
      </c>
      <c r="AN60" s="186" t="e">
        <f>IF('Entrada e Saida'!$H$13= "NÃO",AE60,0)</f>
        <v>#DIV/0!</v>
      </c>
      <c r="AO60" s="186" t="e">
        <f t="shared" si="49"/>
        <v>#DIV/0!</v>
      </c>
      <c r="AP60" s="184" t="e">
        <f t="shared" si="50"/>
        <v>#DIV/0!</v>
      </c>
      <c r="AQ60" s="178" t="e">
        <f>IF('Entrada e Saida'!$H$11="TRADING",AU60*'Custo Resumido'!D60,0)</f>
        <v>#DIV/0!</v>
      </c>
      <c r="AR60" s="178" t="e">
        <f>IF('Entrada e Saida'!$H$11="TRADING",AU60*'Entrada e Saida'!$G$63,0)</f>
        <v>#DIV/0!</v>
      </c>
      <c r="AS60" s="178" t="e">
        <f>IF('Entrada e Saida'!$H$11="TRADING",AU60*'Entrada e Saida'!$G$64,0)</f>
        <v>#DIV/0!</v>
      </c>
      <c r="AT60" s="178" t="e">
        <f>IF('Entrada e Saida'!$H$11="TRADING",AU60*'Entrada e Saida'!$G$65,0)</f>
        <v>#DIV/0!</v>
      </c>
      <c r="AU60" s="184" t="e">
        <f>IF('Entrada e Saida'!$H$11="TRADING",AP60/(1-(SUM('Entrada e Saida'!$G$63:$G$65)+'Custo Resumido'!D60)),0)</f>
        <v>#DIV/0!</v>
      </c>
      <c r="AV60" s="178" t="e">
        <f>IF('Entrada e Saida'!$H$13="NÃO",AU60*M60,0)</f>
        <v>#DIV/0!</v>
      </c>
      <c r="AW60" s="184" t="e">
        <f t="shared" si="51"/>
        <v>#DIV/0!</v>
      </c>
      <c r="AX60" s="178" t="e">
        <f>'Entrada e Saida'!$G$74*AU60</f>
        <v>#DIV/0!</v>
      </c>
      <c r="AY60" s="184" t="e">
        <f t="shared" si="52"/>
        <v>#DIV/0!</v>
      </c>
      <c r="AZ60" s="184" t="e">
        <f>AQ60+('Entrada e Saida'!$G$65-'Entrada e Saida'!$I$65)*AU60-AX60</f>
        <v>#DIV/0!</v>
      </c>
      <c r="BA60" s="3" t="e">
        <f>IF('Entrada e Saida'!$H$12="REAL",AZ60*'Entrada e Saida'!$G$81,AU60*'Entrada e Saida'!$G$81)</f>
        <v>#DIV/0!</v>
      </c>
      <c r="BB60" s="3" t="e">
        <f>IF('Entrada e Saida'!$H$12="REAL",AZ60*'Entrada e Saida'!$G$82,AU60*'Entrada e Saida'!$G$82)</f>
        <v>#DIV/0!</v>
      </c>
      <c r="BC60" s="4" t="e">
        <f t="shared" si="53"/>
        <v>#DIV/0!</v>
      </c>
      <c r="BD60" s="3" t="e">
        <f>IF('Entrada e Saida'!$H$11="TRADING",AW60/D60,AK60/D60)</f>
        <v>#DIV/0!</v>
      </c>
      <c r="BE60" s="3" t="e">
        <f t="shared" si="54"/>
        <v>#DIV/0!</v>
      </c>
      <c r="BF60" s="2" t="e">
        <f t="shared" si="55"/>
        <v>#DIV/0!</v>
      </c>
      <c r="BG60" s="3" t="e">
        <f>IF('Entrada e Saida'!$H$11="TRADING",AV60/D60,AN60/D60)</f>
        <v>#DIV/0!</v>
      </c>
      <c r="BH60" s="3" t="e">
        <f>IF('Entrada e Saida'!$H$11="TRADING",IF('Entrada e Saida'!$H$12="REAL",AR60/D60,0),AL60/D60)</f>
        <v>#DIV/0!</v>
      </c>
      <c r="BI60" s="3" t="e">
        <f>IF('Entrada e Saida'!$H$11="TRADING",IF('Entrada e Saida'!$H$12="REAL",AS60/D60,0),AM60/D60)</f>
        <v>#DIV/0!</v>
      </c>
      <c r="BJ60" s="3" t="e">
        <f>IF('Entrada e Saida'!$H$11="TRADING",AT60/D60,AO60/D60)</f>
        <v>#DIV/0!</v>
      </c>
      <c r="BK60" s="2" t="e">
        <f t="shared" si="56"/>
        <v>#DIV/0!</v>
      </c>
      <c r="BL60" s="2">
        <f>IF(O60&gt;0,IFERROR(IF('Entrada e Saida'!$H$11="DIRETA",0,(IF('Entrada e Saida'!$H$14="P.JURIDICA",(BD60*(1+O60)*N60)-((BD60/(1+M60))*'Entrada e Saida'!$G$65),((Produtos!N60-'Entrada e Saida'!$G$65)*Produtos!BD60)))),0),0)</f>
        <v>0</v>
      </c>
      <c r="BM60" s="2" t="e">
        <f t="shared" si="57"/>
        <v>#DIV/0!</v>
      </c>
    </row>
    <row r="61" spans="1:65" s="1" customFormat="1">
      <c r="A61" s="127"/>
      <c r="B61" s="172" t="e">
        <f>VLOOKUP(A61,'Master Modelo'!A:I,7,FALSE)</f>
        <v>#N/A</v>
      </c>
      <c r="C61" s="145" t="e">
        <f>VLOOKUP(A61,'Master Modelo'!A:I,2,FALSE)</f>
        <v>#N/A</v>
      </c>
      <c r="D61" s="146"/>
      <c r="E61" s="148">
        <f>IFERROR(VLOOKUP(A61,'Master Modelo'!A:I,9,FALSE),0)</f>
        <v>0</v>
      </c>
      <c r="F61" s="189">
        <f>IFERROR(VLOOKUP(A61,'Master Modelo'!A:I,8,FALSE),0)</f>
        <v>0</v>
      </c>
      <c r="G61" s="189">
        <f>IFERROR(VLOOKUP(A61,'Master Modelo'!A:K,11,FALSE),0)</f>
        <v>0</v>
      </c>
      <c r="H61" s="173" t="e">
        <f t="shared" si="40"/>
        <v>#DIV/0!</v>
      </c>
      <c r="I61" s="163">
        <f>IFERROR(VLOOKUP(A61,'Master Modelo'!A:I,3,FALSE),0)</f>
        <v>0</v>
      </c>
      <c r="J61" s="164">
        <f>IFERROR(VLOOKUP(A61,'Master Modelo'!A:I,5,FALSE),0)</f>
        <v>0</v>
      </c>
      <c r="K61" s="164">
        <f>IFERROR(VLOOKUP(A61,'Master Modelo'!A:I,6,FALSE),0)</f>
        <v>0</v>
      </c>
      <c r="L61" s="165" t="e">
        <f>VLOOKUP(A61,'Master Modelo'!A:J,10,FALSE)</f>
        <v>#N/A</v>
      </c>
      <c r="M61" s="163">
        <f>IFERROR(VLOOKUP(A61,'Master Modelo'!A:I,4,FALSE),0)</f>
        <v>0</v>
      </c>
      <c r="N61" s="175"/>
      <c r="O61" s="187"/>
      <c r="P61" s="177">
        <f t="shared" si="41"/>
        <v>0</v>
      </c>
      <c r="Q61" s="177">
        <f t="shared" si="10"/>
        <v>0</v>
      </c>
      <c r="R61" s="178">
        <f>D61*E61*'Entrada e Saida'!$K$8</f>
        <v>0</v>
      </c>
      <c r="S61" s="179" t="e">
        <f>'Entrada e Saida'!$H$21*'Entrada e Saida'!$K$8*(P61/(SUM(P:P)))</f>
        <v>#DIV/0!</v>
      </c>
      <c r="T61" s="179" t="e">
        <f>'Entrada e Saida'!$H$21*'Entrada e Saida'!$K$8*(Q61/(SUM(Q:Q)))</f>
        <v>#DIV/0!</v>
      </c>
      <c r="U61" s="179" t="e">
        <f>'Entrada e Saida'!$H$22*(P61/(SUM(P:P)))</f>
        <v>#DIV/0!</v>
      </c>
      <c r="V61" s="179" t="e">
        <f>'Entrada e Saida'!$H$22*(Q61/(SUM(Q:Q)))</f>
        <v>#DIV/0!</v>
      </c>
      <c r="W61" s="180" t="e">
        <f t="shared" si="42"/>
        <v>#DIV/0!</v>
      </c>
      <c r="X61" s="179" t="e">
        <f>'Entrada e Saida'!$H$26*(IF('Entrada e Saida'!$H$15="PESO",(P61/(SUM(P:P))),(Q61/(SUM(Q:Q)))))</f>
        <v>#DIV/0!</v>
      </c>
      <c r="Y61" s="179" t="e">
        <f>'Entrada e Saida'!$H$27*(IF('Entrada e Saida'!$H$15="PESO",(P61/(SUM(P:P))),(Q61/(SUM(Q:Q)))))</f>
        <v>#DIV/0!</v>
      </c>
      <c r="Z61" s="179" t="e">
        <f>'Entrada e Saida'!$H$28*(IF('Entrada e Saida'!$H$15="PESO",(P61/(SUM(P:P))),(Q61/(SUM(Q:Q)))))</f>
        <v>#DIV/0!</v>
      </c>
      <c r="AA61" s="181" t="e">
        <f t="shared" si="43"/>
        <v>#DIV/0!</v>
      </c>
      <c r="AB61" s="178" t="e">
        <f t="shared" si="44"/>
        <v>#DIV/0!</v>
      </c>
      <c r="AC61" s="178" t="e">
        <f t="shared" si="45"/>
        <v>#DIV/0!</v>
      </c>
      <c r="AD61" s="178" t="e">
        <f t="shared" si="46"/>
        <v>#DIV/0!</v>
      </c>
      <c r="AE61" s="177" t="e">
        <f t="shared" si="47"/>
        <v>#DIV/0!</v>
      </c>
      <c r="AF61" s="182">
        <f>IFERROR(D61*F61*L61*'Entrada e Saida'!$K$8,0)</f>
        <v>0</v>
      </c>
      <c r="AG61" s="178" t="e">
        <f>((W61+AA61+AB61+AC61+AD61+AE61+AF61)/(1-'Entrada e Saida'!$G$65))*'Entrada e Saida'!$I$66</f>
        <v>#DIV/0!</v>
      </c>
      <c r="AH61" s="180" t="e">
        <f t="shared" si="48"/>
        <v>#DIV/0!</v>
      </c>
      <c r="AI61" s="183" t="e">
        <f>'Entrada e Saida'!$K$51*(IF('Entrada e Saida'!$H$15="PESO",(P61/(SUM(P:P))),(Q61/(SUM(Q:Q)))))</f>
        <v>#DIV/0!</v>
      </c>
      <c r="AJ61" s="183">
        <f>(('Entrada e Saida'!$K$10-'Entrada e Saida'!$K$8)*E61*D61)</f>
        <v>0</v>
      </c>
      <c r="AK61" s="184" t="e">
        <f>IF('Entrada e Saida'!$H$15="PESO",W61+AA61+AH61+AI61+AJ61,W61+AA61+AH61+AI61+AJ61-S61+T61-U61+V61)</f>
        <v>#DIV/0!</v>
      </c>
      <c r="AL61" s="185" t="e">
        <f>IF('Entrada e Saida'!$H$12="REAL",AC61,0)</f>
        <v>#DIV/0!</v>
      </c>
      <c r="AM61" s="185" t="e">
        <f>IF('Entrada e Saida'!$H$12="REAL",AD61,0)</f>
        <v>#DIV/0!</v>
      </c>
      <c r="AN61" s="186" t="e">
        <f>IF('Entrada e Saida'!$H$13= "NÃO",AE61,0)</f>
        <v>#DIV/0!</v>
      </c>
      <c r="AO61" s="186" t="e">
        <f t="shared" si="49"/>
        <v>#DIV/0!</v>
      </c>
      <c r="AP61" s="184" t="e">
        <f t="shared" si="50"/>
        <v>#DIV/0!</v>
      </c>
      <c r="AQ61" s="178" t="e">
        <f>IF('Entrada e Saida'!$H$11="TRADING",AU61*'Custo Resumido'!D61,0)</f>
        <v>#DIV/0!</v>
      </c>
      <c r="AR61" s="178" t="e">
        <f>IF('Entrada e Saida'!$H$11="TRADING",AU61*'Entrada e Saida'!$G$63,0)</f>
        <v>#DIV/0!</v>
      </c>
      <c r="AS61" s="178" t="e">
        <f>IF('Entrada e Saida'!$H$11="TRADING",AU61*'Entrada e Saida'!$G$64,0)</f>
        <v>#DIV/0!</v>
      </c>
      <c r="AT61" s="178" t="e">
        <f>IF('Entrada e Saida'!$H$11="TRADING",AU61*'Entrada e Saida'!$G$65,0)</f>
        <v>#DIV/0!</v>
      </c>
      <c r="AU61" s="184" t="e">
        <f>IF('Entrada e Saida'!$H$11="TRADING",AP61/(1-(SUM('Entrada e Saida'!$G$63:$G$65)+'Custo Resumido'!D61)),0)</f>
        <v>#DIV/0!</v>
      </c>
      <c r="AV61" s="178" t="e">
        <f>IF('Entrada e Saida'!$H$13="NÃO",AU61*M61,0)</f>
        <v>#DIV/0!</v>
      </c>
      <c r="AW61" s="184" t="e">
        <f t="shared" si="51"/>
        <v>#DIV/0!</v>
      </c>
      <c r="AX61" s="178" t="e">
        <f>'Entrada e Saida'!$G$74*AU61</f>
        <v>#DIV/0!</v>
      </c>
      <c r="AY61" s="184" t="e">
        <f t="shared" si="52"/>
        <v>#DIV/0!</v>
      </c>
      <c r="AZ61" s="184" t="e">
        <f>AQ61+('Entrada e Saida'!$G$65-'Entrada e Saida'!$I$65)*AU61-AX61</f>
        <v>#DIV/0!</v>
      </c>
      <c r="BA61" s="3" t="e">
        <f>IF('Entrada e Saida'!$H$12="REAL",AZ61*'Entrada e Saida'!$G$81,AU61*'Entrada e Saida'!$G$81)</f>
        <v>#DIV/0!</v>
      </c>
      <c r="BB61" s="3" t="e">
        <f>IF('Entrada e Saida'!$H$12="REAL",AZ61*'Entrada e Saida'!$G$82,AU61*'Entrada e Saida'!$G$82)</f>
        <v>#DIV/0!</v>
      </c>
      <c r="BC61" s="4" t="e">
        <f t="shared" si="53"/>
        <v>#DIV/0!</v>
      </c>
      <c r="BD61" s="3" t="e">
        <f>IF('Entrada e Saida'!$H$11="TRADING",AW61/D61,AK61/D61)</f>
        <v>#DIV/0!</v>
      </c>
      <c r="BE61" s="3" t="e">
        <f t="shared" si="54"/>
        <v>#DIV/0!</v>
      </c>
      <c r="BF61" s="2" t="e">
        <f t="shared" si="55"/>
        <v>#DIV/0!</v>
      </c>
      <c r="BG61" s="3" t="e">
        <f>IF('Entrada e Saida'!$H$11="TRADING",AV61/D61,AN61/D61)</f>
        <v>#DIV/0!</v>
      </c>
      <c r="BH61" s="3" t="e">
        <f>IF('Entrada e Saida'!$H$11="TRADING",IF('Entrada e Saida'!$H$12="REAL",AR61/D61,0),AL61/D61)</f>
        <v>#DIV/0!</v>
      </c>
      <c r="BI61" s="3" t="e">
        <f>IF('Entrada e Saida'!$H$11="TRADING",IF('Entrada e Saida'!$H$12="REAL",AS61/D61,0),AM61/D61)</f>
        <v>#DIV/0!</v>
      </c>
      <c r="BJ61" s="3" t="e">
        <f>IF('Entrada e Saida'!$H$11="TRADING",AT61/D61,AO61/D61)</f>
        <v>#DIV/0!</v>
      </c>
      <c r="BK61" s="2" t="e">
        <f t="shared" si="56"/>
        <v>#DIV/0!</v>
      </c>
      <c r="BL61" s="2">
        <f>IF(O61&gt;0,IFERROR(IF('Entrada e Saida'!$H$11="DIRETA",0,(IF('Entrada e Saida'!$H$14="P.JURIDICA",(BD61*(1+O61)*N61)-((BD61/(1+M61))*'Entrada e Saida'!$G$65),((Produtos!N61-'Entrada e Saida'!$G$65)*Produtos!BD61)))),0),0)</f>
        <v>0</v>
      </c>
      <c r="BM61" s="2" t="e">
        <f t="shared" si="57"/>
        <v>#DIV/0!</v>
      </c>
    </row>
    <row r="62" spans="1:65" s="1" customFormat="1">
      <c r="A62" s="127"/>
      <c r="B62" s="172" t="e">
        <f>VLOOKUP(A62,'Master Modelo'!A:I,7,FALSE)</f>
        <v>#N/A</v>
      </c>
      <c r="C62" s="145" t="e">
        <f>VLOOKUP(A62,'Master Modelo'!A:I,2,FALSE)</f>
        <v>#N/A</v>
      </c>
      <c r="D62" s="146"/>
      <c r="E62" s="148">
        <f>IFERROR(VLOOKUP(A62,'Master Modelo'!A:I,9,FALSE),0)</f>
        <v>0</v>
      </c>
      <c r="F62" s="189">
        <f>IFERROR(VLOOKUP(A62,'Master Modelo'!A:I,8,FALSE),0)</f>
        <v>0</v>
      </c>
      <c r="G62" s="189">
        <f>IFERROR(VLOOKUP(A62,'Master Modelo'!A:K,11,FALSE),0)</f>
        <v>0</v>
      </c>
      <c r="H62" s="173" t="e">
        <f t="shared" si="40"/>
        <v>#DIV/0!</v>
      </c>
      <c r="I62" s="163">
        <f>IFERROR(VLOOKUP(A62,'Master Modelo'!A:I,3,FALSE),0)</f>
        <v>0</v>
      </c>
      <c r="J62" s="164">
        <f>IFERROR(VLOOKUP(A62,'Master Modelo'!A:I,5,FALSE),0)</f>
        <v>0</v>
      </c>
      <c r="K62" s="164">
        <f>IFERROR(VLOOKUP(A62,'Master Modelo'!A:I,6,FALSE),0)</f>
        <v>0</v>
      </c>
      <c r="L62" s="165" t="e">
        <f>VLOOKUP(A62,'Master Modelo'!A:J,10,FALSE)</f>
        <v>#N/A</v>
      </c>
      <c r="M62" s="163">
        <f>IFERROR(VLOOKUP(A62,'Master Modelo'!A:I,4,FALSE),0)</f>
        <v>0</v>
      </c>
      <c r="N62" s="175"/>
      <c r="O62" s="187"/>
      <c r="P62" s="177">
        <f t="shared" si="41"/>
        <v>0</v>
      </c>
      <c r="Q62" s="177">
        <f t="shared" si="10"/>
        <v>0</v>
      </c>
      <c r="R62" s="178">
        <f>D62*E62*'Entrada e Saida'!$K$8</f>
        <v>0</v>
      </c>
      <c r="S62" s="179" t="e">
        <f>'Entrada e Saida'!$H$21*'Entrada e Saida'!$K$8*(P62/(SUM(P:P)))</f>
        <v>#DIV/0!</v>
      </c>
      <c r="T62" s="179" t="e">
        <f>'Entrada e Saida'!$H$21*'Entrada e Saida'!$K$8*(Q62/(SUM(Q:Q)))</f>
        <v>#DIV/0!</v>
      </c>
      <c r="U62" s="179" t="e">
        <f>'Entrada e Saida'!$H$22*(P62/(SUM(P:P)))</f>
        <v>#DIV/0!</v>
      </c>
      <c r="V62" s="179" t="e">
        <f>'Entrada e Saida'!$H$22*(Q62/(SUM(Q:Q)))</f>
        <v>#DIV/0!</v>
      </c>
      <c r="W62" s="180" t="e">
        <f t="shared" si="42"/>
        <v>#DIV/0!</v>
      </c>
      <c r="X62" s="179" t="e">
        <f>'Entrada e Saida'!$H$26*(IF('Entrada e Saida'!$H$15="PESO",(P62/(SUM(P:P))),(Q62/(SUM(Q:Q)))))</f>
        <v>#DIV/0!</v>
      </c>
      <c r="Y62" s="179" t="e">
        <f>'Entrada e Saida'!$H$27*(IF('Entrada e Saida'!$H$15="PESO",(P62/(SUM(P:P))),(Q62/(SUM(Q:Q)))))</f>
        <v>#DIV/0!</v>
      </c>
      <c r="Z62" s="179" t="e">
        <f>'Entrada e Saida'!$H$28*(IF('Entrada e Saida'!$H$15="PESO",(P62/(SUM(P:P))),(Q62/(SUM(Q:Q)))))</f>
        <v>#DIV/0!</v>
      </c>
      <c r="AA62" s="181" t="e">
        <f t="shared" si="43"/>
        <v>#DIV/0!</v>
      </c>
      <c r="AB62" s="178" t="e">
        <f t="shared" si="44"/>
        <v>#DIV/0!</v>
      </c>
      <c r="AC62" s="178" t="e">
        <f t="shared" si="45"/>
        <v>#DIV/0!</v>
      </c>
      <c r="AD62" s="178" t="e">
        <f t="shared" si="46"/>
        <v>#DIV/0!</v>
      </c>
      <c r="AE62" s="177" t="e">
        <f t="shared" si="47"/>
        <v>#DIV/0!</v>
      </c>
      <c r="AF62" s="182">
        <f>IFERROR(D62*F62*L62*'Entrada e Saida'!$K$8,0)</f>
        <v>0</v>
      </c>
      <c r="AG62" s="178" t="e">
        <f>((W62+AA62+AB62+AC62+AD62+AE62+AF62)/(1-'Entrada e Saida'!$G$65))*'Entrada e Saida'!$I$66</f>
        <v>#DIV/0!</v>
      </c>
      <c r="AH62" s="180" t="e">
        <f t="shared" si="48"/>
        <v>#DIV/0!</v>
      </c>
      <c r="AI62" s="183" t="e">
        <f>'Entrada e Saida'!$K$51*(IF('Entrada e Saida'!$H$15="PESO",(P62/(SUM(P:P))),(Q62/(SUM(Q:Q)))))</f>
        <v>#DIV/0!</v>
      </c>
      <c r="AJ62" s="183">
        <f>(('Entrada e Saida'!$K$10-'Entrada e Saida'!$K$8)*E62*D62)</f>
        <v>0</v>
      </c>
      <c r="AK62" s="184" t="e">
        <f>IF('Entrada e Saida'!$H$15="PESO",W62+AA62+AH62+AI62+AJ62,W62+AA62+AH62+AI62+AJ62-S62+T62-U62+V62)</f>
        <v>#DIV/0!</v>
      </c>
      <c r="AL62" s="185" t="e">
        <f>IF('Entrada e Saida'!$H$12="REAL",AC62,0)</f>
        <v>#DIV/0!</v>
      </c>
      <c r="AM62" s="185" t="e">
        <f>IF('Entrada e Saida'!$H$12="REAL",AD62,0)</f>
        <v>#DIV/0!</v>
      </c>
      <c r="AN62" s="186" t="e">
        <f>IF('Entrada e Saida'!$H$13= "NÃO",AE62,0)</f>
        <v>#DIV/0!</v>
      </c>
      <c r="AO62" s="186" t="e">
        <f t="shared" si="49"/>
        <v>#DIV/0!</v>
      </c>
      <c r="AP62" s="184" t="e">
        <f t="shared" si="50"/>
        <v>#DIV/0!</v>
      </c>
      <c r="AQ62" s="178" t="e">
        <f>IF('Entrada e Saida'!$H$11="TRADING",AU62*'Custo Resumido'!D62,0)</f>
        <v>#DIV/0!</v>
      </c>
      <c r="AR62" s="178" t="e">
        <f>IF('Entrada e Saida'!$H$11="TRADING",AU62*'Entrada e Saida'!$G$63,0)</f>
        <v>#DIV/0!</v>
      </c>
      <c r="AS62" s="178" t="e">
        <f>IF('Entrada e Saida'!$H$11="TRADING",AU62*'Entrada e Saida'!$G$64,0)</f>
        <v>#DIV/0!</v>
      </c>
      <c r="AT62" s="178" t="e">
        <f>IF('Entrada e Saida'!$H$11="TRADING",AU62*'Entrada e Saida'!$G$65,0)</f>
        <v>#DIV/0!</v>
      </c>
      <c r="AU62" s="184" t="e">
        <f>IF('Entrada e Saida'!$H$11="TRADING",AP62/(1-(SUM('Entrada e Saida'!$G$63:$G$65)+'Custo Resumido'!D62)),0)</f>
        <v>#DIV/0!</v>
      </c>
      <c r="AV62" s="178" t="e">
        <f>IF('Entrada e Saida'!$H$13="NÃO",AU62*M62,0)</f>
        <v>#DIV/0!</v>
      </c>
      <c r="AW62" s="184" t="e">
        <f t="shared" si="51"/>
        <v>#DIV/0!</v>
      </c>
      <c r="AX62" s="178" t="e">
        <f>'Entrada e Saida'!$G$74*AU62</f>
        <v>#DIV/0!</v>
      </c>
      <c r="AY62" s="184" t="e">
        <f t="shared" si="52"/>
        <v>#DIV/0!</v>
      </c>
      <c r="AZ62" s="184" t="e">
        <f>AQ62+('Entrada e Saida'!$G$65-'Entrada e Saida'!$I$65)*AU62-AX62</f>
        <v>#DIV/0!</v>
      </c>
      <c r="BA62" s="3" t="e">
        <f>IF('Entrada e Saida'!$H$12="REAL",AZ62*'Entrada e Saida'!$G$81,AU62*'Entrada e Saida'!$G$81)</f>
        <v>#DIV/0!</v>
      </c>
      <c r="BB62" s="3" t="e">
        <f>IF('Entrada e Saida'!$H$12="REAL",AZ62*'Entrada e Saida'!$G$82,AU62*'Entrada e Saida'!$G$82)</f>
        <v>#DIV/0!</v>
      </c>
      <c r="BC62" s="4" t="e">
        <f t="shared" si="53"/>
        <v>#DIV/0!</v>
      </c>
      <c r="BD62" s="3" t="e">
        <f>IF('Entrada e Saida'!$H$11="TRADING",AW62/D62,AK62/D62)</f>
        <v>#DIV/0!</v>
      </c>
      <c r="BE62" s="3" t="e">
        <f t="shared" si="54"/>
        <v>#DIV/0!</v>
      </c>
      <c r="BF62" s="2" t="e">
        <f t="shared" si="55"/>
        <v>#DIV/0!</v>
      </c>
      <c r="BG62" s="3" t="e">
        <f>IF('Entrada e Saida'!$H$11="TRADING",AV62/D62,AN62/D62)</f>
        <v>#DIV/0!</v>
      </c>
      <c r="BH62" s="3" t="e">
        <f>IF('Entrada e Saida'!$H$11="TRADING",IF('Entrada e Saida'!$H$12="REAL",AR62/D62,0),AL62/D62)</f>
        <v>#DIV/0!</v>
      </c>
      <c r="BI62" s="3" t="e">
        <f>IF('Entrada e Saida'!$H$11="TRADING",IF('Entrada e Saida'!$H$12="REAL",AS62/D62,0),AM62/D62)</f>
        <v>#DIV/0!</v>
      </c>
      <c r="BJ62" s="3" t="e">
        <f>IF('Entrada e Saida'!$H$11="TRADING",AT62/D62,AO62/D62)</f>
        <v>#DIV/0!</v>
      </c>
      <c r="BK62" s="2" t="e">
        <f t="shared" si="56"/>
        <v>#DIV/0!</v>
      </c>
      <c r="BL62" s="2">
        <f>IF(O62&gt;0,IFERROR(IF('Entrada e Saida'!$H$11="DIRETA",0,(IF('Entrada e Saida'!$H$14="P.JURIDICA",(BD62*(1+O62)*N62)-((BD62/(1+M62))*'Entrada e Saida'!$G$65),((Produtos!N62-'Entrada e Saida'!$G$65)*Produtos!BD62)))),0),0)</f>
        <v>0</v>
      </c>
      <c r="BM62" s="2" t="e">
        <f t="shared" si="57"/>
        <v>#DIV/0!</v>
      </c>
    </row>
    <row r="63" spans="1:65" s="1" customFormat="1">
      <c r="A63" s="127"/>
      <c r="B63" s="172" t="e">
        <f>VLOOKUP(A63,'Master Modelo'!A:I,7,FALSE)</f>
        <v>#N/A</v>
      </c>
      <c r="C63" s="145" t="e">
        <f>VLOOKUP(A63,'Master Modelo'!A:I,2,FALSE)</f>
        <v>#N/A</v>
      </c>
      <c r="D63" s="146"/>
      <c r="E63" s="148">
        <f>IFERROR(VLOOKUP(A63,'Master Modelo'!A:I,9,FALSE),0)</f>
        <v>0</v>
      </c>
      <c r="F63" s="189">
        <f>IFERROR(VLOOKUP(A63,'Master Modelo'!A:I,8,FALSE),0)</f>
        <v>0</v>
      </c>
      <c r="G63" s="189">
        <f>IFERROR(VLOOKUP(A63,'Master Modelo'!A:K,11,FALSE),0)</f>
        <v>0</v>
      </c>
      <c r="H63" s="173" t="e">
        <f t="shared" si="40"/>
        <v>#DIV/0!</v>
      </c>
      <c r="I63" s="163">
        <f>IFERROR(VLOOKUP(A63,'Master Modelo'!A:I,3,FALSE),0)</f>
        <v>0</v>
      </c>
      <c r="J63" s="164">
        <f>IFERROR(VLOOKUP(A63,'Master Modelo'!A:I,5,FALSE),0)</f>
        <v>0</v>
      </c>
      <c r="K63" s="164">
        <f>IFERROR(VLOOKUP(A63,'Master Modelo'!A:I,6,FALSE),0)</f>
        <v>0</v>
      </c>
      <c r="L63" s="165" t="e">
        <f>VLOOKUP(A63,'Master Modelo'!A:J,10,FALSE)</f>
        <v>#N/A</v>
      </c>
      <c r="M63" s="163">
        <f>IFERROR(VLOOKUP(A63,'Master Modelo'!A:I,4,FALSE),0)</f>
        <v>0</v>
      </c>
      <c r="N63" s="175"/>
      <c r="O63" s="187"/>
      <c r="P63" s="177">
        <f t="shared" si="41"/>
        <v>0</v>
      </c>
      <c r="Q63" s="177">
        <f t="shared" si="10"/>
        <v>0</v>
      </c>
      <c r="R63" s="178">
        <f>D63*E63*'Entrada e Saida'!$K$8</f>
        <v>0</v>
      </c>
      <c r="S63" s="179" t="e">
        <f>'Entrada e Saida'!$H$21*'Entrada e Saida'!$K$8*(P63/(SUM(P:P)))</f>
        <v>#DIV/0!</v>
      </c>
      <c r="T63" s="179" t="e">
        <f>'Entrada e Saida'!$H$21*'Entrada e Saida'!$K$8*(Q63/(SUM(Q:Q)))</f>
        <v>#DIV/0!</v>
      </c>
      <c r="U63" s="179" t="e">
        <f>'Entrada e Saida'!$H$22*(P63/(SUM(P:P)))</f>
        <v>#DIV/0!</v>
      </c>
      <c r="V63" s="179" t="e">
        <f>'Entrada e Saida'!$H$22*(Q63/(SUM(Q:Q)))</f>
        <v>#DIV/0!</v>
      </c>
      <c r="W63" s="180" t="e">
        <f t="shared" si="42"/>
        <v>#DIV/0!</v>
      </c>
      <c r="X63" s="179" t="e">
        <f>'Entrada e Saida'!$H$26*(IF('Entrada e Saida'!$H$15="PESO",(P63/(SUM(P:P))),(Q63/(SUM(Q:Q)))))</f>
        <v>#DIV/0!</v>
      </c>
      <c r="Y63" s="179" t="e">
        <f>'Entrada e Saida'!$H$27*(IF('Entrada e Saida'!$H$15="PESO",(P63/(SUM(P:P))),(Q63/(SUM(Q:Q)))))</f>
        <v>#DIV/0!</v>
      </c>
      <c r="Z63" s="179" t="e">
        <f>'Entrada e Saida'!$H$28*(IF('Entrada e Saida'!$H$15="PESO",(P63/(SUM(P:P))),(Q63/(SUM(Q:Q)))))</f>
        <v>#DIV/0!</v>
      </c>
      <c r="AA63" s="181" t="e">
        <f t="shared" si="43"/>
        <v>#DIV/0!</v>
      </c>
      <c r="AB63" s="178" t="e">
        <f t="shared" si="44"/>
        <v>#DIV/0!</v>
      </c>
      <c r="AC63" s="178" t="e">
        <f t="shared" si="45"/>
        <v>#DIV/0!</v>
      </c>
      <c r="AD63" s="178" t="e">
        <f t="shared" si="46"/>
        <v>#DIV/0!</v>
      </c>
      <c r="AE63" s="177" t="e">
        <f t="shared" si="47"/>
        <v>#DIV/0!</v>
      </c>
      <c r="AF63" s="182">
        <f>IFERROR(D63*F63*L63*'Entrada e Saida'!$K$8,0)</f>
        <v>0</v>
      </c>
      <c r="AG63" s="178" t="e">
        <f>((W63+AA63+AB63+AC63+AD63+AE63+AF63)/(1-'Entrada e Saida'!$G$65))*'Entrada e Saida'!$I$66</f>
        <v>#DIV/0!</v>
      </c>
      <c r="AH63" s="180" t="e">
        <f t="shared" si="48"/>
        <v>#DIV/0!</v>
      </c>
      <c r="AI63" s="183" t="e">
        <f>'Entrada e Saida'!$K$51*(IF('Entrada e Saida'!$H$15="PESO",(P63/(SUM(P:P))),(Q63/(SUM(Q:Q)))))</f>
        <v>#DIV/0!</v>
      </c>
      <c r="AJ63" s="183">
        <f>(('Entrada e Saida'!$K$10-'Entrada e Saida'!$K$8)*E63*D63)</f>
        <v>0</v>
      </c>
      <c r="AK63" s="184" t="e">
        <f>IF('Entrada e Saida'!$H$15="PESO",W63+AA63+AH63+AI63+AJ63,W63+AA63+AH63+AI63+AJ63-S63+T63-U63+V63)</f>
        <v>#DIV/0!</v>
      </c>
      <c r="AL63" s="185" t="e">
        <f>IF('Entrada e Saida'!$H$12="REAL",AC63,0)</f>
        <v>#DIV/0!</v>
      </c>
      <c r="AM63" s="185" t="e">
        <f>IF('Entrada e Saida'!$H$12="REAL",AD63,0)</f>
        <v>#DIV/0!</v>
      </c>
      <c r="AN63" s="186" t="e">
        <f>IF('Entrada e Saida'!$H$13= "NÃO",AE63,0)</f>
        <v>#DIV/0!</v>
      </c>
      <c r="AO63" s="186" t="e">
        <f t="shared" si="49"/>
        <v>#DIV/0!</v>
      </c>
      <c r="AP63" s="184" t="e">
        <f t="shared" si="50"/>
        <v>#DIV/0!</v>
      </c>
      <c r="AQ63" s="178" t="e">
        <f>IF('Entrada e Saida'!$H$11="TRADING",AU63*'Custo Resumido'!D63,0)</f>
        <v>#DIV/0!</v>
      </c>
      <c r="AR63" s="178" t="e">
        <f>IF('Entrada e Saida'!$H$11="TRADING",AU63*'Entrada e Saida'!$G$63,0)</f>
        <v>#DIV/0!</v>
      </c>
      <c r="AS63" s="178" t="e">
        <f>IF('Entrada e Saida'!$H$11="TRADING",AU63*'Entrada e Saida'!$G$64,0)</f>
        <v>#DIV/0!</v>
      </c>
      <c r="AT63" s="178" t="e">
        <f>IF('Entrada e Saida'!$H$11="TRADING",AU63*'Entrada e Saida'!$G$65,0)</f>
        <v>#DIV/0!</v>
      </c>
      <c r="AU63" s="184" t="e">
        <f>IF('Entrada e Saida'!$H$11="TRADING",AP63/(1-(SUM('Entrada e Saida'!$G$63:$G$65)+'Custo Resumido'!D63)),0)</f>
        <v>#DIV/0!</v>
      </c>
      <c r="AV63" s="178" t="e">
        <f>IF('Entrada e Saida'!$H$13="NÃO",AU63*M63,0)</f>
        <v>#DIV/0!</v>
      </c>
      <c r="AW63" s="184" t="e">
        <f t="shared" si="51"/>
        <v>#DIV/0!</v>
      </c>
      <c r="AX63" s="178" t="e">
        <f>'Entrada e Saida'!$G$74*AU63</f>
        <v>#DIV/0!</v>
      </c>
      <c r="AY63" s="184" t="e">
        <f t="shared" si="52"/>
        <v>#DIV/0!</v>
      </c>
      <c r="AZ63" s="184" t="e">
        <f>AQ63+('Entrada e Saida'!$G$65-'Entrada e Saida'!$I$65)*AU63-AX63</f>
        <v>#DIV/0!</v>
      </c>
      <c r="BA63" s="3" t="e">
        <f>IF('Entrada e Saida'!$H$12="REAL",AZ63*'Entrada e Saida'!$G$81,AU63*'Entrada e Saida'!$G$81)</f>
        <v>#DIV/0!</v>
      </c>
      <c r="BB63" s="3" t="e">
        <f>IF('Entrada e Saida'!$H$12="REAL",AZ63*'Entrada e Saida'!$G$82,AU63*'Entrada e Saida'!$G$82)</f>
        <v>#DIV/0!</v>
      </c>
      <c r="BC63" s="4" t="e">
        <f t="shared" si="53"/>
        <v>#DIV/0!</v>
      </c>
      <c r="BD63" s="3" t="e">
        <f>IF('Entrada e Saida'!$H$11="TRADING",AW63/D63,AK63/D63)</f>
        <v>#DIV/0!</v>
      </c>
      <c r="BE63" s="3" t="e">
        <f t="shared" si="54"/>
        <v>#DIV/0!</v>
      </c>
      <c r="BF63" s="2" t="e">
        <f t="shared" si="55"/>
        <v>#DIV/0!</v>
      </c>
      <c r="BG63" s="3" t="e">
        <f>IF('Entrada e Saida'!$H$11="TRADING",AV63/D63,AN63/D63)</f>
        <v>#DIV/0!</v>
      </c>
      <c r="BH63" s="3" t="e">
        <f>IF('Entrada e Saida'!$H$11="TRADING",IF('Entrada e Saida'!$H$12="REAL",AR63/D63,0),AL63/D63)</f>
        <v>#DIV/0!</v>
      </c>
      <c r="BI63" s="3" t="e">
        <f>IF('Entrada e Saida'!$H$11="TRADING",IF('Entrada e Saida'!$H$12="REAL",AS63/D63,0),AM63/D63)</f>
        <v>#DIV/0!</v>
      </c>
      <c r="BJ63" s="3" t="e">
        <f>IF('Entrada e Saida'!$H$11="TRADING",AT63/D63,AO63/D63)</f>
        <v>#DIV/0!</v>
      </c>
      <c r="BK63" s="2" t="e">
        <f t="shared" si="56"/>
        <v>#DIV/0!</v>
      </c>
      <c r="BL63" s="2">
        <f>IF(O63&gt;0,IFERROR(IF('Entrada e Saida'!$H$11="DIRETA",0,(IF('Entrada e Saida'!$H$14="P.JURIDICA",(BD63*(1+O63)*N63)-((BD63/(1+M63))*'Entrada e Saida'!$G$65),((Produtos!N63-'Entrada e Saida'!$G$65)*Produtos!BD63)))),0),0)</f>
        <v>0</v>
      </c>
      <c r="BM63" s="2" t="e">
        <f t="shared" si="57"/>
        <v>#DIV/0!</v>
      </c>
    </row>
    <row r="64" spans="1:65" s="1" customFormat="1">
      <c r="A64" s="127"/>
      <c r="B64" s="172" t="e">
        <f>VLOOKUP(A64,'Master Modelo'!A:I,7,FALSE)</f>
        <v>#N/A</v>
      </c>
      <c r="C64" s="145" t="e">
        <f>VLOOKUP(A64,'Master Modelo'!A:I,2,FALSE)</f>
        <v>#N/A</v>
      </c>
      <c r="D64" s="146"/>
      <c r="E64" s="148">
        <f>IFERROR(VLOOKUP(A64,'Master Modelo'!A:I,9,FALSE),0)</f>
        <v>0</v>
      </c>
      <c r="F64" s="189">
        <f>IFERROR(VLOOKUP(A64,'Master Modelo'!A:I,8,FALSE),0)</f>
        <v>0</v>
      </c>
      <c r="G64" s="189">
        <f>IFERROR(VLOOKUP(A64,'Master Modelo'!A:K,11,FALSE),0)</f>
        <v>0</v>
      </c>
      <c r="H64" s="173" t="e">
        <f t="shared" si="40"/>
        <v>#DIV/0!</v>
      </c>
      <c r="I64" s="163">
        <f>IFERROR(VLOOKUP(A64,'Master Modelo'!A:I,3,FALSE),0)</f>
        <v>0</v>
      </c>
      <c r="J64" s="164">
        <f>IFERROR(VLOOKUP(A64,'Master Modelo'!A:I,5,FALSE),0)</f>
        <v>0</v>
      </c>
      <c r="K64" s="164">
        <f>IFERROR(VLOOKUP(A64,'Master Modelo'!A:I,6,FALSE),0)</f>
        <v>0</v>
      </c>
      <c r="L64" s="165" t="e">
        <f>VLOOKUP(A64,'Master Modelo'!A:J,10,FALSE)</f>
        <v>#N/A</v>
      </c>
      <c r="M64" s="163">
        <f>IFERROR(VLOOKUP(A64,'Master Modelo'!A:I,4,FALSE),0)</f>
        <v>0</v>
      </c>
      <c r="N64" s="175"/>
      <c r="O64" s="187"/>
      <c r="P64" s="177">
        <f t="shared" si="41"/>
        <v>0</v>
      </c>
      <c r="Q64" s="177">
        <f t="shared" si="10"/>
        <v>0</v>
      </c>
      <c r="R64" s="178">
        <f>D64*E64*'Entrada e Saida'!$K$8</f>
        <v>0</v>
      </c>
      <c r="S64" s="179" t="e">
        <f>'Entrada e Saida'!$H$21*'Entrada e Saida'!$K$8*(P64/(SUM(P:P)))</f>
        <v>#DIV/0!</v>
      </c>
      <c r="T64" s="179" t="e">
        <f>'Entrada e Saida'!$H$21*'Entrada e Saida'!$K$8*(Q64/(SUM(Q:Q)))</f>
        <v>#DIV/0!</v>
      </c>
      <c r="U64" s="179" t="e">
        <f>'Entrada e Saida'!$H$22*(P64/(SUM(P:P)))</f>
        <v>#DIV/0!</v>
      </c>
      <c r="V64" s="179" t="e">
        <f>'Entrada e Saida'!$H$22*(Q64/(SUM(Q:Q)))</f>
        <v>#DIV/0!</v>
      </c>
      <c r="W64" s="180" t="e">
        <f t="shared" si="42"/>
        <v>#DIV/0!</v>
      </c>
      <c r="X64" s="179" t="e">
        <f>'Entrada e Saida'!$H$26*(IF('Entrada e Saida'!$H$15="PESO",(P64/(SUM(P:P))),(Q64/(SUM(Q:Q)))))</f>
        <v>#DIV/0!</v>
      </c>
      <c r="Y64" s="179" t="e">
        <f>'Entrada e Saida'!$H$27*(IF('Entrada e Saida'!$H$15="PESO",(P64/(SUM(P:P))),(Q64/(SUM(Q:Q)))))</f>
        <v>#DIV/0!</v>
      </c>
      <c r="Z64" s="179" t="e">
        <f>'Entrada e Saida'!$H$28*(IF('Entrada e Saida'!$H$15="PESO",(P64/(SUM(P:P))),(Q64/(SUM(Q:Q)))))</f>
        <v>#DIV/0!</v>
      </c>
      <c r="AA64" s="181" t="e">
        <f t="shared" si="43"/>
        <v>#DIV/0!</v>
      </c>
      <c r="AB64" s="178" t="e">
        <f t="shared" si="44"/>
        <v>#DIV/0!</v>
      </c>
      <c r="AC64" s="178" t="e">
        <f t="shared" si="45"/>
        <v>#DIV/0!</v>
      </c>
      <c r="AD64" s="178" t="e">
        <f t="shared" si="46"/>
        <v>#DIV/0!</v>
      </c>
      <c r="AE64" s="177" t="e">
        <f t="shared" si="47"/>
        <v>#DIV/0!</v>
      </c>
      <c r="AF64" s="182">
        <f>IFERROR(D64*F64*L64*'Entrada e Saida'!$K$8,0)</f>
        <v>0</v>
      </c>
      <c r="AG64" s="178" t="e">
        <f>((W64+AA64+AB64+AC64+AD64+AE64+AF64)/(1-'Entrada e Saida'!$G$65))*'Entrada e Saida'!$I$66</f>
        <v>#DIV/0!</v>
      </c>
      <c r="AH64" s="180" t="e">
        <f t="shared" si="48"/>
        <v>#DIV/0!</v>
      </c>
      <c r="AI64" s="183" t="e">
        <f>'Entrada e Saida'!$K$51*(IF('Entrada e Saida'!$H$15="PESO",(P64/(SUM(P:P))),(Q64/(SUM(Q:Q)))))</f>
        <v>#DIV/0!</v>
      </c>
      <c r="AJ64" s="183">
        <f>(('Entrada e Saida'!$K$10-'Entrada e Saida'!$K$8)*E64*D64)</f>
        <v>0</v>
      </c>
      <c r="AK64" s="184" t="e">
        <f>IF('Entrada e Saida'!$H$15="PESO",W64+AA64+AH64+AI64+AJ64,W64+AA64+AH64+AI64+AJ64-S64+T64-U64+V64)</f>
        <v>#DIV/0!</v>
      </c>
      <c r="AL64" s="185" t="e">
        <f>IF('Entrada e Saida'!$H$12="REAL",AC64,0)</f>
        <v>#DIV/0!</v>
      </c>
      <c r="AM64" s="185" t="e">
        <f>IF('Entrada e Saida'!$H$12="REAL",AD64,0)</f>
        <v>#DIV/0!</v>
      </c>
      <c r="AN64" s="186" t="e">
        <f>IF('Entrada e Saida'!$H$13= "NÃO",AE64,0)</f>
        <v>#DIV/0!</v>
      </c>
      <c r="AO64" s="186" t="e">
        <f t="shared" si="49"/>
        <v>#DIV/0!</v>
      </c>
      <c r="AP64" s="184" t="e">
        <f t="shared" si="50"/>
        <v>#DIV/0!</v>
      </c>
      <c r="AQ64" s="178" t="e">
        <f>IF('Entrada e Saida'!$H$11="TRADING",AU64*'Custo Resumido'!D64,0)</f>
        <v>#DIV/0!</v>
      </c>
      <c r="AR64" s="178" t="e">
        <f>IF('Entrada e Saida'!$H$11="TRADING",AU64*'Entrada e Saida'!$G$63,0)</f>
        <v>#DIV/0!</v>
      </c>
      <c r="AS64" s="178" t="e">
        <f>IF('Entrada e Saida'!$H$11="TRADING",AU64*'Entrada e Saida'!$G$64,0)</f>
        <v>#DIV/0!</v>
      </c>
      <c r="AT64" s="178" t="e">
        <f>IF('Entrada e Saida'!$H$11="TRADING",AU64*'Entrada e Saida'!$G$65,0)</f>
        <v>#DIV/0!</v>
      </c>
      <c r="AU64" s="184" t="e">
        <f>IF('Entrada e Saida'!$H$11="TRADING",AP64/(1-(SUM('Entrada e Saida'!$G$63:$G$65)+'Custo Resumido'!D64)),0)</f>
        <v>#DIV/0!</v>
      </c>
      <c r="AV64" s="178" t="e">
        <f>IF('Entrada e Saida'!$H$13="NÃO",AU64*M64,0)</f>
        <v>#DIV/0!</v>
      </c>
      <c r="AW64" s="184" t="e">
        <f t="shared" si="51"/>
        <v>#DIV/0!</v>
      </c>
      <c r="AX64" s="178" t="e">
        <f>'Entrada e Saida'!$G$74*AU64</f>
        <v>#DIV/0!</v>
      </c>
      <c r="AY64" s="184" t="e">
        <f t="shared" si="52"/>
        <v>#DIV/0!</v>
      </c>
      <c r="AZ64" s="184" t="e">
        <f>AQ64+('Entrada e Saida'!$G$65-'Entrada e Saida'!$I$65)*AU64-AX64</f>
        <v>#DIV/0!</v>
      </c>
      <c r="BA64" s="3" t="e">
        <f>IF('Entrada e Saida'!$H$12="REAL",AZ64*'Entrada e Saida'!$G$81,AU64*'Entrada e Saida'!$G$81)</f>
        <v>#DIV/0!</v>
      </c>
      <c r="BB64" s="3" t="e">
        <f>IF('Entrada e Saida'!$H$12="REAL",AZ64*'Entrada e Saida'!$G$82,AU64*'Entrada e Saida'!$G$82)</f>
        <v>#DIV/0!</v>
      </c>
      <c r="BC64" s="4" t="e">
        <f t="shared" si="53"/>
        <v>#DIV/0!</v>
      </c>
      <c r="BD64" s="3" t="e">
        <f>IF('Entrada e Saida'!$H$11="TRADING",AW64/D64,AK64/D64)</f>
        <v>#DIV/0!</v>
      </c>
      <c r="BE64" s="3" t="e">
        <f t="shared" si="54"/>
        <v>#DIV/0!</v>
      </c>
      <c r="BF64" s="2" t="e">
        <f t="shared" si="55"/>
        <v>#DIV/0!</v>
      </c>
      <c r="BG64" s="3" t="e">
        <f>IF('Entrada e Saida'!$H$11="TRADING",AV64/D64,AN64/D64)</f>
        <v>#DIV/0!</v>
      </c>
      <c r="BH64" s="3" t="e">
        <f>IF('Entrada e Saida'!$H$11="TRADING",IF('Entrada e Saida'!$H$12="REAL",AR64/D64,0),AL64/D64)</f>
        <v>#DIV/0!</v>
      </c>
      <c r="BI64" s="3" t="e">
        <f>IF('Entrada e Saida'!$H$11="TRADING",IF('Entrada e Saida'!$H$12="REAL",AS64/D64,0),AM64/D64)</f>
        <v>#DIV/0!</v>
      </c>
      <c r="BJ64" s="3" t="e">
        <f>IF('Entrada e Saida'!$H$11="TRADING",AT64/D64,AO64/D64)</f>
        <v>#DIV/0!</v>
      </c>
      <c r="BK64" s="2" t="e">
        <f t="shared" si="56"/>
        <v>#DIV/0!</v>
      </c>
      <c r="BL64" s="2">
        <f>IF(O64&gt;0,IFERROR(IF('Entrada e Saida'!$H$11="DIRETA",0,(IF('Entrada e Saida'!$H$14="P.JURIDICA",(BD64*(1+O64)*N64)-((BD64/(1+M64))*'Entrada e Saida'!$G$65),((Produtos!N64-'Entrada e Saida'!$G$65)*Produtos!BD64)))),0),0)</f>
        <v>0</v>
      </c>
      <c r="BM64" s="2" t="e">
        <f t="shared" si="57"/>
        <v>#DIV/0!</v>
      </c>
    </row>
    <row r="65" spans="1:65" s="1" customFormat="1">
      <c r="A65" s="127"/>
      <c r="B65" s="172" t="e">
        <f>VLOOKUP(A65,'Master Modelo'!A:I,7,FALSE)</f>
        <v>#N/A</v>
      </c>
      <c r="C65" s="145" t="e">
        <f>VLOOKUP(A65,'Master Modelo'!A:I,2,FALSE)</f>
        <v>#N/A</v>
      </c>
      <c r="D65" s="146"/>
      <c r="E65" s="143">
        <f>IFERROR(VLOOKUP(A65,'Master Modelo'!A:I,9,FALSE),0)</f>
        <v>0</v>
      </c>
      <c r="F65" s="189">
        <f>IFERROR(VLOOKUP(A65,'Master Modelo'!A:I,8,FALSE),0)</f>
        <v>0</v>
      </c>
      <c r="G65" s="189">
        <f>IFERROR(VLOOKUP(A65,'Master Modelo'!A:K,11,FALSE),0)</f>
        <v>0</v>
      </c>
      <c r="H65" s="173" t="e">
        <f t="shared" si="40"/>
        <v>#DIV/0!</v>
      </c>
      <c r="I65" s="163">
        <f>IFERROR(VLOOKUP(A65,'Master Modelo'!A:I,3,FALSE),0)</f>
        <v>0</v>
      </c>
      <c r="J65" s="164">
        <f>IFERROR(VLOOKUP(A65,'Master Modelo'!A:I,5,FALSE),0)</f>
        <v>0</v>
      </c>
      <c r="K65" s="164">
        <f>IFERROR(VLOOKUP(A65,'Master Modelo'!A:I,6,FALSE),0)</f>
        <v>0</v>
      </c>
      <c r="L65" s="165" t="e">
        <f>VLOOKUP(A65,'Master Modelo'!A:J,10,FALSE)</f>
        <v>#N/A</v>
      </c>
      <c r="M65" s="163">
        <f>IFERROR(VLOOKUP(A65,'Master Modelo'!A:I,4,FALSE),0)</f>
        <v>0</v>
      </c>
      <c r="N65" s="175"/>
      <c r="O65" s="187"/>
      <c r="P65" s="177">
        <f t="shared" si="41"/>
        <v>0</v>
      </c>
      <c r="Q65" s="177">
        <f t="shared" ref="Q65:Q128" si="58">D65*G65</f>
        <v>0</v>
      </c>
      <c r="R65" s="178">
        <f>D65*E65*'Entrada e Saida'!$K$8</f>
        <v>0</v>
      </c>
      <c r="S65" s="179" t="e">
        <f>'Entrada e Saida'!$H$21*'Entrada e Saida'!$K$8*(P65/(SUM(P:P)))</f>
        <v>#DIV/0!</v>
      </c>
      <c r="T65" s="179" t="e">
        <f>'Entrada e Saida'!$H$21*'Entrada e Saida'!$K$8*(Q65/(SUM(Q:Q)))</f>
        <v>#DIV/0!</v>
      </c>
      <c r="U65" s="179" t="e">
        <f>'Entrada e Saida'!$H$22*(P65/(SUM(P:P)))</f>
        <v>#DIV/0!</v>
      </c>
      <c r="V65" s="179" t="e">
        <f>'Entrada e Saida'!$H$22*(Q65/(SUM(Q:Q)))</f>
        <v>#DIV/0!</v>
      </c>
      <c r="W65" s="180" t="e">
        <f t="shared" si="42"/>
        <v>#DIV/0!</v>
      </c>
      <c r="X65" s="179" t="e">
        <f>'Entrada e Saida'!$H$26*(IF('Entrada e Saida'!$H$15="PESO",(P65/(SUM(P:P))),(Q65/(SUM(Q:Q)))))</f>
        <v>#DIV/0!</v>
      </c>
      <c r="Y65" s="179" t="e">
        <f>'Entrada e Saida'!$H$27*(IF('Entrada e Saida'!$H$15="PESO",(P65/(SUM(P:P))),(Q65/(SUM(Q:Q)))))</f>
        <v>#DIV/0!</v>
      </c>
      <c r="Z65" s="179" t="e">
        <f>'Entrada e Saida'!$H$28*(IF('Entrada e Saida'!$H$15="PESO",(P65/(SUM(P:P))),(Q65/(SUM(Q:Q)))))</f>
        <v>#DIV/0!</v>
      </c>
      <c r="AA65" s="181" t="e">
        <f t="shared" si="43"/>
        <v>#DIV/0!</v>
      </c>
      <c r="AB65" s="178" t="e">
        <f t="shared" si="44"/>
        <v>#DIV/0!</v>
      </c>
      <c r="AC65" s="178" t="e">
        <f t="shared" si="45"/>
        <v>#DIV/0!</v>
      </c>
      <c r="AD65" s="178" t="e">
        <f t="shared" si="46"/>
        <v>#DIV/0!</v>
      </c>
      <c r="AE65" s="177" t="e">
        <f t="shared" si="47"/>
        <v>#DIV/0!</v>
      </c>
      <c r="AF65" s="182">
        <f>IFERROR(D65*F65*L65*'Entrada e Saida'!$K$8,0)</f>
        <v>0</v>
      </c>
      <c r="AG65" s="178" t="e">
        <f>((W65+AA65+AB65+AC65+AD65+AE65+AF65)/(1-'Entrada e Saida'!$G$65))*'Entrada e Saida'!$I$66</f>
        <v>#DIV/0!</v>
      </c>
      <c r="AH65" s="180" t="e">
        <f t="shared" si="48"/>
        <v>#DIV/0!</v>
      </c>
      <c r="AI65" s="183" t="e">
        <f>'Entrada e Saida'!$K$51*(IF('Entrada e Saida'!$H$15="PESO",(P65/(SUM(P:P))),(Q65/(SUM(Q:Q)))))</f>
        <v>#DIV/0!</v>
      </c>
      <c r="AJ65" s="183">
        <f>(('Entrada e Saida'!$K$10-'Entrada e Saida'!$K$8)*E65*D65)</f>
        <v>0</v>
      </c>
      <c r="AK65" s="184" t="e">
        <f>IF('Entrada e Saida'!$H$15="PESO",W65+AA65+AH65+AI65+AJ65,W65+AA65+AH65+AI65+AJ65-S65+T65-U65+V65)</f>
        <v>#DIV/0!</v>
      </c>
      <c r="AL65" s="185" t="e">
        <f>IF('Entrada e Saida'!$H$12="REAL",AC65,0)</f>
        <v>#DIV/0!</v>
      </c>
      <c r="AM65" s="185" t="e">
        <f>IF('Entrada e Saida'!$H$12="REAL",AD65,0)</f>
        <v>#DIV/0!</v>
      </c>
      <c r="AN65" s="186" t="e">
        <f>IF('Entrada e Saida'!$H$13= "NÃO",AE65,0)</f>
        <v>#DIV/0!</v>
      </c>
      <c r="AO65" s="186" t="e">
        <f t="shared" si="49"/>
        <v>#DIV/0!</v>
      </c>
      <c r="AP65" s="184" t="e">
        <f t="shared" si="50"/>
        <v>#DIV/0!</v>
      </c>
      <c r="AQ65" s="178" t="e">
        <f>IF('Entrada e Saida'!$H$11="TRADING",AU65*'Custo Resumido'!D65,0)</f>
        <v>#DIV/0!</v>
      </c>
      <c r="AR65" s="178" t="e">
        <f>IF('Entrada e Saida'!$H$11="TRADING",AU65*'Entrada e Saida'!$G$63,0)</f>
        <v>#DIV/0!</v>
      </c>
      <c r="AS65" s="178" t="e">
        <f>IF('Entrada e Saida'!$H$11="TRADING",AU65*'Entrada e Saida'!$G$64,0)</f>
        <v>#DIV/0!</v>
      </c>
      <c r="AT65" s="178" t="e">
        <f>IF('Entrada e Saida'!$H$11="TRADING",AU65*'Entrada e Saida'!$G$65,0)</f>
        <v>#DIV/0!</v>
      </c>
      <c r="AU65" s="184" t="e">
        <f>IF('Entrada e Saida'!$H$11="TRADING",AP65/(1-(SUM('Entrada e Saida'!$G$63:$G$65)+'Custo Resumido'!D65)),0)</f>
        <v>#DIV/0!</v>
      </c>
      <c r="AV65" s="178" t="e">
        <f>IF('Entrada e Saida'!$H$13="NÃO",AU65*M65,0)</f>
        <v>#DIV/0!</v>
      </c>
      <c r="AW65" s="184" t="e">
        <f t="shared" si="51"/>
        <v>#DIV/0!</v>
      </c>
      <c r="AX65" s="178" t="e">
        <f>'Entrada e Saida'!$G$74*AU65</f>
        <v>#DIV/0!</v>
      </c>
      <c r="AY65" s="184" t="e">
        <f t="shared" si="52"/>
        <v>#DIV/0!</v>
      </c>
      <c r="AZ65" s="184" t="e">
        <f>AQ65+('Entrada e Saida'!$G$65-'Entrada e Saida'!$I$65)*AU65-AX65</f>
        <v>#DIV/0!</v>
      </c>
      <c r="BA65" s="3" t="e">
        <f>IF('Entrada e Saida'!$H$12="REAL",AZ65*'Entrada e Saida'!$G$81,AU65*'Entrada e Saida'!$G$81)</f>
        <v>#DIV/0!</v>
      </c>
      <c r="BB65" s="3" t="e">
        <f>IF('Entrada e Saida'!$H$12="REAL",AZ65*'Entrada e Saida'!$G$82,AU65*'Entrada e Saida'!$G$82)</f>
        <v>#DIV/0!</v>
      </c>
      <c r="BC65" s="4" t="e">
        <f t="shared" si="53"/>
        <v>#DIV/0!</v>
      </c>
      <c r="BD65" s="3" t="e">
        <f>IF('Entrada e Saida'!$H$11="TRADING",AW65/D65,AK65/D65)</f>
        <v>#DIV/0!</v>
      </c>
      <c r="BE65" s="3" t="e">
        <f t="shared" si="54"/>
        <v>#DIV/0!</v>
      </c>
      <c r="BF65" s="2" t="e">
        <f t="shared" si="55"/>
        <v>#DIV/0!</v>
      </c>
      <c r="BG65" s="3" t="e">
        <f>IF('Entrada e Saida'!$H$11="TRADING",AV65/D65,AN65/D65)</f>
        <v>#DIV/0!</v>
      </c>
      <c r="BH65" s="3" t="e">
        <f>IF('Entrada e Saida'!$H$11="TRADING",IF('Entrada e Saida'!$H$12="REAL",AR65/D65,0),AL65/D65)</f>
        <v>#DIV/0!</v>
      </c>
      <c r="BI65" s="3" t="e">
        <f>IF('Entrada e Saida'!$H$11="TRADING",IF('Entrada e Saida'!$H$12="REAL",AS65/D65,0),AM65/D65)</f>
        <v>#DIV/0!</v>
      </c>
      <c r="BJ65" s="3" t="e">
        <f>IF('Entrada e Saida'!$H$11="TRADING",AT65/D65,AO65/D65)</f>
        <v>#DIV/0!</v>
      </c>
      <c r="BK65" s="2" t="e">
        <f t="shared" si="56"/>
        <v>#DIV/0!</v>
      </c>
      <c r="BL65" s="2">
        <f>IF(O65&gt;0,IFERROR(IF('Entrada e Saida'!$H$11="DIRETA",0,(IF('Entrada e Saida'!$H$14="P.JURIDICA",(BD65*(1+O65)*N65)-((BD65/(1+M65))*'Entrada e Saida'!$G$65),((Produtos!N65-'Entrada e Saida'!$G$65)*Produtos!BD65)))),0),0)</f>
        <v>0</v>
      </c>
      <c r="BM65" s="2" t="e">
        <f t="shared" si="57"/>
        <v>#DIV/0!</v>
      </c>
    </row>
    <row r="66" spans="1:65" s="1" customFormat="1">
      <c r="A66" s="127"/>
      <c r="B66" s="172" t="e">
        <f>VLOOKUP(A66,'Master Modelo'!A:I,7,FALSE)</f>
        <v>#N/A</v>
      </c>
      <c r="C66" s="145" t="e">
        <f>VLOOKUP(A66,'Master Modelo'!A:I,2,FALSE)</f>
        <v>#N/A</v>
      </c>
      <c r="D66" s="146"/>
      <c r="E66" s="143">
        <f>IFERROR(VLOOKUP(A66,'Master Modelo'!A:I,9,FALSE),0)</f>
        <v>0</v>
      </c>
      <c r="F66" s="189">
        <f>IFERROR(VLOOKUP(A66,'Master Modelo'!A:I,8,FALSE),0)</f>
        <v>0</v>
      </c>
      <c r="G66" s="189">
        <f>IFERROR(VLOOKUP(A66,'Master Modelo'!A:K,11,FALSE),0)</f>
        <v>0</v>
      </c>
      <c r="H66" s="173" t="e">
        <f t="shared" si="40"/>
        <v>#DIV/0!</v>
      </c>
      <c r="I66" s="163">
        <f>IFERROR(VLOOKUP(A66,'Master Modelo'!A:I,3,FALSE),0)</f>
        <v>0</v>
      </c>
      <c r="J66" s="164">
        <f>IFERROR(VLOOKUP(A66,'Master Modelo'!A:I,5,FALSE),0)</f>
        <v>0</v>
      </c>
      <c r="K66" s="164">
        <f>IFERROR(VLOOKUP(A66,'Master Modelo'!A:I,6,FALSE),0)</f>
        <v>0</v>
      </c>
      <c r="L66" s="165" t="e">
        <f>VLOOKUP(A66,'Master Modelo'!A:J,10,FALSE)</f>
        <v>#N/A</v>
      </c>
      <c r="M66" s="163">
        <f>IFERROR(VLOOKUP(A66,'Master Modelo'!A:I,4,FALSE),0)</f>
        <v>0</v>
      </c>
      <c r="N66" s="175"/>
      <c r="O66" s="187"/>
      <c r="P66" s="177">
        <f t="shared" si="41"/>
        <v>0</v>
      </c>
      <c r="Q66" s="177">
        <f t="shared" si="58"/>
        <v>0</v>
      </c>
      <c r="R66" s="178">
        <f>D66*E66*'Entrada e Saida'!$K$8</f>
        <v>0</v>
      </c>
      <c r="S66" s="179" t="e">
        <f>'Entrada e Saida'!$H$21*'Entrada e Saida'!$K$8*(P66/(SUM(P:P)))</f>
        <v>#DIV/0!</v>
      </c>
      <c r="T66" s="179" t="e">
        <f>'Entrada e Saida'!$H$21*'Entrada e Saida'!$K$8*(Q66/(SUM(Q:Q)))</f>
        <v>#DIV/0!</v>
      </c>
      <c r="U66" s="179" t="e">
        <f>'Entrada e Saida'!$H$22*(P66/(SUM(P:P)))</f>
        <v>#DIV/0!</v>
      </c>
      <c r="V66" s="179" t="e">
        <f>'Entrada e Saida'!$H$22*(Q66/(SUM(Q:Q)))</f>
        <v>#DIV/0!</v>
      </c>
      <c r="W66" s="180" t="e">
        <f t="shared" si="42"/>
        <v>#DIV/0!</v>
      </c>
      <c r="X66" s="179" t="e">
        <f>'Entrada e Saida'!$H$26*(IF('Entrada e Saida'!$H$15="PESO",(P66/(SUM(P:P))),(Q66/(SUM(Q:Q)))))</f>
        <v>#DIV/0!</v>
      </c>
      <c r="Y66" s="179" t="e">
        <f>'Entrada e Saida'!$H$27*(IF('Entrada e Saida'!$H$15="PESO",(P66/(SUM(P:P))),(Q66/(SUM(Q:Q)))))</f>
        <v>#DIV/0!</v>
      </c>
      <c r="Z66" s="179" t="e">
        <f>'Entrada e Saida'!$H$28*(IF('Entrada e Saida'!$H$15="PESO",(P66/(SUM(P:P))),(Q66/(SUM(Q:Q)))))</f>
        <v>#DIV/0!</v>
      </c>
      <c r="AA66" s="181" t="e">
        <f t="shared" si="43"/>
        <v>#DIV/0!</v>
      </c>
      <c r="AB66" s="178" t="e">
        <f t="shared" si="44"/>
        <v>#DIV/0!</v>
      </c>
      <c r="AC66" s="178" t="e">
        <f t="shared" si="45"/>
        <v>#DIV/0!</v>
      </c>
      <c r="AD66" s="178" t="e">
        <f t="shared" si="46"/>
        <v>#DIV/0!</v>
      </c>
      <c r="AE66" s="177" t="e">
        <f t="shared" si="47"/>
        <v>#DIV/0!</v>
      </c>
      <c r="AF66" s="182">
        <f>IFERROR(D66*F66*L66*'Entrada e Saida'!$K$8,0)</f>
        <v>0</v>
      </c>
      <c r="AG66" s="178" t="e">
        <f>((W66+AA66+AB66+AC66+AD66+AE66+AF66)/(1-'Entrada e Saida'!$G$65))*'Entrada e Saida'!$I$66</f>
        <v>#DIV/0!</v>
      </c>
      <c r="AH66" s="180" t="e">
        <f t="shared" si="48"/>
        <v>#DIV/0!</v>
      </c>
      <c r="AI66" s="183" t="e">
        <f>'Entrada e Saida'!$K$51*(IF('Entrada e Saida'!$H$15="PESO",(P66/(SUM(P:P))),(Q66/(SUM(Q:Q)))))</f>
        <v>#DIV/0!</v>
      </c>
      <c r="AJ66" s="183">
        <f>(('Entrada e Saida'!$K$10-'Entrada e Saida'!$K$8)*E66*D66)</f>
        <v>0</v>
      </c>
      <c r="AK66" s="184" t="e">
        <f>IF('Entrada e Saida'!$H$15="PESO",W66+AA66+AH66+AI66+AJ66,W66+AA66+AH66+AI66+AJ66-S66+T66-U66+V66)</f>
        <v>#DIV/0!</v>
      </c>
      <c r="AL66" s="185" t="e">
        <f>IF('Entrada e Saida'!$H$12="REAL",AC66,0)</f>
        <v>#DIV/0!</v>
      </c>
      <c r="AM66" s="185" t="e">
        <f>IF('Entrada e Saida'!$H$12="REAL",AD66,0)</f>
        <v>#DIV/0!</v>
      </c>
      <c r="AN66" s="186" t="e">
        <f>IF('Entrada e Saida'!$H$13= "NÃO",AE66,0)</f>
        <v>#DIV/0!</v>
      </c>
      <c r="AO66" s="186" t="e">
        <f t="shared" si="49"/>
        <v>#DIV/0!</v>
      </c>
      <c r="AP66" s="184" t="e">
        <f t="shared" si="50"/>
        <v>#DIV/0!</v>
      </c>
      <c r="AQ66" s="178" t="e">
        <f>IF('Entrada e Saida'!$H$11="TRADING",AU66*'Custo Resumido'!D66,0)</f>
        <v>#DIV/0!</v>
      </c>
      <c r="AR66" s="178" t="e">
        <f>IF('Entrada e Saida'!$H$11="TRADING",AU66*'Entrada e Saida'!$G$63,0)</f>
        <v>#DIV/0!</v>
      </c>
      <c r="AS66" s="178" t="e">
        <f>IF('Entrada e Saida'!$H$11="TRADING",AU66*'Entrada e Saida'!$G$64,0)</f>
        <v>#DIV/0!</v>
      </c>
      <c r="AT66" s="178" t="e">
        <f>IF('Entrada e Saida'!$H$11="TRADING",AU66*'Entrada e Saida'!$G$65,0)</f>
        <v>#DIV/0!</v>
      </c>
      <c r="AU66" s="184" t="e">
        <f>IF('Entrada e Saida'!$H$11="TRADING",AP66/(1-(SUM('Entrada e Saida'!$G$63:$G$65)+'Custo Resumido'!D66)),0)</f>
        <v>#DIV/0!</v>
      </c>
      <c r="AV66" s="178" t="e">
        <f>IF('Entrada e Saida'!$H$13="NÃO",AU66*M66,0)</f>
        <v>#DIV/0!</v>
      </c>
      <c r="AW66" s="184" t="e">
        <f t="shared" si="51"/>
        <v>#DIV/0!</v>
      </c>
      <c r="AX66" s="178" t="e">
        <f>'Entrada e Saida'!$G$74*AU66</f>
        <v>#DIV/0!</v>
      </c>
      <c r="AY66" s="184" t="e">
        <f t="shared" si="52"/>
        <v>#DIV/0!</v>
      </c>
      <c r="AZ66" s="184" t="e">
        <f>AQ66+('Entrada e Saida'!$G$65-'Entrada e Saida'!$I$65)*AU66-AX66</f>
        <v>#DIV/0!</v>
      </c>
      <c r="BA66" s="3" t="e">
        <f>IF('Entrada e Saida'!$H$12="REAL",AZ66*'Entrada e Saida'!$G$81,AU66*'Entrada e Saida'!$G$81)</f>
        <v>#DIV/0!</v>
      </c>
      <c r="BB66" s="3" t="e">
        <f>IF('Entrada e Saida'!$H$12="REAL",AZ66*'Entrada e Saida'!$G$82,AU66*'Entrada e Saida'!$G$82)</f>
        <v>#DIV/0!</v>
      </c>
      <c r="BC66" s="4" t="e">
        <f t="shared" si="53"/>
        <v>#DIV/0!</v>
      </c>
      <c r="BD66" s="3" t="e">
        <f>IF('Entrada e Saida'!$H$11="TRADING",AW66/D66,AK66/D66)</f>
        <v>#DIV/0!</v>
      </c>
      <c r="BE66" s="3" t="e">
        <f t="shared" si="54"/>
        <v>#DIV/0!</v>
      </c>
      <c r="BF66" s="2" t="e">
        <f t="shared" si="55"/>
        <v>#DIV/0!</v>
      </c>
      <c r="BG66" s="3" t="e">
        <f>IF('Entrada e Saida'!$H$11="TRADING",AV66/D66,AN66/D66)</f>
        <v>#DIV/0!</v>
      </c>
      <c r="BH66" s="3" t="e">
        <f>IF('Entrada e Saida'!$H$11="TRADING",IF('Entrada e Saida'!$H$12="REAL",AR66/D66,0),AL66/D66)</f>
        <v>#DIV/0!</v>
      </c>
      <c r="BI66" s="3" t="e">
        <f>IF('Entrada e Saida'!$H$11="TRADING",IF('Entrada e Saida'!$H$12="REAL",AS66/D66,0),AM66/D66)</f>
        <v>#DIV/0!</v>
      </c>
      <c r="BJ66" s="3" t="e">
        <f>IF('Entrada e Saida'!$H$11="TRADING",AT66/D66,AO66/D66)</f>
        <v>#DIV/0!</v>
      </c>
      <c r="BK66" s="2" t="e">
        <f t="shared" si="56"/>
        <v>#DIV/0!</v>
      </c>
      <c r="BL66" s="2">
        <f>IF(O66&gt;0,IFERROR(IF('Entrada e Saida'!$H$11="DIRETA",0,(IF('Entrada e Saida'!$H$14="P.JURIDICA",(BD66*(1+O66)*N66)-((BD66/(1+M66))*'Entrada e Saida'!$G$65),((Produtos!N66-'Entrada e Saida'!$G$65)*Produtos!BD66)))),0),0)</f>
        <v>0</v>
      </c>
      <c r="BM66" s="2" t="e">
        <f t="shared" si="57"/>
        <v>#DIV/0!</v>
      </c>
    </row>
    <row r="67" spans="1:65" s="1" customFormat="1">
      <c r="A67" s="127"/>
      <c r="B67" s="172" t="e">
        <f>VLOOKUP(A67,'Master Modelo'!A:I,7,FALSE)</f>
        <v>#N/A</v>
      </c>
      <c r="C67" s="145" t="e">
        <f>VLOOKUP(A67,'Master Modelo'!A:I,2,FALSE)</f>
        <v>#N/A</v>
      </c>
      <c r="D67" s="146"/>
      <c r="E67" s="143">
        <f>IFERROR(VLOOKUP(A67,'Master Modelo'!A:I,9,FALSE),0)</f>
        <v>0</v>
      </c>
      <c r="F67" s="189">
        <f>IFERROR(VLOOKUP(A67,'Master Modelo'!A:I,8,FALSE),0)</f>
        <v>0</v>
      </c>
      <c r="G67" s="189">
        <f>IFERROR(VLOOKUP(A67,'Master Modelo'!A:K,11,FALSE),0)</f>
        <v>0</v>
      </c>
      <c r="H67" s="173" t="e">
        <f t="shared" si="40"/>
        <v>#DIV/0!</v>
      </c>
      <c r="I67" s="163">
        <f>IFERROR(VLOOKUP(A67,'Master Modelo'!A:I,3,FALSE),0)</f>
        <v>0</v>
      </c>
      <c r="J67" s="164">
        <f>IFERROR(VLOOKUP(A67,'Master Modelo'!A:I,5,FALSE),0)</f>
        <v>0</v>
      </c>
      <c r="K67" s="164">
        <f>IFERROR(VLOOKUP(A67,'Master Modelo'!A:I,6,FALSE),0)</f>
        <v>0</v>
      </c>
      <c r="L67" s="165" t="e">
        <f>VLOOKUP(A67,'Master Modelo'!A:J,10,FALSE)</f>
        <v>#N/A</v>
      </c>
      <c r="M67" s="163">
        <f>IFERROR(VLOOKUP(A67,'Master Modelo'!A:I,4,FALSE),0)</f>
        <v>0</v>
      </c>
      <c r="N67" s="175"/>
      <c r="O67" s="187"/>
      <c r="P67" s="177">
        <f t="shared" si="41"/>
        <v>0</v>
      </c>
      <c r="Q67" s="177">
        <f t="shared" si="58"/>
        <v>0</v>
      </c>
      <c r="R67" s="178">
        <f>D67*E67*'Entrada e Saida'!$K$8</f>
        <v>0</v>
      </c>
      <c r="S67" s="179" t="e">
        <f>'Entrada e Saida'!$H$21*'Entrada e Saida'!$K$8*(P67/(SUM(P:P)))</f>
        <v>#DIV/0!</v>
      </c>
      <c r="T67" s="179" t="e">
        <f>'Entrada e Saida'!$H$21*'Entrada e Saida'!$K$8*(Q67/(SUM(Q:Q)))</f>
        <v>#DIV/0!</v>
      </c>
      <c r="U67" s="179" t="e">
        <f>'Entrada e Saida'!$H$22*(P67/(SUM(P:P)))</f>
        <v>#DIV/0!</v>
      </c>
      <c r="V67" s="179" t="e">
        <f>'Entrada e Saida'!$H$22*(Q67/(SUM(Q:Q)))</f>
        <v>#DIV/0!</v>
      </c>
      <c r="W67" s="180" t="e">
        <f t="shared" si="42"/>
        <v>#DIV/0!</v>
      </c>
      <c r="X67" s="179" t="e">
        <f>'Entrada e Saida'!$H$26*(IF('Entrada e Saida'!$H$15="PESO",(P67/(SUM(P:P))),(Q67/(SUM(Q:Q)))))</f>
        <v>#DIV/0!</v>
      </c>
      <c r="Y67" s="179" t="e">
        <f>'Entrada e Saida'!$H$27*(IF('Entrada e Saida'!$H$15="PESO",(P67/(SUM(P:P))),(Q67/(SUM(Q:Q)))))</f>
        <v>#DIV/0!</v>
      </c>
      <c r="Z67" s="179" t="e">
        <f>'Entrada e Saida'!$H$28*(IF('Entrada e Saida'!$H$15="PESO",(P67/(SUM(P:P))),(Q67/(SUM(Q:Q)))))</f>
        <v>#DIV/0!</v>
      </c>
      <c r="AA67" s="181" t="e">
        <f t="shared" si="43"/>
        <v>#DIV/0!</v>
      </c>
      <c r="AB67" s="178" t="e">
        <f t="shared" si="44"/>
        <v>#DIV/0!</v>
      </c>
      <c r="AC67" s="178" t="e">
        <f t="shared" si="45"/>
        <v>#DIV/0!</v>
      </c>
      <c r="AD67" s="178" t="e">
        <f t="shared" si="46"/>
        <v>#DIV/0!</v>
      </c>
      <c r="AE67" s="177" t="e">
        <f t="shared" si="47"/>
        <v>#DIV/0!</v>
      </c>
      <c r="AF67" s="182">
        <f>IFERROR(D67*F67*L67*'Entrada e Saida'!$K$8,0)</f>
        <v>0</v>
      </c>
      <c r="AG67" s="178" t="e">
        <f>((W67+AA67+AB67+AC67+AD67+AE67+AF67)/(1-'Entrada e Saida'!$G$65))*'Entrada e Saida'!$I$66</f>
        <v>#DIV/0!</v>
      </c>
      <c r="AH67" s="180" t="e">
        <f t="shared" si="48"/>
        <v>#DIV/0!</v>
      </c>
      <c r="AI67" s="183" t="e">
        <f>'Entrada e Saida'!$K$51*(IF('Entrada e Saida'!$H$15="PESO",(P67/(SUM(P:P))),(Q67/(SUM(Q:Q)))))</f>
        <v>#DIV/0!</v>
      </c>
      <c r="AJ67" s="183">
        <f>(('Entrada e Saida'!$K$10-'Entrada e Saida'!$K$8)*E67*D67)</f>
        <v>0</v>
      </c>
      <c r="AK67" s="184" t="e">
        <f>IF('Entrada e Saida'!$H$15="PESO",W67+AA67+AH67+AI67+AJ67,W67+AA67+AH67+AI67+AJ67-S67+T67-U67+V67)</f>
        <v>#DIV/0!</v>
      </c>
      <c r="AL67" s="185" t="e">
        <f>IF('Entrada e Saida'!$H$12="REAL",AC67,0)</f>
        <v>#DIV/0!</v>
      </c>
      <c r="AM67" s="185" t="e">
        <f>IF('Entrada e Saida'!$H$12="REAL",AD67,0)</f>
        <v>#DIV/0!</v>
      </c>
      <c r="AN67" s="186" t="e">
        <f>IF('Entrada e Saida'!$H$13= "NÃO",AE67,0)</f>
        <v>#DIV/0!</v>
      </c>
      <c r="AO67" s="186" t="e">
        <f t="shared" si="49"/>
        <v>#DIV/0!</v>
      </c>
      <c r="AP67" s="184" t="e">
        <f t="shared" si="50"/>
        <v>#DIV/0!</v>
      </c>
      <c r="AQ67" s="178" t="e">
        <f>IF('Entrada e Saida'!$H$11="TRADING",AU67*'Custo Resumido'!D67,0)</f>
        <v>#DIV/0!</v>
      </c>
      <c r="AR67" s="178" t="e">
        <f>IF('Entrada e Saida'!$H$11="TRADING",AU67*'Entrada e Saida'!$G$63,0)</f>
        <v>#DIV/0!</v>
      </c>
      <c r="AS67" s="178" t="e">
        <f>IF('Entrada e Saida'!$H$11="TRADING",AU67*'Entrada e Saida'!$G$64,0)</f>
        <v>#DIV/0!</v>
      </c>
      <c r="AT67" s="178" t="e">
        <f>IF('Entrada e Saida'!$H$11="TRADING",AU67*'Entrada e Saida'!$G$65,0)</f>
        <v>#DIV/0!</v>
      </c>
      <c r="AU67" s="184" t="e">
        <f>IF('Entrada e Saida'!$H$11="TRADING",AP67/(1-(SUM('Entrada e Saida'!$G$63:$G$65)+'Custo Resumido'!D67)),0)</f>
        <v>#DIV/0!</v>
      </c>
      <c r="AV67" s="178" t="e">
        <f>IF('Entrada e Saida'!$H$13="NÃO",AU67*M67,0)</f>
        <v>#DIV/0!</v>
      </c>
      <c r="AW67" s="184" t="e">
        <f t="shared" si="51"/>
        <v>#DIV/0!</v>
      </c>
      <c r="AX67" s="178" t="e">
        <f>'Entrada e Saida'!$G$74*AU67</f>
        <v>#DIV/0!</v>
      </c>
      <c r="AY67" s="184" t="e">
        <f t="shared" si="52"/>
        <v>#DIV/0!</v>
      </c>
      <c r="AZ67" s="184" t="e">
        <f>AQ67+('Entrada e Saida'!$G$65-'Entrada e Saida'!$I$65)*AU67-AX67</f>
        <v>#DIV/0!</v>
      </c>
      <c r="BA67" s="3" t="e">
        <f>IF('Entrada e Saida'!$H$12="REAL",AZ67*'Entrada e Saida'!$G$81,AU67*'Entrada e Saida'!$G$81)</f>
        <v>#DIV/0!</v>
      </c>
      <c r="BB67" s="3" t="e">
        <f>IF('Entrada e Saida'!$H$12="REAL",AZ67*'Entrada e Saida'!$G$82,AU67*'Entrada e Saida'!$G$82)</f>
        <v>#DIV/0!</v>
      </c>
      <c r="BC67" s="4" t="e">
        <f t="shared" si="53"/>
        <v>#DIV/0!</v>
      </c>
      <c r="BD67" s="3" t="e">
        <f>IF('Entrada e Saida'!$H$11="TRADING",AW67/D67,AK67/D67)</f>
        <v>#DIV/0!</v>
      </c>
      <c r="BE67" s="3" t="e">
        <f t="shared" si="54"/>
        <v>#DIV/0!</v>
      </c>
      <c r="BF67" s="2" t="e">
        <f t="shared" si="55"/>
        <v>#DIV/0!</v>
      </c>
      <c r="BG67" s="3" t="e">
        <f>IF('Entrada e Saida'!$H$11="TRADING",AV67/D67,AN67/D67)</f>
        <v>#DIV/0!</v>
      </c>
      <c r="BH67" s="3" t="e">
        <f>IF('Entrada e Saida'!$H$11="TRADING",IF('Entrada e Saida'!$H$12="REAL",AR67/D67,0),AL67/D67)</f>
        <v>#DIV/0!</v>
      </c>
      <c r="BI67" s="3" t="e">
        <f>IF('Entrada e Saida'!$H$11="TRADING",IF('Entrada e Saida'!$H$12="REAL",AS67/D67,0),AM67/D67)</f>
        <v>#DIV/0!</v>
      </c>
      <c r="BJ67" s="3" t="e">
        <f>IF('Entrada e Saida'!$H$11="TRADING",AT67/D67,AO67/D67)</f>
        <v>#DIV/0!</v>
      </c>
      <c r="BK67" s="2" t="e">
        <f t="shared" si="56"/>
        <v>#DIV/0!</v>
      </c>
      <c r="BL67" s="2">
        <f>IF(O67&gt;0,IFERROR(IF('Entrada e Saida'!$H$11="DIRETA",0,(IF('Entrada e Saida'!$H$14="P.JURIDICA",(BD67*(1+O67)*N67)-((BD67/(1+M67))*'Entrada e Saida'!$G$65),((Produtos!N67-'Entrada e Saida'!$G$65)*Produtos!BD67)))),0),0)</f>
        <v>0</v>
      </c>
      <c r="BM67" s="2" t="e">
        <f t="shared" si="57"/>
        <v>#DIV/0!</v>
      </c>
    </row>
    <row r="68" spans="1:65" s="1" customFormat="1">
      <c r="A68" s="127"/>
      <c r="B68" s="172" t="e">
        <f>VLOOKUP(A68,'Master Modelo'!A:I,7,FALSE)</f>
        <v>#N/A</v>
      </c>
      <c r="C68" s="145" t="e">
        <f>VLOOKUP(A68,'Master Modelo'!A:I,2,FALSE)</f>
        <v>#N/A</v>
      </c>
      <c r="D68" s="146"/>
      <c r="E68" s="143">
        <f>IFERROR(VLOOKUP(A68,'Master Modelo'!A:I,9,FALSE),0)</f>
        <v>0</v>
      </c>
      <c r="F68" s="189">
        <f>IFERROR(VLOOKUP(A68,'Master Modelo'!A:I,8,FALSE),0)</f>
        <v>0</v>
      </c>
      <c r="G68" s="189">
        <f>IFERROR(VLOOKUP(A68,'Master Modelo'!A:K,11,FALSE),0)</f>
        <v>0</v>
      </c>
      <c r="H68" s="173" t="e">
        <f t="shared" si="40"/>
        <v>#DIV/0!</v>
      </c>
      <c r="I68" s="163">
        <f>IFERROR(VLOOKUP(A68,'Master Modelo'!A:I,3,FALSE),0)</f>
        <v>0</v>
      </c>
      <c r="J68" s="164">
        <f>IFERROR(VLOOKUP(A68,'Master Modelo'!A:I,5,FALSE),0)</f>
        <v>0</v>
      </c>
      <c r="K68" s="164">
        <f>IFERROR(VLOOKUP(A68,'Master Modelo'!A:I,6,FALSE),0)</f>
        <v>0</v>
      </c>
      <c r="L68" s="165" t="e">
        <f>VLOOKUP(A68,'Master Modelo'!A:J,10,FALSE)</f>
        <v>#N/A</v>
      </c>
      <c r="M68" s="163">
        <f>IFERROR(VLOOKUP(A68,'Master Modelo'!A:I,4,FALSE),0)</f>
        <v>0</v>
      </c>
      <c r="N68" s="175"/>
      <c r="O68" s="187"/>
      <c r="P68" s="177">
        <f t="shared" si="41"/>
        <v>0</v>
      </c>
      <c r="Q68" s="177">
        <f t="shared" si="58"/>
        <v>0</v>
      </c>
      <c r="R68" s="178">
        <f>D68*E68*'Entrada e Saida'!$K$8</f>
        <v>0</v>
      </c>
      <c r="S68" s="179" t="e">
        <f>'Entrada e Saida'!$H$21*'Entrada e Saida'!$K$8*(P68/(SUM(P:P)))</f>
        <v>#DIV/0!</v>
      </c>
      <c r="T68" s="179" t="e">
        <f>'Entrada e Saida'!$H$21*'Entrada e Saida'!$K$8*(Q68/(SUM(Q:Q)))</f>
        <v>#DIV/0!</v>
      </c>
      <c r="U68" s="179" t="e">
        <f>'Entrada e Saida'!$H$22*(P68/(SUM(P:P)))</f>
        <v>#DIV/0!</v>
      </c>
      <c r="V68" s="179" t="e">
        <f>'Entrada e Saida'!$H$22*(Q68/(SUM(Q:Q)))</f>
        <v>#DIV/0!</v>
      </c>
      <c r="W68" s="180" t="e">
        <f t="shared" si="42"/>
        <v>#DIV/0!</v>
      </c>
      <c r="X68" s="179" t="e">
        <f>'Entrada e Saida'!$H$26*(IF('Entrada e Saida'!$H$15="PESO",(P68/(SUM(P:P))),(Q68/(SUM(Q:Q)))))</f>
        <v>#DIV/0!</v>
      </c>
      <c r="Y68" s="179" t="e">
        <f>'Entrada e Saida'!$H$27*(IF('Entrada e Saida'!$H$15="PESO",(P68/(SUM(P:P))),(Q68/(SUM(Q:Q)))))</f>
        <v>#DIV/0!</v>
      </c>
      <c r="Z68" s="179" t="e">
        <f>'Entrada e Saida'!$H$28*(IF('Entrada e Saida'!$H$15="PESO",(P68/(SUM(P:P))),(Q68/(SUM(Q:Q)))))</f>
        <v>#DIV/0!</v>
      </c>
      <c r="AA68" s="181" t="e">
        <f t="shared" si="43"/>
        <v>#DIV/0!</v>
      </c>
      <c r="AB68" s="178" t="e">
        <f t="shared" si="44"/>
        <v>#DIV/0!</v>
      </c>
      <c r="AC68" s="178" t="e">
        <f t="shared" si="45"/>
        <v>#DIV/0!</v>
      </c>
      <c r="AD68" s="178" t="e">
        <f t="shared" si="46"/>
        <v>#DIV/0!</v>
      </c>
      <c r="AE68" s="177" t="e">
        <f t="shared" si="47"/>
        <v>#DIV/0!</v>
      </c>
      <c r="AF68" s="182">
        <f>IFERROR(D68*F68*L68*'Entrada e Saida'!$K$8,0)</f>
        <v>0</v>
      </c>
      <c r="AG68" s="178" t="e">
        <f>((W68+AA68+AB68+AC68+AD68+AE68+AF68)/(1-'Entrada e Saida'!$G$65))*'Entrada e Saida'!$I$66</f>
        <v>#DIV/0!</v>
      </c>
      <c r="AH68" s="180" t="e">
        <f t="shared" si="48"/>
        <v>#DIV/0!</v>
      </c>
      <c r="AI68" s="183" t="e">
        <f>'Entrada e Saida'!$K$51*(IF('Entrada e Saida'!$H$15="PESO",(P68/(SUM(P:P))),(Q68/(SUM(Q:Q)))))</f>
        <v>#DIV/0!</v>
      </c>
      <c r="AJ68" s="183">
        <f>(('Entrada e Saida'!$K$10-'Entrada e Saida'!$K$8)*E68*D68)</f>
        <v>0</v>
      </c>
      <c r="AK68" s="184" t="e">
        <f>IF('Entrada e Saida'!$H$15="PESO",W68+AA68+AH68+AI68+AJ68,W68+AA68+AH68+AI68+AJ68-S68+T68-U68+V68)</f>
        <v>#DIV/0!</v>
      </c>
      <c r="AL68" s="185" t="e">
        <f>IF('Entrada e Saida'!$H$12="REAL",AC68,0)</f>
        <v>#DIV/0!</v>
      </c>
      <c r="AM68" s="185" t="e">
        <f>IF('Entrada e Saida'!$H$12="REAL",AD68,0)</f>
        <v>#DIV/0!</v>
      </c>
      <c r="AN68" s="186" t="e">
        <f>IF('Entrada e Saida'!$H$13= "NÃO",AE68,0)</f>
        <v>#DIV/0!</v>
      </c>
      <c r="AO68" s="186" t="e">
        <f t="shared" si="49"/>
        <v>#DIV/0!</v>
      </c>
      <c r="AP68" s="184" t="e">
        <f t="shared" si="50"/>
        <v>#DIV/0!</v>
      </c>
      <c r="AQ68" s="178" t="e">
        <f>IF('Entrada e Saida'!$H$11="TRADING",AU68*'Custo Resumido'!D68,0)</f>
        <v>#DIV/0!</v>
      </c>
      <c r="AR68" s="178" t="e">
        <f>IF('Entrada e Saida'!$H$11="TRADING",AU68*'Entrada e Saida'!$G$63,0)</f>
        <v>#DIV/0!</v>
      </c>
      <c r="AS68" s="178" t="e">
        <f>IF('Entrada e Saida'!$H$11="TRADING",AU68*'Entrada e Saida'!$G$64,0)</f>
        <v>#DIV/0!</v>
      </c>
      <c r="AT68" s="178" t="e">
        <f>IF('Entrada e Saida'!$H$11="TRADING",AU68*'Entrada e Saida'!$G$65,0)</f>
        <v>#DIV/0!</v>
      </c>
      <c r="AU68" s="184" t="e">
        <f>IF('Entrada e Saida'!$H$11="TRADING",AP68/(1-(SUM('Entrada e Saida'!$G$63:$G$65)+'Custo Resumido'!D68)),0)</f>
        <v>#DIV/0!</v>
      </c>
      <c r="AV68" s="178" t="e">
        <f>IF('Entrada e Saida'!$H$13="NÃO",AU68*M68,0)</f>
        <v>#DIV/0!</v>
      </c>
      <c r="AW68" s="184" t="e">
        <f t="shared" si="51"/>
        <v>#DIV/0!</v>
      </c>
      <c r="AX68" s="178" t="e">
        <f>'Entrada e Saida'!$G$74*AU68</f>
        <v>#DIV/0!</v>
      </c>
      <c r="AY68" s="184" t="e">
        <f t="shared" si="52"/>
        <v>#DIV/0!</v>
      </c>
      <c r="AZ68" s="184" t="e">
        <f>AQ68+('Entrada e Saida'!$G$65-'Entrada e Saida'!$I$65)*AU68-AX68</f>
        <v>#DIV/0!</v>
      </c>
      <c r="BA68" s="3" t="e">
        <f>IF('Entrada e Saida'!$H$12="REAL",AZ68*'Entrada e Saida'!$G$81,AU68*'Entrada e Saida'!$G$81)</f>
        <v>#DIV/0!</v>
      </c>
      <c r="BB68" s="3" t="e">
        <f>IF('Entrada e Saida'!$H$12="REAL",AZ68*'Entrada e Saida'!$G$82,AU68*'Entrada e Saida'!$G$82)</f>
        <v>#DIV/0!</v>
      </c>
      <c r="BC68" s="4" t="e">
        <f t="shared" si="53"/>
        <v>#DIV/0!</v>
      </c>
      <c r="BD68" s="3" t="e">
        <f>IF('Entrada e Saida'!$H$11="TRADING",AW68/D68,AK68/D68)</f>
        <v>#DIV/0!</v>
      </c>
      <c r="BE68" s="3" t="e">
        <f t="shared" si="54"/>
        <v>#DIV/0!</v>
      </c>
      <c r="BF68" s="2" t="e">
        <f t="shared" si="55"/>
        <v>#DIV/0!</v>
      </c>
      <c r="BG68" s="3" t="e">
        <f>IF('Entrada e Saida'!$H$11="TRADING",AV68/D68,AN68/D68)</f>
        <v>#DIV/0!</v>
      </c>
      <c r="BH68" s="3" t="e">
        <f>IF('Entrada e Saida'!$H$11="TRADING",IF('Entrada e Saida'!$H$12="REAL",AR68/D68,0),AL68/D68)</f>
        <v>#DIV/0!</v>
      </c>
      <c r="BI68" s="3" t="e">
        <f>IF('Entrada e Saida'!$H$11="TRADING",IF('Entrada e Saida'!$H$12="REAL",AS68/D68,0),AM68/D68)</f>
        <v>#DIV/0!</v>
      </c>
      <c r="BJ68" s="3" t="e">
        <f>IF('Entrada e Saida'!$H$11="TRADING",AT68/D68,AO68/D68)</f>
        <v>#DIV/0!</v>
      </c>
      <c r="BK68" s="2" t="e">
        <f t="shared" si="56"/>
        <v>#DIV/0!</v>
      </c>
      <c r="BL68" s="2">
        <f>IF(O68&gt;0,IFERROR(IF('Entrada e Saida'!$H$11="DIRETA",0,(IF('Entrada e Saida'!$H$14="P.JURIDICA",(BD68*(1+O68)*N68)-((BD68/(1+M68))*'Entrada e Saida'!$G$65),((Produtos!N68-'Entrada e Saida'!$G$65)*Produtos!BD68)))),0),0)</f>
        <v>0</v>
      </c>
      <c r="BM68" s="2" t="e">
        <f t="shared" si="57"/>
        <v>#DIV/0!</v>
      </c>
    </row>
    <row r="69" spans="1:65" s="1" customFormat="1">
      <c r="A69" s="127"/>
      <c r="B69" s="172" t="e">
        <f>VLOOKUP(A69,'Master Modelo'!A:I,7,FALSE)</f>
        <v>#N/A</v>
      </c>
      <c r="C69" s="145" t="e">
        <f>VLOOKUP(A69,'Master Modelo'!A:I,2,FALSE)</f>
        <v>#N/A</v>
      </c>
      <c r="D69" s="146"/>
      <c r="E69" s="143">
        <f>IFERROR(VLOOKUP(A69,'Master Modelo'!A:I,9,FALSE),0)</f>
        <v>0</v>
      </c>
      <c r="F69" s="189">
        <f>IFERROR(VLOOKUP(A69,'Master Modelo'!A:I,8,FALSE),0)</f>
        <v>0</v>
      </c>
      <c r="G69" s="189">
        <f>IFERROR(VLOOKUP(A69,'Master Modelo'!A:K,11,FALSE),0)</f>
        <v>0</v>
      </c>
      <c r="H69" s="173" t="e">
        <f t="shared" si="40"/>
        <v>#DIV/0!</v>
      </c>
      <c r="I69" s="163">
        <f>IFERROR(VLOOKUP(A69,'Master Modelo'!A:I,3,FALSE),0)</f>
        <v>0</v>
      </c>
      <c r="J69" s="164">
        <f>IFERROR(VLOOKUP(A69,'Master Modelo'!A:I,5,FALSE),0)</f>
        <v>0</v>
      </c>
      <c r="K69" s="164">
        <f>IFERROR(VLOOKUP(A69,'Master Modelo'!A:I,6,FALSE),0)</f>
        <v>0</v>
      </c>
      <c r="L69" s="165" t="e">
        <f>VLOOKUP(A69,'Master Modelo'!A:J,10,FALSE)</f>
        <v>#N/A</v>
      </c>
      <c r="M69" s="163">
        <f>IFERROR(VLOOKUP(A69,'Master Modelo'!A:I,4,FALSE),0)</f>
        <v>0</v>
      </c>
      <c r="N69" s="175"/>
      <c r="O69" s="187"/>
      <c r="P69" s="177">
        <f t="shared" si="41"/>
        <v>0</v>
      </c>
      <c r="Q69" s="177">
        <f t="shared" si="58"/>
        <v>0</v>
      </c>
      <c r="R69" s="178">
        <f>D69*E69*'Entrada e Saida'!$K$8</f>
        <v>0</v>
      </c>
      <c r="S69" s="179" t="e">
        <f>'Entrada e Saida'!$H$21*'Entrada e Saida'!$K$8*(P69/(SUM(P:P)))</f>
        <v>#DIV/0!</v>
      </c>
      <c r="T69" s="179" t="e">
        <f>'Entrada e Saida'!$H$21*'Entrada e Saida'!$K$8*(Q69/(SUM(Q:Q)))</f>
        <v>#DIV/0!</v>
      </c>
      <c r="U69" s="179" t="e">
        <f>'Entrada e Saida'!$H$22*(P69/(SUM(P:P)))</f>
        <v>#DIV/0!</v>
      </c>
      <c r="V69" s="179" t="e">
        <f>'Entrada e Saida'!$H$22*(Q69/(SUM(Q:Q)))</f>
        <v>#DIV/0!</v>
      </c>
      <c r="W69" s="180" t="e">
        <f t="shared" si="42"/>
        <v>#DIV/0!</v>
      </c>
      <c r="X69" s="179" t="e">
        <f>'Entrada e Saida'!$H$26*(IF('Entrada e Saida'!$H$15="PESO",(P69/(SUM(P:P))),(Q69/(SUM(Q:Q)))))</f>
        <v>#DIV/0!</v>
      </c>
      <c r="Y69" s="179" t="e">
        <f>'Entrada e Saida'!$H$27*(IF('Entrada e Saida'!$H$15="PESO",(P69/(SUM(P:P))),(Q69/(SUM(Q:Q)))))</f>
        <v>#DIV/0!</v>
      </c>
      <c r="Z69" s="179" t="e">
        <f>'Entrada e Saida'!$H$28*(IF('Entrada e Saida'!$H$15="PESO",(P69/(SUM(P:P))),(Q69/(SUM(Q:Q)))))</f>
        <v>#DIV/0!</v>
      </c>
      <c r="AA69" s="181" t="e">
        <f t="shared" si="43"/>
        <v>#DIV/0!</v>
      </c>
      <c r="AB69" s="178" t="e">
        <f t="shared" si="44"/>
        <v>#DIV/0!</v>
      </c>
      <c r="AC69" s="178" t="e">
        <f t="shared" si="45"/>
        <v>#DIV/0!</v>
      </c>
      <c r="AD69" s="178" t="e">
        <f t="shared" si="46"/>
        <v>#DIV/0!</v>
      </c>
      <c r="AE69" s="177" t="e">
        <f t="shared" si="47"/>
        <v>#DIV/0!</v>
      </c>
      <c r="AF69" s="182">
        <f>IFERROR(D69*F69*L69*'Entrada e Saida'!$K$8,0)</f>
        <v>0</v>
      </c>
      <c r="AG69" s="178" t="e">
        <f>((W69+AA69+AB69+AC69+AD69+AE69+AF69)/(1-'Entrada e Saida'!$G$65))*'Entrada e Saida'!$I$66</f>
        <v>#DIV/0!</v>
      </c>
      <c r="AH69" s="180" t="e">
        <f t="shared" si="48"/>
        <v>#DIV/0!</v>
      </c>
      <c r="AI69" s="183" t="e">
        <f>'Entrada e Saida'!$K$51*(IF('Entrada e Saida'!$H$15="PESO",(P69/(SUM(P:P))),(Q69/(SUM(Q:Q)))))</f>
        <v>#DIV/0!</v>
      </c>
      <c r="AJ69" s="183">
        <f>(('Entrada e Saida'!$K$10-'Entrada e Saida'!$K$8)*E69*D69)</f>
        <v>0</v>
      </c>
      <c r="AK69" s="184" t="e">
        <f>IF('Entrada e Saida'!$H$15="PESO",W69+AA69+AH69+AI69+AJ69,W69+AA69+AH69+AI69+AJ69-S69+T69-U69+V69)</f>
        <v>#DIV/0!</v>
      </c>
      <c r="AL69" s="185" t="e">
        <f>IF('Entrada e Saida'!$H$12="REAL",AC69,0)</f>
        <v>#DIV/0!</v>
      </c>
      <c r="AM69" s="185" t="e">
        <f>IF('Entrada e Saida'!$H$12="REAL",AD69,0)</f>
        <v>#DIV/0!</v>
      </c>
      <c r="AN69" s="186" t="e">
        <f>IF('Entrada e Saida'!$H$13= "NÃO",AE69,0)</f>
        <v>#DIV/0!</v>
      </c>
      <c r="AO69" s="186" t="e">
        <f t="shared" si="49"/>
        <v>#DIV/0!</v>
      </c>
      <c r="AP69" s="184" t="e">
        <f t="shared" si="50"/>
        <v>#DIV/0!</v>
      </c>
      <c r="AQ69" s="178" t="e">
        <f>IF('Entrada e Saida'!$H$11="TRADING",AU69*'Custo Resumido'!D69,0)</f>
        <v>#DIV/0!</v>
      </c>
      <c r="AR69" s="178" t="e">
        <f>IF('Entrada e Saida'!$H$11="TRADING",AU69*'Entrada e Saida'!$G$63,0)</f>
        <v>#DIV/0!</v>
      </c>
      <c r="AS69" s="178" t="e">
        <f>IF('Entrada e Saida'!$H$11="TRADING",AU69*'Entrada e Saida'!$G$64,0)</f>
        <v>#DIV/0!</v>
      </c>
      <c r="AT69" s="178" t="e">
        <f>IF('Entrada e Saida'!$H$11="TRADING",AU69*'Entrada e Saida'!$G$65,0)</f>
        <v>#DIV/0!</v>
      </c>
      <c r="AU69" s="184" t="e">
        <f>IF('Entrada e Saida'!$H$11="TRADING",AP69/(1-(SUM('Entrada e Saida'!$G$63:$G$65)+'Custo Resumido'!D69)),0)</f>
        <v>#DIV/0!</v>
      </c>
      <c r="AV69" s="178" t="e">
        <f>IF('Entrada e Saida'!$H$13="NÃO",AU69*M69,0)</f>
        <v>#DIV/0!</v>
      </c>
      <c r="AW69" s="184" t="e">
        <f t="shared" si="51"/>
        <v>#DIV/0!</v>
      </c>
      <c r="AX69" s="178" t="e">
        <f>'Entrada e Saida'!$G$74*AU69</f>
        <v>#DIV/0!</v>
      </c>
      <c r="AY69" s="184" t="e">
        <f t="shared" si="52"/>
        <v>#DIV/0!</v>
      </c>
      <c r="AZ69" s="184" t="e">
        <f>AQ69+('Entrada e Saida'!$G$65-'Entrada e Saida'!$I$65)*AU69-AX69</f>
        <v>#DIV/0!</v>
      </c>
      <c r="BA69" s="3" t="e">
        <f>IF('Entrada e Saida'!$H$12="REAL",AZ69*'Entrada e Saida'!$G$81,AU69*'Entrada e Saida'!$G$81)</f>
        <v>#DIV/0!</v>
      </c>
      <c r="BB69" s="3" t="e">
        <f>IF('Entrada e Saida'!$H$12="REAL",AZ69*'Entrada e Saida'!$G$82,AU69*'Entrada e Saida'!$G$82)</f>
        <v>#DIV/0!</v>
      </c>
      <c r="BC69" s="4" t="e">
        <f t="shared" si="53"/>
        <v>#DIV/0!</v>
      </c>
      <c r="BD69" s="3" t="e">
        <f>IF('Entrada e Saida'!$H$11="TRADING",AW69/D69,AK69/D69)</f>
        <v>#DIV/0!</v>
      </c>
      <c r="BE69" s="3" t="e">
        <f t="shared" si="54"/>
        <v>#DIV/0!</v>
      </c>
      <c r="BF69" s="2" t="e">
        <f t="shared" si="55"/>
        <v>#DIV/0!</v>
      </c>
      <c r="BG69" s="3" t="e">
        <f>IF('Entrada e Saida'!$H$11="TRADING",AV69/D69,AN69/D69)</f>
        <v>#DIV/0!</v>
      </c>
      <c r="BH69" s="3" t="e">
        <f>IF('Entrada e Saida'!$H$11="TRADING",IF('Entrada e Saida'!$H$12="REAL",AR69/D69,0),AL69/D69)</f>
        <v>#DIV/0!</v>
      </c>
      <c r="BI69" s="3" t="e">
        <f>IF('Entrada e Saida'!$H$11="TRADING",IF('Entrada e Saida'!$H$12="REAL",AS69/D69,0),AM69/D69)</f>
        <v>#DIV/0!</v>
      </c>
      <c r="BJ69" s="3" t="e">
        <f>IF('Entrada e Saida'!$H$11="TRADING",AT69/D69,AO69/D69)</f>
        <v>#DIV/0!</v>
      </c>
      <c r="BK69" s="2" t="e">
        <f t="shared" si="56"/>
        <v>#DIV/0!</v>
      </c>
      <c r="BL69" s="2">
        <f>IF(O69&gt;0,IFERROR(IF('Entrada e Saida'!$H$11="DIRETA",0,(IF('Entrada e Saida'!$H$14="P.JURIDICA",(BD69*(1+O69)*N69)-((BD69/(1+M69))*'Entrada e Saida'!$G$65),((Produtos!N69-'Entrada e Saida'!$G$65)*Produtos!BD69)))),0),0)</f>
        <v>0</v>
      </c>
      <c r="BM69" s="2" t="e">
        <f t="shared" si="57"/>
        <v>#DIV/0!</v>
      </c>
    </row>
    <row r="70" spans="1:65" s="1" customFormat="1">
      <c r="A70" s="127"/>
      <c r="B70" s="172" t="e">
        <f>VLOOKUP(A70,'Master Modelo'!A:I,7,FALSE)</f>
        <v>#N/A</v>
      </c>
      <c r="C70" s="145" t="e">
        <f>VLOOKUP(A70,'Master Modelo'!A:I,2,FALSE)</f>
        <v>#N/A</v>
      </c>
      <c r="D70" s="146"/>
      <c r="E70" s="143">
        <f>IFERROR(VLOOKUP(A70,'Master Modelo'!A:I,9,FALSE),0)</f>
        <v>0</v>
      </c>
      <c r="F70" s="189">
        <f>IFERROR(VLOOKUP(A70,'Master Modelo'!A:I,8,FALSE),0)</f>
        <v>0</v>
      </c>
      <c r="G70" s="189">
        <f>IFERROR(VLOOKUP(A70,'Master Modelo'!A:K,11,FALSE),0)</f>
        <v>0</v>
      </c>
      <c r="H70" s="173" t="e">
        <f t="shared" si="40"/>
        <v>#DIV/0!</v>
      </c>
      <c r="I70" s="163">
        <f>IFERROR(VLOOKUP(A70,'Master Modelo'!A:I,3,FALSE),0)</f>
        <v>0</v>
      </c>
      <c r="J70" s="164">
        <f>IFERROR(VLOOKUP(A70,'Master Modelo'!A:I,5,FALSE),0)</f>
        <v>0</v>
      </c>
      <c r="K70" s="164">
        <f>IFERROR(VLOOKUP(A70,'Master Modelo'!A:I,6,FALSE),0)</f>
        <v>0</v>
      </c>
      <c r="L70" s="165" t="e">
        <f>VLOOKUP(A70,'Master Modelo'!A:J,10,FALSE)</f>
        <v>#N/A</v>
      </c>
      <c r="M70" s="163">
        <f>IFERROR(VLOOKUP(A70,'Master Modelo'!A:I,4,FALSE),0)</f>
        <v>0</v>
      </c>
      <c r="N70" s="175"/>
      <c r="O70" s="187"/>
      <c r="P70" s="177">
        <f t="shared" si="41"/>
        <v>0</v>
      </c>
      <c r="Q70" s="177">
        <f t="shared" si="58"/>
        <v>0</v>
      </c>
      <c r="R70" s="178">
        <f>D70*E70*'Entrada e Saida'!$K$8</f>
        <v>0</v>
      </c>
      <c r="S70" s="179" t="e">
        <f>'Entrada e Saida'!$H$21*'Entrada e Saida'!$K$8*(P70/(SUM(P:P)))</f>
        <v>#DIV/0!</v>
      </c>
      <c r="T70" s="179" t="e">
        <f>'Entrada e Saida'!$H$21*'Entrada e Saida'!$K$8*(Q70/(SUM(Q:Q)))</f>
        <v>#DIV/0!</v>
      </c>
      <c r="U70" s="179" t="e">
        <f>'Entrada e Saida'!$H$22*(P70/(SUM(P:P)))</f>
        <v>#DIV/0!</v>
      </c>
      <c r="V70" s="179" t="e">
        <f>'Entrada e Saida'!$H$22*(Q70/(SUM(Q:Q)))</f>
        <v>#DIV/0!</v>
      </c>
      <c r="W70" s="180" t="e">
        <f t="shared" si="42"/>
        <v>#DIV/0!</v>
      </c>
      <c r="X70" s="179" t="e">
        <f>'Entrada e Saida'!$H$26*(IF('Entrada e Saida'!$H$15="PESO",(P70/(SUM(P:P))),(Q70/(SUM(Q:Q)))))</f>
        <v>#DIV/0!</v>
      </c>
      <c r="Y70" s="179" t="e">
        <f>'Entrada e Saida'!$H$27*(IF('Entrada e Saida'!$H$15="PESO",(P70/(SUM(P:P))),(Q70/(SUM(Q:Q)))))</f>
        <v>#DIV/0!</v>
      </c>
      <c r="Z70" s="179" t="e">
        <f>'Entrada e Saida'!$H$28*(IF('Entrada e Saida'!$H$15="PESO",(P70/(SUM(P:P))),(Q70/(SUM(Q:Q)))))</f>
        <v>#DIV/0!</v>
      </c>
      <c r="AA70" s="181" t="e">
        <f t="shared" si="43"/>
        <v>#DIV/0!</v>
      </c>
      <c r="AB70" s="178" t="e">
        <f t="shared" si="44"/>
        <v>#DIV/0!</v>
      </c>
      <c r="AC70" s="178" t="e">
        <f t="shared" si="45"/>
        <v>#DIV/0!</v>
      </c>
      <c r="AD70" s="178" t="e">
        <f t="shared" si="46"/>
        <v>#DIV/0!</v>
      </c>
      <c r="AE70" s="177" t="e">
        <f t="shared" si="47"/>
        <v>#DIV/0!</v>
      </c>
      <c r="AF70" s="182">
        <f>IFERROR(D70*F70*L70*'Entrada e Saida'!$K$8,0)</f>
        <v>0</v>
      </c>
      <c r="AG70" s="178" t="e">
        <f>((W70+AA70+AB70+AC70+AD70+AE70+AF70)/(1-'Entrada e Saida'!$G$65))*'Entrada e Saida'!$I$66</f>
        <v>#DIV/0!</v>
      </c>
      <c r="AH70" s="180" t="e">
        <f t="shared" si="48"/>
        <v>#DIV/0!</v>
      </c>
      <c r="AI70" s="183" t="e">
        <f>'Entrada e Saida'!$K$51*(IF('Entrada e Saida'!$H$15="PESO",(P70/(SUM(P:P))),(Q70/(SUM(Q:Q)))))</f>
        <v>#DIV/0!</v>
      </c>
      <c r="AJ70" s="183">
        <f>(('Entrada e Saida'!$K$10-'Entrada e Saida'!$K$8)*E70*D70)</f>
        <v>0</v>
      </c>
      <c r="AK70" s="184" t="e">
        <f>IF('Entrada e Saida'!$H$15="PESO",W70+AA70+AH70+AI70+AJ70,W70+AA70+AH70+AI70+AJ70-S70+T70-U70+V70)</f>
        <v>#DIV/0!</v>
      </c>
      <c r="AL70" s="185" t="e">
        <f>IF('Entrada e Saida'!$H$12="REAL",AC70,0)</f>
        <v>#DIV/0!</v>
      </c>
      <c r="AM70" s="185" t="e">
        <f>IF('Entrada e Saida'!$H$12="REAL",AD70,0)</f>
        <v>#DIV/0!</v>
      </c>
      <c r="AN70" s="186" t="e">
        <f>IF('Entrada e Saida'!$H$13= "NÃO",AE70,0)</f>
        <v>#DIV/0!</v>
      </c>
      <c r="AO70" s="186" t="e">
        <f t="shared" si="49"/>
        <v>#DIV/0!</v>
      </c>
      <c r="AP70" s="184" t="e">
        <f t="shared" si="50"/>
        <v>#DIV/0!</v>
      </c>
      <c r="AQ70" s="178" t="e">
        <f>IF('Entrada e Saida'!$H$11="TRADING",AU70*'Custo Resumido'!D70,0)</f>
        <v>#DIV/0!</v>
      </c>
      <c r="AR70" s="178" t="e">
        <f>IF('Entrada e Saida'!$H$11="TRADING",AU70*'Entrada e Saida'!$G$63,0)</f>
        <v>#DIV/0!</v>
      </c>
      <c r="AS70" s="178" t="e">
        <f>IF('Entrada e Saida'!$H$11="TRADING",AU70*'Entrada e Saida'!$G$64,0)</f>
        <v>#DIV/0!</v>
      </c>
      <c r="AT70" s="178" t="e">
        <f>IF('Entrada e Saida'!$H$11="TRADING",AU70*'Entrada e Saida'!$G$65,0)</f>
        <v>#DIV/0!</v>
      </c>
      <c r="AU70" s="184" t="e">
        <f>IF('Entrada e Saida'!$H$11="TRADING",AP70/(1-(SUM('Entrada e Saida'!$G$63:$G$65)+'Custo Resumido'!D70)),0)</f>
        <v>#DIV/0!</v>
      </c>
      <c r="AV70" s="178" t="e">
        <f>IF('Entrada e Saida'!$H$13="NÃO",AU70*M70,0)</f>
        <v>#DIV/0!</v>
      </c>
      <c r="AW70" s="184" t="e">
        <f t="shared" si="51"/>
        <v>#DIV/0!</v>
      </c>
      <c r="AX70" s="178" t="e">
        <f>'Entrada e Saida'!$G$74*AU70</f>
        <v>#DIV/0!</v>
      </c>
      <c r="AY70" s="184" t="e">
        <f t="shared" si="52"/>
        <v>#DIV/0!</v>
      </c>
      <c r="AZ70" s="184" t="e">
        <f>AQ70+('Entrada e Saida'!$G$65-'Entrada e Saida'!$I$65)*AU70-AX70</f>
        <v>#DIV/0!</v>
      </c>
      <c r="BA70" s="3" t="e">
        <f>IF('Entrada e Saida'!$H$12="REAL",AZ70*'Entrada e Saida'!$G$81,AU70*'Entrada e Saida'!$G$81)</f>
        <v>#DIV/0!</v>
      </c>
      <c r="BB70" s="3" t="e">
        <f>IF('Entrada e Saida'!$H$12="REAL",AZ70*'Entrada e Saida'!$G$82,AU70*'Entrada e Saida'!$G$82)</f>
        <v>#DIV/0!</v>
      </c>
      <c r="BC70" s="4" t="e">
        <f t="shared" si="53"/>
        <v>#DIV/0!</v>
      </c>
      <c r="BD70" s="3" t="e">
        <f>IF('Entrada e Saida'!$H$11="TRADING",AW70/D70,AK70/D70)</f>
        <v>#DIV/0!</v>
      </c>
      <c r="BE70" s="3" t="e">
        <f t="shared" si="54"/>
        <v>#DIV/0!</v>
      </c>
      <c r="BF70" s="2" t="e">
        <f t="shared" si="55"/>
        <v>#DIV/0!</v>
      </c>
      <c r="BG70" s="3" t="e">
        <f>IF('Entrada e Saida'!$H$11="TRADING",AV70/D70,AN70/D70)</f>
        <v>#DIV/0!</v>
      </c>
      <c r="BH70" s="3" t="e">
        <f>IF('Entrada e Saida'!$H$11="TRADING",IF('Entrada e Saida'!$H$12="REAL",AR70/D70,0),AL70/D70)</f>
        <v>#DIV/0!</v>
      </c>
      <c r="BI70" s="3" t="e">
        <f>IF('Entrada e Saida'!$H$11="TRADING",IF('Entrada e Saida'!$H$12="REAL",AS70/D70,0),AM70/D70)</f>
        <v>#DIV/0!</v>
      </c>
      <c r="BJ70" s="3" t="e">
        <f>IF('Entrada e Saida'!$H$11="TRADING",AT70/D70,AO70/D70)</f>
        <v>#DIV/0!</v>
      </c>
      <c r="BK70" s="2" t="e">
        <f t="shared" si="56"/>
        <v>#DIV/0!</v>
      </c>
      <c r="BL70" s="2">
        <f>IF(O70&gt;0,IFERROR(IF('Entrada e Saida'!$H$11="DIRETA",0,(IF('Entrada e Saida'!$H$14="P.JURIDICA",(BD70*(1+O70)*N70)-((BD70/(1+M70))*'Entrada e Saida'!$G$65),((Produtos!N70-'Entrada e Saida'!$G$65)*Produtos!BD70)))),0),0)</f>
        <v>0</v>
      </c>
      <c r="BM70" s="2" t="e">
        <f t="shared" si="57"/>
        <v>#DIV/0!</v>
      </c>
    </row>
    <row r="71" spans="1:65" s="1" customFormat="1">
      <c r="A71" s="127"/>
      <c r="B71" s="172" t="e">
        <f>VLOOKUP(A71,'Master Modelo'!A:I,7,FALSE)</f>
        <v>#N/A</v>
      </c>
      <c r="C71" s="145" t="e">
        <f>VLOOKUP(A71,'Master Modelo'!A:I,2,FALSE)</f>
        <v>#N/A</v>
      </c>
      <c r="D71" s="146"/>
      <c r="E71" s="143">
        <f>IFERROR(VLOOKUP(A71,'Master Modelo'!A:I,9,FALSE),0)</f>
        <v>0</v>
      </c>
      <c r="F71" s="189">
        <f>IFERROR(VLOOKUP(A71,'Master Modelo'!A:I,8,FALSE),0)</f>
        <v>0</v>
      </c>
      <c r="G71" s="189">
        <f>IFERROR(VLOOKUP(A71,'Master Modelo'!A:K,11,FALSE),0)</f>
        <v>0</v>
      </c>
      <c r="H71" s="173" t="e">
        <f t="shared" si="40"/>
        <v>#DIV/0!</v>
      </c>
      <c r="I71" s="163">
        <f>IFERROR(VLOOKUP(A71,'Master Modelo'!A:I,3,FALSE),0)</f>
        <v>0</v>
      </c>
      <c r="J71" s="164">
        <f>IFERROR(VLOOKUP(A71,'Master Modelo'!A:I,5,FALSE),0)</f>
        <v>0</v>
      </c>
      <c r="K71" s="164">
        <f>IFERROR(VLOOKUP(A71,'Master Modelo'!A:I,6,FALSE),0)</f>
        <v>0</v>
      </c>
      <c r="L71" s="165" t="e">
        <f>VLOOKUP(A71,'Master Modelo'!A:J,10,FALSE)</f>
        <v>#N/A</v>
      </c>
      <c r="M71" s="163">
        <f>IFERROR(VLOOKUP(A71,'Master Modelo'!A:I,4,FALSE),0)</f>
        <v>0</v>
      </c>
      <c r="N71" s="175"/>
      <c r="O71" s="187"/>
      <c r="P71" s="177">
        <f t="shared" si="41"/>
        <v>0</v>
      </c>
      <c r="Q71" s="177">
        <f t="shared" si="58"/>
        <v>0</v>
      </c>
      <c r="R71" s="178">
        <f>D71*E71*'Entrada e Saida'!$K$8</f>
        <v>0</v>
      </c>
      <c r="S71" s="179" t="e">
        <f>'Entrada e Saida'!$H$21*'Entrada e Saida'!$K$8*(P71/(SUM(P:P)))</f>
        <v>#DIV/0!</v>
      </c>
      <c r="T71" s="179" t="e">
        <f>'Entrada e Saida'!$H$21*'Entrada e Saida'!$K$8*(Q71/(SUM(Q:Q)))</f>
        <v>#DIV/0!</v>
      </c>
      <c r="U71" s="179" t="e">
        <f>'Entrada e Saida'!$H$22*(P71/(SUM(P:P)))</f>
        <v>#DIV/0!</v>
      </c>
      <c r="V71" s="179" t="e">
        <f>'Entrada e Saida'!$H$22*(Q71/(SUM(Q:Q)))</f>
        <v>#DIV/0!</v>
      </c>
      <c r="W71" s="180" t="e">
        <f t="shared" si="42"/>
        <v>#DIV/0!</v>
      </c>
      <c r="X71" s="179" t="e">
        <f>'Entrada e Saida'!$H$26*(IF('Entrada e Saida'!$H$15="PESO",(P71/(SUM(P:P))),(Q71/(SUM(Q:Q)))))</f>
        <v>#DIV/0!</v>
      </c>
      <c r="Y71" s="179" t="e">
        <f>'Entrada e Saida'!$H$27*(IF('Entrada e Saida'!$H$15="PESO",(P71/(SUM(P:P))),(Q71/(SUM(Q:Q)))))</f>
        <v>#DIV/0!</v>
      </c>
      <c r="Z71" s="179" t="e">
        <f>'Entrada e Saida'!$H$28*(IF('Entrada e Saida'!$H$15="PESO",(P71/(SUM(P:P))),(Q71/(SUM(Q:Q)))))</f>
        <v>#DIV/0!</v>
      </c>
      <c r="AA71" s="181" t="e">
        <f t="shared" si="43"/>
        <v>#DIV/0!</v>
      </c>
      <c r="AB71" s="178" t="e">
        <f t="shared" si="44"/>
        <v>#DIV/0!</v>
      </c>
      <c r="AC71" s="178" t="e">
        <f t="shared" si="45"/>
        <v>#DIV/0!</v>
      </c>
      <c r="AD71" s="178" t="e">
        <f t="shared" si="46"/>
        <v>#DIV/0!</v>
      </c>
      <c r="AE71" s="177" t="e">
        <f t="shared" si="47"/>
        <v>#DIV/0!</v>
      </c>
      <c r="AF71" s="182">
        <f>IFERROR(D71*F71*L71*'Entrada e Saida'!$K$8,0)</f>
        <v>0</v>
      </c>
      <c r="AG71" s="178" t="e">
        <f>((W71+AA71+AB71+AC71+AD71+AE71+AF71)/(1-'Entrada e Saida'!$G$65))*'Entrada e Saida'!$I$66</f>
        <v>#DIV/0!</v>
      </c>
      <c r="AH71" s="180" t="e">
        <f t="shared" si="48"/>
        <v>#DIV/0!</v>
      </c>
      <c r="AI71" s="183" t="e">
        <f>'Entrada e Saida'!$K$51*(IF('Entrada e Saida'!$H$15="PESO",(P71/(SUM(P:P))),(Q71/(SUM(Q:Q)))))</f>
        <v>#DIV/0!</v>
      </c>
      <c r="AJ71" s="183">
        <f>(('Entrada e Saida'!$K$10-'Entrada e Saida'!$K$8)*E71*D71)</f>
        <v>0</v>
      </c>
      <c r="AK71" s="184" t="e">
        <f>IF('Entrada e Saida'!$H$15="PESO",W71+AA71+AH71+AI71+AJ71,W71+AA71+AH71+AI71+AJ71-S71+T71-U71+V71)</f>
        <v>#DIV/0!</v>
      </c>
      <c r="AL71" s="185" t="e">
        <f>IF('Entrada e Saida'!$H$12="REAL",AC71,0)</f>
        <v>#DIV/0!</v>
      </c>
      <c r="AM71" s="185" t="e">
        <f>IF('Entrada e Saida'!$H$12="REAL",AD71,0)</f>
        <v>#DIV/0!</v>
      </c>
      <c r="AN71" s="186" t="e">
        <f>IF('Entrada e Saida'!$H$13= "NÃO",AE71,0)</f>
        <v>#DIV/0!</v>
      </c>
      <c r="AO71" s="186" t="e">
        <f t="shared" si="49"/>
        <v>#DIV/0!</v>
      </c>
      <c r="AP71" s="184" t="e">
        <f t="shared" si="50"/>
        <v>#DIV/0!</v>
      </c>
      <c r="AQ71" s="178" t="e">
        <f>IF('Entrada e Saida'!$H$11="TRADING",AU71*'Custo Resumido'!D71,0)</f>
        <v>#DIV/0!</v>
      </c>
      <c r="AR71" s="178" t="e">
        <f>IF('Entrada e Saida'!$H$11="TRADING",AU71*'Entrada e Saida'!$G$63,0)</f>
        <v>#DIV/0!</v>
      </c>
      <c r="AS71" s="178" t="e">
        <f>IF('Entrada e Saida'!$H$11="TRADING",AU71*'Entrada e Saida'!$G$64,0)</f>
        <v>#DIV/0!</v>
      </c>
      <c r="AT71" s="178" t="e">
        <f>IF('Entrada e Saida'!$H$11="TRADING",AU71*'Entrada e Saida'!$G$65,0)</f>
        <v>#DIV/0!</v>
      </c>
      <c r="AU71" s="184" t="e">
        <f>IF('Entrada e Saida'!$H$11="TRADING",AP71/(1-(SUM('Entrada e Saida'!$G$63:$G$65)+'Custo Resumido'!D71)),0)</f>
        <v>#DIV/0!</v>
      </c>
      <c r="AV71" s="178" t="e">
        <f>IF('Entrada e Saida'!$H$13="NÃO",AU71*M71,0)</f>
        <v>#DIV/0!</v>
      </c>
      <c r="AW71" s="184" t="e">
        <f t="shared" si="51"/>
        <v>#DIV/0!</v>
      </c>
      <c r="AX71" s="178" t="e">
        <f>'Entrada e Saida'!$G$74*AU71</f>
        <v>#DIV/0!</v>
      </c>
      <c r="AY71" s="184" t="e">
        <f t="shared" si="52"/>
        <v>#DIV/0!</v>
      </c>
      <c r="AZ71" s="184" t="e">
        <f>AQ71+('Entrada e Saida'!$G$65-'Entrada e Saida'!$I$65)*AU71-AX71</f>
        <v>#DIV/0!</v>
      </c>
      <c r="BA71" s="3" t="e">
        <f>IF('Entrada e Saida'!$H$12="REAL",AZ71*'Entrada e Saida'!$G$81,AU71*'Entrada e Saida'!$G$81)</f>
        <v>#DIV/0!</v>
      </c>
      <c r="BB71" s="3" t="e">
        <f>IF('Entrada e Saida'!$H$12="REAL",AZ71*'Entrada e Saida'!$G$82,AU71*'Entrada e Saida'!$G$82)</f>
        <v>#DIV/0!</v>
      </c>
      <c r="BC71" s="4" t="e">
        <f t="shared" si="53"/>
        <v>#DIV/0!</v>
      </c>
      <c r="BD71" s="3" t="e">
        <f>IF('Entrada e Saida'!$H$11="TRADING",AW71/D71,AK71/D71)</f>
        <v>#DIV/0!</v>
      </c>
      <c r="BE71" s="3" t="e">
        <f t="shared" si="54"/>
        <v>#DIV/0!</v>
      </c>
      <c r="BF71" s="2" t="e">
        <f t="shared" si="55"/>
        <v>#DIV/0!</v>
      </c>
      <c r="BG71" s="3" t="e">
        <f>IF('Entrada e Saida'!$H$11="TRADING",AV71/D71,AN71/D71)</f>
        <v>#DIV/0!</v>
      </c>
      <c r="BH71" s="3" t="e">
        <f>IF('Entrada e Saida'!$H$11="TRADING",IF('Entrada e Saida'!$H$12="REAL",AR71/D71,0),AL71/D71)</f>
        <v>#DIV/0!</v>
      </c>
      <c r="BI71" s="3" t="e">
        <f>IF('Entrada e Saida'!$H$11="TRADING",IF('Entrada e Saida'!$H$12="REAL",AS71/D71,0),AM71/D71)</f>
        <v>#DIV/0!</v>
      </c>
      <c r="BJ71" s="3" t="e">
        <f>IF('Entrada e Saida'!$H$11="TRADING",AT71/D71,AO71/D71)</f>
        <v>#DIV/0!</v>
      </c>
      <c r="BK71" s="2" t="e">
        <f t="shared" si="56"/>
        <v>#DIV/0!</v>
      </c>
      <c r="BL71" s="2">
        <f>IF(O71&gt;0,IFERROR(IF('Entrada e Saida'!$H$11="DIRETA",0,(IF('Entrada e Saida'!$H$14="P.JURIDICA",(BD71*(1+O71)*N71)-((BD71/(1+M71))*'Entrada e Saida'!$G$65),((Produtos!N71-'Entrada e Saida'!$G$65)*Produtos!BD71)))),0),0)</f>
        <v>0</v>
      </c>
      <c r="BM71" s="2" t="e">
        <f t="shared" si="57"/>
        <v>#DIV/0!</v>
      </c>
    </row>
    <row r="72" spans="1:65" s="1" customFormat="1">
      <c r="A72" s="127"/>
      <c r="B72" s="172" t="e">
        <f>VLOOKUP(A72,'Master Modelo'!A:I,7,FALSE)</f>
        <v>#N/A</v>
      </c>
      <c r="C72" s="145" t="e">
        <f>VLOOKUP(A72,'Master Modelo'!A:I,2,FALSE)</f>
        <v>#N/A</v>
      </c>
      <c r="D72" s="146"/>
      <c r="E72" s="143">
        <f>IFERROR(VLOOKUP(A72,'Master Modelo'!A:I,9,FALSE),0)</f>
        <v>0</v>
      </c>
      <c r="F72" s="189">
        <f>IFERROR(VLOOKUP(A72,'Master Modelo'!A:I,8,FALSE),0)</f>
        <v>0</v>
      </c>
      <c r="G72" s="189">
        <f>IFERROR(VLOOKUP(A72,'Master Modelo'!A:K,11,FALSE),0)</f>
        <v>0</v>
      </c>
      <c r="H72" s="173" t="e">
        <f t="shared" si="40"/>
        <v>#DIV/0!</v>
      </c>
      <c r="I72" s="163">
        <f>IFERROR(VLOOKUP(A72,'Master Modelo'!A:I,3,FALSE),0)</f>
        <v>0</v>
      </c>
      <c r="J72" s="164">
        <f>IFERROR(VLOOKUP(A72,'Master Modelo'!A:I,5,FALSE),0)</f>
        <v>0</v>
      </c>
      <c r="K72" s="164">
        <f>IFERROR(VLOOKUP(A72,'Master Modelo'!A:I,6,FALSE),0)</f>
        <v>0</v>
      </c>
      <c r="L72" s="165" t="e">
        <f>VLOOKUP(A72,'Master Modelo'!A:J,10,FALSE)</f>
        <v>#N/A</v>
      </c>
      <c r="M72" s="163">
        <f>IFERROR(VLOOKUP(A72,'Master Modelo'!A:I,4,FALSE),0)</f>
        <v>0</v>
      </c>
      <c r="N72" s="175"/>
      <c r="O72" s="187"/>
      <c r="P72" s="177">
        <f t="shared" si="41"/>
        <v>0</v>
      </c>
      <c r="Q72" s="177">
        <f t="shared" si="58"/>
        <v>0</v>
      </c>
      <c r="R72" s="178">
        <f>D72*E72*'Entrada e Saida'!$K$8</f>
        <v>0</v>
      </c>
      <c r="S72" s="179" t="e">
        <f>'Entrada e Saida'!$H$21*'Entrada e Saida'!$K$8*(P72/(SUM(P:P)))</f>
        <v>#DIV/0!</v>
      </c>
      <c r="T72" s="179" t="e">
        <f>'Entrada e Saida'!$H$21*'Entrada e Saida'!$K$8*(Q72/(SUM(Q:Q)))</f>
        <v>#DIV/0!</v>
      </c>
      <c r="U72" s="179" t="e">
        <f>'Entrada e Saida'!$H$22*(P72/(SUM(P:P)))</f>
        <v>#DIV/0!</v>
      </c>
      <c r="V72" s="179" t="e">
        <f>'Entrada e Saida'!$H$22*(Q72/(SUM(Q:Q)))</f>
        <v>#DIV/0!</v>
      </c>
      <c r="W72" s="180" t="e">
        <f t="shared" si="42"/>
        <v>#DIV/0!</v>
      </c>
      <c r="X72" s="179" t="e">
        <f>'Entrada e Saida'!$H$26*(IF('Entrada e Saida'!$H$15="PESO",(P72/(SUM(P:P))),(Q72/(SUM(Q:Q)))))</f>
        <v>#DIV/0!</v>
      </c>
      <c r="Y72" s="179" t="e">
        <f>'Entrada e Saida'!$H$27*(IF('Entrada e Saida'!$H$15="PESO",(P72/(SUM(P:P))),(Q72/(SUM(Q:Q)))))</f>
        <v>#DIV/0!</v>
      </c>
      <c r="Z72" s="179" t="e">
        <f>'Entrada e Saida'!$H$28*(IF('Entrada e Saida'!$H$15="PESO",(P72/(SUM(P:P))),(Q72/(SUM(Q:Q)))))</f>
        <v>#DIV/0!</v>
      </c>
      <c r="AA72" s="181" t="e">
        <f t="shared" si="43"/>
        <v>#DIV/0!</v>
      </c>
      <c r="AB72" s="178" t="e">
        <f t="shared" si="44"/>
        <v>#DIV/0!</v>
      </c>
      <c r="AC72" s="178" t="e">
        <f t="shared" si="45"/>
        <v>#DIV/0!</v>
      </c>
      <c r="AD72" s="178" t="e">
        <f t="shared" si="46"/>
        <v>#DIV/0!</v>
      </c>
      <c r="AE72" s="177" t="e">
        <f t="shared" si="47"/>
        <v>#DIV/0!</v>
      </c>
      <c r="AF72" s="182">
        <f>IFERROR(D72*F72*L72*'Entrada e Saida'!$K$8,0)</f>
        <v>0</v>
      </c>
      <c r="AG72" s="178" t="e">
        <f>((W72+AA72+AB72+AC72+AD72+AE72+AF72)/(1-'Entrada e Saida'!$G$65))*'Entrada e Saida'!$I$66</f>
        <v>#DIV/0!</v>
      </c>
      <c r="AH72" s="180" t="e">
        <f t="shared" si="48"/>
        <v>#DIV/0!</v>
      </c>
      <c r="AI72" s="183" t="e">
        <f>'Entrada e Saida'!$K$51*(IF('Entrada e Saida'!$H$15="PESO",(P72/(SUM(P:P))),(Q72/(SUM(Q:Q)))))</f>
        <v>#DIV/0!</v>
      </c>
      <c r="AJ72" s="183">
        <f>(('Entrada e Saida'!$K$10-'Entrada e Saida'!$K$8)*E72*D72)</f>
        <v>0</v>
      </c>
      <c r="AK72" s="184" t="e">
        <f>IF('Entrada e Saida'!$H$15="PESO",W72+AA72+AH72+AI72+AJ72,W72+AA72+AH72+AI72+AJ72-S72+T72-U72+V72)</f>
        <v>#DIV/0!</v>
      </c>
      <c r="AL72" s="185" t="e">
        <f>IF('Entrada e Saida'!$H$12="REAL",AC72,0)</f>
        <v>#DIV/0!</v>
      </c>
      <c r="AM72" s="185" t="e">
        <f>IF('Entrada e Saida'!$H$12="REAL",AD72,0)</f>
        <v>#DIV/0!</v>
      </c>
      <c r="AN72" s="186" t="e">
        <f>IF('Entrada e Saida'!$H$13= "NÃO",AE72,0)</f>
        <v>#DIV/0!</v>
      </c>
      <c r="AO72" s="186" t="e">
        <f t="shared" si="49"/>
        <v>#DIV/0!</v>
      </c>
      <c r="AP72" s="184" t="e">
        <f t="shared" si="50"/>
        <v>#DIV/0!</v>
      </c>
      <c r="AQ72" s="178" t="e">
        <f>IF('Entrada e Saida'!$H$11="TRADING",AU72*'Custo Resumido'!D72,0)</f>
        <v>#DIV/0!</v>
      </c>
      <c r="AR72" s="178" t="e">
        <f>IF('Entrada e Saida'!$H$11="TRADING",AU72*'Entrada e Saida'!$G$63,0)</f>
        <v>#DIV/0!</v>
      </c>
      <c r="AS72" s="178" t="e">
        <f>IF('Entrada e Saida'!$H$11="TRADING",AU72*'Entrada e Saida'!$G$64,0)</f>
        <v>#DIV/0!</v>
      </c>
      <c r="AT72" s="178" t="e">
        <f>IF('Entrada e Saida'!$H$11="TRADING",AU72*'Entrada e Saida'!$G$65,0)</f>
        <v>#DIV/0!</v>
      </c>
      <c r="AU72" s="184" t="e">
        <f>IF('Entrada e Saida'!$H$11="TRADING",AP72/(1-(SUM('Entrada e Saida'!$G$63:$G$65)+'Custo Resumido'!D72)),0)</f>
        <v>#DIV/0!</v>
      </c>
      <c r="AV72" s="178" t="e">
        <f>IF('Entrada e Saida'!$H$13="NÃO",AU72*M72,0)</f>
        <v>#DIV/0!</v>
      </c>
      <c r="AW72" s="184" t="e">
        <f t="shared" si="51"/>
        <v>#DIV/0!</v>
      </c>
      <c r="AX72" s="178" t="e">
        <f>'Entrada e Saida'!$G$74*AU72</f>
        <v>#DIV/0!</v>
      </c>
      <c r="AY72" s="184" t="e">
        <f t="shared" si="52"/>
        <v>#DIV/0!</v>
      </c>
      <c r="AZ72" s="184" t="e">
        <f>AQ72+('Entrada e Saida'!$G$65-'Entrada e Saida'!$I$65)*AU72-AX72</f>
        <v>#DIV/0!</v>
      </c>
      <c r="BA72" s="3" t="e">
        <f>IF('Entrada e Saida'!$H$12="REAL",AZ72*'Entrada e Saida'!$G$81,AU72*'Entrada e Saida'!$G$81)</f>
        <v>#DIV/0!</v>
      </c>
      <c r="BB72" s="3" t="e">
        <f>IF('Entrada e Saida'!$H$12="REAL",AZ72*'Entrada e Saida'!$G$82,AU72*'Entrada e Saida'!$G$82)</f>
        <v>#DIV/0!</v>
      </c>
      <c r="BC72" s="4" t="e">
        <f t="shared" si="53"/>
        <v>#DIV/0!</v>
      </c>
      <c r="BD72" s="3" t="e">
        <f>IF('Entrada e Saida'!$H$11="TRADING",AW72/D72,AK72/D72)</f>
        <v>#DIV/0!</v>
      </c>
      <c r="BE72" s="3" t="e">
        <f t="shared" si="54"/>
        <v>#DIV/0!</v>
      </c>
      <c r="BF72" s="2" t="e">
        <f t="shared" si="55"/>
        <v>#DIV/0!</v>
      </c>
      <c r="BG72" s="3" t="e">
        <f>IF('Entrada e Saida'!$H$11="TRADING",AV72/D72,AN72/D72)</f>
        <v>#DIV/0!</v>
      </c>
      <c r="BH72" s="3" t="e">
        <f>IF('Entrada e Saida'!$H$11="TRADING",IF('Entrada e Saida'!$H$12="REAL",AR72/D72,0),AL72/D72)</f>
        <v>#DIV/0!</v>
      </c>
      <c r="BI72" s="3" t="e">
        <f>IF('Entrada e Saida'!$H$11="TRADING",IF('Entrada e Saida'!$H$12="REAL",AS72/D72,0),AM72/D72)</f>
        <v>#DIV/0!</v>
      </c>
      <c r="BJ72" s="3" t="e">
        <f>IF('Entrada e Saida'!$H$11="TRADING",AT72/D72,AO72/D72)</f>
        <v>#DIV/0!</v>
      </c>
      <c r="BK72" s="2" t="e">
        <f t="shared" si="56"/>
        <v>#DIV/0!</v>
      </c>
      <c r="BL72" s="2">
        <f>IF(O72&gt;0,IFERROR(IF('Entrada e Saida'!$H$11="DIRETA",0,(IF('Entrada e Saida'!$H$14="P.JURIDICA",(BD72*(1+O72)*N72)-((BD72/(1+M72))*'Entrada e Saida'!$G$65),((Produtos!N72-'Entrada e Saida'!$G$65)*Produtos!BD72)))),0),0)</f>
        <v>0</v>
      </c>
      <c r="BM72" s="2" t="e">
        <f t="shared" si="57"/>
        <v>#DIV/0!</v>
      </c>
    </row>
    <row r="73" spans="1:65" s="1" customFormat="1">
      <c r="A73" s="127"/>
      <c r="B73" s="172" t="e">
        <f>VLOOKUP(A73,'Master Modelo'!A:I,7,FALSE)</f>
        <v>#N/A</v>
      </c>
      <c r="C73" s="145" t="e">
        <f>VLOOKUP(A73,'Master Modelo'!A:I,2,FALSE)</f>
        <v>#N/A</v>
      </c>
      <c r="D73" s="146"/>
      <c r="E73" s="143">
        <f>IFERROR(VLOOKUP(A73,'Master Modelo'!A:I,9,FALSE),0)</f>
        <v>0</v>
      </c>
      <c r="F73" s="189">
        <f>IFERROR(VLOOKUP(A73,'Master Modelo'!A:I,8,FALSE),0)</f>
        <v>0</v>
      </c>
      <c r="G73" s="189">
        <f>IFERROR(VLOOKUP(A73,'Master Modelo'!A:K,11,FALSE),0)</f>
        <v>0</v>
      </c>
      <c r="H73" s="173" t="e">
        <f t="shared" si="40"/>
        <v>#DIV/0!</v>
      </c>
      <c r="I73" s="163">
        <f>IFERROR(VLOOKUP(A73,'Master Modelo'!A:I,3,FALSE),0)</f>
        <v>0</v>
      </c>
      <c r="J73" s="164">
        <f>IFERROR(VLOOKUP(A73,'Master Modelo'!A:I,5,FALSE),0)</f>
        <v>0</v>
      </c>
      <c r="K73" s="164">
        <f>IFERROR(VLOOKUP(A73,'Master Modelo'!A:I,6,FALSE),0)</f>
        <v>0</v>
      </c>
      <c r="L73" s="165" t="e">
        <f>VLOOKUP(A73,'Master Modelo'!A:J,10,FALSE)</f>
        <v>#N/A</v>
      </c>
      <c r="M73" s="163">
        <f>IFERROR(VLOOKUP(A73,'Master Modelo'!A:I,4,FALSE),0)</f>
        <v>0</v>
      </c>
      <c r="N73" s="175"/>
      <c r="O73" s="187"/>
      <c r="P73" s="177">
        <f t="shared" si="41"/>
        <v>0</v>
      </c>
      <c r="Q73" s="177">
        <f t="shared" si="58"/>
        <v>0</v>
      </c>
      <c r="R73" s="178">
        <f>D73*E73*'Entrada e Saida'!$K$8</f>
        <v>0</v>
      </c>
      <c r="S73" s="179" t="e">
        <f>'Entrada e Saida'!$H$21*'Entrada e Saida'!$K$8*(P73/(SUM(P:P)))</f>
        <v>#DIV/0!</v>
      </c>
      <c r="T73" s="179" t="e">
        <f>'Entrada e Saida'!$H$21*'Entrada e Saida'!$K$8*(Q73/(SUM(Q:Q)))</f>
        <v>#DIV/0!</v>
      </c>
      <c r="U73" s="179" t="e">
        <f>'Entrada e Saida'!$H$22*(P73/(SUM(P:P)))</f>
        <v>#DIV/0!</v>
      </c>
      <c r="V73" s="179" t="e">
        <f>'Entrada e Saida'!$H$22*(Q73/(SUM(Q:Q)))</f>
        <v>#DIV/0!</v>
      </c>
      <c r="W73" s="180" t="e">
        <f t="shared" si="42"/>
        <v>#DIV/0!</v>
      </c>
      <c r="X73" s="179" t="e">
        <f>'Entrada e Saida'!$H$26*(IF('Entrada e Saida'!$H$15="PESO",(P73/(SUM(P:P))),(Q73/(SUM(Q:Q)))))</f>
        <v>#DIV/0!</v>
      </c>
      <c r="Y73" s="179" t="e">
        <f>'Entrada e Saida'!$H$27*(IF('Entrada e Saida'!$H$15="PESO",(P73/(SUM(P:P))),(Q73/(SUM(Q:Q)))))</f>
        <v>#DIV/0!</v>
      </c>
      <c r="Z73" s="179" t="e">
        <f>'Entrada e Saida'!$H$28*(IF('Entrada e Saida'!$H$15="PESO",(P73/(SUM(P:P))),(Q73/(SUM(Q:Q)))))</f>
        <v>#DIV/0!</v>
      </c>
      <c r="AA73" s="181" t="e">
        <f t="shared" si="43"/>
        <v>#DIV/0!</v>
      </c>
      <c r="AB73" s="178" t="e">
        <f t="shared" si="44"/>
        <v>#DIV/0!</v>
      </c>
      <c r="AC73" s="178" t="e">
        <f t="shared" si="45"/>
        <v>#DIV/0!</v>
      </c>
      <c r="AD73" s="178" t="e">
        <f t="shared" si="46"/>
        <v>#DIV/0!</v>
      </c>
      <c r="AE73" s="177" t="e">
        <f t="shared" si="47"/>
        <v>#DIV/0!</v>
      </c>
      <c r="AF73" s="182">
        <f>IFERROR(D73*F73*L73*'Entrada e Saida'!$K$8,0)</f>
        <v>0</v>
      </c>
      <c r="AG73" s="178" t="e">
        <f>((W73+AA73+AB73+AC73+AD73+AE73+AF73)/(1-'Entrada e Saida'!$G$65))*'Entrada e Saida'!$I$66</f>
        <v>#DIV/0!</v>
      </c>
      <c r="AH73" s="180" t="e">
        <f t="shared" si="48"/>
        <v>#DIV/0!</v>
      </c>
      <c r="AI73" s="183" t="e">
        <f>'Entrada e Saida'!$K$51*(IF('Entrada e Saida'!$H$15="PESO",(P73/(SUM(P:P))),(Q73/(SUM(Q:Q)))))</f>
        <v>#DIV/0!</v>
      </c>
      <c r="AJ73" s="183">
        <f>(('Entrada e Saida'!$K$10-'Entrada e Saida'!$K$8)*E73*D73)</f>
        <v>0</v>
      </c>
      <c r="AK73" s="184" t="e">
        <f>IF('Entrada e Saida'!$H$15="PESO",W73+AA73+AH73+AI73+AJ73,W73+AA73+AH73+AI73+AJ73-S73+T73-U73+V73)</f>
        <v>#DIV/0!</v>
      </c>
      <c r="AL73" s="185" t="e">
        <f>IF('Entrada e Saida'!$H$12="REAL",AC73,0)</f>
        <v>#DIV/0!</v>
      </c>
      <c r="AM73" s="185" t="e">
        <f>IF('Entrada e Saida'!$H$12="REAL",AD73,0)</f>
        <v>#DIV/0!</v>
      </c>
      <c r="AN73" s="186" t="e">
        <f>IF('Entrada e Saida'!$H$13= "NÃO",AE73,0)</f>
        <v>#DIV/0!</v>
      </c>
      <c r="AO73" s="186" t="e">
        <f t="shared" si="49"/>
        <v>#DIV/0!</v>
      </c>
      <c r="AP73" s="184" t="e">
        <f t="shared" si="50"/>
        <v>#DIV/0!</v>
      </c>
      <c r="AQ73" s="178" t="e">
        <f>IF('Entrada e Saida'!$H$11="TRADING",AU73*'Custo Resumido'!D73,0)</f>
        <v>#DIV/0!</v>
      </c>
      <c r="AR73" s="178" t="e">
        <f>IF('Entrada e Saida'!$H$11="TRADING",AU73*'Entrada e Saida'!$G$63,0)</f>
        <v>#DIV/0!</v>
      </c>
      <c r="AS73" s="178" t="e">
        <f>IF('Entrada e Saida'!$H$11="TRADING",AU73*'Entrada e Saida'!$G$64,0)</f>
        <v>#DIV/0!</v>
      </c>
      <c r="AT73" s="178" t="e">
        <f>IF('Entrada e Saida'!$H$11="TRADING",AU73*'Entrada e Saida'!$G$65,0)</f>
        <v>#DIV/0!</v>
      </c>
      <c r="AU73" s="184" t="e">
        <f>IF('Entrada e Saida'!$H$11="TRADING",AP73/(1-(SUM('Entrada e Saida'!$G$63:$G$65)+'Custo Resumido'!D73)),0)</f>
        <v>#DIV/0!</v>
      </c>
      <c r="AV73" s="178" t="e">
        <f>IF('Entrada e Saida'!$H$13="NÃO",AU73*M73,0)</f>
        <v>#DIV/0!</v>
      </c>
      <c r="AW73" s="184" t="e">
        <f t="shared" si="51"/>
        <v>#DIV/0!</v>
      </c>
      <c r="AX73" s="178" t="e">
        <f>'Entrada e Saida'!$G$74*AU73</f>
        <v>#DIV/0!</v>
      </c>
      <c r="AY73" s="184" t="e">
        <f t="shared" si="52"/>
        <v>#DIV/0!</v>
      </c>
      <c r="AZ73" s="184" t="e">
        <f>AQ73+('Entrada e Saida'!$G$65-'Entrada e Saida'!$I$65)*AU73-AX73</f>
        <v>#DIV/0!</v>
      </c>
      <c r="BA73" s="3" t="e">
        <f>IF('Entrada e Saida'!$H$12="REAL",AZ73*'Entrada e Saida'!$G$81,AU73*'Entrada e Saida'!$G$81)</f>
        <v>#DIV/0!</v>
      </c>
      <c r="BB73" s="3" t="e">
        <f>IF('Entrada e Saida'!$H$12="REAL",AZ73*'Entrada e Saida'!$G$82,AU73*'Entrada e Saida'!$G$82)</f>
        <v>#DIV/0!</v>
      </c>
      <c r="BC73" s="4" t="e">
        <f t="shared" si="53"/>
        <v>#DIV/0!</v>
      </c>
      <c r="BD73" s="3" t="e">
        <f>IF('Entrada e Saida'!$H$11="TRADING",AW73/D73,AK73/D73)</f>
        <v>#DIV/0!</v>
      </c>
      <c r="BE73" s="3" t="e">
        <f t="shared" si="54"/>
        <v>#DIV/0!</v>
      </c>
      <c r="BF73" s="2" t="e">
        <f t="shared" si="55"/>
        <v>#DIV/0!</v>
      </c>
      <c r="BG73" s="3" t="e">
        <f>IF('Entrada e Saida'!$H$11="TRADING",AV73/D73,AN73/D73)</f>
        <v>#DIV/0!</v>
      </c>
      <c r="BH73" s="3" t="e">
        <f>IF('Entrada e Saida'!$H$11="TRADING",IF('Entrada e Saida'!$H$12="REAL",AR73/D73,0),AL73/D73)</f>
        <v>#DIV/0!</v>
      </c>
      <c r="BI73" s="3" t="e">
        <f>IF('Entrada e Saida'!$H$11="TRADING",IF('Entrada e Saida'!$H$12="REAL",AS73/D73,0),AM73/D73)</f>
        <v>#DIV/0!</v>
      </c>
      <c r="BJ73" s="3" t="e">
        <f>IF('Entrada e Saida'!$H$11="TRADING",AT73/D73,AO73/D73)</f>
        <v>#DIV/0!</v>
      </c>
      <c r="BK73" s="2" t="e">
        <f t="shared" si="56"/>
        <v>#DIV/0!</v>
      </c>
      <c r="BL73" s="2">
        <f>IF(O73&gt;0,IFERROR(IF('Entrada e Saida'!$H$11="DIRETA",0,(IF('Entrada e Saida'!$H$14="P.JURIDICA",(BD73*(1+O73)*N73)-((BD73/(1+M73))*'Entrada e Saida'!$G$65),((Produtos!N73-'Entrada e Saida'!$G$65)*Produtos!BD73)))),0),0)</f>
        <v>0</v>
      </c>
      <c r="BM73" s="2" t="e">
        <f t="shared" si="57"/>
        <v>#DIV/0!</v>
      </c>
    </row>
    <row r="74" spans="1:65" s="1" customFormat="1">
      <c r="A74" s="127"/>
      <c r="B74" s="172" t="e">
        <f>VLOOKUP(A74,'Master Modelo'!A:I,7,FALSE)</f>
        <v>#N/A</v>
      </c>
      <c r="C74" s="145" t="e">
        <f>VLOOKUP(A74,'Master Modelo'!A:I,2,FALSE)</f>
        <v>#N/A</v>
      </c>
      <c r="D74" s="146"/>
      <c r="E74" s="143">
        <f>IFERROR(VLOOKUP(A74,'Master Modelo'!A:I,9,FALSE),0)</f>
        <v>0</v>
      </c>
      <c r="F74" s="189">
        <f>IFERROR(VLOOKUP(A74,'Master Modelo'!A:I,8,FALSE),0)</f>
        <v>0</v>
      </c>
      <c r="G74" s="189">
        <f>IFERROR(VLOOKUP(A74,'Master Modelo'!A:K,11,FALSE),0)</f>
        <v>0</v>
      </c>
      <c r="H74" s="173" t="e">
        <f t="shared" si="40"/>
        <v>#DIV/0!</v>
      </c>
      <c r="I74" s="163">
        <f>IFERROR(VLOOKUP(A74,'Master Modelo'!A:I,3,FALSE),0)</f>
        <v>0</v>
      </c>
      <c r="J74" s="164">
        <f>IFERROR(VLOOKUP(A74,'Master Modelo'!A:I,5,FALSE),0)</f>
        <v>0</v>
      </c>
      <c r="K74" s="164">
        <f>IFERROR(VLOOKUP(A74,'Master Modelo'!A:I,6,FALSE),0)</f>
        <v>0</v>
      </c>
      <c r="L74" s="165" t="e">
        <f>VLOOKUP(A74,'Master Modelo'!A:J,10,FALSE)</f>
        <v>#N/A</v>
      </c>
      <c r="M74" s="163">
        <f>IFERROR(VLOOKUP(A74,'Master Modelo'!A:I,4,FALSE),0)</f>
        <v>0</v>
      </c>
      <c r="N74" s="175"/>
      <c r="O74" s="187"/>
      <c r="P74" s="177">
        <f t="shared" si="41"/>
        <v>0</v>
      </c>
      <c r="Q74" s="177">
        <f t="shared" si="58"/>
        <v>0</v>
      </c>
      <c r="R74" s="178">
        <f>D74*E74*'Entrada e Saida'!$K$8</f>
        <v>0</v>
      </c>
      <c r="S74" s="179" t="e">
        <f>'Entrada e Saida'!$H$21*'Entrada e Saida'!$K$8*(P74/(SUM(P:P)))</f>
        <v>#DIV/0!</v>
      </c>
      <c r="T74" s="179" t="e">
        <f>'Entrada e Saida'!$H$21*'Entrada e Saida'!$K$8*(Q74/(SUM(Q:Q)))</f>
        <v>#DIV/0!</v>
      </c>
      <c r="U74" s="179" t="e">
        <f>'Entrada e Saida'!$H$22*(P74/(SUM(P:P)))</f>
        <v>#DIV/0!</v>
      </c>
      <c r="V74" s="179" t="e">
        <f>'Entrada e Saida'!$H$22*(Q74/(SUM(Q:Q)))</f>
        <v>#DIV/0!</v>
      </c>
      <c r="W74" s="180" t="e">
        <f t="shared" si="42"/>
        <v>#DIV/0!</v>
      </c>
      <c r="X74" s="179" t="e">
        <f>'Entrada e Saida'!$H$26*(IF('Entrada e Saida'!$H$15="PESO",(P74/(SUM(P:P))),(Q74/(SUM(Q:Q)))))</f>
        <v>#DIV/0!</v>
      </c>
      <c r="Y74" s="179" t="e">
        <f>'Entrada e Saida'!$H$27*(IF('Entrada e Saida'!$H$15="PESO",(P74/(SUM(P:P))),(Q74/(SUM(Q:Q)))))</f>
        <v>#DIV/0!</v>
      </c>
      <c r="Z74" s="179" t="e">
        <f>'Entrada e Saida'!$H$28*(IF('Entrada e Saida'!$H$15="PESO",(P74/(SUM(P:P))),(Q74/(SUM(Q:Q)))))</f>
        <v>#DIV/0!</v>
      </c>
      <c r="AA74" s="181" t="e">
        <f t="shared" si="43"/>
        <v>#DIV/0!</v>
      </c>
      <c r="AB74" s="178" t="e">
        <f t="shared" si="44"/>
        <v>#DIV/0!</v>
      </c>
      <c r="AC74" s="178" t="e">
        <f t="shared" si="45"/>
        <v>#DIV/0!</v>
      </c>
      <c r="AD74" s="178" t="e">
        <f t="shared" si="46"/>
        <v>#DIV/0!</v>
      </c>
      <c r="AE74" s="177" t="e">
        <f t="shared" si="47"/>
        <v>#DIV/0!</v>
      </c>
      <c r="AF74" s="182">
        <f>IFERROR(D74*F74*L74*'Entrada e Saida'!$K$8,0)</f>
        <v>0</v>
      </c>
      <c r="AG74" s="178" t="e">
        <f>((W74+AA74+AB74+AC74+AD74+AE74+AF74)/(1-'Entrada e Saida'!$G$65))*'Entrada e Saida'!$I$66</f>
        <v>#DIV/0!</v>
      </c>
      <c r="AH74" s="180" t="e">
        <f t="shared" si="48"/>
        <v>#DIV/0!</v>
      </c>
      <c r="AI74" s="183" t="e">
        <f>'Entrada e Saida'!$K$51*(IF('Entrada e Saida'!$H$15="PESO",(P74/(SUM(P:P))),(Q74/(SUM(Q:Q)))))</f>
        <v>#DIV/0!</v>
      </c>
      <c r="AJ74" s="183">
        <f>(('Entrada e Saida'!$K$10-'Entrada e Saida'!$K$8)*E74*D74)</f>
        <v>0</v>
      </c>
      <c r="AK74" s="184" t="e">
        <f>IF('Entrada e Saida'!$H$15="PESO",W74+AA74+AH74+AI74+AJ74,W74+AA74+AH74+AI74+AJ74-S74+T74-U74+V74)</f>
        <v>#DIV/0!</v>
      </c>
      <c r="AL74" s="185" t="e">
        <f>IF('Entrada e Saida'!$H$12="REAL",AC74,0)</f>
        <v>#DIV/0!</v>
      </c>
      <c r="AM74" s="185" t="e">
        <f>IF('Entrada e Saida'!$H$12="REAL",AD74,0)</f>
        <v>#DIV/0!</v>
      </c>
      <c r="AN74" s="186" t="e">
        <f>IF('Entrada e Saida'!$H$13= "NÃO",AE74,0)</f>
        <v>#DIV/0!</v>
      </c>
      <c r="AO74" s="186" t="e">
        <f t="shared" si="49"/>
        <v>#DIV/0!</v>
      </c>
      <c r="AP74" s="184" t="e">
        <f t="shared" si="50"/>
        <v>#DIV/0!</v>
      </c>
      <c r="AQ74" s="178" t="e">
        <f>IF('Entrada e Saida'!$H$11="TRADING",AU74*'Custo Resumido'!D74,0)</f>
        <v>#DIV/0!</v>
      </c>
      <c r="AR74" s="178" t="e">
        <f>IF('Entrada e Saida'!$H$11="TRADING",AU74*'Entrada e Saida'!$G$63,0)</f>
        <v>#DIV/0!</v>
      </c>
      <c r="AS74" s="178" t="e">
        <f>IF('Entrada e Saida'!$H$11="TRADING",AU74*'Entrada e Saida'!$G$64,0)</f>
        <v>#DIV/0!</v>
      </c>
      <c r="AT74" s="178" t="e">
        <f>IF('Entrada e Saida'!$H$11="TRADING",AU74*'Entrada e Saida'!$G$65,0)</f>
        <v>#DIV/0!</v>
      </c>
      <c r="AU74" s="184" t="e">
        <f>IF('Entrada e Saida'!$H$11="TRADING",AP74/(1-(SUM('Entrada e Saida'!$G$63:$G$65)+'Custo Resumido'!D74)),0)</f>
        <v>#DIV/0!</v>
      </c>
      <c r="AV74" s="178" t="e">
        <f>IF('Entrada e Saida'!$H$13="NÃO",AU74*M74,0)</f>
        <v>#DIV/0!</v>
      </c>
      <c r="AW74" s="184" t="e">
        <f t="shared" si="51"/>
        <v>#DIV/0!</v>
      </c>
      <c r="AX74" s="178" t="e">
        <f>'Entrada e Saida'!$G$74*AU74</f>
        <v>#DIV/0!</v>
      </c>
      <c r="AY74" s="184" t="e">
        <f t="shared" si="52"/>
        <v>#DIV/0!</v>
      </c>
      <c r="AZ74" s="184" t="e">
        <f>AQ74+('Entrada e Saida'!$G$65-'Entrada e Saida'!$I$65)*AU74-AX74</f>
        <v>#DIV/0!</v>
      </c>
      <c r="BA74" s="3" t="e">
        <f>IF('Entrada e Saida'!$H$12="REAL",AZ74*'Entrada e Saida'!$G$81,AU74*'Entrada e Saida'!$G$81)</f>
        <v>#DIV/0!</v>
      </c>
      <c r="BB74" s="3" t="e">
        <f>IF('Entrada e Saida'!$H$12="REAL",AZ74*'Entrada e Saida'!$G$82,AU74*'Entrada e Saida'!$G$82)</f>
        <v>#DIV/0!</v>
      </c>
      <c r="BC74" s="4" t="e">
        <f t="shared" si="53"/>
        <v>#DIV/0!</v>
      </c>
      <c r="BD74" s="3" t="e">
        <f>IF('Entrada e Saida'!$H$11="TRADING",AW74/D74,AK74/D74)</f>
        <v>#DIV/0!</v>
      </c>
      <c r="BE74" s="3" t="e">
        <f t="shared" si="54"/>
        <v>#DIV/0!</v>
      </c>
      <c r="BF74" s="2" t="e">
        <f t="shared" si="55"/>
        <v>#DIV/0!</v>
      </c>
      <c r="BG74" s="3" t="e">
        <f>IF('Entrada e Saida'!$H$11="TRADING",AV74/D74,AN74/D74)</f>
        <v>#DIV/0!</v>
      </c>
      <c r="BH74" s="3" t="e">
        <f>IF('Entrada e Saida'!$H$11="TRADING",IF('Entrada e Saida'!$H$12="REAL",AR74/D74,0),AL74/D74)</f>
        <v>#DIV/0!</v>
      </c>
      <c r="BI74" s="3" t="e">
        <f>IF('Entrada e Saida'!$H$11="TRADING",IF('Entrada e Saida'!$H$12="REAL",AS74/D74,0),AM74/D74)</f>
        <v>#DIV/0!</v>
      </c>
      <c r="BJ74" s="3" t="e">
        <f>IF('Entrada e Saida'!$H$11="TRADING",AT74/D74,AO74/D74)</f>
        <v>#DIV/0!</v>
      </c>
      <c r="BK74" s="2" t="e">
        <f t="shared" si="56"/>
        <v>#DIV/0!</v>
      </c>
      <c r="BL74" s="2">
        <f>IF(O74&gt;0,IFERROR(IF('Entrada e Saida'!$H$11="DIRETA",0,(IF('Entrada e Saida'!$H$14="P.JURIDICA",(BD74*(1+O74)*N74)-((BD74/(1+M74))*'Entrada e Saida'!$G$65),((Produtos!N74-'Entrada e Saida'!$G$65)*Produtos!BD74)))),0),0)</f>
        <v>0</v>
      </c>
      <c r="BM74" s="2" t="e">
        <f t="shared" si="57"/>
        <v>#DIV/0!</v>
      </c>
    </row>
    <row r="75" spans="1:65" s="1" customFormat="1">
      <c r="A75" s="127"/>
      <c r="B75" s="172" t="e">
        <f>VLOOKUP(A75,'Master Modelo'!A:I,7,FALSE)</f>
        <v>#N/A</v>
      </c>
      <c r="C75" s="145" t="e">
        <f>VLOOKUP(A75,'Master Modelo'!A:I,2,FALSE)</f>
        <v>#N/A</v>
      </c>
      <c r="D75" s="146"/>
      <c r="E75" s="143">
        <f>IFERROR(VLOOKUP(A75,'Master Modelo'!A:I,9,FALSE),0)</f>
        <v>0</v>
      </c>
      <c r="F75" s="189">
        <f>IFERROR(VLOOKUP(A75,'Master Modelo'!A:I,8,FALSE),0)</f>
        <v>0</v>
      </c>
      <c r="G75" s="189">
        <f>IFERROR(VLOOKUP(A75,'Master Modelo'!A:K,11,FALSE),0)</f>
        <v>0</v>
      </c>
      <c r="H75" s="173" t="e">
        <f t="shared" si="40"/>
        <v>#DIV/0!</v>
      </c>
      <c r="I75" s="163">
        <f>IFERROR(VLOOKUP(A75,'Master Modelo'!A:I,3,FALSE),0)</f>
        <v>0</v>
      </c>
      <c r="J75" s="164">
        <f>IFERROR(VLOOKUP(A75,'Master Modelo'!A:I,5,FALSE),0)</f>
        <v>0</v>
      </c>
      <c r="K75" s="164">
        <f>IFERROR(VLOOKUP(A75,'Master Modelo'!A:I,6,FALSE),0)</f>
        <v>0</v>
      </c>
      <c r="L75" s="165" t="e">
        <f>VLOOKUP(A75,'Master Modelo'!A:J,10,FALSE)</f>
        <v>#N/A</v>
      </c>
      <c r="M75" s="163">
        <f>IFERROR(VLOOKUP(A75,'Master Modelo'!A:I,4,FALSE),0)</f>
        <v>0</v>
      </c>
      <c r="N75" s="175"/>
      <c r="O75" s="187"/>
      <c r="P75" s="177">
        <f t="shared" si="41"/>
        <v>0</v>
      </c>
      <c r="Q75" s="177">
        <f t="shared" si="58"/>
        <v>0</v>
      </c>
      <c r="R75" s="178">
        <f>D75*E75*'Entrada e Saida'!$K$8</f>
        <v>0</v>
      </c>
      <c r="S75" s="179" t="e">
        <f>'Entrada e Saida'!$H$21*'Entrada e Saida'!$K$8*(P75/(SUM(P:P)))</f>
        <v>#DIV/0!</v>
      </c>
      <c r="T75" s="179" t="e">
        <f>'Entrada e Saida'!$H$21*'Entrada e Saida'!$K$8*(Q75/(SUM(Q:Q)))</f>
        <v>#DIV/0!</v>
      </c>
      <c r="U75" s="179" t="e">
        <f>'Entrada e Saida'!$H$22*(P75/(SUM(P:P)))</f>
        <v>#DIV/0!</v>
      </c>
      <c r="V75" s="179" t="e">
        <f>'Entrada e Saida'!$H$22*(Q75/(SUM(Q:Q)))</f>
        <v>#DIV/0!</v>
      </c>
      <c r="W75" s="180" t="e">
        <f t="shared" si="42"/>
        <v>#DIV/0!</v>
      </c>
      <c r="X75" s="179" t="e">
        <f>'Entrada e Saida'!$H$26*(IF('Entrada e Saida'!$H$15="PESO",(P75/(SUM(P:P))),(Q75/(SUM(Q:Q)))))</f>
        <v>#DIV/0!</v>
      </c>
      <c r="Y75" s="179" t="e">
        <f>'Entrada e Saida'!$H$27*(IF('Entrada e Saida'!$H$15="PESO",(P75/(SUM(P:P))),(Q75/(SUM(Q:Q)))))</f>
        <v>#DIV/0!</v>
      </c>
      <c r="Z75" s="179" t="e">
        <f>'Entrada e Saida'!$H$28*(IF('Entrada e Saida'!$H$15="PESO",(P75/(SUM(P:P))),(Q75/(SUM(Q:Q)))))</f>
        <v>#DIV/0!</v>
      </c>
      <c r="AA75" s="181" t="e">
        <f t="shared" si="43"/>
        <v>#DIV/0!</v>
      </c>
      <c r="AB75" s="178" t="e">
        <f t="shared" si="44"/>
        <v>#DIV/0!</v>
      </c>
      <c r="AC75" s="178" t="e">
        <f t="shared" si="45"/>
        <v>#DIV/0!</v>
      </c>
      <c r="AD75" s="178" t="e">
        <f t="shared" si="46"/>
        <v>#DIV/0!</v>
      </c>
      <c r="AE75" s="177" t="e">
        <f t="shared" si="47"/>
        <v>#DIV/0!</v>
      </c>
      <c r="AF75" s="182">
        <f>IFERROR(D75*F75*L75*'Entrada e Saida'!$K$8,0)</f>
        <v>0</v>
      </c>
      <c r="AG75" s="178" t="e">
        <f>((W75+AA75+AB75+AC75+AD75+AE75+AF75)/(1-'Entrada e Saida'!$G$65))*'Entrada e Saida'!$I$66</f>
        <v>#DIV/0!</v>
      </c>
      <c r="AH75" s="180" t="e">
        <f t="shared" si="48"/>
        <v>#DIV/0!</v>
      </c>
      <c r="AI75" s="183" t="e">
        <f>'Entrada e Saida'!$K$51*(IF('Entrada e Saida'!$H$15="PESO",(P75/(SUM(P:P))),(Q75/(SUM(Q:Q)))))</f>
        <v>#DIV/0!</v>
      </c>
      <c r="AJ75" s="183">
        <f>(('Entrada e Saida'!$K$10-'Entrada e Saida'!$K$8)*E75*D75)</f>
        <v>0</v>
      </c>
      <c r="AK75" s="184" t="e">
        <f>IF('Entrada e Saida'!$H$15="PESO",W75+AA75+AH75+AI75+AJ75,W75+AA75+AH75+AI75+AJ75-S75+T75-U75+V75)</f>
        <v>#DIV/0!</v>
      </c>
      <c r="AL75" s="185" t="e">
        <f>IF('Entrada e Saida'!$H$12="REAL",AC75,0)</f>
        <v>#DIV/0!</v>
      </c>
      <c r="AM75" s="185" t="e">
        <f>IF('Entrada e Saida'!$H$12="REAL",AD75,0)</f>
        <v>#DIV/0!</v>
      </c>
      <c r="AN75" s="186" t="e">
        <f>IF('Entrada e Saida'!$H$13= "NÃO",AE75,0)</f>
        <v>#DIV/0!</v>
      </c>
      <c r="AO75" s="186" t="e">
        <f t="shared" si="49"/>
        <v>#DIV/0!</v>
      </c>
      <c r="AP75" s="184" t="e">
        <f t="shared" si="50"/>
        <v>#DIV/0!</v>
      </c>
      <c r="AQ75" s="178" t="e">
        <f>IF('Entrada e Saida'!$H$11="TRADING",AU75*'Custo Resumido'!D75,0)</f>
        <v>#DIV/0!</v>
      </c>
      <c r="AR75" s="178" t="e">
        <f>IF('Entrada e Saida'!$H$11="TRADING",AU75*'Entrada e Saida'!$G$63,0)</f>
        <v>#DIV/0!</v>
      </c>
      <c r="AS75" s="178" t="e">
        <f>IF('Entrada e Saida'!$H$11="TRADING",AU75*'Entrada e Saida'!$G$64,0)</f>
        <v>#DIV/0!</v>
      </c>
      <c r="AT75" s="178" t="e">
        <f>IF('Entrada e Saida'!$H$11="TRADING",AU75*'Entrada e Saida'!$G$65,0)</f>
        <v>#DIV/0!</v>
      </c>
      <c r="AU75" s="184" t="e">
        <f>IF('Entrada e Saida'!$H$11="TRADING",AP75/(1-(SUM('Entrada e Saida'!$G$63:$G$65)+'Custo Resumido'!D75)),0)</f>
        <v>#DIV/0!</v>
      </c>
      <c r="AV75" s="178" t="e">
        <f>IF('Entrada e Saida'!$H$13="NÃO",AU75*M75,0)</f>
        <v>#DIV/0!</v>
      </c>
      <c r="AW75" s="184" t="e">
        <f t="shared" si="51"/>
        <v>#DIV/0!</v>
      </c>
      <c r="AX75" s="178" t="e">
        <f>'Entrada e Saida'!$G$74*AU75</f>
        <v>#DIV/0!</v>
      </c>
      <c r="AY75" s="184" t="e">
        <f t="shared" si="52"/>
        <v>#DIV/0!</v>
      </c>
      <c r="AZ75" s="184" t="e">
        <f>AQ75+('Entrada e Saida'!$G$65-'Entrada e Saida'!$I$65)*AU75-AX75</f>
        <v>#DIV/0!</v>
      </c>
      <c r="BA75" s="3" t="e">
        <f>IF('Entrada e Saida'!$H$12="REAL",AZ75*'Entrada e Saida'!$G$81,AU75*'Entrada e Saida'!$G$81)</f>
        <v>#DIV/0!</v>
      </c>
      <c r="BB75" s="3" t="e">
        <f>IF('Entrada e Saida'!$H$12="REAL",AZ75*'Entrada e Saida'!$G$82,AU75*'Entrada e Saida'!$G$82)</f>
        <v>#DIV/0!</v>
      </c>
      <c r="BC75" s="4" t="e">
        <f t="shared" si="53"/>
        <v>#DIV/0!</v>
      </c>
      <c r="BD75" s="3" t="e">
        <f>IF('Entrada e Saida'!$H$11="TRADING",AW75/D75,AK75/D75)</f>
        <v>#DIV/0!</v>
      </c>
      <c r="BE75" s="3" t="e">
        <f t="shared" si="54"/>
        <v>#DIV/0!</v>
      </c>
      <c r="BF75" s="2" t="e">
        <f t="shared" si="55"/>
        <v>#DIV/0!</v>
      </c>
      <c r="BG75" s="3" t="e">
        <f>IF('Entrada e Saida'!$H$11="TRADING",AV75/D75,AN75/D75)</f>
        <v>#DIV/0!</v>
      </c>
      <c r="BH75" s="3" t="e">
        <f>IF('Entrada e Saida'!$H$11="TRADING",IF('Entrada e Saida'!$H$12="REAL",AR75/D75,0),AL75/D75)</f>
        <v>#DIV/0!</v>
      </c>
      <c r="BI75" s="3" t="e">
        <f>IF('Entrada e Saida'!$H$11="TRADING",IF('Entrada e Saida'!$H$12="REAL",AS75/D75,0),AM75/D75)</f>
        <v>#DIV/0!</v>
      </c>
      <c r="BJ75" s="3" t="e">
        <f>IF('Entrada e Saida'!$H$11="TRADING",AT75/D75,AO75/D75)</f>
        <v>#DIV/0!</v>
      </c>
      <c r="BK75" s="2" t="e">
        <f t="shared" si="56"/>
        <v>#DIV/0!</v>
      </c>
      <c r="BL75" s="2">
        <f>IF(O75&gt;0,IFERROR(IF('Entrada e Saida'!$H$11="DIRETA",0,(IF('Entrada e Saida'!$H$14="P.JURIDICA",(BD75*(1+O75)*N75)-((BD75/(1+M75))*'Entrada e Saida'!$G$65),((Produtos!N75-'Entrada e Saida'!$G$65)*Produtos!BD75)))),0),0)</f>
        <v>0</v>
      </c>
      <c r="BM75" s="2" t="e">
        <f t="shared" si="57"/>
        <v>#DIV/0!</v>
      </c>
    </row>
    <row r="76" spans="1:65" s="1" customFormat="1">
      <c r="A76" s="127"/>
      <c r="B76" s="172" t="e">
        <f>VLOOKUP(A76,'Master Modelo'!A:I,7,FALSE)</f>
        <v>#N/A</v>
      </c>
      <c r="C76" s="145" t="e">
        <f>VLOOKUP(A76,'Master Modelo'!A:I,2,FALSE)</f>
        <v>#N/A</v>
      </c>
      <c r="D76" s="146"/>
      <c r="E76" s="143">
        <f>IFERROR(VLOOKUP(A76,'Master Modelo'!A:I,9,FALSE),0)</f>
        <v>0</v>
      </c>
      <c r="F76" s="189">
        <f>IFERROR(VLOOKUP(A76,'Master Modelo'!A:I,8,FALSE),0)</f>
        <v>0</v>
      </c>
      <c r="G76" s="189">
        <f>IFERROR(VLOOKUP(A76,'Master Modelo'!A:K,11,FALSE),0)</f>
        <v>0</v>
      </c>
      <c r="H76" s="173" t="e">
        <f t="shared" si="40"/>
        <v>#DIV/0!</v>
      </c>
      <c r="I76" s="163">
        <f>IFERROR(VLOOKUP(A76,'Master Modelo'!A:I,3,FALSE),0)</f>
        <v>0</v>
      </c>
      <c r="J76" s="164">
        <f>IFERROR(VLOOKUP(A76,'Master Modelo'!A:I,5,FALSE),0)</f>
        <v>0</v>
      </c>
      <c r="K76" s="164">
        <f>IFERROR(VLOOKUP(A76,'Master Modelo'!A:I,6,FALSE),0)</f>
        <v>0</v>
      </c>
      <c r="L76" s="165" t="e">
        <f>VLOOKUP(A76,'Master Modelo'!A:J,10,FALSE)</f>
        <v>#N/A</v>
      </c>
      <c r="M76" s="163">
        <f>IFERROR(VLOOKUP(A76,'Master Modelo'!A:I,4,FALSE),0)</f>
        <v>0</v>
      </c>
      <c r="N76" s="175"/>
      <c r="O76" s="187"/>
      <c r="P76" s="177">
        <f t="shared" si="41"/>
        <v>0</v>
      </c>
      <c r="Q76" s="177">
        <f t="shared" si="58"/>
        <v>0</v>
      </c>
      <c r="R76" s="178">
        <f>D76*E76*'Entrada e Saida'!$K$8</f>
        <v>0</v>
      </c>
      <c r="S76" s="179" t="e">
        <f>'Entrada e Saida'!$H$21*'Entrada e Saida'!$K$8*(P76/(SUM(P:P)))</f>
        <v>#DIV/0!</v>
      </c>
      <c r="T76" s="179" t="e">
        <f>'Entrada e Saida'!$H$21*'Entrada e Saida'!$K$8*(Q76/(SUM(Q:Q)))</f>
        <v>#DIV/0!</v>
      </c>
      <c r="U76" s="179" t="e">
        <f>'Entrada e Saida'!$H$22*(P76/(SUM(P:P)))</f>
        <v>#DIV/0!</v>
      </c>
      <c r="V76" s="179" t="e">
        <f>'Entrada e Saida'!$H$22*(Q76/(SUM(Q:Q)))</f>
        <v>#DIV/0!</v>
      </c>
      <c r="W76" s="180" t="e">
        <f t="shared" si="42"/>
        <v>#DIV/0!</v>
      </c>
      <c r="X76" s="179" t="e">
        <f>'Entrada e Saida'!$H$26*(IF('Entrada e Saida'!$H$15="PESO",(P76/(SUM(P:P))),(Q76/(SUM(Q:Q)))))</f>
        <v>#DIV/0!</v>
      </c>
      <c r="Y76" s="179" t="e">
        <f>'Entrada e Saida'!$H$27*(IF('Entrada e Saida'!$H$15="PESO",(P76/(SUM(P:P))),(Q76/(SUM(Q:Q)))))</f>
        <v>#DIV/0!</v>
      </c>
      <c r="Z76" s="179" t="e">
        <f>'Entrada e Saida'!$H$28*(IF('Entrada e Saida'!$H$15="PESO",(P76/(SUM(P:P))),(Q76/(SUM(Q:Q)))))</f>
        <v>#DIV/0!</v>
      </c>
      <c r="AA76" s="181" t="e">
        <f t="shared" si="43"/>
        <v>#DIV/0!</v>
      </c>
      <c r="AB76" s="178" t="e">
        <f t="shared" si="44"/>
        <v>#DIV/0!</v>
      </c>
      <c r="AC76" s="178" t="e">
        <f t="shared" si="45"/>
        <v>#DIV/0!</v>
      </c>
      <c r="AD76" s="178" t="e">
        <f t="shared" si="46"/>
        <v>#DIV/0!</v>
      </c>
      <c r="AE76" s="177" t="e">
        <f t="shared" si="47"/>
        <v>#DIV/0!</v>
      </c>
      <c r="AF76" s="182">
        <f>IFERROR(D76*F76*L76*'Entrada e Saida'!$K$8,0)</f>
        <v>0</v>
      </c>
      <c r="AG76" s="178" t="e">
        <f>((W76+AA76+AB76+AC76+AD76+AE76+AF76)/(1-'Entrada e Saida'!$G$65))*'Entrada e Saida'!$I$66</f>
        <v>#DIV/0!</v>
      </c>
      <c r="AH76" s="180" t="e">
        <f t="shared" si="48"/>
        <v>#DIV/0!</v>
      </c>
      <c r="AI76" s="183" t="e">
        <f>'Entrada e Saida'!$K$51*(IF('Entrada e Saida'!$H$15="PESO",(P76/(SUM(P:P))),(Q76/(SUM(Q:Q)))))</f>
        <v>#DIV/0!</v>
      </c>
      <c r="AJ76" s="183">
        <f>(('Entrada e Saida'!$K$10-'Entrada e Saida'!$K$8)*E76*D76)</f>
        <v>0</v>
      </c>
      <c r="AK76" s="184" t="e">
        <f>IF('Entrada e Saida'!$H$15="PESO",W76+AA76+AH76+AI76+AJ76,W76+AA76+AH76+AI76+AJ76-S76+T76-U76+V76)</f>
        <v>#DIV/0!</v>
      </c>
      <c r="AL76" s="185" t="e">
        <f>IF('Entrada e Saida'!$H$12="REAL",AC76,0)</f>
        <v>#DIV/0!</v>
      </c>
      <c r="AM76" s="185" t="e">
        <f>IF('Entrada e Saida'!$H$12="REAL",AD76,0)</f>
        <v>#DIV/0!</v>
      </c>
      <c r="AN76" s="186" t="e">
        <f>IF('Entrada e Saida'!$H$13= "NÃO",AE76,0)</f>
        <v>#DIV/0!</v>
      </c>
      <c r="AO76" s="186" t="e">
        <f t="shared" si="49"/>
        <v>#DIV/0!</v>
      </c>
      <c r="AP76" s="184" t="e">
        <f t="shared" si="50"/>
        <v>#DIV/0!</v>
      </c>
      <c r="AQ76" s="178" t="e">
        <f>IF('Entrada e Saida'!$H$11="TRADING",AU76*'Custo Resumido'!D76,0)</f>
        <v>#DIV/0!</v>
      </c>
      <c r="AR76" s="178" t="e">
        <f>IF('Entrada e Saida'!$H$11="TRADING",AU76*'Entrada e Saida'!$G$63,0)</f>
        <v>#DIV/0!</v>
      </c>
      <c r="AS76" s="178" t="e">
        <f>IF('Entrada e Saida'!$H$11="TRADING",AU76*'Entrada e Saida'!$G$64,0)</f>
        <v>#DIV/0!</v>
      </c>
      <c r="AT76" s="178" t="e">
        <f>IF('Entrada e Saida'!$H$11="TRADING",AU76*'Entrada e Saida'!$G$65,0)</f>
        <v>#DIV/0!</v>
      </c>
      <c r="AU76" s="184" t="e">
        <f>IF('Entrada e Saida'!$H$11="TRADING",AP76/(1-(SUM('Entrada e Saida'!$G$63:$G$65)+'Custo Resumido'!D76)),0)</f>
        <v>#DIV/0!</v>
      </c>
      <c r="AV76" s="178" t="e">
        <f>IF('Entrada e Saida'!$H$13="NÃO",AU76*M76,0)</f>
        <v>#DIV/0!</v>
      </c>
      <c r="AW76" s="184" t="e">
        <f t="shared" si="51"/>
        <v>#DIV/0!</v>
      </c>
      <c r="AX76" s="178" t="e">
        <f>'Entrada e Saida'!$G$74*AU76</f>
        <v>#DIV/0!</v>
      </c>
      <c r="AY76" s="184" t="e">
        <f t="shared" si="52"/>
        <v>#DIV/0!</v>
      </c>
      <c r="AZ76" s="184" t="e">
        <f>AQ76+('Entrada e Saida'!$G$65-'Entrada e Saida'!$I$65)*AU76-AX76</f>
        <v>#DIV/0!</v>
      </c>
      <c r="BA76" s="3" t="e">
        <f>IF('Entrada e Saida'!$H$12="REAL",AZ76*'Entrada e Saida'!$G$81,AU76*'Entrada e Saida'!$G$81)</f>
        <v>#DIV/0!</v>
      </c>
      <c r="BB76" s="3" t="e">
        <f>IF('Entrada e Saida'!$H$12="REAL",AZ76*'Entrada e Saida'!$G$82,AU76*'Entrada e Saida'!$G$82)</f>
        <v>#DIV/0!</v>
      </c>
      <c r="BC76" s="4" t="e">
        <f t="shared" si="53"/>
        <v>#DIV/0!</v>
      </c>
      <c r="BD76" s="3" t="e">
        <f>IF('Entrada e Saida'!$H$11="TRADING",AW76/D76,AK76/D76)</f>
        <v>#DIV/0!</v>
      </c>
      <c r="BE76" s="3" t="e">
        <f t="shared" si="54"/>
        <v>#DIV/0!</v>
      </c>
      <c r="BF76" s="2" t="e">
        <f t="shared" si="55"/>
        <v>#DIV/0!</v>
      </c>
      <c r="BG76" s="3" t="e">
        <f>IF('Entrada e Saida'!$H$11="TRADING",AV76/D76,AN76/D76)</f>
        <v>#DIV/0!</v>
      </c>
      <c r="BH76" s="3" t="e">
        <f>IF('Entrada e Saida'!$H$11="TRADING",IF('Entrada e Saida'!$H$12="REAL",AR76/D76,0),AL76/D76)</f>
        <v>#DIV/0!</v>
      </c>
      <c r="BI76" s="3" t="e">
        <f>IF('Entrada e Saida'!$H$11="TRADING",IF('Entrada e Saida'!$H$12="REAL",AS76/D76,0),AM76/D76)</f>
        <v>#DIV/0!</v>
      </c>
      <c r="BJ76" s="3" t="e">
        <f>IF('Entrada e Saida'!$H$11="TRADING",AT76/D76,AO76/D76)</f>
        <v>#DIV/0!</v>
      </c>
      <c r="BK76" s="2" t="e">
        <f t="shared" si="56"/>
        <v>#DIV/0!</v>
      </c>
      <c r="BL76" s="2">
        <f>IF(O76&gt;0,IFERROR(IF('Entrada e Saida'!$H$11="DIRETA",0,(IF('Entrada e Saida'!$H$14="P.JURIDICA",(BD76*(1+O76)*N76)-((BD76/(1+M76))*'Entrada e Saida'!$G$65),((Produtos!N76-'Entrada e Saida'!$G$65)*Produtos!BD76)))),0),0)</f>
        <v>0</v>
      </c>
      <c r="BM76" s="2" t="e">
        <f t="shared" si="57"/>
        <v>#DIV/0!</v>
      </c>
    </row>
    <row r="77" spans="1:65" s="1" customFormat="1">
      <c r="A77" s="127"/>
      <c r="B77" s="172" t="e">
        <f>VLOOKUP(A77,'Master Modelo'!A:I,7,FALSE)</f>
        <v>#N/A</v>
      </c>
      <c r="C77" s="145" t="e">
        <f>VLOOKUP(A77,'Master Modelo'!A:I,2,FALSE)</f>
        <v>#N/A</v>
      </c>
      <c r="D77" s="146"/>
      <c r="E77" s="143">
        <f>IFERROR(VLOOKUP(A77,'Master Modelo'!A:I,9,FALSE),0)</f>
        <v>0</v>
      </c>
      <c r="F77" s="189">
        <f>IFERROR(VLOOKUP(A77,'Master Modelo'!A:I,8,FALSE),0)</f>
        <v>0</v>
      </c>
      <c r="G77" s="189">
        <f>IFERROR(VLOOKUP(A77,'Master Modelo'!A:K,11,FALSE),0)</f>
        <v>0</v>
      </c>
      <c r="H77" s="173" t="e">
        <f t="shared" si="40"/>
        <v>#DIV/0!</v>
      </c>
      <c r="I77" s="163">
        <f>IFERROR(VLOOKUP(A77,'Master Modelo'!A:I,3,FALSE),0)</f>
        <v>0</v>
      </c>
      <c r="J77" s="164">
        <f>IFERROR(VLOOKUP(A77,'Master Modelo'!A:I,5,FALSE),0)</f>
        <v>0</v>
      </c>
      <c r="K77" s="164">
        <f>IFERROR(VLOOKUP(A77,'Master Modelo'!A:I,6,FALSE),0)</f>
        <v>0</v>
      </c>
      <c r="L77" s="165" t="e">
        <f>VLOOKUP(A77,'Master Modelo'!A:J,10,FALSE)</f>
        <v>#N/A</v>
      </c>
      <c r="M77" s="163">
        <f>IFERROR(VLOOKUP(A77,'Master Modelo'!A:I,4,FALSE),0)</f>
        <v>0</v>
      </c>
      <c r="N77" s="175"/>
      <c r="O77" s="187"/>
      <c r="P77" s="177">
        <f t="shared" si="41"/>
        <v>0</v>
      </c>
      <c r="Q77" s="177">
        <f t="shared" si="58"/>
        <v>0</v>
      </c>
      <c r="R77" s="178">
        <f>D77*E77*'Entrada e Saida'!$K$8</f>
        <v>0</v>
      </c>
      <c r="S77" s="179" t="e">
        <f>'Entrada e Saida'!$H$21*'Entrada e Saida'!$K$8*(P77/(SUM(P:P)))</f>
        <v>#DIV/0!</v>
      </c>
      <c r="T77" s="179" t="e">
        <f>'Entrada e Saida'!$H$21*'Entrada e Saida'!$K$8*(Q77/(SUM(Q:Q)))</f>
        <v>#DIV/0!</v>
      </c>
      <c r="U77" s="179" t="e">
        <f>'Entrada e Saida'!$H$22*(P77/(SUM(P:P)))</f>
        <v>#DIV/0!</v>
      </c>
      <c r="V77" s="179" t="e">
        <f>'Entrada e Saida'!$H$22*(Q77/(SUM(Q:Q)))</f>
        <v>#DIV/0!</v>
      </c>
      <c r="W77" s="180" t="e">
        <f t="shared" si="42"/>
        <v>#DIV/0!</v>
      </c>
      <c r="X77" s="179" t="e">
        <f>'Entrada e Saida'!$H$26*(IF('Entrada e Saida'!$H$15="PESO",(P77/(SUM(P:P))),(Q77/(SUM(Q:Q)))))</f>
        <v>#DIV/0!</v>
      </c>
      <c r="Y77" s="179" t="e">
        <f>'Entrada e Saida'!$H$27*(IF('Entrada e Saida'!$H$15="PESO",(P77/(SUM(P:P))),(Q77/(SUM(Q:Q)))))</f>
        <v>#DIV/0!</v>
      </c>
      <c r="Z77" s="179" t="e">
        <f>'Entrada e Saida'!$H$28*(IF('Entrada e Saida'!$H$15="PESO",(P77/(SUM(P:P))),(Q77/(SUM(Q:Q)))))</f>
        <v>#DIV/0!</v>
      </c>
      <c r="AA77" s="181" t="e">
        <f t="shared" si="43"/>
        <v>#DIV/0!</v>
      </c>
      <c r="AB77" s="178" t="e">
        <f t="shared" si="44"/>
        <v>#DIV/0!</v>
      </c>
      <c r="AC77" s="178" t="e">
        <f t="shared" si="45"/>
        <v>#DIV/0!</v>
      </c>
      <c r="AD77" s="178" t="e">
        <f t="shared" si="46"/>
        <v>#DIV/0!</v>
      </c>
      <c r="AE77" s="177" t="e">
        <f t="shared" si="47"/>
        <v>#DIV/0!</v>
      </c>
      <c r="AF77" s="182">
        <f>IFERROR(D77*F77*L77*'Entrada e Saida'!$K$8,0)</f>
        <v>0</v>
      </c>
      <c r="AG77" s="178" t="e">
        <f>((W77+AA77+AB77+AC77+AD77+AE77+AF77)/(1-'Entrada e Saida'!$G$65))*'Entrada e Saida'!$I$66</f>
        <v>#DIV/0!</v>
      </c>
      <c r="AH77" s="180" t="e">
        <f t="shared" si="48"/>
        <v>#DIV/0!</v>
      </c>
      <c r="AI77" s="183" t="e">
        <f>'Entrada e Saida'!$K$51*(IF('Entrada e Saida'!$H$15="PESO",(P77/(SUM(P:P))),(Q77/(SUM(Q:Q)))))</f>
        <v>#DIV/0!</v>
      </c>
      <c r="AJ77" s="183">
        <f>(('Entrada e Saida'!$K$10-'Entrada e Saida'!$K$8)*E77*D77)</f>
        <v>0</v>
      </c>
      <c r="AK77" s="184" t="e">
        <f>IF('Entrada e Saida'!$H$15="PESO",W77+AA77+AH77+AI77+AJ77,W77+AA77+AH77+AI77+AJ77-S77+T77-U77+V77)</f>
        <v>#DIV/0!</v>
      </c>
      <c r="AL77" s="185" t="e">
        <f>IF('Entrada e Saida'!$H$12="REAL",AC77,0)</f>
        <v>#DIV/0!</v>
      </c>
      <c r="AM77" s="185" t="e">
        <f>IF('Entrada e Saida'!$H$12="REAL",AD77,0)</f>
        <v>#DIV/0!</v>
      </c>
      <c r="AN77" s="186" t="e">
        <f>IF('Entrada e Saida'!$H$13= "NÃO",AE77,0)</f>
        <v>#DIV/0!</v>
      </c>
      <c r="AO77" s="186" t="e">
        <f t="shared" si="49"/>
        <v>#DIV/0!</v>
      </c>
      <c r="AP77" s="184" t="e">
        <f t="shared" si="50"/>
        <v>#DIV/0!</v>
      </c>
      <c r="AQ77" s="178" t="e">
        <f>IF('Entrada e Saida'!$H$11="TRADING",AU77*'Custo Resumido'!D77,0)</f>
        <v>#DIV/0!</v>
      </c>
      <c r="AR77" s="178" t="e">
        <f>IF('Entrada e Saida'!$H$11="TRADING",AU77*'Entrada e Saida'!$G$63,0)</f>
        <v>#DIV/0!</v>
      </c>
      <c r="AS77" s="178" t="e">
        <f>IF('Entrada e Saida'!$H$11="TRADING",AU77*'Entrada e Saida'!$G$64,0)</f>
        <v>#DIV/0!</v>
      </c>
      <c r="AT77" s="178" t="e">
        <f>IF('Entrada e Saida'!$H$11="TRADING",AU77*'Entrada e Saida'!$G$65,0)</f>
        <v>#DIV/0!</v>
      </c>
      <c r="AU77" s="184" t="e">
        <f>IF('Entrada e Saida'!$H$11="TRADING",AP77/(1-(SUM('Entrada e Saida'!$G$63:$G$65)+'Custo Resumido'!D77)),0)</f>
        <v>#DIV/0!</v>
      </c>
      <c r="AV77" s="178" t="e">
        <f>IF('Entrada e Saida'!$H$13="NÃO",AU77*M77,0)</f>
        <v>#DIV/0!</v>
      </c>
      <c r="AW77" s="184" t="e">
        <f t="shared" si="51"/>
        <v>#DIV/0!</v>
      </c>
      <c r="AX77" s="178" t="e">
        <f>'Entrada e Saida'!$G$74*AU77</f>
        <v>#DIV/0!</v>
      </c>
      <c r="AY77" s="184" t="e">
        <f t="shared" si="52"/>
        <v>#DIV/0!</v>
      </c>
      <c r="AZ77" s="184" t="e">
        <f>AQ77+('Entrada e Saida'!$G$65-'Entrada e Saida'!$I$65)*AU77-AX77</f>
        <v>#DIV/0!</v>
      </c>
      <c r="BA77" s="3" t="e">
        <f>IF('Entrada e Saida'!$H$12="REAL",AZ77*'Entrada e Saida'!$G$81,AU77*'Entrada e Saida'!$G$81)</f>
        <v>#DIV/0!</v>
      </c>
      <c r="BB77" s="3" t="e">
        <f>IF('Entrada e Saida'!$H$12="REAL",AZ77*'Entrada e Saida'!$G$82,AU77*'Entrada e Saida'!$G$82)</f>
        <v>#DIV/0!</v>
      </c>
      <c r="BC77" s="4" t="e">
        <f t="shared" si="53"/>
        <v>#DIV/0!</v>
      </c>
      <c r="BD77" s="3" t="e">
        <f>IF('Entrada e Saida'!$H$11="TRADING",AW77/D77,AK77/D77)</f>
        <v>#DIV/0!</v>
      </c>
      <c r="BE77" s="3" t="e">
        <f t="shared" si="54"/>
        <v>#DIV/0!</v>
      </c>
      <c r="BF77" s="2" t="e">
        <f t="shared" si="55"/>
        <v>#DIV/0!</v>
      </c>
      <c r="BG77" s="3" t="e">
        <f>IF('Entrada e Saida'!$H$11="TRADING",AV77/D77,AN77/D77)</f>
        <v>#DIV/0!</v>
      </c>
      <c r="BH77" s="3" t="e">
        <f>IF('Entrada e Saida'!$H$11="TRADING",IF('Entrada e Saida'!$H$12="REAL",AR77/D77,0),AL77/D77)</f>
        <v>#DIV/0!</v>
      </c>
      <c r="BI77" s="3" t="e">
        <f>IF('Entrada e Saida'!$H$11="TRADING",IF('Entrada e Saida'!$H$12="REAL",AS77/D77,0),AM77/D77)</f>
        <v>#DIV/0!</v>
      </c>
      <c r="BJ77" s="3" t="e">
        <f>IF('Entrada e Saida'!$H$11="TRADING",AT77/D77,AO77/D77)</f>
        <v>#DIV/0!</v>
      </c>
      <c r="BK77" s="2" t="e">
        <f t="shared" si="56"/>
        <v>#DIV/0!</v>
      </c>
      <c r="BL77" s="2">
        <f>IF(O77&gt;0,IFERROR(IF('Entrada e Saida'!$H$11="DIRETA",0,(IF('Entrada e Saida'!$H$14="P.JURIDICA",(BD77*(1+O77)*N77)-((BD77/(1+M77))*'Entrada e Saida'!$G$65),((Produtos!N77-'Entrada e Saida'!$G$65)*Produtos!BD77)))),0),0)</f>
        <v>0</v>
      </c>
      <c r="BM77" s="2" t="e">
        <f t="shared" si="57"/>
        <v>#DIV/0!</v>
      </c>
    </row>
    <row r="78" spans="1:65" s="1" customFormat="1">
      <c r="A78" s="127"/>
      <c r="B78" s="172" t="e">
        <f>VLOOKUP(A78,'Master Modelo'!A:I,7,FALSE)</f>
        <v>#N/A</v>
      </c>
      <c r="C78" s="145" t="e">
        <f>VLOOKUP(A78,'Master Modelo'!A:I,2,FALSE)</f>
        <v>#N/A</v>
      </c>
      <c r="D78" s="146"/>
      <c r="E78" s="115">
        <f>IFERROR(VLOOKUP(A78,'Master Modelo'!A:I,9,FALSE),0)</f>
        <v>0</v>
      </c>
      <c r="F78" s="189">
        <f>IFERROR(VLOOKUP(A78,'Master Modelo'!A:I,8,FALSE),0)</f>
        <v>0</v>
      </c>
      <c r="G78" s="189">
        <f>IFERROR(VLOOKUP(A78,'Master Modelo'!A:K,11,FALSE),0)</f>
        <v>0</v>
      </c>
      <c r="H78" s="173" t="e">
        <f t="shared" si="40"/>
        <v>#DIV/0!</v>
      </c>
      <c r="I78" s="163">
        <f>IFERROR(VLOOKUP(A78,'Master Modelo'!A:I,3,FALSE),0)</f>
        <v>0</v>
      </c>
      <c r="J78" s="164">
        <f>IFERROR(VLOOKUP(A78,'Master Modelo'!A:I,5,FALSE),0)</f>
        <v>0</v>
      </c>
      <c r="K78" s="164">
        <f>IFERROR(VLOOKUP(A78,'Master Modelo'!A:I,6,FALSE),0)</f>
        <v>0</v>
      </c>
      <c r="L78" s="165" t="e">
        <f>VLOOKUP(A78,'Master Modelo'!A:J,10,FALSE)</f>
        <v>#N/A</v>
      </c>
      <c r="M78" s="163">
        <f>IFERROR(VLOOKUP(A78,'Master Modelo'!A:I,4,FALSE),0)</f>
        <v>0</v>
      </c>
      <c r="N78" s="175"/>
      <c r="O78" s="187"/>
      <c r="P78" s="177">
        <f t="shared" si="41"/>
        <v>0</v>
      </c>
      <c r="Q78" s="177">
        <f t="shared" si="58"/>
        <v>0</v>
      </c>
      <c r="R78" s="178">
        <f>D78*E78*'Entrada e Saida'!$K$8</f>
        <v>0</v>
      </c>
      <c r="S78" s="179" t="e">
        <f>'Entrada e Saida'!$H$21*'Entrada e Saida'!$K$8*(P78/(SUM(P:P)))</f>
        <v>#DIV/0!</v>
      </c>
      <c r="T78" s="179" t="e">
        <f>'Entrada e Saida'!$H$21*'Entrada e Saida'!$K$8*(Q78/(SUM(Q:Q)))</f>
        <v>#DIV/0!</v>
      </c>
      <c r="U78" s="179" t="e">
        <f>'Entrada e Saida'!$H$22*(P78/(SUM(P:P)))</f>
        <v>#DIV/0!</v>
      </c>
      <c r="V78" s="179" t="e">
        <f>'Entrada e Saida'!$H$22*(Q78/(SUM(Q:Q)))</f>
        <v>#DIV/0!</v>
      </c>
      <c r="W78" s="180" t="e">
        <f t="shared" si="42"/>
        <v>#DIV/0!</v>
      </c>
      <c r="X78" s="179" t="e">
        <f>'Entrada e Saida'!$H$26*(IF('Entrada e Saida'!$H$15="PESO",(P78/(SUM(P:P))),(Q78/(SUM(Q:Q)))))</f>
        <v>#DIV/0!</v>
      </c>
      <c r="Y78" s="179" t="e">
        <f>'Entrada e Saida'!$H$27*(IF('Entrada e Saida'!$H$15="PESO",(P78/(SUM(P:P))),(Q78/(SUM(Q:Q)))))</f>
        <v>#DIV/0!</v>
      </c>
      <c r="Z78" s="179" t="e">
        <f>'Entrada e Saida'!$H$28*(IF('Entrada e Saida'!$H$15="PESO",(P78/(SUM(P:P))),(Q78/(SUM(Q:Q)))))</f>
        <v>#DIV/0!</v>
      </c>
      <c r="AA78" s="181" t="e">
        <f t="shared" si="43"/>
        <v>#DIV/0!</v>
      </c>
      <c r="AB78" s="178" t="e">
        <f t="shared" si="44"/>
        <v>#DIV/0!</v>
      </c>
      <c r="AC78" s="178" t="e">
        <f t="shared" si="45"/>
        <v>#DIV/0!</v>
      </c>
      <c r="AD78" s="178" t="e">
        <f t="shared" si="46"/>
        <v>#DIV/0!</v>
      </c>
      <c r="AE78" s="177" t="e">
        <f t="shared" si="47"/>
        <v>#DIV/0!</v>
      </c>
      <c r="AF78" s="182">
        <f>IFERROR(D78*F78*L78*'Entrada e Saida'!$K$8,0)</f>
        <v>0</v>
      </c>
      <c r="AG78" s="178" t="e">
        <f>((W78+AA78+AB78+AC78+AD78+AE78+AF78)/(1-'Entrada e Saida'!$G$65))*'Entrada e Saida'!$I$66</f>
        <v>#DIV/0!</v>
      </c>
      <c r="AH78" s="180" t="e">
        <f t="shared" si="48"/>
        <v>#DIV/0!</v>
      </c>
      <c r="AI78" s="183" t="e">
        <f>'Entrada e Saida'!$K$51*(IF('Entrada e Saida'!$H$15="PESO",(P78/(SUM(P:P))),(Q78/(SUM(Q:Q)))))</f>
        <v>#DIV/0!</v>
      </c>
      <c r="AJ78" s="183">
        <f>(('Entrada e Saida'!$K$10-'Entrada e Saida'!$K$8)*E78*D78)</f>
        <v>0</v>
      </c>
      <c r="AK78" s="184" t="e">
        <f>IF('Entrada e Saida'!$H$15="PESO",W78+AA78+AH78+AI78+AJ78,W78+AA78+AH78+AI78+AJ78-S78+T78-U78+V78)</f>
        <v>#DIV/0!</v>
      </c>
      <c r="AL78" s="185" t="e">
        <f>IF('Entrada e Saida'!$H$12="REAL",AC78,0)</f>
        <v>#DIV/0!</v>
      </c>
      <c r="AM78" s="185" t="e">
        <f>IF('Entrada e Saida'!$H$12="REAL",AD78,0)</f>
        <v>#DIV/0!</v>
      </c>
      <c r="AN78" s="186" t="e">
        <f>IF('Entrada e Saida'!$H$13= "NÃO",AE78,0)</f>
        <v>#DIV/0!</v>
      </c>
      <c r="AO78" s="186" t="e">
        <f t="shared" si="49"/>
        <v>#DIV/0!</v>
      </c>
      <c r="AP78" s="184" t="e">
        <f t="shared" si="50"/>
        <v>#DIV/0!</v>
      </c>
      <c r="AQ78" s="178" t="e">
        <f>IF('Entrada e Saida'!$H$11="TRADING",AU78*'Custo Resumido'!D78,0)</f>
        <v>#DIV/0!</v>
      </c>
      <c r="AR78" s="178" t="e">
        <f>IF('Entrada e Saida'!$H$11="TRADING",AU78*'Entrada e Saida'!$G$63,0)</f>
        <v>#DIV/0!</v>
      </c>
      <c r="AS78" s="178" t="e">
        <f>IF('Entrada e Saida'!$H$11="TRADING",AU78*'Entrada e Saida'!$G$64,0)</f>
        <v>#DIV/0!</v>
      </c>
      <c r="AT78" s="178" t="e">
        <f>IF('Entrada e Saida'!$H$11="TRADING",AU78*'Entrada e Saida'!$G$65,0)</f>
        <v>#DIV/0!</v>
      </c>
      <c r="AU78" s="184" t="e">
        <f>IF('Entrada e Saida'!$H$11="TRADING",AP78/(1-(SUM('Entrada e Saida'!$G$63:$G$65)+'Custo Resumido'!D78)),0)</f>
        <v>#DIV/0!</v>
      </c>
      <c r="AV78" s="178" t="e">
        <f>IF('Entrada e Saida'!$H$13="NÃO",AU78*M78,0)</f>
        <v>#DIV/0!</v>
      </c>
      <c r="AW78" s="184" t="e">
        <f t="shared" si="51"/>
        <v>#DIV/0!</v>
      </c>
      <c r="AX78" s="178" t="e">
        <f>'Entrada e Saida'!$G$74*AU78</f>
        <v>#DIV/0!</v>
      </c>
      <c r="AY78" s="184" t="e">
        <f t="shared" si="52"/>
        <v>#DIV/0!</v>
      </c>
      <c r="AZ78" s="184" t="e">
        <f>AQ78+('Entrada e Saida'!$G$65-'Entrada e Saida'!$I$65)*AU78-AX78</f>
        <v>#DIV/0!</v>
      </c>
      <c r="BA78" s="3" t="e">
        <f>IF('Entrada e Saida'!$H$12="REAL",AZ78*'Entrada e Saida'!$G$81,AU78*'Entrada e Saida'!$G$81)</f>
        <v>#DIV/0!</v>
      </c>
      <c r="BB78" s="3" t="e">
        <f>IF('Entrada e Saida'!$H$12="REAL",AZ78*'Entrada e Saida'!$G$82,AU78*'Entrada e Saida'!$G$82)</f>
        <v>#DIV/0!</v>
      </c>
      <c r="BC78" s="4" t="e">
        <f t="shared" si="53"/>
        <v>#DIV/0!</v>
      </c>
      <c r="BD78" s="3" t="e">
        <f>IF('Entrada e Saida'!$H$11="TRADING",AW78/D78,AK78/D78)</f>
        <v>#DIV/0!</v>
      </c>
      <c r="BE78" s="3" t="e">
        <f t="shared" si="54"/>
        <v>#DIV/0!</v>
      </c>
      <c r="BF78" s="2" t="e">
        <f t="shared" si="55"/>
        <v>#DIV/0!</v>
      </c>
      <c r="BG78" s="3" t="e">
        <f>IF('Entrada e Saida'!$H$11="TRADING",AV78/D78,AN78/D78)</f>
        <v>#DIV/0!</v>
      </c>
      <c r="BH78" s="3" t="e">
        <f>IF('Entrada e Saida'!$H$11="TRADING",IF('Entrada e Saida'!$H$12="REAL",AR78/D78,0),AL78/D78)</f>
        <v>#DIV/0!</v>
      </c>
      <c r="BI78" s="3" t="e">
        <f>IF('Entrada e Saida'!$H$11="TRADING",IF('Entrada e Saida'!$H$12="REAL",AS78/D78,0),AM78/D78)</f>
        <v>#DIV/0!</v>
      </c>
      <c r="BJ78" s="3" t="e">
        <f>IF('Entrada e Saida'!$H$11="TRADING",AT78/D78,AO78/D78)</f>
        <v>#DIV/0!</v>
      </c>
      <c r="BK78" s="2" t="e">
        <f t="shared" si="56"/>
        <v>#DIV/0!</v>
      </c>
      <c r="BL78" s="2">
        <f>IF(O78&gt;0,IFERROR(IF('Entrada e Saida'!$H$11="DIRETA",0,(IF('Entrada e Saida'!$H$14="P.JURIDICA",(BD78*(1+O78)*N78)-((BD78/(1+M78))*'Entrada e Saida'!$G$65),((Produtos!N78-'Entrada e Saida'!$G$65)*Produtos!BD78)))),0),0)</f>
        <v>0</v>
      </c>
      <c r="BM78" s="2" t="e">
        <f t="shared" si="57"/>
        <v>#DIV/0!</v>
      </c>
    </row>
    <row r="79" spans="1:65" s="1" customFormat="1">
      <c r="A79" s="127"/>
      <c r="B79" s="172" t="e">
        <f>VLOOKUP(A79,'Master Modelo'!A:I,7,FALSE)</f>
        <v>#N/A</v>
      </c>
      <c r="C79" s="145" t="e">
        <f>VLOOKUP(A79,'Master Modelo'!A:I,2,FALSE)</f>
        <v>#N/A</v>
      </c>
      <c r="D79" s="146"/>
      <c r="E79" s="115">
        <f>IFERROR(VLOOKUP(A79,'Master Modelo'!A:I,9,FALSE),0)</f>
        <v>0</v>
      </c>
      <c r="F79" s="189">
        <f>IFERROR(VLOOKUP(A79,'Master Modelo'!A:I,8,FALSE),0)</f>
        <v>0</v>
      </c>
      <c r="G79" s="189">
        <f>IFERROR(VLOOKUP(A79,'Master Modelo'!A:K,11,FALSE),0)</f>
        <v>0</v>
      </c>
      <c r="H79" s="173" t="e">
        <f t="shared" si="40"/>
        <v>#DIV/0!</v>
      </c>
      <c r="I79" s="163">
        <f>IFERROR(VLOOKUP(A79,'Master Modelo'!A:I,3,FALSE),0)</f>
        <v>0</v>
      </c>
      <c r="J79" s="164">
        <f>IFERROR(VLOOKUP(A79,'Master Modelo'!A:I,5,FALSE),0)</f>
        <v>0</v>
      </c>
      <c r="K79" s="164">
        <f>IFERROR(VLOOKUP(A79,'Master Modelo'!A:I,6,FALSE),0)</f>
        <v>0</v>
      </c>
      <c r="L79" s="165" t="e">
        <f>VLOOKUP(A79,'Master Modelo'!A:J,10,FALSE)</f>
        <v>#N/A</v>
      </c>
      <c r="M79" s="163">
        <f>IFERROR(VLOOKUP(A79,'Master Modelo'!A:I,4,FALSE),0)</f>
        <v>0</v>
      </c>
      <c r="N79" s="175"/>
      <c r="O79" s="187"/>
      <c r="P79" s="177">
        <f t="shared" si="41"/>
        <v>0</v>
      </c>
      <c r="Q79" s="177">
        <f t="shared" si="58"/>
        <v>0</v>
      </c>
      <c r="R79" s="178">
        <f>D79*E79*'Entrada e Saida'!$K$8</f>
        <v>0</v>
      </c>
      <c r="S79" s="179" t="e">
        <f>'Entrada e Saida'!$H$21*'Entrada e Saida'!$K$8*(P79/(SUM(P:P)))</f>
        <v>#DIV/0!</v>
      </c>
      <c r="T79" s="179" t="e">
        <f>'Entrada e Saida'!$H$21*'Entrada e Saida'!$K$8*(Q79/(SUM(Q:Q)))</f>
        <v>#DIV/0!</v>
      </c>
      <c r="U79" s="179" t="e">
        <f>'Entrada e Saida'!$H$22*(P79/(SUM(P:P)))</f>
        <v>#DIV/0!</v>
      </c>
      <c r="V79" s="179" t="e">
        <f>'Entrada e Saida'!$H$22*(Q79/(SUM(Q:Q)))</f>
        <v>#DIV/0!</v>
      </c>
      <c r="W79" s="180" t="e">
        <f t="shared" si="42"/>
        <v>#DIV/0!</v>
      </c>
      <c r="X79" s="179" t="e">
        <f>'Entrada e Saida'!$H$26*(IF('Entrada e Saida'!$H$15="PESO",(P79/(SUM(P:P))),(Q79/(SUM(Q:Q)))))</f>
        <v>#DIV/0!</v>
      </c>
      <c r="Y79" s="179" t="e">
        <f>'Entrada e Saida'!$H$27*(IF('Entrada e Saida'!$H$15="PESO",(P79/(SUM(P:P))),(Q79/(SUM(Q:Q)))))</f>
        <v>#DIV/0!</v>
      </c>
      <c r="Z79" s="179" t="e">
        <f>'Entrada e Saida'!$H$28*(IF('Entrada e Saida'!$H$15="PESO",(P79/(SUM(P:P))),(Q79/(SUM(Q:Q)))))</f>
        <v>#DIV/0!</v>
      </c>
      <c r="AA79" s="181" t="e">
        <f t="shared" si="43"/>
        <v>#DIV/0!</v>
      </c>
      <c r="AB79" s="178" t="e">
        <f t="shared" si="44"/>
        <v>#DIV/0!</v>
      </c>
      <c r="AC79" s="178" t="e">
        <f t="shared" si="45"/>
        <v>#DIV/0!</v>
      </c>
      <c r="AD79" s="178" t="e">
        <f t="shared" si="46"/>
        <v>#DIV/0!</v>
      </c>
      <c r="AE79" s="177" t="e">
        <f t="shared" si="47"/>
        <v>#DIV/0!</v>
      </c>
      <c r="AF79" s="182">
        <f>IFERROR(D79*F79*L79*'Entrada e Saida'!$K$8,0)</f>
        <v>0</v>
      </c>
      <c r="AG79" s="178" t="e">
        <f>((W79+AA79+AB79+AC79+AD79+AE79+AF79)/(1-'Entrada e Saida'!$G$65))*'Entrada e Saida'!$I$66</f>
        <v>#DIV/0!</v>
      </c>
      <c r="AH79" s="180" t="e">
        <f t="shared" si="48"/>
        <v>#DIV/0!</v>
      </c>
      <c r="AI79" s="183" t="e">
        <f>'Entrada e Saida'!$K$51*(IF('Entrada e Saida'!$H$15="PESO",(P79/(SUM(P:P))),(Q79/(SUM(Q:Q)))))</f>
        <v>#DIV/0!</v>
      </c>
      <c r="AJ79" s="183">
        <f>(('Entrada e Saida'!$K$10-'Entrada e Saida'!$K$8)*E79*D79)</f>
        <v>0</v>
      </c>
      <c r="AK79" s="184" t="e">
        <f>IF('Entrada e Saida'!$H$15="PESO",W79+AA79+AH79+AI79+AJ79,W79+AA79+AH79+AI79+AJ79-S79+T79-U79+V79)</f>
        <v>#DIV/0!</v>
      </c>
      <c r="AL79" s="185" t="e">
        <f>IF('Entrada e Saida'!$H$12="REAL",AC79,0)</f>
        <v>#DIV/0!</v>
      </c>
      <c r="AM79" s="185" t="e">
        <f>IF('Entrada e Saida'!$H$12="REAL",AD79,0)</f>
        <v>#DIV/0!</v>
      </c>
      <c r="AN79" s="186" t="e">
        <f>IF('Entrada e Saida'!$H$13= "NÃO",AE79,0)</f>
        <v>#DIV/0!</v>
      </c>
      <c r="AO79" s="186" t="e">
        <f t="shared" si="49"/>
        <v>#DIV/0!</v>
      </c>
      <c r="AP79" s="184" t="e">
        <f t="shared" si="50"/>
        <v>#DIV/0!</v>
      </c>
      <c r="AQ79" s="178" t="e">
        <f>IF('Entrada e Saida'!$H$11="TRADING",AU79*'Custo Resumido'!D79,0)</f>
        <v>#DIV/0!</v>
      </c>
      <c r="AR79" s="178" t="e">
        <f>IF('Entrada e Saida'!$H$11="TRADING",AU79*'Entrada e Saida'!$G$63,0)</f>
        <v>#DIV/0!</v>
      </c>
      <c r="AS79" s="178" t="e">
        <f>IF('Entrada e Saida'!$H$11="TRADING",AU79*'Entrada e Saida'!$G$64,0)</f>
        <v>#DIV/0!</v>
      </c>
      <c r="AT79" s="178" t="e">
        <f>IF('Entrada e Saida'!$H$11="TRADING",AU79*'Entrada e Saida'!$G$65,0)</f>
        <v>#DIV/0!</v>
      </c>
      <c r="AU79" s="184" t="e">
        <f>IF('Entrada e Saida'!$H$11="TRADING",AP79/(1-(SUM('Entrada e Saida'!$G$63:$G$65)+'Custo Resumido'!D79)),0)</f>
        <v>#DIV/0!</v>
      </c>
      <c r="AV79" s="178" t="e">
        <f>IF('Entrada e Saida'!$H$13="NÃO",AU79*M79,0)</f>
        <v>#DIV/0!</v>
      </c>
      <c r="AW79" s="184" t="e">
        <f t="shared" si="51"/>
        <v>#DIV/0!</v>
      </c>
      <c r="AX79" s="178" t="e">
        <f>'Entrada e Saida'!$G$74*AU79</f>
        <v>#DIV/0!</v>
      </c>
      <c r="AY79" s="184" t="e">
        <f t="shared" si="52"/>
        <v>#DIV/0!</v>
      </c>
      <c r="AZ79" s="184" t="e">
        <f>AQ79+('Entrada e Saida'!$G$65-'Entrada e Saida'!$I$65)*AU79-AX79</f>
        <v>#DIV/0!</v>
      </c>
      <c r="BA79" s="3" t="e">
        <f>IF('Entrada e Saida'!$H$12="REAL",AZ79*'Entrada e Saida'!$G$81,AU79*'Entrada e Saida'!$G$81)</f>
        <v>#DIV/0!</v>
      </c>
      <c r="BB79" s="3" t="e">
        <f>IF('Entrada e Saida'!$H$12="REAL",AZ79*'Entrada e Saida'!$G$82,AU79*'Entrada e Saida'!$G$82)</f>
        <v>#DIV/0!</v>
      </c>
      <c r="BC79" s="4" t="e">
        <f t="shared" si="53"/>
        <v>#DIV/0!</v>
      </c>
      <c r="BD79" s="3" t="e">
        <f>IF('Entrada e Saida'!$H$11="TRADING",AW79/D79,AK79/D79)</f>
        <v>#DIV/0!</v>
      </c>
      <c r="BE79" s="3" t="e">
        <f t="shared" si="54"/>
        <v>#DIV/0!</v>
      </c>
      <c r="BF79" s="2" t="e">
        <f t="shared" si="55"/>
        <v>#DIV/0!</v>
      </c>
      <c r="BG79" s="3" t="e">
        <f>IF('Entrada e Saida'!$H$11="TRADING",AV79/D79,AN79/D79)</f>
        <v>#DIV/0!</v>
      </c>
      <c r="BH79" s="3" t="e">
        <f>IF('Entrada e Saida'!$H$11="TRADING",IF('Entrada e Saida'!$H$12="REAL",AR79/D79,0),AL79/D79)</f>
        <v>#DIV/0!</v>
      </c>
      <c r="BI79" s="3" t="e">
        <f>IF('Entrada e Saida'!$H$11="TRADING",IF('Entrada e Saida'!$H$12="REAL",AS79/D79,0),AM79/D79)</f>
        <v>#DIV/0!</v>
      </c>
      <c r="BJ79" s="3" t="e">
        <f>IF('Entrada e Saida'!$H$11="TRADING",AT79/D79,AO79/D79)</f>
        <v>#DIV/0!</v>
      </c>
      <c r="BK79" s="2" t="e">
        <f t="shared" si="56"/>
        <v>#DIV/0!</v>
      </c>
      <c r="BL79" s="2">
        <f>IF(O79&gt;0,IFERROR(IF('Entrada e Saida'!$H$11="DIRETA",0,(IF('Entrada e Saida'!$H$14="P.JURIDICA",(BD79*(1+O79)*N79)-((BD79/(1+M79))*'Entrada e Saida'!$G$65),((Produtos!N79-'Entrada e Saida'!$G$65)*Produtos!BD79)))),0),0)</f>
        <v>0</v>
      </c>
      <c r="BM79" s="2" t="e">
        <f t="shared" si="57"/>
        <v>#DIV/0!</v>
      </c>
    </row>
    <row r="80" spans="1:65" s="1" customFormat="1">
      <c r="A80" s="127"/>
      <c r="B80" s="172" t="e">
        <f>VLOOKUP(A80,'Master Modelo'!A:I,7,FALSE)</f>
        <v>#N/A</v>
      </c>
      <c r="C80" s="145" t="e">
        <f>VLOOKUP(A80,'Master Modelo'!A:I,2,FALSE)</f>
        <v>#N/A</v>
      </c>
      <c r="D80" s="146"/>
      <c r="E80" s="115">
        <f>IFERROR(VLOOKUP(A80,'Master Modelo'!A:I,9,FALSE),0)</f>
        <v>0</v>
      </c>
      <c r="F80" s="189">
        <f>IFERROR(VLOOKUP(A80,'Master Modelo'!A:I,8,FALSE),0)</f>
        <v>0</v>
      </c>
      <c r="G80" s="189">
        <f>IFERROR(VLOOKUP(A80,'Master Modelo'!A:K,11,FALSE),0)</f>
        <v>0</v>
      </c>
      <c r="H80" s="173" t="e">
        <f t="shared" si="40"/>
        <v>#DIV/0!</v>
      </c>
      <c r="I80" s="163">
        <f>IFERROR(VLOOKUP(A80,'Master Modelo'!A:I,3,FALSE),0)</f>
        <v>0</v>
      </c>
      <c r="J80" s="164">
        <f>IFERROR(VLOOKUP(A80,'Master Modelo'!A:I,5,FALSE),0)</f>
        <v>0</v>
      </c>
      <c r="K80" s="164">
        <f>IFERROR(VLOOKUP(A80,'Master Modelo'!A:I,6,FALSE),0)</f>
        <v>0</v>
      </c>
      <c r="L80" s="165" t="e">
        <f>VLOOKUP(A80,'Master Modelo'!A:J,10,FALSE)</f>
        <v>#N/A</v>
      </c>
      <c r="M80" s="163">
        <f>IFERROR(VLOOKUP(A80,'Master Modelo'!A:I,4,FALSE),0)</f>
        <v>0</v>
      </c>
      <c r="N80" s="175"/>
      <c r="O80" s="187"/>
      <c r="P80" s="177">
        <f t="shared" si="41"/>
        <v>0</v>
      </c>
      <c r="Q80" s="177">
        <f t="shared" si="58"/>
        <v>0</v>
      </c>
      <c r="R80" s="178">
        <f>D80*E80*'Entrada e Saida'!$K$8</f>
        <v>0</v>
      </c>
      <c r="S80" s="179" t="e">
        <f>'Entrada e Saida'!$H$21*'Entrada e Saida'!$K$8*(P80/(SUM(P:P)))</f>
        <v>#DIV/0!</v>
      </c>
      <c r="T80" s="179" t="e">
        <f>'Entrada e Saida'!$H$21*'Entrada e Saida'!$K$8*(Q80/(SUM(Q:Q)))</f>
        <v>#DIV/0!</v>
      </c>
      <c r="U80" s="179" t="e">
        <f>'Entrada e Saida'!$H$22*(P80/(SUM(P:P)))</f>
        <v>#DIV/0!</v>
      </c>
      <c r="V80" s="179" t="e">
        <f>'Entrada e Saida'!$H$22*(Q80/(SUM(Q:Q)))</f>
        <v>#DIV/0!</v>
      </c>
      <c r="W80" s="180" t="e">
        <f t="shared" si="42"/>
        <v>#DIV/0!</v>
      </c>
      <c r="X80" s="179" t="e">
        <f>'Entrada e Saida'!$H$26*(IF('Entrada e Saida'!$H$15="PESO",(P80/(SUM(P:P))),(Q80/(SUM(Q:Q)))))</f>
        <v>#DIV/0!</v>
      </c>
      <c r="Y80" s="179" t="e">
        <f>'Entrada e Saida'!$H$27*(IF('Entrada e Saida'!$H$15="PESO",(P80/(SUM(P:P))),(Q80/(SUM(Q:Q)))))</f>
        <v>#DIV/0!</v>
      </c>
      <c r="Z80" s="179" t="e">
        <f>'Entrada e Saida'!$H$28*(IF('Entrada e Saida'!$H$15="PESO",(P80/(SUM(P:P))),(Q80/(SUM(Q:Q)))))</f>
        <v>#DIV/0!</v>
      </c>
      <c r="AA80" s="181" t="e">
        <f t="shared" si="43"/>
        <v>#DIV/0!</v>
      </c>
      <c r="AB80" s="178" t="e">
        <f t="shared" si="44"/>
        <v>#DIV/0!</v>
      </c>
      <c r="AC80" s="178" t="e">
        <f t="shared" si="45"/>
        <v>#DIV/0!</v>
      </c>
      <c r="AD80" s="178" t="e">
        <f t="shared" si="46"/>
        <v>#DIV/0!</v>
      </c>
      <c r="AE80" s="177" t="e">
        <f t="shared" si="47"/>
        <v>#DIV/0!</v>
      </c>
      <c r="AF80" s="182">
        <f>IFERROR(D80*F80*L80*'Entrada e Saida'!$K$8,0)</f>
        <v>0</v>
      </c>
      <c r="AG80" s="178" t="e">
        <f>((W80+AA80+AB80+AC80+AD80+AE80+AF80)/(1-'Entrada e Saida'!$G$65))*'Entrada e Saida'!$I$66</f>
        <v>#DIV/0!</v>
      </c>
      <c r="AH80" s="180" t="e">
        <f t="shared" si="48"/>
        <v>#DIV/0!</v>
      </c>
      <c r="AI80" s="183" t="e">
        <f>'Entrada e Saida'!$K$51*(IF('Entrada e Saida'!$H$15="PESO",(P80/(SUM(P:P))),(Q80/(SUM(Q:Q)))))</f>
        <v>#DIV/0!</v>
      </c>
      <c r="AJ80" s="183">
        <f>(('Entrada e Saida'!$K$10-'Entrada e Saida'!$K$8)*E80*D80)</f>
        <v>0</v>
      </c>
      <c r="AK80" s="184" t="e">
        <f>IF('Entrada e Saida'!$H$15="PESO",W80+AA80+AH80+AI80+AJ80,W80+AA80+AH80+AI80+AJ80-S80+T80-U80+V80)</f>
        <v>#DIV/0!</v>
      </c>
      <c r="AL80" s="185" t="e">
        <f>IF('Entrada e Saida'!$H$12="REAL",AC80,0)</f>
        <v>#DIV/0!</v>
      </c>
      <c r="AM80" s="185" t="e">
        <f>IF('Entrada e Saida'!$H$12="REAL",AD80,0)</f>
        <v>#DIV/0!</v>
      </c>
      <c r="AN80" s="186" t="e">
        <f>IF('Entrada e Saida'!$H$13= "NÃO",AE80,0)</f>
        <v>#DIV/0!</v>
      </c>
      <c r="AO80" s="186" t="e">
        <f t="shared" si="49"/>
        <v>#DIV/0!</v>
      </c>
      <c r="AP80" s="184" t="e">
        <f t="shared" si="50"/>
        <v>#DIV/0!</v>
      </c>
      <c r="AQ80" s="178" t="e">
        <f>IF('Entrada e Saida'!$H$11="TRADING",AU80*'Custo Resumido'!D80,0)</f>
        <v>#DIV/0!</v>
      </c>
      <c r="AR80" s="178" t="e">
        <f>IF('Entrada e Saida'!$H$11="TRADING",AU80*'Entrada e Saida'!$G$63,0)</f>
        <v>#DIV/0!</v>
      </c>
      <c r="AS80" s="178" t="e">
        <f>IF('Entrada e Saida'!$H$11="TRADING",AU80*'Entrada e Saida'!$G$64,0)</f>
        <v>#DIV/0!</v>
      </c>
      <c r="AT80" s="178" t="e">
        <f>IF('Entrada e Saida'!$H$11="TRADING",AU80*'Entrada e Saida'!$G$65,0)</f>
        <v>#DIV/0!</v>
      </c>
      <c r="AU80" s="184" t="e">
        <f>IF('Entrada e Saida'!$H$11="TRADING",AP80/(1-(SUM('Entrada e Saida'!$G$63:$G$65)+'Custo Resumido'!D80)),0)</f>
        <v>#DIV/0!</v>
      </c>
      <c r="AV80" s="178" t="e">
        <f>IF('Entrada e Saida'!$H$13="NÃO",AU80*M80,0)</f>
        <v>#DIV/0!</v>
      </c>
      <c r="AW80" s="184" t="e">
        <f t="shared" si="51"/>
        <v>#DIV/0!</v>
      </c>
      <c r="AX80" s="178" t="e">
        <f>'Entrada e Saida'!$G$74*AU80</f>
        <v>#DIV/0!</v>
      </c>
      <c r="AY80" s="184" t="e">
        <f t="shared" si="52"/>
        <v>#DIV/0!</v>
      </c>
      <c r="AZ80" s="184" t="e">
        <f>AQ80+('Entrada e Saida'!$G$65-'Entrada e Saida'!$I$65)*AU80-AX80</f>
        <v>#DIV/0!</v>
      </c>
      <c r="BA80" s="3" t="e">
        <f>IF('Entrada e Saida'!$H$12="REAL",AZ80*'Entrada e Saida'!$G$81,AU80*'Entrada e Saida'!$G$81)</f>
        <v>#DIV/0!</v>
      </c>
      <c r="BB80" s="3" t="e">
        <f>IF('Entrada e Saida'!$H$12="REAL",AZ80*'Entrada e Saida'!$G$82,AU80*'Entrada e Saida'!$G$82)</f>
        <v>#DIV/0!</v>
      </c>
      <c r="BC80" s="4" t="e">
        <f t="shared" si="53"/>
        <v>#DIV/0!</v>
      </c>
      <c r="BD80" s="3" t="e">
        <f>IF('Entrada e Saida'!$H$11="TRADING",AW80/D80,AK80/D80)</f>
        <v>#DIV/0!</v>
      </c>
      <c r="BE80" s="3" t="e">
        <f t="shared" si="54"/>
        <v>#DIV/0!</v>
      </c>
      <c r="BF80" s="2" t="e">
        <f t="shared" si="55"/>
        <v>#DIV/0!</v>
      </c>
      <c r="BG80" s="3" t="e">
        <f>IF('Entrada e Saida'!$H$11="TRADING",AV80/D80,AN80/D80)</f>
        <v>#DIV/0!</v>
      </c>
      <c r="BH80" s="3" t="e">
        <f>IF('Entrada e Saida'!$H$11="TRADING",IF('Entrada e Saida'!$H$12="REAL",AR80/D80,0),AL80/D80)</f>
        <v>#DIV/0!</v>
      </c>
      <c r="BI80" s="3" t="e">
        <f>IF('Entrada e Saida'!$H$11="TRADING",IF('Entrada e Saida'!$H$12="REAL",AS80/D80,0),AM80/D80)</f>
        <v>#DIV/0!</v>
      </c>
      <c r="BJ80" s="3" t="e">
        <f>IF('Entrada e Saida'!$H$11="TRADING",AT80/D80,AO80/D80)</f>
        <v>#DIV/0!</v>
      </c>
      <c r="BK80" s="2" t="e">
        <f t="shared" si="56"/>
        <v>#DIV/0!</v>
      </c>
      <c r="BL80" s="2">
        <f>IF(O80&gt;0,IFERROR(IF('Entrada e Saida'!$H$11="DIRETA",0,(IF('Entrada e Saida'!$H$14="P.JURIDICA",(BD80*(1+O80)*N80)-((BD80/(1+M80))*'Entrada e Saida'!$G$65),((Produtos!N80-'Entrada e Saida'!$G$65)*Produtos!BD80)))),0),0)</f>
        <v>0</v>
      </c>
      <c r="BM80" s="2" t="e">
        <f t="shared" si="57"/>
        <v>#DIV/0!</v>
      </c>
    </row>
    <row r="81" spans="1:65" s="1" customFormat="1">
      <c r="A81" s="127"/>
      <c r="B81" s="172" t="e">
        <f>VLOOKUP(A81,'Master Modelo'!A:I,7,FALSE)</f>
        <v>#N/A</v>
      </c>
      <c r="C81" s="145" t="e">
        <f>VLOOKUP(A81,'Master Modelo'!A:I,2,FALSE)</f>
        <v>#N/A</v>
      </c>
      <c r="D81" s="146"/>
      <c r="E81" s="115">
        <f>IFERROR(VLOOKUP(A81,'Master Modelo'!A:I,9,FALSE),0)</f>
        <v>0</v>
      </c>
      <c r="F81" s="189">
        <f>IFERROR(VLOOKUP(A81,'Master Modelo'!A:I,8,FALSE),0)</f>
        <v>0</v>
      </c>
      <c r="G81" s="189">
        <f>IFERROR(VLOOKUP(A81,'Master Modelo'!A:K,11,FALSE),0)</f>
        <v>0</v>
      </c>
      <c r="H81" s="173" t="e">
        <f t="shared" si="40"/>
        <v>#DIV/0!</v>
      </c>
      <c r="I81" s="163">
        <f>IFERROR(VLOOKUP(A81,'Master Modelo'!A:I,3,FALSE),0)</f>
        <v>0</v>
      </c>
      <c r="J81" s="164">
        <f>IFERROR(VLOOKUP(A81,'Master Modelo'!A:I,5,FALSE),0)</f>
        <v>0</v>
      </c>
      <c r="K81" s="164">
        <f>IFERROR(VLOOKUP(A81,'Master Modelo'!A:I,6,FALSE),0)</f>
        <v>0</v>
      </c>
      <c r="L81" s="165" t="e">
        <f>VLOOKUP(A81,'Master Modelo'!A:J,10,FALSE)</f>
        <v>#N/A</v>
      </c>
      <c r="M81" s="163">
        <f>IFERROR(VLOOKUP(A81,'Master Modelo'!A:I,4,FALSE),0)</f>
        <v>0</v>
      </c>
      <c r="N81" s="175"/>
      <c r="O81" s="187"/>
      <c r="P81" s="177">
        <f t="shared" si="41"/>
        <v>0</v>
      </c>
      <c r="Q81" s="177">
        <f t="shared" si="58"/>
        <v>0</v>
      </c>
      <c r="R81" s="178">
        <f>D81*E81*'Entrada e Saida'!$K$8</f>
        <v>0</v>
      </c>
      <c r="S81" s="179" t="e">
        <f>'Entrada e Saida'!$H$21*'Entrada e Saida'!$K$8*(P81/(SUM(P:P)))</f>
        <v>#DIV/0!</v>
      </c>
      <c r="T81" s="179" t="e">
        <f>'Entrada e Saida'!$H$21*'Entrada e Saida'!$K$8*(Q81/(SUM(Q:Q)))</f>
        <v>#DIV/0!</v>
      </c>
      <c r="U81" s="179" t="e">
        <f>'Entrada e Saida'!$H$22*(P81/(SUM(P:P)))</f>
        <v>#DIV/0!</v>
      </c>
      <c r="V81" s="179" t="e">
        <f>'Entrada e Saida'!$H$22*(Q81/(SUM(Q:Q)))</f>
        <v>#DIV/0!</v>
      </c>
      <c r="W81" s="180" t="e">
        <f t="shared" si="42"/>
        <v>#DIV/0!</v>
      </c>
      <c r="X81" s="179" t="e">
        <f>'Entrada e Saida'!$H$26*(IF('Entrada e Saida'!$H$15="PESO",(P81/(SUM(P:P))),(Q81/(SUM(Q:Q)))))</f>
        <v>#DIV/0!</v>
      </c>
      <c r="Y81" s="179" t="e">
        <f>'Entrada e Saida'!$H$27*(IF('Entrada e Saida'!$H$15="PESO",(P81/(SUM(P:P))),(Q81/(SUM(Q:Q)))))</f>
        <v>#DIV/0!</v>
      </c>
      <c r="Z81" s="179" t="e">
        <f>'Entrada e Saida'!$H$28*(IF('Entrada e Saida'!$H$15="PESO",(P81/(SUM(P:P))),(Q81/(SUM(Q:Q)))))</f>
        <v>#DIV/0!</v>
      </c>
      <c r="AA81" s="181" t="e">
        <f t="shared" si="43"/>
        <v>#DIV/0!</v>
      </c>
      <c r="AB81" s="178" t="e">
        <f t="shared" si="44"/>
        <v>#DIV/0!</v>
      </c>
      <c r="AC81" s="178" t="e">
        <f t="shared" si="45"/>
        <v>#DIV/0!</v>
      </c>
      <c r="AD81" s="178" t="e">
        <f t="shared" si="46"/>
        <v>#DIV/0!</v>
      </c>
      <c r="AE81" s="177" t="e">
        <f t="shared" si="47"/>
        <v>#DIV/0!</v>
      </c>
      <c r="AF81" s="182">
        <f>IFERROR(D81*F81*L81*'Entrada e Saida'!$K$8,0)</f>
        <v>0</v>
      </c>
      <c r="AG81" s="178" t="e">
        <f>((W81+AA81+AB81+AC81+AD81+AE81+AF81)/(1-'Entrada e Saida'!$G$65))*'Entrada e Saida'!$I$66</f>
        <v>#DIV/0!</v>
      </c>
      <c r="AH81" s="180" t="e">
        <f t="shared" si="48"/>
        <v>#DIV/0!</v>
      </c>
      <c r="AI81" s="183" t="e">
        <f>'Entrada e Saida'!$K$51*(IF('Entrada e Saida'!$H$15="PESO",(P81/(SUM(P:P))),(Q81/(SUM(Q:Q)))))</f>
        <v>#DIV/0!</v>
      </c>
      <c r="AJ81" s="183">
        <f>(('Entrada e Saida'!$K$10-'Entrada e Saida'!$K$8)*E81*D81)</f>
        <v>0</v>
      </c>
      <c r="AK81" s="184" t="e">
        <f>IF('Entrada e Saida'!$H$15="PESO",W81+AA81+AH81+AI81+AJ81,W81+AA81+AH81+AI81+AJ81-S81+T81-U81+V81)</f>
        <v>#DIV/0!</v>
      </c>
      <c r="AL81" s="185" t="e">
        <f>IF('Entrada e Saida'!$H$12="REAL",AC81,0)</f>
        <v>#DIV/0!</v>
      </c>
      <c r="AM81" s="185" t="e">
        <f>IF('Entrada e Saida'!$H$12="REAL",AD81,0)</f>
        <v>#DIV/0!</v>
      </c>
      <c r="AN81" s="186" t="e">
        <f>IF('Entrada e Saida'!$H$13= "NÃO",AE81,0)</f>
        <v>#DIV/0!</v>
      </c>
      <c r="AO81" s="186" t="e">
        <f t="shared" si="49"/>
        <v>#DIV/0!</v>
      </c>
      <c r="AP81" s="184" t="e">
        <f t="shared" si="50"/>
        <v>#DIV/0!</v>
      </c>
      <c r="AQ81" s="178" t="e">
        <f>IF('Entrada e Saida'!$H$11="TRADING",AU81*'Custo Resumido'!D81,0)</f>
        <v>#DIV/0!</v>
      </c>
      <c r="AR81" s="178" t="e">
        <f>IF('Entrada e Saida'!$H$11="TRADING",AU81*'Entrada e Saida'!$G$63,0)</f>
        <v>#DIV/0!</v>
      </c>
      <c r="AS81" s="178" t="e">
        <f>IF('Entrada e Saida'!$H$11="TRADING",AU81*'Entrada e Saida'!$G$64,0)</f>
        <v>#DIV/0!</v>
      </c>
      <c r="AT81" s="178" t="e">
        <f>IF('Entrada e Saida'!$H$11="TRADING",AU81*'Entrada e Saida'!$G$65,0)</f>
        <v>#DIV/0!</v>
      </c>
      <c r="AU81" s="184" t="e">
        <f>IF('Entrada e Saida'!$H$11="TRADING",AP81/(1-(SUM('Entrada e Saida'!$G$63:$G$65)+'Custo Resumido'!D81)),0)</f>
        <v>#DIV/0!</v>
      </c>
      <c r="AV81" s="178" t="e">
        <f>IF('Entrada e Saida'!$H$13="NÃO",AU81*M81,0)</f>
        <v>#DIV/0!</v>
      </c>
      <c r="AW81" s="184" t="e">
        <f t="shared" si="51"/>
        <v>#DIV/0!</v>
      </c>
      <c r="AX81" s="178" t="e">
        <f>'Entrada e Saida'!$G$74*AU81</f>
        <v>#DIV/0!</v>
      </c>
      <c r="AY81" s="184" t="e">
        <f t="shared" si="52"/>
        <v>#DIV/0!</v>
      </c>
      <c r="AZ81" s="184" t="e">
        <f>AQ81+('Entrada e Saida'!$G$65-'Entrada e Saida'!$I$65)*AU81-AX81</f>
        <v>#DIV/0!</v>
      </c>
      <c r="BA81" s="3" t="e">
        <f>IF('Entrada e Saida'!$H$12="REAL",AZ81*'Entrada e Saida'!$G$81,AU81*'Entrada e Saida'!$G$81)</f>
        <v>#DIV/0!</v>
      </c>
      <c r="BB81" s="3" t="e">
        <f>IF('Entrada e Saida'!$H$12="REAL",AZ81*'Entrada e Saida'!$G$82,AU81*'Entrada e Saida'!$G$82)</f>
        <v>#DIV/0!</v>
      </c>
      <c r="BC81" s="4" t="e">
        <f t="shared" si="53"/>
        <v>#DIV/0!</v>
      </c>
      <c r="BD81" s="3" t="e">
        <f>IF('Entrada e Saida'!$H$11="TRADING",AW81/D81,AK81/D81)</f>
        <v>#DIV/0!</v>
      </c>
      <c r="BE81" s="3" t="e">
        <f t="shared" si="54"/>
        <v>#DIV/0!</v>
      </c>
      <c r="BF81" s="2" t="e">
        <f t="shared" si="55"/>
        <v>#DIV/0!</v>
      </c>
      <c r="BG81" s="3" t="e">
        <f>IF('Entrada e Saida'!$H$11="TRADING",AV81/D81,AN81/D81)</f>
        <v>#DIV/0!</v>
      </c>
      <c r="BH81" s="3" t="e">
        <f>IF('Entrada e Saida'!$H$11="TRADING",IF('Entrada e Saida'!$H$12="REAL",AR81/D81,0),AL81/D81)</f>
        <v>#DIV/0!</v>
      </c>
      <c r="BI81" s="3" t="e">
        <f>IF('Entrada e Saida'!$H$11="TRADING",IF('Entrada e Saida'!$H$12="REAL",AS81/D81,0),AM81/D81)</f>
        <v>#DIV/0!</v>
      </c>
      <c r="BJ81" s="3" t="e">
        <f>IF('Entrada e Saida'!$H$11="TRADING",AT81/D81,AO81/D81)</f>
        <v>#DIV/0!</v>
      </c>
      <c r="BK81" s="2" t="e">
        <f t="shared" si="56"/>
        <v>#DIV/0!</v>
      </c>
      <c r="BL81" s="2">
        <f>IF(O81&gt;0,IFERROR(IF('Entrada e Saida'!$H$11="DIRETA",0,(IF('Entrada e Saida'!$H$14="P.JURIDICA",(BD81*(1+O81)*N81)-((BD81/(1+M81))*'Entrada e Saida'!$G$65),((Produtos!N81-'Entrada e Saida'!$G$65)*Produtos!BD81)))),0),0)</f>
        <v>0</v>
      </c>
      <c r="BM81" s="2" t="e">
        <f t="shared" si="57"/>
        <v>#DIV/0!</v>
      </c>
    </row>
    <row r="82" spans="1:65" s="1" customFormat="1">
      <c r="A82" s="127"/>
      <c r="B82" s="172" t="e">
        <f>VLOOKUP(A82,'Master Modelo'!A:I,7,FALSE)</f>
        <v>#N/A</v>
      </c>
      <c r="C82" s="145" t="e">
        <f>VLOOKUP(A82,'Master Modelo'!A:I,2,FALSE)</f>
        <v>#N/A</v>
      </c>
      <c r="D82" s="146"/>
      <c r="E82" s="115">
        <f>IFERROR(VLOOKUP(A82,'Master Modelo'!A:I,9,FALSE),0)</f>
        <v>0</v>
      </c>
      <c r="F82" s="189">
        <f>IFERROR(VLOOKUP(A82,'Master Modelo'!A:I,8,FALSE),0)</f>
        <v>0</v>
      </c>
      <c r="G82" s="189">
        <f>IFERROR(VLOOKUP(A82,'Master Modelo'!A:K,11,FALSE),0)</f>
        <v>0</v>
      </c>
      <c r="H82" s="173" t="e">
        <f t="shared" si="40"/>
        <v>#DIV/0!</v>
      </c>
      <c r="I82" s="163">
        <f>IFERROR(VLOOKUP(A82,'Master Modelo'!A:I,3,FALSE),0)</f>
        <v>0</v>
      </c>
      <c r="J82" s="164">
        <f>IFERROR(VLOOKUP(A82,'Master Modelo'!A:I,5,FALSE),0)</f>
        <v>0</v>
      </c>
      <c r="K82" s="164">
        <f>IFERROR(VLOOKUP(A82,'Master Modelo'!A:I,6,FALSE),0)</f>
        <v>0</v>
      </c>
      <c r="L82" s="165" t="e">
        <f>VLOOKUP(A82,'Master Modelo'!A:J,10,FALSE)</f>
        <v>#N/A</v>
      </c>
      <c r="M82" s="163">
        <f>IFERROR(VLOOKUP(A82,'Master Modelo'!A:I,4,FALSE),0)</f>
        <v>0</v>
      </c>
      <c r="N82" s="175"/>
      <c r="O82" s="187"/>
      <c r="P82" s="177">
        <f t="shared" si="41"/>
        <v>0</v>
      </c>
      <c r="Q82" s="177">
        <f t="shared" si="58"/>
        <v>0</v>
      </c>
      <c r="R82" s="178">
        <f>D82*E82*'Entrada e Saida'!$K$8</f>
        <v>0</v>
      </c>
      <c r="S82" s="179" t="e">
        <f>'Entrada e Saida'!$H$21*'Entrada e Saida'!$K$8*(P82/(SUM(P:P)))</f>
        <v>#DIV/0!</v>
      </c>
      <c r="T82" s="179" t="e">
        <f>'Entrada e Saida'!$H$21*'Entrada e Saida'!$K$8*(Q82/(SUM(Q:Q)))</f>
        <v>#DIV/0!</v>
      </c>
      <c r="U82" s="179" t="e">
        <f>'Entrada e Saida'!$H$22*(P82/(SUM(P:P)))</f>
        <v>#DIV/0!</v>
      </c>
      <c r="V82" s="179" t="e">
        <f>'Entrada e Saida'!$H$22*(Q82/(SUM(Q:Q)))</f>
        <v>#DIV/0!</v>
      </c>
      <c r="W82" s="180" t="e">
        <f t="shared" si="42"/>
        <v>#DIV/0!</v>
      </c>
      <c r="X82" s="179" t="e">
        <f>'Entrada e Saida'!$H$26*(IF('Entrada e Saida'!$H$15="PESO",(P82/(SUM(P:P))),(Q82/(SUM(Q:Q)))))</f>
        <v>#DIV/0!</v>
      </c>
      <c r="Y82" s="179" t="e">
        <f>'Entrada e Saida'!$H$27*(IF('Entrada e Saida'!$H$15="PESO",(P82/(SUM(P:P))),(Q82/(SUM(Q:Q)))))</f>
        <v>#DIV/0!</v>
      </c>
      <c r="Z82" s="179" t="e">
        <f>'Entrada e Saida'!$H$28*(IF('Entrada e Saida'!$H$15="PESO",(P82/(SUM(P:P))),(Q82/(SUM(Q:Q)))))</f>
        <v>#DIV/0!</v>
      </c>
      <c r="AA82" s="181" t="e">
        <f t="shared" si="43"/>
        <v>#DIV/0!</v>
      </c>
      <c r="AB82" s="178" t="e">
        <f t="shared" si="44"/>
        <v>#DIV/0!</v>
      </c>
      <c r="AC82" s="178" t="e">
        <f t="shared" si="45"/>
        <v>#DIV/0!</v>
      </c>
      <c r="AD82" s="178" t="e">
        <f t="shared" si="46"/>
        <v>#DIV/0!</v>
      </c>
      <c r="AE82" s="177" t="e">
        <f t="shared" si="47"/>
        <v>#DIV/0!</v>
      </c>
      <c r="AF82" s="182">
        <f>IFERROR(D82*F82*L82*'Entrada e Saida'!$K$8,0)</f>
        <v>0</v>
      </c>
      <c r="AG82" s="178" t="e">
        <f>((W82+AA82+AB82+AC82+AD82+AE82+AF82)/(1-'Entrada e Saida'!$G$65))*'Entrada e Saida'!$I$66</f>
        <v>#DIV/0!</v>
      </c>
      <c r="AH82" s="180" t="e">
        <f t="shared" si="48"/>
        <v>#DIV/0!</v>
      </c>
      <c r="AI82" s="183" t="e">
        <f>'Entrada e Saida'!$K$51*(IF('Entrada e Saida'!$H$15="PESO",(P82/(SUM(P:P))),(Q82/(SUM(Q:Q)))))</f>
        <v>#DIV/0!</v>
      </c>
      <c r="AJ82" s="183">
        <f>(('Entrada e Saida'!$K$10-'Entrada e Saida'!$K$8)*E82*D82)</f>
        <v>0</v>
      </c>
      <c r="AK82" s="184" t="e">
        <f>IF('Entrada e Saida'!$H$15="PESO",W82+AA82+AH82+AI82+AJ82,W82+AA82+AH82+AI82+AJ82-S82+T82-U82+V82)</f>
        <v>#DIV/0!</v>
      </c>
      <c r="AL82" s="185" t="e">
        <f>IF('Entrada e Saida'!$H$12="REAL",AC82,0)</f>
        <v>#DIV/0!</v>
      </c>
      <c r="AM82" s="185" t="e">
        <f>IF('Entrada e Saida'!$H$12="REAL",AD82,0)</f>
        <v>#DIV/0!</v>
      </c>
      <c r="AN82" s="186" t="e">
        <f>IF('Entrada e Saida'!$H$13= "NÃO",AE82,0)</f>
        <v>#DIV/0!</v>
      </c>
      <c r="AO82" s="186" t="e">
        <f t="shared" si="49"/>
        <v>#DIV/0!</v>
      </c>
      <c r="AP82" s="184" t="e">
        <f t="shared" si="50"/>
        <v>#DIV/0!</v>
      </c>
      <c r="AQ82" s="178" t="e">
        <f>IF('Entrada e Saida'!$H$11="TRADING",AU82*'Custo Resumido'!D82,0)</f>
        <v>#DIV/0!</v>
      </c>
      <c r="AR82" s="178" t="e">
        <f>IF('Entrada e Saida'!$H$11="TRADING",AU82*'Entrada e Saida'!$G$63,0)</f>
        <v>#DIV/0!</v>
      </c>
      <c r="AS82" s="178" t="e">
        <f>IF('Entrada e Saida'!$H$11="TRADING",AU82*'Entrada e Saida'!$G$64,0)</f>
        <v>#DIV/0!</v>
      </c>
      <c r="AT82" s="178" t="e">
        <f>IF('Entrada e Saida'!$H$11="TRADING",AU82*'Entrada e Saida'!$G$65,0)</f>
        <v>#DIV/0!</v>
      </c>
      <c r="AU82" s="184" t="e">
        <f>IF('Entrada e Saida'!$H$11="TRADING",AP82/(1-(SUM('Entrada e Saida'!$G$63:$G$65)+'Custo Resumido'!D82)),0)</f>
        <v>#DIV/0!</v>
      </c>
      <c r="AV82" s="178" t="e">
        <f>IF('Entrada e Saida'!$H$13="NÃO",AU82*M82,0)</f>
        <v>#DIV/0!</v>
      </c>
      <c r="AW82" s="184" t="e">
        <f t="shared" si="51"/>
        <v>#DIV/0!</v>
      </c>
      <c r="AX82" s="178" t="e">
        <f>'Entrada e Saida'!$G$74*AU82</f>
        <v>#DIV/0!</v>
      </c>
      <c r="AY82" s="184" t="e">
        <f t="shared" si="52"/>
        <v>#DIV/0!</v>
      </c>
      <c r="AZ82" s="184" t="e">
        <f>AQ82+('Entrada e Saida'!$G$65-'Entrada e Saida'!$I$65)*AU82-AX82</f>
        <v>#DIV/0!</v>
      </c>
      <c r="BA82" s="3" t="e">
        <f>IF('Entrada e Saida'!$H$12="REAL",AZ82*'Entrada e Saida'!$G$81,AU82*'Entrada e Saida'!$G$81)</f>
        <v>#DIV/0!</v>
      </c>
      <c r="BB82" s="3" t="e">
        <f>IF('Entrada e Saida'!$H$12="REAL",AZ82*'Entrada e Saida'!$G$82,AU82*'Entrada e Saida'!$G$82)</f>
        <v>#DIV/0!</v>
      </c>
      <c r="BC82" s="4" t="e">
        <f t="shared" si="53"/>
        <v>#DIV/0!</v>
      </c>
      <c r="BD82" s="3" t="e">
        <f>IF('Entrada e Saida'!$H$11="TRADING",AW82/D82,AK82/D82)</f>
        <v>#DIV/0!</v>
      </c>
      <c r="BE82" s="3" t="e">
        <f t="shared" si="54"/>
        <v>#DIV/0!</v>
      </c>
      <c r="BF82" s="2" t="e">
        <f t="shared" si="55"/>
        <v>#DIV/0!</v>
      </c>
      <c r="BG82" s="3" t="e">
        <f>IF('Entrada e Saida'!$H$11="TRADING",AV82/D82,AN82/D82)</f>
        <v>#DIV/0!</v>
      </c>
      <c r="BH82" s="3" t="e">
        <f>IF('Entrada e Saida'!$H$11="TRADING",IF('Entrada e Saida'!$H$12="REAL",AR82/D82,0),AL82/D82)</f>
        <v>#DIV/0!</v>
      </c>
      <c r="BI82" s="3" t="e">
        <f>IF('Entrada e Saida'!$H$11="TRADING",IF('Entrada e Saida'!$H$12="REAL",AS82/D82,0),AM82/D82)</f>
        <v>#DIV/0!</v>
      </c>
      <c r="BJ82" s="3" t="e">
        <f>IF('Entrada e Saida'!$H$11="TRADING",AT82/D82,AO82/D82)</f>
        <v>#DIV/0!</v>
      </c>
      <c r="BK82" s="2" t="e">
        <f t="shared" si="56"/>
        <v>#DIV/0!</v>
      </c>
      <c r="BL82" s="2">
        <f>IF(O82&gt;0,IFERROR(IF('Entrada e Saida'!$H$11="DIRETA",0,(IF('Entrada e Saida'!$H$14="P.JURIDICA",(BD82*(1+O82)*N82)-((BD82/(1+M82))*'Entrada e Saida'!$G$65),((Produtos!N82-'Entrada e Saida'!$G$65)*Produtos!BD82)))),0),0)</f>
        <v>0</v>
      </c>
      <c r="BM82" s="2" t="e">
        <f t="shared" si="57"/>
        <v>#DIV/0!</v>
      </c>
    </row>
    <row r="83" spans="1:65" s="1" customFormat="1">
      <c r="A83" s="127"/>
      <c r="B83" s="172" t="e">
        <f>VLOOKUP(A83,'Master Modelo'!A:I,7,FALSE)</f>
        <v>#N/A</v>
      </c>
      <c r="C83" s="145" t="e">
        <f>VLOOKUP(A83,'Master Modelo'!A:I,2,FALSE)</f>
        <v>#N/A</v>
      </c>
      <c r="D83" s="146"/>
      <c r="E83" s="115">
        <f>IFERROR(VLOOKUP(A83,'Master Modelo'!A:I,9,FALSE),0)</f>
        <v>0</v>
      </c>
      <c r="F83" s="189">
        <f>IFERROR(VLOOKUP(A83,'Master Modelo'!A:I,8,FALSE),0)</f>
        <v>0</v>
      </c>
      <c r="G83" s="189">
        <f>IFERROR(VLOOKUP(A83,'Master Modelo'!A:K,11,FALSE),0)</f>
        <v>0</v>
      </c>
      <c r="H83" s="173" t="e">
        <f t="shared" si="40"/>
        <v>#DIV/0!</v>
      </c>
      <c r="I83" s="163">
        <f>IFERROR(VLOOKUP(A83,'Master Modelo'!A:I,3,FALSE),0)</f>
        <v>0</v>
      </c>
      <c r="J83" s="164">
        <f>IFERROR(VLOOKUP(A83,'Master Modelo'!A:I,5,FALSE),0)</f>
        <v>0</v>
      </c>
      <c r="K83" s="164">
        <f>IFERROR(VLOOKUP(A83,'Master Modelo'!A:I,6,FALSE),0)</f>
        <v>0</v>
      </c>
      <c r="L83" s="165" t="e">
        <f>VLOOKUP(A83,'Master Modelo'!A:J,10,FALSE)</f>
        <v>#N/A</v>
      </c>
      <c r="M83" s="163">
        <f>IFERROR(VLOOKUP(A83,'Master Modelo'!A:I,4,FALSE),0)</f>
        <v>0</v>
      </c>
      <c r="N83" s="175"/>
      <c r="O83" s="187"/>
      <c r="P83" s="177">
        <f t="shared" si="41"/>
        <v>0</v>
      </c>
      <c r="Q83" s="177">
        <f t="shared" si="58"/>
        <v>0</v>
      </c>
      <c r="R83" s="178">
        <f>D83*E83*'Entrada e Saida'!$K$8</f>
        <v>0</v>
      </c>
      <c r="S83" s="179" t="e">
        <f>'Entrada e Saida'!$H$21*'Entrada e Saida'!$K$8*(P83/(SUM(P:P)))</f>
        <v>#DIV/0!</v>
      </c>
      <c r="T83" s="179" t="e">
        <f>'Entrada e Saida'!$H$21*'Entrada e Saida'!$K$8*(Q83/(SUM(Q:Q)))</f>
        <v>#DIV/0!</v>
      </c>
      <c r="U83" s="179" t="e">
        <f>'Entrada e Saida'!$H$22*(P83/(SUM(P:P)))</f>
        <v>#DIV/0!</v>
      </c>
      <c r="V83" s="179" t="e">
        <f>'Entrada e Saida'!$H$22*(Q83/(SUM(Q:Q)))</f>
        <v>#DIV/0!</v>
      </c>
      <c r="W83" s="180" t="e">
        <f t="shared" si="42"/>
        <v>#DIV/0!</v>
      </c>
      <c r="X83" s="179" t="e">
        <f>'Entrada e Saida'!$H$26*(IF('Entrada e Saida'!$H$15="PESO",(P83/(SUM(P:P))),(Q83/(SUM(Q:Q)))))</f>
        <v>#DIV/0!</v>
      </c>
      <c r="Y83" s="179" t="e">
        <f>'Entrada e Saida'!$H$27*(IF('Entrada e Saida'!$H$15="PESO",(P83/(SUM(P:P))),(Q83/(SUM(Q:Q)))))</f>
        <v>#DIV/0!</v>
      </c>
      <c r="Z83" s="179" t="e">
        <f>'Entrada e Saida'!$H$28*(IF('Entrada e Saida'!$H$15="PESO",(P83/(SUM(P:P))),(Q83/(SUM(Q:Q)))))</f>
        <v>#DIV/0!</v>
      </c>
      <c r="AA83" s="181" t="e">
        <f t="shared" si="43"/>
        <v>#DIV/0!</v>
      </c>
      <c r="AB83" s="178" t="e">
        <f t="shared" si="44"/>
        <v>#DIV/0!</v>
      </c>
      <c r="AC83" s="178" t="e">
        <f t="shared" si="45"/>
        <v>#DIV/0!</v>
      </c>
      <c r="AD83" s="178" t="e">
        <f t="shared" si="46"/>
        <v>#DIV/0!</v>
      </c>
      <c r="AE83" s="177" t="e">
        <f t="shared" si="47"/>
        <v>#DIV/0!</v>
      </c>
      <c r="AF83" s="182">
        <f>IFERROR(D83*F83*L83*'Entrada e Saida'!$K$8,0)</f>
        <v>0</v>
      </c>
      <c r="AG83" s="178" t="e">
        <f>((W83+AA83+AB83+AC83+AD83+AE83+AF83)/(1-'Entrada e Saida'!$G$65))*'Entrada e Saida'!$I$66</f>
        <v>#DIV/0!</v>
      </c>
      <c r="AH83" s="180" t="e">
        <f t="shared" si="48"/>
        <v>#DIV/0!</v>
      </c>
      <c r="AI83" s="183" t="e">
        <f>'Entrada e Saida'!$K$51*(IF('Entrada e Saida'!$H$15="PESO",(P83/(SUM(P:P))),(Q83/(SUM(Q:Q)))))</f>
        <v>#DIV/0!</v>
      </c>
      <c r="AJ83" s="183">
        <f>(('Entrada e Saida'!$K$10-'Entrada e Saida'!$K$8)*E83*D83)</f>
        <v>0</v>
      </c>
      <c r="AK83" s="184" t="e">
        <f>IF('Entrada e Saida'!$H$15="PESO",W83+AA83+AH83+AI83+AJ83,W83+AA83+AH83+AI83+AJ83-S83+T83-U83+V83)</f>
        <v>#DIV/0!</v>
      </c>
      <c r="AL83" s="185" t="e">
        <f>IF('Entrada e Saida'!$H$12="REAL",AC83,0)</f>
        <v>#DIV/0!</v>
      </c>
      <c r="AM83" s="185" t="e">
        <f>IF('Entrada e Saida'!$H$12="REAL",AD83,0)</f>
        <v>#DIV/0!</v>
      </c>
      <c r="AN83" s="186" t="e">
        <f>IF('Entrada e Saida'!$H$13= "NÃO",AE83,0)</f>
        <v>#DIV/0!</v>
      </c>
      <c r="AO83" s="186" t="e">
        <f t="shared" si="49"/>
        <v>#DIV/0!</v>
      </c>
      <c r="AP83" s="184" t="e">
        <f t="shared" si="50"/>
        <v>#DIV/0!</v>
      </c>
      <c r="AQ83" s="178" t="e">
        <f>IF('Entrada e Saida'!$H$11="TRADING",AU83*'Custo Resumido'!D83,0)</f>
        <v>#DIV/0!</v>
      </c>
      <c r="AR83" s="178" t="e">
        <f>IF('Entrada e Saida'!$H$11="TRADING",AU83*'Entrada e Saida'!$G$63,0)</f>
        <v>#DIV/0!</v>
      </c>
      <c r="AS83" s="178" t="e">
        <f>IF('Entrada e Saida'!$H$11="TRADING",AU83*'Entrada e Saida'!$G$64,0)</f>
        <v>#DIV/0!</v>
      </c>
      <c r="AT83" s="178" t="e">
        <f>IF('Entrada e Saida'!$H$11="TRADING",AU83*'Entrada e Saida'!$G$65,0)</f>
        <v>#DIV/0!</v>
      </c>
      <c r="AU83" s="184" t="e">
        <f>IF('Entrada e Saida'!$H$11="TRADING",AP83/(1-(SUM('Entrada e Saida'!$G$63:$G$65)+'Custo Resumido'!D83)),0)</f>
        <v>#DIV/0!</v>
      </c>
      <c r="AV83" s="178" t="e">
        <f>IF('Entrada e Saida'!$H$13="NÃO",AU83*M83,0)</f>
        <v>#DIV/0!</v>
      </c>
      <c r="AW83" s="184" t="e">
        <f t="shared" si="51"/>
        <v>#DIV/0!</v>
      </c>
      <c r="AX83" s="178" t="e">
        <f>'Entrada e Saida'!$G$74*AU83</f>
        <v>#DIV/0!</v>
      </c>
      <c r="AY83" s="184" t="e">
        <f t="shared" si="52"/>
        <v>#DIV/0!</v>
      </c>
      <c r="AZ83" s="184" t="e">
        <f>AQ83+('Entrada e Saida'!$G$65-'Entrada e Saida'!$I$65)*AU83-AX83</f>
        <v>#DIV/0!</v>
      </c>
      <c r="BA83" s="3" t="e">
        <f>IF('Entrada e Saida'!$H$12="REAL",AZ83*'Entrada e Saida'!$G$81,AU83*'Entrada e Saida'!$G$81)</f>
        <v>#DIV/0!</v>
      </c>
      <c r="BB83" s="3" t="e">
        <f>IF('Entrada e Saida'!$H$12="REAL",AZ83*'Entrada e Saida'!$G$82,AU83*'Entrada e Saida'!$G$82)</f>
        <v>#DIV/0!</v>
      </c>
      <c r="BC83" s="4" t="e">
        <f t="shared" si="53"/>
        <v>#DIV/0!</v>
      </c>
      <c r="BD83" s="3" t="e">
        <f>IF('Entrada e Saida'!$H$11="TRADING",AW83/D83,AK83/D83)</f>
        <v>#DIV/0!</v>
      </c>
      <c r="BE83" s="3" t="e">
        <f t="shared" si="54"/>
        <v>#DIV/0!</v>
      </c>
      <c r="BF83" s="2" t="e">
        <f t="shared" si="55"/>
        <v>#DIV/0!</v>
      </c>
      <c r="BG83" s="3" t="e">
        <f>IF('Entrada e Saida'!$H$11="TRADING",AV83/D83,AN83/D83)</f>
        <v>#DIV/0!</v>
      </c>
      <c r="BH83" s="3" t="e">
        <f>IF('Entrada e Saida'!$H$11="TRADING",IF('Entrada e Saida'!$H$12="REAL",AR83/D83,0),AL83/D83)</f>
        <v>#DIV/0!</v>
      </c>
      <c r="BI83" s="3" t="e">
        <f>IF('Entrada e Saida'!$H$11="TRADING",IF('Entrada e Saida'!$H$12="REAL",AS83/D83,0),AM83/D83)</f>
        <v>#DIV/0!</v>
      </c>
      <c r="BJ83" s="3" t="e">
        <f>IF('Entrada e Saida'!$H$11="TRADING",AT83/D83,AO83/D83)</f>
        <v>#DIV/0!</v>
      </c>
      <c r="BK83" s="2" t="e">
        <f t="shared" si="56"/>
        <v>#DIV/0!</v>
      </c>
      <c r="BL83" s="2">
        <f>IF(O83&gt;0,IFERROR(IF('Entrada e Saida'!$H$11="DIRETA",0,(IF('Entrada e Saida'!$H$14="P.JURIDICA",(BD83*(1+O83)*N83)-((BD83/(1+M83))*'Entrada e Saida'!$G$65),((Produtos!N83-'Entrada e Saida'!$G$65)*Produtos!BD83)))),0),0)</f>
        <v>0</v>
      </c>
      <c r="BM83" s="2" t="e">
        <f t="shared" si="57"/>
        <v>#DIV/0!</v>
      </c>
    </row>
    <row r="84" spans="1:65" s="1" customFormat="1">
      <c r="A84" s="127"/>
      <c r="B84" s="172" t="e">
        <f>VLOOKUP(A84,'Master Modelo'!A:I,7,FALSE)</f>
        <v>#N/A</v>
      </c>
      <c r="C84" s="145" t="e">
        <f>VLOOKUP(A84,'Master Modelo'!A:I,2,FALSE)</f>
        <v>#N/A</v>
      </c>
      <c r="D84" s="146"/>
      <c r="E84" s="115">
        <f>IFERROR(VLOOKUP(A84,'Master Modelo'!A:I,9,FALSE),0)</f>
        <v>0</v>
      </c>
      <c r="F84" s="189">
        <f>IFERROR(VLOOKUP(A84,'Master Modelo'!A:I,8,FALSE),0)</f>
        <v>0</v>
      </c>
      <c r="G84" s="189">
        <f>IFERROR(VLOOKUP(A84,'Master Modelo'!A:K,11,FALSE),0)</f>
        <v>0</v>
      </c>
      <c r="H84" s="173" t="e">
        <f t="shared" si="40"/>
        <v>#DIV/0!</v>
      </c>
      <c r="I84" s="163">
        <f>IFERROR(VLOOKUP(A84,'Master Modelo'!A:I,3,FALSE),0)</f>
        <v>0</v>
      </c>
      <c r="J84" s="164">
        <f>IFERROR(VLOOKUP(A84,'Master Modelo'!A:I,5,FALSE),0)</f>
        <v>0</v>
      </c>
      <c r="K84" s="164">
        <f>IFERROR(VLOOKUP(A84,'Master Modelo'!A:I,6,FALSE),0)</f>
        <v>0</v>
      </c>
      <c r="L84" s="165" t="e">
        <f>VLOOKUP(A84,'Master Modelo'!A:J,10,FALSE)</f>
        <v>#N/A</v>
      </c>
      <c r="M84" s="163">
        <f>IFERROR(VLOOKUP(A84,'Master Modelo'!A:I,4,FALSE),0)</f>
        <v>0</v>
      </c>
      <c r="N84" s="175"/>
      <c r="O84" s="187"/>
      <c r="P84" s="177">
        <f t="shared" si="41"/>
        <v>0</v>
      </c>
      <c r="Q84" s="177">
        <f t="shared" si="58"/>
        <v>0</v>
      </c>
      <c r="R84" s="178">
        <f>D84*E84*'Entrada e Saida'!$K$8</f>
        <v>0</v>
      </c>
      <c r="S84" s="179" t="e">
        <f>'Entrada e Saida'!$H$21*'Entrada e Saida'!$K$8*(P84/(SUM(P:P)))</f>
        <v>#DIV/0!</v>
      </c>
      <c r="T84" s="179" t="e">
        <f>'Entrada e Saida'!$H$21*'Entrada e Saida'!$K$8*(Q84/(SUM(Q:Q)))</f>
        <v>#DIV/0!</v>
      </c>
      <c r="U84" s="179" t="e">
        <f>'Entrada e Saida'!$H$22*(P84/(SUM(P:P)))</f>
        <v>#DIV/0!</v>
      </c>
      <c r="V84" s="179" t="e">
        <f>'Entrada e Saida'!$H$22*(Q84/(SUM(Q:Q)))</f>
        <v>#DIV/0!</v>
      </c>
      <c r="W84" s="180" t="e">
        <f t="shared" si="42"/>
        <v>#DIV/0!</v>
      </c>
      <c r="X84" s="179" t="e">
        <f>'Entrada e Saida'!$H$26*(IF('Entrada e Saida'!$H$15="PESO",(P84/(SUM(P:P))),(Q84/(SUM(Q:Q)))))</f>
        <v>#DIV/0!</v>
      </c>
      <c r="Y84" s="179" t="e">
        <f>'Entrada e Saida'!$H$27*(IF('Entrada e Saida'!$H$15="PESO",(P84/(SUM(P:P))),(Q84/(SUM(Q:Q)))))</f>
        <v>#DIV/0!</v>
      </c>
      <c r="Z84" s="179" t="e">
        <f>'Entrada e Saida'!$H$28*(IF('Entrada e Saida'!$H$15="PESO",(P84/(SUM(P:P))),(Q84/(SUM(Q:Q)))))</f>
        <v>#DIV/0!</v>
      </c>
      <c r="AA84" s="181" t="e">
        <f t="shared" si="43"/>
        <v>#DIV/0!</v>
      </c>
      <c r="AB84" s="178" t="e">
        <f t="shared" si="44"/>
        <v>#DIV/0!</v>
      </c>
      <c r="AC84" s="178" t="e">
        <f t="shared" si="45"/>
        <v>#DIV/0!</v>
      </c>
      <c r="AD84" s="178" t="e">
        <f t="shared" si="46"/>
        <v>#DIV/0!</v>
      </c>
      <c r="AE84" s="177" t="e">
        <f t="shared" si="47"/>
        <v>#DIV/0!</v>
      </c>
      <c r="AF84" s="182">
        <f>IFERROR(D84*F84*L84*'Entrada e Saida'!$K$8,0)</f>
        <v>0</v>
      </c>
      <c r="AG84" s="178" t="e">
        <f>((W84+AA84+AB84+AC84+AD84+AE84+AF84)/(1-'Entrada e Saida'!$G$65))*'Entrada e Saida'!$I$66</f>
        <v>#DIV/0!</v>
      </c>
      <c r="AH84" s="180" t="e">
        <f t="shared" si="48"/>
        <v>#DIV/0!</v>
      </c>
      <c r="AI84" s="183" t="e">
        <f>'Entrada e Saida'!$K$51*(IF('Entrada e Saida'!$H$15="PESO",(P84/(SUM(P:P))),(Q84/(SUM(Q:Q)))))</f>
        <v>#DIV/0!</v>
      </c>
      <c r="AJ84" s="183">
        <f>(('Entrada e Saida'!$K$10-'Entrada e Saida'!$K$8)*E84*D84)</f>
        <v>0</v>
      </c>
      <c r="AK84" s="184" t="e">
        <f>IF('Entrada e Saida'!$H$15="PESO",W84+AA84+AH84+AI84+AJ84,W84+AA84+AH84+AI84+AJ84-S84+T84-U84+V84)</f>
        <v>#DIV/0!</v>
      </c>
      <c r="AL84" s="185" t="e">
        <f>IF('Entrada e Saida'!$H$12="REAL",AC84,0)</f>
        <v>#DIV/0!</v>
      </c>
      <c r="AM84" s="185" t="e">
        <f>IF('Entrada e Saida'!$H$12="REAL",AD84,0)</f>
        <v>#DIV/0!</v>
      </c>
      <c r="AN84" s="186" t="e">
        <f>IF('Entrada e Saida'!$H$13= "NÃO",AE84,0)</f>
        <v>#DIV/0!</v>
      </c>
      <c r="AO84" s="186" t="e">
        <f t="shared" si="49"/>
        <v>#DIV/0!</v>
      </c>
      <c r="AP84" s="184" t="e">
        <f t="shared" si="50"/>
        <v>#DIV/0!</v>
      </c>
      <c r="AQ84" s="178" t="e">
        <f>IF('Entrada e Saida'!$H$11="TRADING",AU84*'Custo Resumido'!D84,0)</f>
        <v>#DIV/0!</v>
      </c>
      <c r="AR84" s="178" t="e">
        <f>IF('Entrada e Saida'!$H$11="TRADING",AU84*'Entrada e Saida'!$G$63,0)</f>
        <v>#DIV/0!</v>
      </c>
      <c r="AS84" s="178" t="e">
        <f>IF('Entrada e Saida'!$H$11="TRADING",AU84*'Entrada e Saida'!$G$64,0)</f>
        <v>#DIV/0!</v>
      </c>
      <c r="AT84" s="178" t="e">
        <f>IF('Entrada e Saida'!$H$11="TRADING",AU84*'Entrada e Saida'!$G$65,0)</f>
        <v>#DIV/0!</v>
      </c>
      <c r="AU84" s="184" t="e">
        <f>IF('Entrada e Saida'!$H$11="TRADING",AP84/(1-(SUM('Entrada e Saida'!$G$63:$G$65)+'Custo Resumido'!D84)),0)</f>
        <v>#DIV/0!</v>
      </c>
      <c r="AV84" s="178" t="e">
        <f>IF('Entrada e Saida'!$H$13="NÃO",AU84*M84,0)</f>
        <v>#DIV/0!</v>
      </c>
      <c r="AW84" s="184" t="e">
        <f t="shared" si="51"/>
        <v>#DIV/0!</v>
      </c>
      <c r="AX84" s="178" t="e">
        <f>'Entrada e Saida'!$G$74*AU84</f>
        <v>#DIV/0!</v>
      </c>
      <c r="AY84" s="184" t="e">
        <f t="shared" si="52"/>
        <v>#DIV/0!</v>
      </c>
      <c r="AZ84" s="184" t="e">
        <f>AQ84+('Entrada e Saida'!$G$65-'Entrada e Saida'!$I$65)*AU84-AX84</f>
        <v>#DIV/0!</v>
      </c>
      <c r="BA84" s="3" t="e">
        <f>IF('Entrada e Saida'!$H$12="REAL",AZ84*'Entrada e Saida'!$G$81,AU84*'Entrada e Saida'!$G$81)</f>
        <v>#DIV/0!</v>
      </c>
      <c r="BB84" s="3" t="e">
        <f>IF('Entrada e Saida'!$H$12="REAL",AZ84*'Entrada e Saida'!$G$82,AU84*'Entrada e Saida'!$G$82)</f>
        <v>#DIV/0!</v>
      </c>
      <c r="BC84" s="4" t="e">
        <f t="shared" si="53"/>
        <v>#DIV/0!</v>
      </c>
      <c r="BD84" s="3" t="e">
        <f>IF('Entrada e Saida'!$H$11="TRADING",AW84/D84,AK84/D84)</f>
        <v>#DIV/0!</v>
      </c>
      <c r="BE84" s="3" t="e">
        <f t="shared" si="54"/>
        <v>#DIV/0!</v>
      </c>
      <c r="BF84" s="2" t="e">
        <f t="shared" si="55"/>
        <v>#DIV/0!</v>
      </c>
      <c r="BG84" s="3" t="e">
        <f>IF('Entrada e Saida'!$H$11="TRADING",AV84/D84,AN84/D84)</f>
        <v>#DIV/0!</v>
      </c>
      <c r="BH84" s="3" t="e">
        <f>IF('Entrada e Saida'!$H$11="TRADING",IF('Entrada e Saida'!$H$12="REAL",AR84/D84,0),AL84/D84)</f>
        <v>#DIV/0!</v>
      </c>
      <c r="BI84" s="3" t="e">
        <f>IF('Entrada e Saida'!$H$11="TRADING",IF('Entrada e Saida'!$H$12="REAL",AS84/D84,0),AM84/D84)</f>
        <v>#DIV/0!</v>
      </c>
      <c r="BJ84" s="3" t="e">
        <f>IF('Entrada e Saida'!$H$11="TRADING",AT84/D84,AO84/D84)</f>
        <v>#DIV/0!</v>
      </c>
      <c r="BK84" s="2" t="e">
        <f t="shared" si="56"/>
        <v>#DIV/0!</v>
      </c>
      <c r="BL84" s="2">
        <f>IF(O84&gt;0,IFERROR(IF('Entrada e Saida'!$H$11="DIRETA",0,(IF('Entrada e Saida'!$H$14="P.JURIDICA",(BD84*(1+O84)*N84)-((BD84/(1+M84))*'Entrada e Saida'!$G$65),((Produtos!N84-'Entrada e Saida'!$G$65)*Produtos!BD84)))),0),0)</f>
        <v>0</v>
      </c>
      <c r="BM84" s="2" t="e">
        <f t="shared" si="57"/>
        <v>#DIV/0!</v>
      </c>
    </row>
    <row r="85" spans="1:65" s="1" customFormat="1">
      <c r="A85" s="127"/>
      <c r="B85" s="172" t="e">
        <f>VLOOKUP(A85,'Master Modelo'!A:I,7,FALSE)</f>
        <v>#N/A</v>
      </c>
      <c r="C85" s="145" t="e">
        <f>VLOOKUP(A85,'Master Modelo'!A:I,2,FALSE)</f>
        <v>#N/A</v>
      </c>
      <c r="D85" s="146"/>
      <c r="E85" s="115">
        <f>IFERROR(VLOOKUP(A85,'Master Modelo'!A:I,9,FALSE),0)</f>
        <v>0</v>
      </c>
      <c r="F85" s="189">
        <f>IFERROR(VLOOKUP(A85,'Master Modelo'!A:I,8,FALSE),0)</f>
        <v>0</v>
      </c>
      <c r="G85" s="189">
        <f>IFERROR(VLOOKUP(A85,'Master Modelo'!A:K,11,FALSE),0)</f>
        <v>0</v>
      </c>
      <c r="H85" s="173" t="e">
        <f t="shared" si="40"/>
        <v>#DIV/0!</v>
      </c>
      <c r="I85" s="163">
        <f>IFERROR(VLOOKUP(A85,'Master Modelo'!A:I,3,FALSE),0)</f>
        <v>0</v>
      </c>
      <c r="J85" s="164">
        <f>IFERROR(VLOOKUP(A85,'Master Modelo'!A:I,5,FALSE),0)</f>
        <v>0</v>
      </c>
      <c r="K85" s="164">
        <f>IFERROR(VLOOKUP(A85,'Master Modelo'!A:I,6,FALSE),0)</f>
        <v>0</v>
      </c>
      <c r="L85" s="165" t="e">
        <f>VLOOKUP(A85,'Master Modelo'!A:J,10,FALSE)</f>
        <v>#N/A</v>
      </c>
      <c r="M85" s="163">
        <f>IFERROR(VLOOKUP(A85,'Master Modelo'!A:I,4,FALSE),0)</f>
        <v>0</v>
      </c>
      <c r="N85" s="175"/>
      <c r="O85" s="187"/>
      <c r="P85" s="177">
        <f t="shared" si="41"/>
        <v>0</v>
      </c>
      <c r="Q85" s="177">
        <f t="shared" si="58"/>
        <v>0</v>
      </c>
      <c r="R85" s="178">
        <f>D85*E85*'Entrada e Saida'!$K$8</f>
        <v>0</v>
      </c>
      <c r="S85" s="179" t="e">
        <f>'Entrada e Saida'!$H$21*'Entrada e Saida'!$K$8*(P85/(SUM(P:P)))</f>
        <v>#DIV/0!</v>
      </c>
      <c r="T85" s="179" t="e">
        <f>'Entrada e Saida'!$H$21*'Entrada e Saida'!$K$8*(Q85/(SUM(Q:Q)))</f>
        <v>#DIV/0!</v>
      </c>
      <c r="U85" s="179" t="e">
        <f>'Entrada e Saida'!$H$22*(P85/(SUM(P:P)))</f>
        <v>#DIV/0!</v>
      </c>
      <c r="V85" s="179" t="e">
        <f>'Entrada e Saida'!$H$22*(Q85/(SUM(Q:Q)))</f>
        <v>#DIV/0!</v>
      </c>
      <c r="W85" s="180" t="e">
        <f t="shared" si="42"/>
        <v>#DIV/0!</v>
      </c>
      <c r="X85" s="179" t="e">
        <f>'Entrada e Saida'!$H$26*(IF('Entrada e Saida'!$H$15="PESO",(P85/(SUM(P:P))),(Q85/(SUM(Q:Q)))))</f>
        <v>#DIV/0!</v>
      </c>
      <c r="Y85" s="179" t="e">
        <f>'Entrada e Saida'!$H$27*(IF('Entrada e Saida'!$H$15="PESO",(P85/(SUM(P:P))),(Q85/(SUM(Q:Q)))))</f>
        <v>#DIV/0!</v>
      </c>
      <c r="Z85" s="179" t="e">
        <f>'Entrada e Saida'!$H$28*(IF('Entrada e Saida'!$H$15="PESO",(P85/(SUM(P:P))),(Q85/(SUM(Q:Q)))))</f>
        <v>#DIV/0!</v>
      </c>
      <c r="AA85" s="181" t="e">
        <f t="shared" si="43"/>
        <v>#DIV/0!</v>
      </c>
      <c r="AB85" s="178" t="e">
        <f t="shared" si="44"/>
        <v>#DIV/0!</v>
      </c>
      <c r="AC85" s="178" t="e">
        <f t="shared" si="45"/>
        <v>#DIV/0!</v>
      </c>
      <c r="AD85" s="178" t="e">
        <f t="shared" si="46"/>
        <v>#DIV/0!</v>
      </c>
      <c r="AE85" s="177" t="e">
        <f t="shared" si="47"/>
        <v>#DIV/0!</v>
      </c>
      <c r="AF85" s="182">
        <f>IFERROR(D85*F85*L85*'Entrada e Saida'!$K$8,0)</f>
        <v>0</v>
      </c>
      <c r="AG85" s="178" t="e">
        <f>((W85+AA85+AB85+AC85+AD85+AE85+AF85)/(1-'Entrada e Saida'!$G$65))*'Entrada e Saida'!$I$66</f>
        <v>#DIV/0!</v>
      </c>
      <c r="AH85" s="180" t="e">
        <f t="shared" si="48"/>
        <v>#DIV/0!</v>
      </c>
      <c r="AI85" s="183" t="e">
        <f>'Entrada e Saida'!$K$51*(IF('Entrada e Saida'!$H$15="PESO",(P85/(SUM(P:P))),(Q85/(SUM(Q:Q)))))</f>
        <v>#DIV/0!</v>
      </c>
      <c r="AJ85" s="183">
        <f>(('Entrada e Saida'!$K$10-'Entrada e Saida'!$K$8)*E85*D85)</f>
        <v>0</v>
      </c>
      <c r="AK85" s="184" t="e">
        <f>IF('Entrada e Saida'!$H$15="PESO",W85+AA85+AH85+AI85+AJ85,W85+AA85+AH85+AI85+AJ85-S85+T85-U85+V85)</f>
        <v>#DIV/0!</v>
      </c>
      <c r="AL85" s="185" t="e">
        <f>IF('Entrada e Saida'!$H$12="REAL",AC85,0)</f>
        <v>#DIV/0!</v>
      </c>
      <c r="AM85" s="185" t="e">
        <f>IF('Entrada e Saida'!$H$12="REAL",AD85,0)</f>
        <v>#DIV/0!</v>
      </c>
      <c r="AN85" s="186" t="e">
        <f>IF('Entrada e Saida'!$H$13= "NÃO",AE85,0)</f>
        <v>#DIV/0!</v>
      </c>
      <c r="AO85" s="186" t="e">
        <f t="shared" si="49"/>
        <v>#DIV/0!</v>
      </c>
      <c r="AP85" s="184" t="e">
        <f t="shared" si="50"/>
        <v>#DIV/0!</v>
      </c>
      <c r="AQ85" s="178" t="e">
        <f>IF('Entrada e Saida'!$H$11="TRADING",AU85*'Custo Resumido'!D85,0)</f>
        <v>#DIV/0!</v>
      </c>
      <c r="AR85" s="178" t="e">
        <f>IF('Entrada e Saida'!$H$11="TRADING",AU85*'Entrada e Saida'!$G$63,0)</f>
        <v>#DIV/0!</v>
      </c>
      <c r="AS85" s="178" t="e">
        <f>IF('Entrada e Saida'!$H$11="TRADING",AU85*'Entrada e Saida'!$G$64,0)</f>
        <v>#DIV/0!</v>
      </c>
      <c r="AT85" s="178" t="e">
        <f>IF('Entrada e Saida'!$H$11="TRADING",AU85*'Entrada e Saida'!$G$65,0)</f>
        <v>#DIV/0!</v>
      </c>
      <c r="AU85" s="184" t="e">
        <f>IF('Entrada e Saida'!$H$11="TRADING",AP85/(1-(SUM('Entrada e Saida'!$G$63:$G$65)+'Custo Resumido'!D85)),0)</f>
        <v>#DIV/0!</v>
      </c>
      <c r="AV85" s="178" t="e">
        <f>IF('Entrada e Saida'!$H$13="NÃO",AU85*M85,0)</f>
        <v>#DIV/0!</v>
      </c>
      <c r="AW85" s="184" t="e">
        <f t="shared" si="51"/>
        <v>#DIV/0!</v>
      </c>
      <c r="AX85" s="178" t="e">
        <f>'Entrada e Saida'!$G$74*AU85</f>
        <v>#DIV/0!</v>
      </c>
      <c r="AY85" s="184" t="e">
        <f t="shared" si="52"/>
        <v>#DIV/0!</v>
      </c>
      <c r="AZ85" s="184" t="e">
        <f>AQ85+('Entrada e Saida'!$G$65-'Entrada e Saida'!$I$65)*AU85-AX85</f>
        <v>#DIV/0!</v>
      </c>
      <c r="BA85" s="3" t="e">
        <f>IF('Entrada e Saida'!$H$12="REAL",AZ85*'Entrada e Saida'!$G$81,AU85*'Entrada e Saida'!$G$81)</f>
        <v>#DIV/0!</v>
      </c>
      <c r="BB85" s="3" t="e">
        <f>IF('Entrada e Saida'!$H$12="REAL",AZ85*'Entrada e Saida'!$G$82,AU85*'Entrada e Saida'!$G$82)</f>
        <v>#DIV/0!</v>
      </c>
      <c r="BC85" s="4" t="e">
        <f t="shared" si="53"/>
        <v>#DIV/0!</v>
      </c>
      <c r="BD85" s="3" t="e">
        <f>IF('Entrada e Saida'!$H$11="TRADING",AW85/D85,AK85/D85)</f>
        <v>#DIV/0!</v>
      </c>
      <c r="BE85" s="3" t="e">
        <f t="shared" si="54"/>
        <v>#DIV/0!</v>
      </c>
      <c r="BF85" s="2" t="e">
        <f t="shared" si="55"/>
        <v>#DIV/0!</v>
      </c>
      <c r="BG85" s="3" t="e">
        <f>IF('Entrada e Saida'!$H$11="TRADING",AV85/D85,AN85/D85)</f>
        <v>#DIV/0!</v>
      </c>
      <c r="BH85" s="3" t="e">
        <f>IF('Entrada e Saida'!$H$11="TRADING",IF('Entrada e Saida'!$H$12="REAL",AR85/D85,0),AL85/D85)</f>
        <v>#DIV/0!</v>
      </c>
      <c r="BI85" s="3" t="e">
        <f>IF('Entrada e Saida'!$H$11="TRADING",IF('Entrada e Saida'!$H$12="REAL",AS85/D85,0),AM85/D85)</f>
        <v>#DIV/0!</v>
      </c>
      <c r="BJ85" s="3" t="e">
        <f>IF('Entrada e Saida'!$H$11="TRADING",AT85/D85,AO85/D85)</f>
        <v>#DIV/0!</v>
      </c>
      <c r="BK85" s="2" t="e">
        <f t="shared" si="56"/>
        <v>#DIV/0!</v>
      </c>
      <c r="BL85" s="2">
        <f>IF(O85&gt;0,IFERROR(IF('Entrada e Saida'!$H$11="DIRETA",0,(IF('Entrada e Saida'!$H$14="P.JURIDICA",(BD85*(1+O85)*N85)-((BD85/(1+M85))*'Entrada e Saida'!$G$65),((Produtos!N85-'Entrada e Saida'!$G$65)*Produtos!BD85)))),0),0)</f>
        <v>0</v>
      </c>
      <c r="BM85" s="2" t="e">
        <f t="shared" si="57"/>
        <v>#DIV/0!</v>
      </c>
    </row>
    <row r="86" spans="1:65" s="1" customFormat="1">
      <c r="A86" s="127"/>
      <c r="B86" s="172" t="e">
        <f>VLOOKUP(A86,'Master Modelo'!A:I,7,FALSE)</f>
        <v>#N/A</v>
      </c>
      <c r="C86" s="145" t="e">
        <f>VLOOKUP(A86,'Master Modelo'!A:I,2,FALSE)</f>
        <v>#N/A</v>
      </c>
      <c r="D86" s="146"/>
      <c r="E86" s="115">
        <f>IFERROR(VLOOKUP(A86,'Master Modelo'!A:I,9,FALSE),0)</f>
        <v>0</v>
      </c>
      <c r="F86" s="189">
        <f>IFERROR(VLOOKUP(A86,'Master Modelo'!A:I,8,FALSE),0)</f>
        <v>0</v>
      </c>
      <c r="G86" s="189">
        <f>IFERROR(VLOOKUP(A86,'Master Modelo'!A:K,11,FALSE),0)</f>
        <v>0</v>
      </c>
      <c r="H86" s="173" t="e">
        <f t="shared" si="40"/>
        <v>#DIV/0!</v>
      </c>
      <c r="I86" s="163">
        <f>IFERROR(VLOOKUP(A86,'Master Modelo'!A:I,3,FALSE),0)</f>
        <v>0</v>
      </c>
      <c r="J86" s="164">
        <f>IFERROR(VLOOKUP(A86,'Master Modelo'!A:I,5,FALSE),0)</f>
        <v>0</v>
      </c>
      <c r="K86" s="164">
        <f>IFERROR(VLOOKUP(A86,'Master Modelo'!A:I,6,FALSE),0)</f>
        <v>0</v>
      </c>
      <c r="L86" s="165" t="e">
        <f>VLOOKUP(A86,'Master Modelo'!A:J,10,FALSE)</f>
        <v>#N/A</v>
      </c>
      <c r="M86" s="163">
        <f>IFERROR(VLOOKUP(A86,'Master Modelo'!A:I,4,FALSE),0)</f>
        <v>0</v>
      </c>
      <c r="N86" s="175"/>
      <c r="O86" s="187"/>
      <c r="P86" s="177">
        <f t="shared" si="41"/>
        <v>0</v>
      </c>
      <c r="Q86" s="177">
        <f t="shared" si="58"/>
        <v>0</v>
      </c>
      <c r="R86" s="178">
        <f>D86*E86*'Entrada e Saida'!$K$8</f>
        <v>0</v>
      </c>
      <c r="S86" s="179" t="e">
        <f>'Entrada e Saida'!$H$21*'Entrada e Saida'!$K$8*(P86/(SUM(P:P)))</f>
        <v>#DIV/0!</v>
      </c>
      <c r="T86" s="179" t="e">
        <f>'Entrada e Saida'!$H$21*'Entrada e Saida'!$K$8*(Q86/(SUM(Q:Q)))</f>
        <v>#DIV/0!</v>
      </c>
      <c r="U86" s="179" t="e">
        <f>'Entrada e Saida'!$H$22*(P86/(SUM(P:P)))</f>
        <v>#DIV/0!</v>
      </c>
      <c r="V86" s="179" t="e">
        <f>'Entrada e Saida'!$H$22*(Q86/(SUM(Q:Q)))</f>
        <v>#DIV/0!</v>
      </c>
      <c r="W86" s="180" t="e">
        <f t="shared" si="42"/>
        <v>#DIV/0!</v>
      </c>
      <c r="X86" s="179" t="e">
        <f>'Entrada e Saida'!$H$26*(IF('Entrada e Saida'!$H$15="PESO",(P86/(SUM(P:P))),(Q86/(SUM(Q:Q)))))</f>
        <v>#DIV/0!</v>
      </c>
      <c r="Y86" s="179" t="e">
        <f>'Entrada e Saida'!$H$27*(IF('Entrada e Saida'!$H$15="PESO",(P86/(SUM(P:P))),(Q86/(SUM(Q:Q)))))</f>
        <v>#DIV/0!</v>
      </c>
      <c r="Z86" s="179" t="e">
        <f>'Entrada e Saida'!$H$28*(IF('Entrada e Saida'!$H$15="PESO",(P86/(SUM(P:P))),(Q86/(SUM(Q:Q)))))</f>
        <v>#DIV/0!</v>
      </c>
      <c r="AA86" s="181" t="e">
        <f t="shared" si="43"/>
        <v>#DIV/0!</v>
      </c>
      <c r="AB86" s="178" t="e">
        <f t="shared" si="44"/>
        <v>#DIV/0!</v>
      </c>
      <c r="AC86" s="178" t="e">
        <f t="shared" si="45"/>
        <v>#DIV/0!</v>
      </c>
      <c r="AD86" s="178" t="e">
        <f t="shared" si="46"/>
        <v>#DIV/0!</v>
      </c>
      <c r="AE86" s="177" t="e">
        <f t="shared" si="47"/>
        <v>#DIV/0!</v>
      </c>
      <c r="AF86" s="182">
        <f>IFERROR(D86*F86*L86*'Entrada e Saida'!$K$8,0)</f>
        <v>0</v>
      </c>
      <c r="AG86" s="178" t="e">
        <f>((W86+AA86+AB86+AC86+AD86+AE86+AF86)/(1-'Entrada e Saida'!$G$65))*'Entrada e Saida'!$I$66</f>
        <v>#DIV/0!</v>
      </c>
      <c r="AH86" s="180" t="e">
        <f t="shared" si="48"/>
        <v>#DIV/0!</v>
      </c>
      <c r="AI86" s="183" t="e">
        <f>'Entrada e Saida'!$K$51*(IF('Entrada e Saida'!$H$15="PESO",(P86/(SUM(P:P))),(Q86/(SUM(Q:Q)))))</f>
        <v>#DIV/0!</v>
      </c>
      <c r="AJ86" s="183">
        <f>(('Entrada e Saida'!$K$10-'Entrada e Saida'!$K$8)*E86*D86)</f>
        <v>0</v>
      </c>
      <c r="AK86" s="184" t="e">
        <f>IF('Entrada e Saida'!$H$15="PESO",W86+AA86+AH86+AI86+AJ86,W86+AA86+AH86+AI86+AJ86-S86+T86-U86+V86)</f>
        <v>#DIV/0!</v>
      </c>
      <c r="AL86" s="185" t="e">
        <f>IF('Entrada e Saida'!$H$12="REAL",AC86,0)</f>
        <v>#DIV/0!</v>
      </c>
      <c r="AM86" s="185" t="e">
        <f>IF('Entrada e Saida'!$H$12="REAL",AD86,0)</f>
        <v>#DIV/0!</v>
      </c>
      <c r="AN86" s="186" t="e">
        <f>IF('Entrada e Saida'!$H$13= "NÃO",AE86,0)</f>
        <v>#DIV/0!</v>
      </c>
      <c r="AO86" s="186" t="e">
        <f t="shared" si="49"/>
        <v>#DIV/0!</v>
      </c>
      <c r="AP86" s="184" t="e">
        <f t="shared" si="50"/>
        <v>#DIV/0!</v>
      </c>
      <c r="AQ86" s="178" t="e">
        <f>IF('Entrada e Saida'!$H$11="TRADING",AU86*'Custo Resumido'!D86,0)</f>
        <v>#DIV/0!</v>
      </c>
      <c r="AR86" s="178" t="e">
        <f>IF('Entrada e Saida'!$H$11="TRADING",AU86*'Entrada e Saida'!$G$63,0)</f>
        <v>#DIV/0!</v>
      </c>
      <c r="AS86" s="178" t="e">
        <f>IF('Entrada e Saida'!$H$11="TRADING",AU86*'Entrada e Saida'!$G$64,0)</f>
        <v>#DIV/0!</v>
      </c>
      <c r="AT86" s="178" t="e">
        <f>IF('Entrada e Saida'!$H$11="TRADING",AU86*'Entrada e Saida'!$G$65,0)</f>
        <v>#DIV/0!</v>
      </c>
      <c r="AU86" s="184" t="e">
        <f>IF('Entrada e Saida'!$H$11="TRADING",AP86/(1-(SUM('Entrada e Saida'!$G$63:$G$65)+'Custo Resumido'!D86)),0)</f>
        <v>#DIV/0!</v>
      </c>
      <c r="AV86" s="178" t="e">
        <f>IF('Entrada e Saida'!$H$13="NÃO",AU86*M86,0)</f>
        <v>#DIV/0!</v>
      </c>
      <c r="AW86" s="184" t="e">
        <f t="shared" si="51"/>
        <v>#DIV/0!</v>
      </c>
      <c r="AX86" s="178" t="e">
        <f>'Entrada e Saida'!$G$74*AU86</f>
        <v>#DIV/0!</v>
      </c>
      <c r="AY86" s="184" t="e">
        <f t="shared" si="52"/>
        <v>#DIV/0!</v>
      </c>
      <c r="AZ86" s="184" t="e">
        <f>AQ86+('Entrada e Saida'!$G$65-'Entrada e Saida'!$I$65)*AU86-AX86</f>
        <v>#DIV/0!</v>
      </c>
      <c r="BA86" s="3" t="e">
        <f>IF('Entrada e Saida'!$H$12="REAL",AZ86*'Entrada e Saida'!$G$81,AU86*'Entrada e Saida'!$G$81)</f>
        <v>#DIV/0!</v>
      </c>
      <c r="BB86" s="3" t="e">
        <f>IF('Entrada e Saida'!$H$12="REAL",AZ86*'Entrada e Saida'!$G$82,AU86*'Entrada e Saida'!$G$82)</f>
        <v>#DIV/0!</v>
      </c>
      <c r="BC86" s="4" t="e">
        <f t="shared" si="53"/>
        <v>#DIV/0!</v>
      </c>
      <c r="BD86" s="3" t="e">
        <f>IF('Entrada e Saida'!$H$11="TRADING",AW86/D86,AK86/D86)</f>
        <v>#DIV/0!</v>
      </c>
      <c r="BE86" s="3" t="e">
        <f t="shared" si="54"/>
        <v>#DIV/0!</v>
      </c>
      <c r="BF86" s="2" t="e">
        <f t="shared" si="55"/>
        <v>#DIV/0!</v>
      </c>
      <c r="BG86" s="3" t="e">
        <f>IF('Entrada e Saida'!$H$11="TRADING",AV86/D86,AN86/D86)</f>
        <v>#DIV/0!</v>
      </c>
      <c r="BH86" s="3" t="e">
        <f>IF('Entrada e Saida'!$H$11="TRADING",IF('Entrada e Saida'!$H$12="REAL",AR86/D86,0),AL86/D86)</f>
        <v>#DIV/0!</v>
      </c>
      <c r="BI86" s="3" t="e">
        <f>IF('Entrada e Saida'!$H$11="TRADING",IF('Entrada e Saida'!$H$12="REAL",AS86/D86,0),AM86/D86)</f>
        <v>#DIV/0!</v>
      </c>
      <c r="BJ86" s="3" t="e">
        <f>IF('Entrada e Saida'!$H$11="TRADING",AT86/D86,AO86/D86)</f>
        <v>#DIV/0!</v>
      </c>
      <c r="BK86" s="2" t="e">
        <f t="shared" si="56"/>
        <v>#DIV/0!</v>
      </c>
      <c r="BL86" s="2">
        <f>IF(O86&gt;0,IFERROR(IF('Entrada e Saida'!$H$11="DIRETA",0,(IF('Entrada e Saida'!$H$14="P.JURIDICA",(BD86*(1+O86)*N86)-((BD86/(1+M86))*'Entrada e Saida'!$G$65),((Produtos!N86-'Entrada e Saida'!$G$65)*Produtos!BD86)))),0),0)</f>
        <v>0</v>
      </c>
      <c r="BM86" s="2" t="e">
        <f t="shared" si="57"/>
        <v>#DIV/0!</v>
      </c>
    </row>
    <row r="87" spans="1:65" s="1" customFormat="1">
      <c r="A87" s="127"/>
      <c r="B87" s="172" t="e">
        <f>VLOOKUP(A87,'Master Modelo'!A:I,7,FALSE)</f>
        <v>#N/A</v>
      </c>
      <c r="C87" s="145" t="e">
        <f>VLOOKUP(A87,'Master Modelo'!A:I,2,FALSE)</f>
        <v>#N/A</v>
      </c>
      <c r="D87" s="146"/>
      <c r="E87" s="115">
        <f>IFERROR(VLOOKUP(A87,'Master Modelo'!A:I,9,FALSE),0)</f>
        <v>0</v>
      </c>
      <c r="F87" s="189">
        <f>IFERROR(VLOOKUP(A87,'Master Modelo'!A:I,8,FALSE),0)</f>
        <v>0</v>
      </c>
      <c r="G87" s="189">
        <f>IFERROR(VLOOKUP(A87,'Master Modelo'!A:K,11,FALSE),0)</f>
        <v>0</v>
      </c>
      <c r="H87" s="173" t="e">
        <f t="shared" si="40"/>
        <v>#DIV/0!</v>
      </c>
      <c r="I87" s="163">
        <f>IFERROR(VLOOKUP(A87,'Master Modelo'!A:I,3,FALSE),0)</f>
        <v>0</v>
      </c>
      <c r="J87" s="164">
        <f>IFERROR(VLOOKUP(A87,'Master Modelo'!A:I,5,FALSE),0)</f>
        <v>0</v>
      </c>
      <c r="K87" s="164">
        <f>IFERROR(VLOOKUP(A87,'Master Modelo'!A:I,6,FALSE),0)</f>
        <v>0</v>
      </c>
      <c r="L87" s="165" t="e">
        <f>VLOOKUP(A87,'Master Modelo'!A:J,10,FALSE)</f>
        <v>#N/A</v>
      </c>
      <c r="M87" s="163">
        <f>IFERROR(VLOOKUP(A87,'Master Modelo'!A:I,4,FALSE),0)</f>
        <v>0</v>
      </c>
      <c r="N87" s="175"/>
      <c r="O87" s="187"/>
      <c r="P87" s="177">
        <f t="shared" si="41"/>
        <v>0</v>
      </c>
      <c r="Q87" s="177">
        <f t="shared" si="58"/>
        <v>0</v>
      </c>
      <c r="R87" s="178">
        <f>D87*E87*'Entrada e Saida'!$K$8</f>
        <v>0</v>
      </c>
      <c r="S87" s="179" t="e">
        <f>'Entrada e Saida'!$H$21*'Entrada e Saida'!$K$8*(P87/(SUM(P:P)))</f>
        <v>#DIV/0!</v>
      </c>
      <c r="T87" s="179" t="e">
        <f>'Entrada e Saida'!$H$21*'Entrada e Saida'!$K$8*(Q87/(SUM(Q:Q)))</f>
        <v>#DIV/0!</v>
      </c>
      <c r="U87" s="179" t="e">
        <f>'Entrada e Saida'!$H$22*(P87/(SUM(P:P)))</f>
        <v>#DIV/0!</v>
      </c>
      <c r="V87" s="179" t="e">
        <f>'Entrada e Saida'!$H$22*(Q87/(SUM(Q:Q)))</f>
        <v>#DIV/0!</v>
      </c>
      <c r="W87" s="180" t="e">
        <f t="shared" si="42"/>
        <v>#DIV/0!</v>
      </c>
      <c r="X87" s="179" t="e">
        <f>'Entrada e Saida'!$H$26*(IF('Entrada e Saida'!$H$15="PESO",(P87/(SUM(P:P))),(Q87/(SUM(Q:Q)))))</f>
        <v>#DIV/0!</v>
      </c>
      <c r="Y87" s="179" t="e">
        <f>'Entrada e Saida'!$H$27*(IF('Entrada e Saida'!$H$15="PESO",(P87/(SUM(P:P))),(Q87/(SUM(Q:Q)))))</f>
        <v>#DIV/0!</v>
      </c>
      <c r="Z87" s="179" t="e">
        <f>'Entrada e Saida'!$H$28*(IF('Entrada e Saida'!$H$15="PESO",(P87/(SUM(P:P))),(Q87/(SUM(Q:Q)))))</f>
        <v>#DIV/0!</v>
      </c>
      <c r="AA87" s="181" t="e">
        <f t="shared" si="43"/>
        <v>#DIV/0!</v>
      </c>
      <c r="AB87" s="178" t="e">
        <f t="shared" si="44"/>
        <v>#DIV/0!</v>
      </c>
      <c r="AC87" s="178" t="e">
        <f t="shared" si="45"/>
        <v>#DIV/0!</v>
      </c>
      <c r="AD87" s="178" t="e">
        <f t="shared" si="46"/>
        <v>#DIV/0!</v>
      </c>
      <c r="AE87" s="177" t="e">
        <f t="shared" si="47"/>
        <v>#DIV/0!</v>
      </c>
      <c r="AF87" s="182">
        <f>IFERROR(D87*F87*L87*'Entrada e Saida'!$K$8,0)</f>
        <v>0</v>
      </c>
      <c r="AG87" s="178" t="e">
        <f>((W87+AA87+AB87+AC87+AD87+AE87+AF87)/(1-'Entrada e Saida'!$G$65))*'Entrada e Saida'!$I$66</f>
        <v>#DIV/0!</v>
      </c>
      <c r="AH87" s="180" t="e">
        <f t="shared" si="48"/>
        <v>#DIV/0!</v>
      </c>
      <c r="AI87" s="183" t="e">
        <f>'Entrada e Saida'!$K$51*(IF('Entrada e Saida'!$H$15="PESO",(P87/(SUM(P:P))),(Q87/(SUM(Q:Q)))))</f>
        <v>#DIV/0!</v>
      </c>
      <c r="AJ87" s="183">
        <f>(('Entrada e Saida'!$K$10-'Entrada e Saida'!$K$8)*E87*D87)</f>
        <v>0</v>
      </c>
      <c r="AK87" s="184" t="e">
        <f>IF('Entrada e Saida'!$H$15="PESO",W87+AA87+AH87+AI87+AJ87,W87+AA87+AH87+AI87+AJ87-S87+T87-U87+V87)</f>
        <v>#DIV/0!</v>
      </c>
      <c r="AL87" s="185" t="e">
        <f>IF('Entrada e Saida'!$H$12="REAL",AC87,0)</f>
        <v>#DIV/0!</v>
      </c>
      <c r="AM87" s="185" t="e">
        <f>IF('Entrada e Saida'!$H$12="REAL",AD87,0)</f>
        <v>#DIV/0!</v>
      </c>
      <c r="AN87" s="186" t="e">
        <f>IF('Entrada e Saida'!$H$13= "NÃO",AE87,0)</f>
        <v>#DIV/0!</v>
      </c>
      <c r="AO87" s="186" t="e">
        <f t="shared" si="49"/>
        <v>#DIV/0!</v>
      </c>
      <c r="AP87" s="184" t="e">
        <f t="shared" si="50"/>
        <v>#DIV/0!</v>
      </c>
      <c r="AQ87" s="178" t="e">
        <f>IF('Entrada e Saida'!$H$11="TRADING",AU87*'Custo Resumido'!D87,0)</f>
        <v>#DIV/0!</v>
      </c>
      <c r="AR87" s="178" t="e">
        <f>IF('Entrada e Saida'!$H$11="TRADING",AU87*'Entrada e Saida'!$G$63,0)</f>
        <v>#DIV/0!</v>
      </c>
      <c r="AS87" s="178" t="e">
        <f>IF('Entrada e Saida'!$H$11="TRADING",AU87*'Entrada e Saida'!$G$64,0)</f>
        <v>#DIV/0!</v>
      </c>
      <c r="AT87" s="178" t="e">
        <f>IF('Entrada e Saida'!$H$11="TRADING",AU87*'Entrada e Saida'!$G$65,0)</f>
        <v>#DIV/0!</v>
      </c>
      <c r="AU87" s="184" t="e">
        <f>IF('Entrada e Saida'!$H$11="TRADING",AP87/(1-(SUM('Entrada e Saida'!$G$63:$G$65)+'Custo Resumido'!D87)),0)</f>
        <v>#DIV/0!</v>
      </c>
      <c r="AV87" s="178" t="e">
        <f>IF('Entrada e Saida'!$H$13="NÃO",AU87*M87,0)</f>
        <v>#DIV/0!</v>
      </c>
      <c r="AW87" s="184" t="e">
        <f t="shared" si="51"/>
        <v>#DIV/0!</v>
      </c>
      <c r="AX87" s="178" t="e">
        <f>'Entrada e Saida'!$G$74*AU87</f>
        <v>#DIV/0!</v>
      </c>
      <c r="AY87" s="184" t="e">
        <f t="shared" si="52"/>
        <v>#DIV/0!</v>
      </c>
      <c r="AZ87" s="184" t="e">
        <f>AQ87+('Entrada e Saida'!$G$65-'Entrada e Saida'!$I$65)*AU87-AX87</f>
        <v>#DIV/0!</v>
      </c>
      <c r="BA87" s="3" t="e">
        <f>IF('Entrada e Saida'!$H$12="REAL",AZ87*'Entrada e Saida'!$G$81,AU87*'Entrada e Saida'!$G$81)</f>
        <v>#DIV/0!</v>
      </c>
      <c r="BB87" s="3" t="e">
        <f>IF('Entrada e Saida'!$H$12="REAL",AZ87*'Entrada e Saida'!$G$82,AU87*'Entrada e Saida'!$G$82)</f>
        <v>#DIV/0!</v>
      </c>
      <c r="BC87" s="4" t="e">
        <f t="shared" si="53"/>
        <v>#DIV/0!</v>
      </c>
      <c r="BD87" s="3" t="e">
        <f>IF('Entrada e Saida'!$H$11="TRADING",AW87/D87,AK87/D87)</f>
        <v>#DIV/0!</v>
      </c>
      <c r="BE87" s="3" t="e">
        <f t="shared" si="54"/>
        <v>#DIV/0!</v>
      </c>
      <c r="BF87" s="2" t="e">
        <f t="shared" si="55"/>
        <v>#DIV/0!</v>
      </c>
      <c r="BG87" s="3" t="e">
        <f>IF('Entrada e Saida'!$H$11="TRADING",AV87/D87,AN87/D87)</f>
        <v>#DIV/0!</v>
      </c>
      <c r="BH87" s="3" t="e">
        <f>IF('Entrada e Saida'!$H$11="TRADING",IF('Entrada e Saida'!$H$12="REAL",AR87/D87,0),AL87/D87)</f>
        <v>#DIV/0!</v>
      </c>
      <c r="BI87" s="3" t="e">
        <f>IF('Entrada e Saida'!$H$11="TRADING",IF('Entrada e Saida'!$H$12="REAL",AS87/D87,0),AM87/D87)</f>
        <v>#DIV/0!</v>
      </c>
      <c r="BJ87" s="3" t="e">
        <f>IF('Entrada e Saida'!$H$11="TRADING",AT87/D87,AO87/D87)</f>
        <v>#DIV/0!</v>
      </c>
      <c r="BK87" s="2" t="e">
        <f t="shared" si="56"/>
        <v>#DIV/0!</v>
      </c>
      <c r="BL87" s="2">
        <f>IF(O87&gt;0,IFERROR(IF('Entrada e Saida'!$H$11="DIRETA",0,(IF('Entrada e Saida'!$H$14="P.JURIDICA",(BD87*(1+O87)*N87)-((BD87/(1+M87))*'Entrada e Saida'!$G$65),((Produtos!N87-'Entrada e Saida'!$G$65)*Produtos!BD87)))),0),0)</f>
        <v>0</v>
      </c>
      <c r="BM87" s="2" t="e">
        <f t="shared" si="57"/>
        <v>#DIV/0!</v>
      </c>
    </row>
    <row r="88" spans="1:65" s="1" customFormat="1">
      <c r="A88" s="127"/>
      <c r="B88" s="172" t="e">
        <f>VLOOKUP(A88,'Master Modelo'!A:I,7,FALSE)</f>
        <v>#N/A</v>
      </c>
      <c r="C88" s="145" t="e">
        <f>VLOOKUP(A88,'Master Modelo'!A:I,2,FALSE)</f>
        <v>#N/A</v>
      </c>
      <c r="D88" s="146"/>
      <c r="E88" s="115">
        <f>IFERROR(VLOOKUP(A88,'Master Modelo'!A:I,9,FALSE),0)</f>
        <v>0</v>
      </c>
      <c r="F88" s="189">
        <f>IFERROR(VLOOKUP(A88,'Master Modelo'!A:I,8,FALSE),0)</f>
        <v>0</v>
      </c>
      <c r="G88" s="189">
        <f>IFERROR(VLOOKUP(A88,'Master Modelo'!A:K,11,FALSE),0)</f>
        <v>0</v>
      </c>
      <c r="H88" s="173" t="e">
        <f t="shared" si="40"/>
        <v>#DIV/0!</v>
      </c>
      <c r="I88" s="163">
        <f>IFERROR(VLOOKUP(A88,'Master Modelo'!A:I,3,FALSE),0)</f>
        <v>0</v>
      </c>
      <c r="J88" s="164">
        <f>IFERROR(VLOOKUP(A88,'Master Modelo'!A:I,5,FALSE),0)</f>
        <v>0</v>
      </c>
      <c r="K88" s="164">
        <f>IFERROR(VLOOKUP(A88,'Master Modelo'!A:I,6,FALSE),0)</f>
        <v>0</v>
      </c>
      <c r="L88" s="165" t="e">
        <f>VLOOKUP(A88,'Master Modelo'!A:J,10,FALSE)</f>
        <v>#N/A</v>
      </c>
      <c r="M88" s="163">
        <f>IFERROR(VLOOKUP(A88,'Master Modelo'!A:I,4,FALSE),0)</f>
        <v>0</v>
      </c>
      <c r="N88" s="175"/>
      <c r="O88" s="187"/>
      <c r="P88" s="177">
        <f t="shared" si="41"/>
        <v>0</v>
      </c>
      <c r="Q88" s="177">
        <f t="shared" si="58"/>
        <v>0</v>
      </c>
      <c r="R88" s="178">
        <f>D88*E88*'Entrada e Saida'!$K$8</f>
        <v>0</v>
      </c>
      <c r="S88" s="179" t="e">
        <f>'Entrada e Saida'!$H$21*'Entrada e Saida'!$K$8*(P88/(SUM(P:P)))</f>
        <v>#DIV/0!</v>
      </c>
      <c r="T88" s="179" t="e">
        <f>'Entrada e Saida'!$H$21*'Entrada e Saida'!$K$8*(Q88/(SUM(Q:Q)))</f>
        <v>#DIV/0!</v>
      </c>
      <c r="U88" s="179" t="e">
        <f>'Entrada e Saida'!$H$22*(P88/(SUM(P:P)))</f>
        <v>#DIV/0!</v>
      </c>
      <c r="V88" s="179" t="e">
        <f>'Entrada e Saida'!$H$22*(Q88/(SUM(Q:Q)))</f>
        <v>#DIV/0!</v>
      </c>
      <c r="W88" s="180" t="e">
        <f t="shared" si="42"/>
        <v>#DIV/0!</v>
      </c>
      <c r="X88" s="179" t="e">
        <f>'Entrada e Saida'!$H$26*(IF('Entrada e Saida'!$H$15="PESO",(P88/(SUM(P:P))),(Q88/(SUM(Q:Q)))))</f>
        <v>#DIV/0!</v>
      </c>
      <c r="Y88" s="179" t="e">
        <f>'Entrada e Saida'!$H$27*(IF('Entrada e Saida'!$H$15="PESO",(P88/(SUM(P:P))),(Q88/(SUM(Q:Q)))))</f>
        <v>#DIV/0!</v>
      </c>
      <c r="Z88" s="179" t="e">
        <f>'Entrada e Saida'!$H$28*(IF('Entrada e Saida'!$H$15="PESO",(P88/(SUM(P:P))),(Q88/(SUM(Q:Q)))))</f>
        <v>#DIV/0!</v>
      </c>
      <c r="AA88" s="181" t="e">
        <f t="shared" si="43"/>
        <v>#DIV/0!</v>
      </c>
      <c r="AB88" s="178" t="e">
        <f t="shared" si="44"/>
        <v>#DIV/0!</v>
      </c>
      <c r="AC88" s="178" t="e">
        <f t="shared" si="45"/>
        <v>#DIV/0!</v>
      </c>
      <c r="AD88" s="178" t="e">
        <f t="shared" si="46"/>
        <v>#DIV/0!</v>
      </c>
      <c r="AE88" s="177" t="e">
        <f t="shared" si="47"/>
        <v>#DIV/0!</v>
      </c>
      <c r="AF88" s="182">
        <f>IFERROR(D88*F88*L88*'Entrada e Saida'!$K$8,0)</f>
        <v>0</v>
      </c>
      <c r="AG88" s="178" t="e">
        <f>((W88+AA88+AB88+AC88+AD88+AE88+AF88)/(1-'Entrada e Saida'!$G$65))*'Entrada e Saida'!$I$66</f>
        <v>#DIV/0!</v>
      </c>
      <c r="AH88" s="180" t="e">
        <f t="shared" si="48"/>
        <v>#DIV/0!</v>
      </c>
      <c r="AI88" s="183" t="e">
        <f>'Entrada e Saida'!$K$51*(IF('Entrada e Saida'!$H$15="PESO",(P88/(SUM(P:P))),(Q88/(SUM(Q:Q)))))</f>
        <v>#DIV/0!</v>
      </c>
      <c r="AJ88" s="183">
        <f>(('Entrada e Saida'!$K$10-'Entrada e Saida'!$K$8)*E88*D88)</f>
        <v>0</v>
      </c>
      <c r="AK88" s="184" t="e">
        <f>IF('Entrada e Saida'!$H$15="PESO",W88+AA88+AH88+AI88+AJ88,W88+AA88+AH88+AI88+AJ88-S88+T88-U88+V88)</f>
        <v>#DIV/0!</v>
      </c>
      <c r="AL88" s="185" t="e">
        <f>IF('Entrada e Saida'!$H$12="REAL",AC88,0)</f>
        <v>#DIV/0!</v>
      </c>
      <c r="AM88" s="185" t="e">
        <f>IF('Entrada e Saida'!$H$12="REAL",AD88,0)</f>
        <v>#DIV/0!</v>
      </c>
      <c r="AN88" s="186" t="e">
        <f>IF('Entrada e Saida'!$H$13= "NÃO",AE88,0)</f>
        <v>#DIV/0!</v>
      </c>
      <c r="AO88" s="186" t="e">
        <f t="shared" si="49"/>
        <v>#DIV/0!</v>
      </c>
      <c r="AP88" s="184" t="e">
        <f t="shared" si="50"/>
        <v>#DIV/0!</v>
      </c>
      <c r="AQ88" s="178" t="e">
        <f>IF('Entrada e Saida'!$H$11="TRADING",AU88*'Custo Resumido'!D88,0)</f>
        <v>#DIV/0!</v>
      </c>
      <c r="AR88" s="178" t="e">
        <f>IF('Entrada e Saida'!$H$11="TRADING",AU88*'Entrada e Saida'!$G$63,0)</f>
        <v>#DIV/0!</v>
      </c>
      <c r="AS88" s="178" t="e">
        <f>IF('Entrada e Saida'!$H$11="TRADING",AU88*'Entrada e Saida'!$G$64,0)</f>
        <v>#DIV/0!</v>
      </c>
      <c r="AT88" s="178" t="e">
        <f>IF('Entrada e Saida'!$H$11="TRADING",AU88*'Entrada e Saida'!$G$65,0)</f>
        <v>#DIV/0!</v>
      </c>
      <c r="AU88" s="184" t="e">
        <f>IF('Entrada e Saida'!$H$11="TRADING",AP88/(1-(SUM('Entrada e Saida'!$G$63:$G$65)+'Custo Resumido'!D88)),0)</f>
        <v>#DIV/0!</v>
      </c>
      <c r="AV88" s="178" t="e">
        <f>IF('Entrada e Saida'!$H$13="NÃO",AU88*M88,0)</f>
        <v>#DIV/0!</v>
      </c>
      <c r="AW88" s="184" t="e">
        <f t="shared" si="51"/>
        <v>#DIV/0!</v>
      </c>
      <c r="AX88" s="178" t="e">
        <f>'Entrada e Saida'!$G$74*AU88</f>
        <v>#DIV/0!</v>
      </c>
      <c r="AY88" s="184" t="e">
        <f t="shared" si="52"/>
        <v>#DIV/0!</v>
      </c>
      <c r="AZ88" s="184" t="e">
        <f>AQ88+('Entrada e Saida'!$G$65-'Entrada e Saida'!$I$65)*AU88-AX88</f>
        <v>#DIV/0!</v>
      </c>
      <c r="BA88" s="3" t="e">
        <f>IF('Entrada e Saida'!$H$12="REAL",AZ88*'Entrada e Saida'!$G$81,AU88*'Entrada e Saida'!$G$81)</f>
        <v>#DIV/0!</v>
      </c>
      <c r="BB88" s="3" t="e">
        <f>IF('Entrada e Saida'!$H$12="REAL",AZ88*'Entrada e Saida'!$G$82,AU88*'Entrada e Saida'!$G$82)</f>
        <v>#DIV/0!</v>
      </c>
      <c r="BC88" s="4" t="e">
        <f t="shared" si="53"/>
        <v>#DIV/0!</v>
      </c>
      <c r="BD88" s="3" t="e">
        <f>IF('Entrada e Saida'!$H$11="TRADING",AW88/D88,AK88/D88)</f>
        <v>#DIV/0!</v>
      </c>
      <c r="BE88" s="3" t="e">
        <f t="shared" si="54"/>
        <v>#DIV/0!</v>
      </c>
      <c r="BF88" s="2" t="e">
        <f t="shared" si="55"/>
        <v>#DIV/0!</v>
      </c>
      <c r="BG88" s="3" t="e">
        <f>IF('Entrada e Saida'!$H$11="TRADING",AV88/D88,AN88/D88)</f>
        <v>#DIV/0!</v>
      </c>
      <c r="BH88" s="3" t="e">
        <f>IF('Entrada e Saida'!$H$11="TRADING",IF('Entrada e Saida'!$H$12="REAL",AR88/D88,0),AL88/D88)</f>
        <v>#DIV/0!</v>
      </c>
      <c r="BI88" s="3" t="e">
        <f>IF('Entrada e Saida'!$H$11="TRADING",IF('Entrada e Saida'!$H$12="REAL",AS88/D88,0),AM88/D88)</f>
        <v>#DIV/0!</v>
      </c>
      <c r="BJ88" s="3" t="e">
        <f>IF('Entrada e Saida'!$H$11="TRADING",AT88/D88,AO88/D88)</f>
        <v>#DIV/0!</v>
      </c>
      <c r="BK88" s="2" t="e">
        <f t="shared" si="56"/>
        <v>#DIV/0!</v>
      </c>
      <c r="BL88" s="2">
        <f>IF(O88&gt;0,IFERROR(IF('Entrada e Saida'!$H$11="DIRETA",0,(IF('Entrada e Saida'!$H$14="P.JURIDICA",(BD88*(1+O88)*N88)-((BD88/(1+M88))*'Entrada e Saida'!$G$65),((Produtos!N88-'Entrada e Saida'!$G$65)*Produtos!BD88)))),0),0)</f>
        <v>0</v>
      </c>
      <c r="BM88" s="2" t="e">
        <f t="shared" si="57"/>
        <v>#DIV/0!</v>
      </c>
    </row>
    <row r="89" spans="1:65" s="1" customFormat="1">
      <c r="A89" s="127"/>
      <c r="B89" s="172" t="e">
        <f>VLOOKUP(A89,'Master Modelo'!A:I,7,FALSE)</f>
        <v>#N/A</v>
      </c>
      <c r="C89" s="145" t="e">
        <f>VLOOKUP(A89,'Master Modelo'!A:I,2,FALSE)</f>
        <v>#N/A</v>
      </c>
      <c r="D89" s="146"/>
      <c r="E89" s="115">
        <f>IFERROR(VLOOKUP(A89,'Master Modelo'!A:I,9,FALSE),0)</f>
        <v>0</v>
      </c>
      <c r="F89" s="189">
        <f>IFERROR(VLOOKUP(A89,'Master Modelo'!A:I,8,FALSE),0)</f>
        <v>0</v>
      </c>
      <c r="G89" s="189">
        <f>IFERROR(VLOOKUP(A89,'Master Modelo'!A:K,11,FALSE),0)</f>
        <v>0</v>
      </c>
      <c r="H89" s="173" t="e">
        <f t="shared" si="40"/>
        <v>#DIV/0!</v>
      </c>
      <c r="I89" s="163">
        <f>IFERROR(VLOOKUP(A89,'Master Modelo'!A:I,3,FALSE),0)</f>
        <v>0</v>
      </c>
      <c r="J89" s="164">
        <f>IFERROR(VLOOKUP(A89,'Master Modelo'!A:I,5,FALSE),0)</f>
        <v>0</v>
      </c>
      <c r="K89" s="164">
        <f>IFERROR(VLOOKUP(A89,'Master Modelo'!A:I,6,FALSE),0)</f>
        <v>0</v>
      </c>
      <c r="L89" s="165" t="e">
        <f>VLOOKUP(A89,'Master Modelo'!A:J,10,FALSE)</f>
        <v>#N/A</v>
      </c>
      <c r="M89" s="163">
        <f>IFERROR(VLOOKUP(A89,'Master Modelo'!A:I,4,FALSE),0)</f>
        <v>0</v>
      </c>
      <c r="N89" s="175"/>
      <c r="O89" s="187"/>
      <c r="P89" s="177">
        <f t="shared" si="41"/>
        <v>0</v>
      </c>
      <c r="Q89" s="177">
        <f t="shared" si="58"/>
        <v>0</v>
      </c>
      <c r="R89" s="178">
        <f>D89*E89*'Entrada e Saida'!$K$8</f>
        <v>0</v>
      </c>
      <c r="S89" s="179" t="e">
        <f>'Entrada e Saida'!$H$21*'Entrada e Saida'!$K$8*(P89/(SUM(P:P)))</f>
        <v>#DIV/0!</v>
      </c>
      <c r="T89" s="179" t="e">
        <f>'Entrada e Saida'!$H$21*'Entrada e Saida'!$K$8*(Q89/(SUM(Q:Q)))</f>
        <v>#DIV/0!</v>
      </c>
      <c r="U89" s="179" t="e">
        <f>'Entrada e Saida'!$H$22*(P89/(SUM(P:P)))</f>
        <v>#DIV/0!</v>
      </c>
      <c r="V89" s="179" t="e">
        <f>'Entrada e Saida'!$H$22*(Q89/(SUM(Q:Q)))</f>
        <v>#DIV/0!</v>
      </c>
      <c r="W89" s="180" t="e">
        <f t="shared" si="42"/>
        <v>#DIV/0!</v>
      </c>
      <c r="X89" s="179" t="e">
        <f>'Entrada e Saida'!$H$26*(IF('Entrada e Saida'!$H$15="PESO",(P89/(SUM(P:P))),(Q89/(SUM(Q:Q)))))</f>
        <v>#DIV/0!</v>
      </c>
      <c r="Y89" s="179" t="e">
        <f>'Entrada e Saida'!$H$27*(IF('Entrada e Saida'!$H$15="PESO",(P89/(SUM(P:P))),(Q89/(SUM(Q:Q)))))</f>
        <v>#DIV/0!</v>
      </c>
      <c r="Z89" s="179" t="e">
        <f>'Entrada e Saida'!$H$28*(IF('Entrada e Saida'!$H$15="PESO",(P89/(SUM(P:P))),(Q89/(SUM(Q:Q)))))</f>
        <v>#DIV/0!</v>
      </c>
      <c r="AA89" s="181" t="e">
        <f t="shared" si="43"/>
        <v>#DIV/0!</v>
      </c>
      <c r="AB89" s="178" t="e">
        <f t="shared" si="44"/>
        <v>#DIV/0!</v>
      </c>
      <c r="AC89" s="178" t="e">
        <f t="shared" si="45"/>
        <v>#DIV/0!</v>
      </c>
      <c r="AD89" s="178" t="e">
        <f t="shared" si="46"/>
        <v>#DIV/0!</v>
      </c>
      <c r="AE89" s="177" t="e">
        <f t="shared" si="47"/>
        <v>#DIV/0!</v>
      </c>
      <c r="AF89" s="182">
        <f>IFERROR(D89*F89*L89*'Entrada e Saida'!$K$8,0)</f>
        <v>0</v>
      </c>
      <c r="AG89" s="178" t="e">
        <f>((W89+AA89+AB89+AC89+AD89+AE89+AF89)/(1-'Entrada e Saida'!$G$65))*'Entrada e Saida'!$I$66</f>
        <v>#DIV/0!</v>
      </c>
      <c r="AH89" s="180" t="e">
        <f t="shared" si="48"/>
        <v>#DIV/0!</v>
      </c>
      <c r="AI89" s="183" t="e">
        <f>'Entrada e Saida'!$K$51*(IF('Entrada e Saida'!$H$15="PESO",(P89/(SUM(P:P))),(Q89/(SUM(Q:Q)))))</f>
        <v>#DIV/0!</v>
      </c>
      <c r="AJ89" s="183">
        <f>(('Entrada e Saida'!$K$10-'Entrada e Saida'!$K$8)*E89*D89)</f>
        <v>0</v>
      </c>
      <c r="AK89" s="184" t="e">
        <f>IF('Entrada e Saida'!$H$15="PESO",W89+AA89+AH89+AI89+AJ89,W89+AA89+AH89+AI89+AJ89-S89+T89-U89+V89)</f>
        <v>#DIV/0!</v>
      </c>
      <c r="AL89" s="185" t="e">
        <f>IF('Entrada e Saida'!$H$12="REAL",AC89,0)</f>
        <v>#DIV/0!</v>
      </c>
      <c r="AM89" s="185" t="e">
        <f>IF('Entrada e Saida'!$H$12="REAL",AD89,0)</f>
        <v>#DIV/0!</v>
      </c>
      <c r="AN89" s="186" t="e">
        <f>IF('Entrada e Saida'!$H$13= "NÃO",AE89,0)</f>
        <v>#DIV/0!</v>
      </c>
      <c r="AO89" s="186" t="e">
        <f t="shared" si="49"/>
        <v>#DIV/0!</v>
      </c>
      <c r="AP89" s="184" t="e">
        <f t="shared" si="50"/>
        <v>#DIV/0!</v>
      </c>
      <c r="AQ89" s="178" t="e">
        <f>IF('Entrada e Saida'!$H$11="TRADING",AU89*'Custo Resumido'!D89,0)</f>
        <v>#DIV/0!</v>
      </c>
      <c r="AR89" s="178" t="e">
        <f>IF('Entrada e Saida'!$H$11="TRADING",AU89*'Entrada e Saida'!$G$63,0)</f>
        <v>#DIV/0!</v>
      </c>
      <c r="AS89" s="178" t="e">
        <f>IF('Entrada e Saida'!$H$11="TRADING",AU89*'Entrada e Saida'!$G$64,0)</f>
        <v>#DIV/0!</v>
      </c>
      <c r="AT89" s="178" t="e">
        <f>IF('Entrada e Saida'!$H$11="TRADING",AU89*'Entrada e Saida'!$G$65,0)</f>
        <v>#DIV/0!</v>
      </c>
      <c r="AU89" s="184" t="e">
        <f>IF('Entrada e Saida'!$H$11="TRADING",AP89/(1-(SUM('Entrada e Saida'!$G$63:$G$65)+'Custo Resumido'!D89)),0)</f>
        <v>#DIV/0!</v>
      </c>
      <c r="AV89" s="178" t="e">
        <f>IF('Entrada e Saida'!$H$13="NÃO",AU89*M89,0)</f>
        <v>#DIV/0!</v>
      </c>
      <c r="AW89" s="184" t="e">
        <f t="shared" si="51"/>
        <v>#DIV/0!</v>
      </c>
      <c r="AX89" s="178" t="e">
        <f>'Entrada e Saida'!$G$74*AU89</f>
        <v>#DIV/0!</v>
      </c>
      <c r="AY89" s="184" t="e">
        <f t="shared" si="52"/>
        <v>#DIV/0!</v>
      </c>
      <c r="AZ89" s="184" t="e">
        <f>AQ89+('Entrada e Saida'!$G$65-'Entrada e Saida'!$I$65)*AU89-AX89</f>
        <v>#DIV/0!</v>
      </c>
      <c r="BA89" s="3" t="e">
        <f>IF('Entrada e Saida'!$H$12="REAL",AZ89*'Entrada e Saida'!$G$81,AU89*'Entrada e Saida'!$G$81)</f>
        <v>#DIV/0!</v>
      </c>
      <c r="BB89" s="3" t="e">
        <f>IF('Entrada e Saida'!$H$12="REAL",AZ89*'Entrada e Saida'!$G$82,AU89*'Entrada e Saida'!$G$82)</f>
        <v>#DIV/0!</v>
      </c>
      <c r="BC89" s="4" t="e">
        <f t="shared" si="53"/>
        <v>#DIV/0!</v>
      </c>
      <c r="BD89" s="3" t="e">
        <f>IF('Entrada e Saida'!$H$11="TRADING",AW89/D89,AK89/D89)</f>
        <v>#DIV/0!</v>
      </c>
      <c r="BE89" s="3" t="e">
        <f t="shared" si="54"/>
        <v>#DIV/0!</v>
      </c>
      <c r="BF89" s="2" t="e">
        <f t="shared" si="55"/>
        <v>#DIV/0!</v>
      </c>
      <c r="BG89" s="3" t="e">
        <f>IF('Entrada e Saida'!$H$11="TRADING",AV89/D89,AN89/D89)</f>
        <v>#DIV/0!</v>
      </c>
      <c r="BH89" s="3" t="e">
        <f>IF('Entrada e Saida'!$H$11="TRADING",IF('Entrada e Saida'!$H$12="REAL",AR89/D89,0),AL89/D89)</f>
        <v>#DIV/0!</v>
      </c>
      <c r="BI89" s="3" t="e">
        <f>IF('Entrada e Saida'!$H$11="TRADING",IF('Entrada e Saida'!$H$12="REAL",AS89/D89,0),AM89/D89)</f>
        <v>#DIV/0!</v>
      </c>
      <c r="BJ89" s="3" t="e">
        <f>IF('Entrada e Saida'!$H$11="TRADING",AT89/D89,AO89/D89)</f>
        <v>#DIV/0!</v>
      </c>
      <c r="BK89" s="2" t="e">
        <f t="shared" si="56"/>
        <v>#DIV/0!</v>
      </c>
      <c r="BL89" s="2">
        <f>IF(O89&gt;0,IFERROR(IF('Entrada e Saida'!$H$11="DIRETA",0,(IF('Entrada e Saida'!$H$14="P.JURIDICA",(BD89*(1+O89)*N89)-((BD89/(1+M89))*'Entrada e Saida'!$G$65),((Produtos!N89-'Entrada e Saida'!$G$65)*Produtos!BD89)))),0),0)</f>
        <v>0</v>
      </c>
      <c r="BM89" s="2" t="e">
        <f t="shared" si="57"/>
        <v>#DIV/0!</v>
      </c>
    </row>
    <row r="90" spans="1:65" s="1" customFormat="1">
      <c r="A90" s="127"/>
      <c r="B90" s="172" t="e">
        <f>VLOOKUP(A90,'Master Modelo'!A:I,7,FALSE)</f>
        <v>#N/A</v>
      </c>
      <c r="C90" s="145" t="e">
        <f>VLOOKUP(A90,'Master Modelo'!A:I,2,FALSE)</f>
        <v>#N/A</v>
      </c>
      <c r="D90" s="146"/>
      <c r="E90" s="115">
        <f>IFERROR(VLOOKUP(A90,'Master Modelo'!A:I,9,FALSE),0)</f>
        <v>0</v>
      </c>
      <c r="F90" s="189">
        <f>IFERROR(VLOOKUP(A90,'Master Modelo'!A:I,8,FALSE),0)</f>
        <v>0</v>
      </c>
      <c r="G90" s="189">
        <f>IFERROR(VLOOKUP(A90,'Master Modelo'!A:K,11,FALSE),0)</f>
        <v>0</v>
      </c>
      <c r="H90" s="173" t="e">
        <f t="shared" ref="H90:H153" si="59">(D90*E90)/(D90*F90)</f>
        <v>#DIV/0!</v>
      </c>
      <c r="I90" s="163">
        <f>IFERROR(VLOOKUP(A90,'Master Modelo'!A:I,3,FALSE),0)</f>
        <v>0</v>
      </c>
      <c r="J90" s="164">
        <f>IFERROR(VLOOKUP(A90,'Master Modelo'!A:I,5,FALSE),0)</f>
        <v>0</v>
      </c>
      <c r="K90" s="164">
        <f>IFERROR(VLOOKUP(A90,'Master Modelo'!A:I,6,FALSE),0)</f>
        <v>0</v>
      </c>
      <c r="L90" s="165" t="e">
        <f>VLOOKUP(A90,'Master Modelo'!A:J,10,FALSE)</f>
        <v>#N/A</v>
      </c>
      <c r="M90" s="163">
        <f>IFERROR(VLOOKUP(A90,'Master Modelo'!A:I,4,FALSE),0)</f>
        <v>0</v>
      </c>
      <c r="N90" s="175"/>
      <c r="O90" s="187"/>
      <c r="P90" s="177">
        <f t="shared" ref="P90:P153" si="60">D90*F90</f>
        <v>0</v>
      </c>
      <c r="Q90" s="177">
        <f t="shared" si="58"/>
        <v>0</v>
      </c>
      <c r="R90" s="178">
        <f>D90*E90*'Entrada e Saida'!$K$8</f>
        <v>0</v>
      </c>
      <c r="S90" s="179" t="e">
        <f>'Entrada e Saida'!$H$21*'Entrada e Saida'!$K$8*(P90/(SUM(P:P)))</f>
        <v>#DIV/0!</v>
      </c>
      <c r="T90" s="179" t="e">
        <f>'Entrada e Saida'!$H$21*'Entrada e Saida'!$K$8*(Q90/(SUM(Q:Q)))</f>
        <v>#DIV/0!</v>
      </c>
      <c r="U90" s="179" t="e">
        <f>'Entrada e Saida'!$H$22*(P90/(SUM(P:P)))</f>
        <v>#DIV/0!</v>
      </c>
      <c r="V90" s="179" t="e">
        <f>'Entrada e Saida'!$H$22*(Q90/(SUM(Q:Q)))</f>
        <v>#DIV/0!</v>
      </c>
      <c r="W90" s="180" t="e">
        <f t="shared" ref="W90:W153" si="61">R90+S90+U90</f>
        <v>#DIV/0!</v>
      </c>
      <c r="X90" s="179" t="e">
        <f>'Entrada e Saida'!$H$26*(IF('Entrada e Saida'!$H$15="PESO",(P90/(SUM(P:P))),(Q90/(SUM(Q:Q)))))</f>
        <v>#DIV/0!</v>
      </c>
      <c r="Y90" s="179" t="e">
        <f>'Entrada e Saida'!$H$27*(IF('Entrada e Saida'!$H$15="PESO",(P90/(SUM(P:P))),(Q90/(SUM(Q:Q)))))</f>
        <v>#DIV/0!</v>
      </c>
      <c r="Z90" s="179" t="e">
        <f>'Entrada e Saida'!$H$28*(IF('Entrada e Saida'!$H$15="PESO",(P90/(SUM(P:P))),(Q90/(SUM(Q:Q)))))</f>
        <v>#DIV/0!</v>
      </c>
      <c r="AA90" s="181" t="e">
        <f t="shared" ref="AA90:AA153" si="62">X90+Y90+Z90</f>
        <v>#DIV/0!</v>
      </c>
      <c r="AB90" s="178" t="e">
        <f t="shared" ref="AB90:AB153" si="63">W90*I90</f>
        <v>#DIV/0!</v>
      </c>
      <c r="AC90" s="178" t="e">
        <f t="shared" ref="AC90:AC153" si="64">W90*J90</f>
        <v>#DIV/0!</v>
      </c>
      <c r="AD90" s="178" t="e">
        <f t="shared" ref="AD90:AD153" si="65">W90*K90</f>
        <v>#DIV/0!</v>
      </c>
      <c r="AE90" s="177" t="e">
        <f t="shared" ref="AE90:AE153" si="66">(W90+AB90)*M90</f>
        <v>#DIV/0!</v>
      </c>
      <c r="AF90" s="182">
        <f>IFERROR(D90*F90*L90*'Entrada e Saida'!$K$8,0)</f>
        <v>0</v>
      </c>
      <c r="AG90" s="178" t="e">
        <f>((W90+AA90+AB90+AC90+AD90+AE90+AF90)/(1-'Entrada e Saida'!$G$65))*'Entrada e Saida'!$I$66</f>
        <v>#DIV/0!</v>
      </c>
      <c r="AH90" s="180" t="e">
        <f t="shared" ref="AH90:AH153" si="67">SUM(AB90:AG90)</f>
        <v>#DIV/0!</v>
      </c>
      <c r="AI90" s="183" t="e">
        <f>'Entrada e Saida'!$K$51*(IF('Entrada e Saida'!$H$15="PESO",(P90/(SUM(P:P))),(Q90/(SUM(Q:Q)))))</f>
        <v>#DIV/0!</v>
      </c>
      <c r="AJ90" s="183">
        <f>(('Entrada e Saida'!$K$10-'Entrada e Saida'!$K$8)*E90*D90)</f>
        <v>0</v>
      </c>
      <c r="AK90" s="184" t="e">
        <f>IF('Entrada e Saida'!$H$15="PESO",W90+AA90+AH90+AI90+AJ90,W90+AA90+AH90+AI90+AJ90-S90+T90-U90+V90)</f>
        <v>#DIV/0!</v>
      </c>
      <c r="AL90" s="185" t="e">
        <f>IF('Entrada e Saida'!$H$12="REAL",AC90,0)</f>
        <v>#DIV/0!</v>
      </c>
      <c r="AM90" s="185" t="e">
        <f>IF('Entrada e Saida'!$H$12="REAL",AD90,0)</f>
        <v>#DIV/0!</v>
      </c>
      <c r="AN90" s="186" t="e">
        <f>IF('Entrada e Saida'!$H$13= "NÃO",AE90,0)</f>
        <v>#DIV/0!</v>
      </c>
      <c r="AO90" s="186" t="e">
        <f t="shared" ref="AO90:AO153" si="68">AG90</f>
        <v>#DIV/0!</v>
      </c>
      <c r="AP90" s="184" t="e">
        <f t="shared" ref="AP90:AP153" si="69">AK90-SUM(AL90:AO90)</f>
        <v>#DIV/0!</v>
      </c>
      <c r="AQ90" s="178" t="e">
        <f>IF('Entrada e Saida'!$H$11="TRADING",AU90*'Custo Resumido'!D90,0)</f>
        <v>#DIV/0!</v>
      </c>
      <c r="AR90" s="178" t="e">
        <f>IF('Entrada e Saida'!$H$11="TRADING",AU90*'Entrada e Saida'!$G$63,0)</f>
        <v>#DIV/0!</v>
      </c>
      <c r="AS90" s="178" t="e">
        <f>IF('Entrada e Saida'!$H$11="TRADING",AU90*'Entrada e Saida'!$G$64,0)</f>
        <v>#DIV/0!</v>
      </c>
      <c r="AT90" s="178" t="e">
        <f>IF('Entrada e Saida'!$H$11="TRADING",AU90*'Entrada e Saida'!$G$65,0)</f>
        <v>#DIV/0!</v>
      </c>
      <c r="AU90" s="184" t="e">
        <f>IF('Entrada e Saida'!$H$11="TRADING",AP90/(1-(SUM('Entrada e Saida'!$G$63:$G$65)+'Custo Resumido'!D90)),0)</f>
        <v>#DIV/0!</v>
      </c>
      <c r="AV90" s="178" t="e">
        <f>IF('Entrada e Saida'!$H$13="NÃO",AU90*M90,0)</f>
        <v>#DIV/0!</v>
      </c>
      <c r="AW90" s="184" t="e">
        <f t="shared" ref="AW90:AW153" si="70">AU90+AV90</f>
        <v>#DIV/0!</v>
      </c>
      <c r="AX90" s="178" t="e">
        <f>'Entrada e Saida'!$G$74*AU90</f>
        <v>#DIV/0!</v>
      </c>
      <c r="AY90" s="184" t="e">
        <f t="shared" ref="AY90:AY153" si="71">AW90-AX90</f>
        <v>#DIV/0!</v>
      </c>
      <c r="AZ90" s="184" t="e">
        <f>AQ90+('Entrada e Saida'!$G$65-'Entrada e Saida'!$I$65)*AU90-AX90</f>
        <v>#DIV/0!</v>
      </c>
      <c r="BA90" s="3" t="e">
        <f>IF('Entrada e Saida'!$H$12="REAL",AZ90*'Entrada e Saida'!$G$81,AU90*'Entrada e Saida'!$G$81)</f>
        <v>#DIV/0!</v>
      </c>
      <c r="BB90" s="3" t="e">
        <f>IF('Entrada e Saida'!$H$12="REAL",AZ90*'Entrada e Saida'!$G$82,AU90*'Entrada e Saida'!$G$82)</f>
        <v>#DIV/0!</v>
      </c>
      <c r="BC90" s="4" t="e">
        <f t="shared" ref="BC90:BC153" si="72">AZ90-BA90-BB90</f>
        <v>#DIV/0!</v>
      </c>
      <c r="BD90" s="3" t="e">
        <f>IF('Entrada e Saida'!$H$11="TRADING",AW90/D90,AK90/D90)</f>
        <v>#DIV/0!</v>
      </c>
      <c r="BE90" s="3" t="e">
        <f t="shared" ref="BE90:BE153" si="73">AX90/D90</f>
        <v>#DIV/0!</v>
      </c>
      <c r="BF90" s="2" t="e">
        <f t="shared" ref="BF90:BF153" si="74">BD90-BE90</f>
        <v>#DIV/0!</v>
      </c>
      <c r="BG90" s="3" t="e">
        <f>IF('Entrada e Saida'!$H$11="TRADING",AV90/D90,AN90/D90)</f>
        <v>#DIV/0!</v>
      </c>
      <c r="BH90" s="3" t="e">
        <f>IF('Entrada e Saida'!$H$11="TRADING",IF('Entrada e Saida'!$H$12="REAL",AR90/D90,0),AL90/D90)</f>
        <v>#DIV/0!</v>
      </c>
      <c r="BI90" s="3" t="e">
        <f>IF('Entrada e Saida'!$H$11="TRADING",IF('Entrada e Saida'!$H$12="REAL",AS90/D90,0),AM90/D90)</f>
        <v>#DIV/0!</v>
      </c>
      <c r="BJ90" s="3" t="e">
        <f>IF('Entrada e Saida'!$H$11="TRADING",AT90/D90,AO90/D90)</f>
        <v>#DIV/0!</v>
      </c>
      <c r="BK90" s="2" t="e">
        <f t="shared" ref="BK90:BK153" si="75">BF90-SUM(BG90:BJ90)</f>
        <v>#DIV/0!</v>
      </c>
      <c r="BL90" s="2">
        <f>IF(O90&gt;0,IFERROR(IF('Entrada e Saida'!$H$11="DIRETA",0,(IF('Entrada e Saida'!$H$14="P.JURIDICA",(BD90*(1+O90)*N90)-((BD90/(1+M90))*'Entrada e Saida'!$G$65),((Produtos!N90-'Entrada e Saida'!$G$65)*Produtos!BD90)))),0),0)</f>
        <v>0</v>
      </c>
      <c r="BM90" s="2" t="e">
        <f t="shared" ref="BM90:BM153" si="76">BF90+BL90</f>
        <v>#DIV/0!</v>
      </c>
    </row>
    <row r="91" spans="1:65" s="1" customFormat="1">
      <c r="A91" s="127"/>
      <c r="B91" s="172" t="e">
        <f>VLOOKUP(A91,'Master Modelo'!A:I,7,FALSE)</f>
        <v>#N/A</v>
      </c>
      <c r="C91" s="145" t="e">
        <f>VLOOKUP(A91,'Master Modelo'!A:I,2,FALSE)</f>
        <v>#N/A</v>
      </c>
      <c r="D91" s="146"/>
      <c r="E91" s="115">
        <f>IFERROR(VLOOKUP(A91,'Master Modelo'!A:I,9,FALSE),0)</f>
        <v>0</v>
      </c>
      <c r="F91" s="189">
        <f>IFERROR(VLOOKUP(A91,'Master Modelo'!A:I,8,FALSE),0)</f>
        <v>0</v>
      </c>
      <c r="G91" s="189">
        <f>IFERROR(VLOOKUP(A91,'Master Modelo'!A:K,11,FALSE),0)</f>
        <v>0</v>
      </c>
      <c r="H91" s="173" t="e">
        <f t="shared" si="59"/>
        <v>#DIV/0!</v>
      </c>
      <c r="I91" s="163">
        <f>IFERROR(VLOOKUP(A91,'Master Modelo'!A:I,3,FALSE),0)</f>
        <v>0</v>
      </c>
      <c r="J91" s="164">
        <f>IFERROR(VLOOKUP(A91,'Master Modelo'!A:I,5,FALSE),0)</f>
        <v>0</v>
      </c>
      <c r="K91" s="164">
        <f>IFERROR(VLOOKUP(A91,'Master Modelo'!A:I,6,FALSE),0)</f>
        <v>0</v>
      </c>
      <c r="L91" s="165" t="e">
        <f>VLOOKUP(A91,'Master Modelo'!A:J,10,FALSE)</f>
        <v>#N/A</v>
      </c>
      <c r="M91" s="163">
        <f>IFERROR(VLOOKUP(A91,'Master Modelo'!A:I,4,FALSE),0)</f>
        <v>0</v>
      </c>
      <c r="N91" s="175"/>
      <c r="O91" s="187"/>
      <c r="P91" s="177">
        <f t="shared" si="60"/>
        <v>0</v>
      </c>
      <c r="Q91" s="177">
        <f t="shared" si="58"/>
        <v>0</v>
      </c>
      <c r="R91" s="178">
        <f>D91*E91*'Entrada e Saida'!$K$8</f>
        <v>0</v>
      </c>
      <c r="S91" s="179" t="e">
        <f>'Entrada e Saida'!$H$21*'Entrada e Saida'!$K$8*(P91/(SUM(P:P)))</f>
        <v>#DIV/0!</v>
      </c>
      <c r="T91" s="179" t="e">
        <f>'Entrada e Saida'!$H$21*'Entrada e Saida'!$K$8*(Q91/(SUM(Q:Q)))</f>
        <v>#DIV/0!</v>
      </c>
      <c r="U91" s="179" t="e">
        <f>'Entrada e Saida'!$H$22*(P91/(SUM(P:P)))</f>
        <v>#DIV/0!</v>
      </c>
      <c r="V91" s="179" t="e">
        <f>'Entrada e Saida'!$H$22*(Q91/(SUM(Q:Q)))</f>
        <v>#DIV/0!</v>
      </c>
      <c r="W91" s="180" t="e">
        <f t="shared" si="61"/>
        <v>#DIV/0!</v>
      </c>
      <c r="X91" s="179" t="e">
        <f>'Entrada e Saida'!$H$26*(IF('Entrada e Saida'!$H$15="PESO",(P91/(SUM(P:P))),(Q91/(SUM(Q:Q)))))</f>
        <v>#DIV/0!</v>
      </c>
      <c r="Y91" s="179" t="e">
        <f>'Entrada e Saida'!$H$27*(IF('Entrada e Saida'!$H$15="PESO",(P91/(SUM(P:P))),(Q91/(SUM(Q:Q)))))</f>
        <v>#DIV/0!</v>
      </c>
      <c r="Z91" s="179" t="e">
        <f>'Entrada e Saida'!$H$28*(IF('Entrada e Saida'!$H$15="PESO",(P91/(SUM(P:P))),(Q91/(SUM(Q:Q)))))</f>
        <v>#DIV/0!</v>
      </c>
      <c r="AA91" s="181" t="e">
        <f t="shared" si="62"/>
        <v>#DIV/0!</v>
      </c>
      <c r="AB91" s="178" t="e">
        <f t="shared" si="63"/>
        <v>#DIV/0!</v>
      </c>
      <c r="AC91" s="178" t="e">
        <f t="shared" si="64"/>
        <v>#DIV/0!</v>
      </c>
      <c r="AD91" s="178" t="e">
        <f t="shared" si="65"/>
        <v>#DIV/0!</v>
      </c>
      <c r="AE91" s="177" t="e">
        <f t="shared" si="66"/>
        <v>#DIV/0!</v>
      </c>
      <c r="AF91" s="182">
        <f>IFERROR(D91*F91*L91*'Entrada e Saida'!$K$8,0)</f>
        <v>0</v>
      </c>
      <c r="AG91" s="178" t="e">
        <f>((W91+AA91+AB91+AC91+AD91+AE91+AF91)/(1-'Entrada e Saida'!$G$65))*'Entrada e Saida'!$I$66</f>
        <v>#DIV/0!</v>
      </c>
      <c r="AH91" s="180" t="e">
        <f t="shared" si="67"/>
        <v>#DIV/0!</v>
      </c>
      <c r="AI91" s="183" t="e">
        <f>'Entrada e Saida'!$K$51*(IF('Entrada e Saida'!$H$15="PESO",(P91/(SUM(P:P))),(Q91/(SUM(Q:Q)))))</f>
        <v>#DIV/0!</v>
      </c>
      <c r="AJ91" s="183">
        <f>(('Entrada e Saida'!$K$10-'Entrada e Saida'!$K$8)*E91*D91)</f>
        <v>0</v>
      </c>
      <c r="AK91" s="184" t="e">
        <f>IF('Entrada e Saida'!$H$15="PESO",W91+AA91+AH91+AI91+AJ91,W91+AA91+AH91+AI91+AJ91-S91+T91-U91+V91)</f>
        <v>#DIV/0!</v>
      </c>
      <c r="AL91" s="185" t="e">
        <f>IF('Entrada e Saida'!$H$12="REAL",AC91,0)</f>
        <v>#DIV/0!</v>
      </c>
      <c r="AM91" s="185" t="e">
        <f>IF('Entrada e Saida'!$H$12="REAL",AD91,0)</f>
        <v>#DIV/0!</v>
      </c>
      <c r="AN91" s="186" t="e">
        <f>IF('Entrada e Saida'!$H$13= "NÃO",AE91,0)</f>
        <v>#DIV/0!</v>
      </c>
      <c r="AO91" s="186" t="e">
        <f t="shared" si="68"/>
        <v>#DIV/0!</v>
      </c>
      <c r="AP91" s="184" t="e">
        <f t="shared" si="69"/>
        <v>#DIV/0!</v>
      </c>
      <c r="AQ91" s="178" t="e">
        <f>IF('Entrada e Saida'!$H$11="TRADING",AU91*'Custo Resumido'!D91,0)</f>
        <v>#DIV/0!</v>
      </c>
      <c r="AR91" s="178" t="e">
        <f>IF('Entrada e Saida'!$H$11="TRADING",AU91*'Entrada e Saida'!$G$63,0)</f>
        <v>#DIV/0!</v>
      </c>
      <c r="AS91" s="178" t="e">
        <f>IF('Entrada e Saida'!$H$11="TRADING",AU91*'Entrada e Saida'!$G$64,0)</f>
        <v>#DIV/0!</v>
      </c>
      <c r="AT91" s="178" t="e">
        <f>IF('Entrada e Saida'!$H$11="TRADING",AU91*'Entrada e Saida'!$G$65,0)</f>
        <v>#DIV/0!</v>
      </c>
      <c r="AU91" s="184" t="e">
        <f>IF('Entrada e Saida'!$H$11="TRADING",AP91/(1-(SUM('Entrada e Saida'!$G$63:$G$65)+'Custo Resumido'!D91)),0)</f>
        <v>#DIV/0!</v>
      </c>
      <c r="AV91" s="178" t="e">
        <f>IF('Entrada e Saida'!$H$13="NÃO",AU91*M91,0)</f>
        <v>#DIV/0!</v>
      </c>
      <c r="AW91" s="184" t="e">
        <f t="shared" si="70"/>
        <v>#DIV/0!</v>
      </c>
      <c r="AX91" s="178" t="e">
        <f>'Entrada e Saida'!$G$74*AU91</f>
        <v>#DIV/0!</v>
      </c>
      <c r="AY91" s="184" t="e">
        <f t="shared" si="71"/>
        <v>#DIV/0!</v>
      </c>
      <c r="AZ91" s="184" t="e">
        <f>AQ91+('Entrada e Saida'!$G$65-'Entrada e Saida'!$I$65)*AU91-AX91</f>
        <v>#DIV/0!</v>
      </c>
      <c r="BA91" s="3" t="e">
        <f>IF('Entrada e Saida'!$H$12="REAL",AZ91*'Entrada e Saida'!$G$81,AU91*'Entrada e Saida'!$G$81)</f>
        <v>#DIV/0!</v>
      </c>
      <c r="BB91" s="3" t="e">
        <f>IF('Entrada e Saida'!$H$12="REAL",AZ91*'Entrada e Saida'!$G$82,AU91*'Entrada e Saida'!$G$82)</f>
        <v>#DIV/0!</v>
      </c>
      <c r="BC91" s="4" t="e">
        <f t="shared" si="72"/>
        <v>#DIV/0!</v>
      </c>
      <c r="BD91" s="3" t="e">
        <f>IF('Entrada e Saida'!$H$11="TRADING",AW91/D91,AK91/D91)</f>
        <v>#DIV/0!</v>
      </c>
      <c r="BE91" s="3" t="e">
        <f t="shared" si="73"/>
        <v>#DIV/0!</v>
      </c>
      <c r="BF91" s="2" t="e">
        <f t="shared" si="74"/>
        <v>#DIV/0!</v>
      </c>
      <c r="BG91" s="3" t="e">
        <f>IF('Entrada e Saida'!$H$11="TRADING",AV91/D91,AN91/D91)</f>
        <v>#DIV/0!</v>
      </c>
      <c r="BH91" s="3" t="e">
        <f>IF('Entrada e Saida'!$H$11="TRADING",IF('Entrada e Saida'!$H$12="REAL",AR91/D91,0),AL91/D91)</f>
        <v>#DIV/0!</v>
      </c>
      <c r="BI91" s="3" t="e">
        <f>IF('Entrada e Saida'!$H$11="TRADING",IF('Entrada e Saida'!$H$12="REAL",AS91/D91,0),AM91/D91)</f>
        <v>#DIV/0!</v>
      </c>
      <c r="BJ91" s="3" t="e">
        <f>IF('Entrada e Saida'!$H$11="TRADING",AT91/D91,AO91/D91)</f>
        <v>#DIV/0!</v>
      </c>
      <c r="BK91" s="2" t="e">
        <f t="shared" si="75"/>
        <v>#DIV/0!</v>
      </c>
      <c r="BL91" s="2">
        <f>IF(O91&gt;0,IFERROR(IF('Entrada e Saida'!$H$11="DIRETA",0,(IF('Entrada e Saida'!$H$14="P.JURIDICA",(BD91*(1+O91)*N91)-((BD91/(1+M91))*'Entrada e Saida'!$G$65),((Produtos!N91-'Entrada e Saida'!$G$65)*Produtos!BD91)))),0),0)</f>
        <v>0</v>
      </c>
      <c r="BM91" s="2" t="e">
        <f t="shared" si="76"/>
        <v>#DIV/0!</v>
      </c>
    </row>
    <row r="92" spans="1:65" s="1" customFormat="1">
      <c r="A92" s="127"/>
      <c r="B92" s="172" t="e">
        <f>VLOOKUP(A92,'Master Modelo'!A:I,7,FALSE)</f>
        <v>#N/A</v>
      </c>
      <c r="C92" s="145" t="e">
        <f>VLOOKUP(A92,'Master Modelo'!A:I,2,FALSE)</f>
        <v>#N/A</v>
      </c>
      <c r="D92" s="146"/>
      <c r="E92" s="115">
        <f>IFERROR(VLOOKUP(A92,'Master Modelo'!A:I,9,FALSE),0)</f>
        <v>0</v>
      </c>
      <c r="F92" s="189">
        <f>IFERROR(VLOOKUP(A92,'Master Modelo'!A:I,8,FALSE),0)</f>
        <v>0</v>
      </c>
      <c r="G92" s="189">
        <f>IFERROR(VLOOKUP(A92,'Master Modelo'!A:K,11,FALSE),0)</f>
        <v>0</v>
      </c>
      <c r="H92" s="173" t="e">
        <f t="shared" si="59"/>
        <v>#DIV/0!</v>
      </c>
      <c r="I92" s="163">
        <f>IFERROR(VLOOKUP(A92,'Master Modelo'!A:I,3,FALSE),0)</f>
        <v>0</v>
      </c>
      <c r="J92" s="164">
        <f>IFERROR(VLOOKUP(A92,'Master Modelo'!A:I,5,FALSE),0)</f>
        <v>0</v>
      </c>
      <c r="K92" s="164">
        <f>IFERROR(VLOOKUP(A92,'Master Modelo'!A:I,6,FALSE),0)</f>
        <v>0</v>
      </c>
      <c r="L92" s="165" t="e">
        <f>VLOOKUP(A92,'Master Modelo'!A:J,10,FALSE)</f>
        <v>#N/A</v>
      </c>
      <c r="M92" s="163">
        <f>IFERROR(VLOOKUP(A92,'Master Modelo'!A:I,4,FALSE),0)</f>
        <v>0</v>
      </c>
      <c r="N92" s="175"/>
      <c r="O92" s="187"/>
      <c r="P92" s="177">
        <f t="shared" si="60"/>
        <v>0</v>
      </c>
      <c r="Q92" s="177">
        <f t="shared" si="58"/>
        <v>0</v>
      </c>
      <c r="R92" s="178">
        <f>D92*E92*'Entrada e Saida'!$K$8</f>
        <v>0</v>
      </c>
      <c r="S92" s="179" t="e">
        <f>'Entrada e Saida'!$H$21*'Entrada e Saida'!$K$8*(P92/(SUM(P:P)))</f>
        <v>#DIV/0!</v>
      </c>
      <c r="T92" s="179" t="e">
        <f>'Entrada e Saida'!$H$21*'Entrada e Saida'!$K$8*(Q92/(SUM(Q:Q)))</f>
        <v>#DIV/0!</v>
      </c>
      <c r="U92" s="179" t="e">
        <f>'Entrada e Saida'!$H$22*(P92/(SUM(P:P)))</f>
        <v>#DIV/0!</v>
      </c>
      <c r="V92" s="179" t="e">
        <f>'Entrada e Saida'!$H$22*(Q92/(SUM(Q:Q)))</f>
        <v>#DIV/0!</v>
      </c>
      <c r="W92" s="180" t="e">
        <f t="shared" si="61"/>
        <v>#DIV/0!</v>
      </c>
      <c r="X92" s="179" t="e">
        <f>'Entrada e Saida'!$H$26*(IF('Entrada e Saida'!$H$15="PESO",(P92/(SUM(P:P))),(Q92/(SUM(Q:Q)))))</f>
        <v>#DIV/0!</v>
      </c>
      <c r="Y92" s="179" t="e">
        <f>'Entrada e Saida'!$H$27*(IF('Entrada e Saida'!$H$15="PESO",(P92/(SUM(P:P))),(Q92/(SUM(Q:Q)))))</f>
        <v>#DIV/0!</v>
      </c>
      <c r="Z92" s="179" t="e">
        <f>'Entrada e Saida'!$H$28*(IF('Entrada e Saida'!$H$15="PESO",(P92/(SUM(P:P))),(Q92/(SUM(Q:Q)))))</f>
        <v>#DIV/0!</v>
      </c>
      <c r="AA92" s="181" t="e">
        <f t="shared" si="62"/>
        <v>#DIV/0!</v>
      </c>
      <c r="AB92" s="178" t="e">
        <f t="shared" si="63"/>
        <v>#DIV/0!</v>
      </c>
      <c r="AC92" s="178" t="e">
        <f t="shared" si="64"/>
        <v>#DIV/0!</v>
      </c>
      <c r="AD92" s="178" t="e">
        <f t="shared" si="65"/>
        <v>#DIV/0!</v>
      </c>
      <c r="AE92" s="177" t="e">
        <f t="shared" si="66"/>
        <v>#DIV/0!</v>
      </c>
      <c r="AF92" s="182">
        <f>IFERROR(D92*F92*L92*'Entrada e Saida'!$K$8,0)</f>
        <v>0</v>
      </c>
      <c r="AG92" s="178" t="e">
        <f>((W92+AA92+AB92+AC92+AD92+AE92+AF92)/(1-'Entrada e Saida'!$G$65))*'Entrada e Saida'!$I$66</f>
        <v>#DIV/0!</v>
      </c>
      <c r="AH92" s="180" t="e">
        <f t="shared" si="67"/>
        <v>#DIV/0!</v>
      </c>
      <c r="AI92" s="183" t="e">
        <f>'Entrada e Saida'!$K$51*(IF('Entrada e Saida'!$H$15="PESO",(P92/(SUM(P:P))),(Q92/(SUM(Q:Q)))))</f>
        <v>#DIV/0!</v>
      </c>
      <c r="AJ92" s="183">
        <f>(('Entrada e Saida'!$K$10-'Entrada e Saida'!$K$8)*E92*D92)</f>
        <v>0</v>
      </c>
      <c r="AK92" s="184" t="e">
        <f>IF('Entrada e Saida'!$H$15="PESO",W92+AA92+AH92+AI92+AJ92,W92+AA92+AH92+AI92+AJ92-S92+T92-U92+V92)</f>
        <v>#DIV/0!</v>
      </c>
      <c r="AL92" s="185" t="e">
        <f>IF('Entrada e Saida'!$H$12="REAL",AC92,0)</f>
        <v>#DIV/0!</v>
      </c>
      <c r="AM92" s="185" t="e">
        <f>IF('Entrada e Saida'!$H$12="REAL",AD92,0)</f>
        <v>#DIV/0!</v>
      </c>
      <c r="AN92" s="186" t="e">
        <f>IF('Entrada e Saida'!$H$13= "NÃO",AE92,0)</f>
        <v>#DIV/0!</v>
      </c>
      <c r="AO92" s="186" t="e">
        <f t="shared" si="68"/>
        <v>#DIV/0!</v>
      </c>
      <c r="AP92" s="184" t="e">
        <f t="shared" si="69"/>
        <v>#DIV/0!</v>
      </c>
      <c r="AQ92" s="178" t="e">
        <f>IF('Entrada e Saida'!$H$11="TRADING",AU92*'Custo Resumido'!D92,0)</f>
        <v>#DIV/0!</v>
      </c>
      <c r="AR92" s="178" t="e">
        <f>IF('Entrada e Saida'!$H$11="TRADING",AU92*'Entrada e Saida'!$G$63,0)</f>
        <v>#DIV/0!</v>
      </c>
      <c r="AS92" s="178" t="e">
        <f>IF('Entrada e Saida'!$H$11="TRADING",AU92*'Entrada e Saida'!$G$64,0)</f>
        <v>#DIV/0!</v>
      </c>
      <c r="AT92" s="178" t="e">
        <f>IF('Entrada e Saida'!$H$11="TRADING",AU92*'Entrada e Saida'!$G$65,0)</f>
        <v>#DIV/0!</v>
      </c>
      <c r="AU92" s="184" t="e">
        <f>IF('Entrada e Saida'!$H$11="TRADING",AP92/(1-(SUM('Entrada e Saida'!$G$63:$G$65)+'Custo Resumido'!D92)),0)</f>
        <v>#DIV/0!</v>
      </c>
      <c r="AV92" s="178" t="e">
        <f>IF('Entrada e Saida'!$H$13="NÃO",AU92*M92,0)</f>
        <v>#DIV/0!</v>
      </c>
      <c r="AW92" s="184" t="e">
        <f t="shared" si="70"/>
        <v>#DIV/0!</v>
      </c>
      <c r="AX92" s="178" t="e">
        <f>'Entrada e Saida'!$G$74*AU92</f>
        <v>#DIV/0!</v>
      </c>
      <c r="AY92" s="184" t="e">
        <f t="shared" si="71"/>
        <v>#DIV/0!</v>
      </c>
      <c r="AZ92" s="184" t="e">
        <f>AQ92+('Entrada e Saida'!$G$65-'Entrada e Saida'!$I$65)*AU92-AX92</f>
        <v>#DIV/0!</v>
      </c>
      <c r="BA92" s="3" t="e">
        <f>IF('Entrada e Saida'!$H$12="REAL",AZ92*'Entrada e Saida'!$G$81,AU92*'Entrada e Saida'!$G$81)</f>
        <v>#DIV/0!</v>
      </c>
      <c r="BB92" s="3" t="e">
        <f>IF('Entrada e Saida'!$H$12="REAL",AZ92*'Entrada e Saida'!$G$82,AU92*'Entrada e Saida'!$G$82)</f>
        <v>#DIV/0!</v>
      </c>
      <c r="BC92" s="4" t="e">
        <f t="shared" si="72"/>
        <v>#DIV/0!</v>
      </c>
      <c r="BD92" s="3" t="e">
        <f>IF('Entrada e Saida'!$H$11="TRADING",AW92/D92,AK92/D92)</f>
        <v>#DIV/0!</v>
      </c>
      <c r="BE92" s="3" t="e">
        <f t="shared" si="73"/>
        <v>#DIV/0!</v>
      </c>
      <c r="BF92" s="2" t="e">
        <f t="shared" si="74"/>
        <v>#DIV/0!</v>
      </c>
      <c r="BG92" s="3" t="e">
        <f>IF('Entrada e Saida'!$H$11="TRADING",AV92/D92,AN92/D92)</f>
        <v>#DIV/0!</v>
      </c>
      <c r="BH92" s="3" t="e">
        <f>IF('Entrada e Saida'!$H$11="TRADING",IF('Entrada e Saida'!$H$12="REAL",AR92/D92,0),AL92/D92)</f>
        <v>#DIV/0!</v>
      </c>
      <c r="BI92" s="3" t="e">
        <f>IF('Entrada e Saida'!$H$11="TRADING",IF('Entrada e Saida'!$H$12="REAL",AS92/D92,0),AM92/D92)</f>
        <v>#DIV/0!</v>
      </c>
      <c r="BJ92" s="3" t="e">
        <f>IF('Entrada e Saida'!$H$11="TRADING",AT92/D92,AO92/D92)</f>
        <v>#DIV/0!</v>
      </c>
      <c r="BK92" s="2" t="e">
        <f t="shared" si="75"/>
        <v>#DIV/0!</v>
      </c>
      <c r="BL92" s="2">
        <f>IF(O92&gt;0,IFERROR(IF('Entrada e Saida'!$H$11="DIRETA",0,(IF('Entrada e Saida'!$H$14="P.JURIDICA",(BD92*(1+O92)*N92)-((BD92/(1+M92))*'Entrada e Saida'!$G$65),((Produtos!N92-'Entrada e Saida'!$G$65)*Produtos!BD92)))),0),0)</f>
        <v>0</v>
      </c>
      <c r="BM92" s="2" t="e">
        <f t="shared" si="76"/>
        <v>#DIV/0!</v>
      </c>
    </row>
    <row r="93" spans="1:65" s="1" customFormat="1">
      <c r="A93" s="127"/>
      <c r="B93" s="172" t="e">
        <f>VLOOKUP(A93,'Master Modelo'!A:I,7,FALSE)</f>
        <v>#N/A</v>
      </c>
      <c r="C93" s="145" t="e">
        <f>VLOOKUP(A93,'Master Modelo'!A:I,2,FALSE)</f>
        <v>#N/A</v>
      </c>
      <c r="D93" s="146"/>
      <c r="E93" s="115">
        <f>IFERROR(VLOOKUP(A93,'Master Modelo'!A:I,9,FALSE),0)</f>
        <v>0</v>
      </c>
      <c r="F93" s="189">
        <f>IFERROR(VLOOKUP(A93,'Master Modelo'!A:I,8,FALSE),0)</f>
        <v>0</v>
      </c>
      <c r="G93" s="189">
        <f>IFERROR(VLOOKUP(A93,'Master Modelo'!A:K,11,FALSE),0)</f>
        <v>0</v>
      </c>
      <c r="H93" s="173" t="e">
        <f t="shared" si="59"/>
        <v>#DIV/0!</v>
      </c>
      <c r="I93" s="163">
        <f>IFERROR(VLOOKUP(A93,'Master Modelo'!A:I,3,FALSE),0)</f>
        <v>0</v>
      </c>
      <c r="J93" s="164">
        <f>IFERROR(VLOOKUP(A93,'Master Modelo'!A:I,5,FALSE),0)</f>
        <v>0</v>
      </c>
      <c r="K93" s="164">
        <f>IFERROR(VLOOKUP(A93,'Master Modelo'!A:I,6,FALSE),0)</f>
        <v>0</v>
      </c>
      <c r="L93" s="165" t="e">
        <f>VLOOKUP(A93,'Master Modelo'!A:J,10,FALSE)</f>
        <v>#N/A</v>
      </c>
      <c r="M93" s="163">
        <f>IFERROR(VLOOKUP(A93,'Master Modelo'!A:I,4,FALSE),0)</f>
        <v>0</v>
      </c>
      <c r="N93" s="175"/>
      <c r="O93" s="187"/>
      <c r="P93" s="177">
        <f t="shared" si="60"/>
        <v>0</v>
      </c>
      <c r="Q93" s="177">
        <f t="shared" si="58"/>
        <v>0</v>
      </c>
      <c r="R93" s="178">
        <f>D93*E93*'Entrada e Saida'!$K$8</f>
        <v>0</v>
      </c>
      <c r="S93" s="179" t="e">
        <f>'Entrada e Saida'!$H$21*'Entrada e Saida'!$K$8*(P93/(SUM(P:P)))</f>
        <v>#DIV/0!</v>
      </c>
      <c r="T93" s="179" t="e">
        <f>'Entrada e Saida'!$H$21*'Entrada e Saida'!$K$8*(Q93/(SUM(Q:Q)))</f>
        <v>#DIV/0!</v>
      </c>
      <c r="U93" s="179" t="e">
        <f>'Entrada e Saida'!$H$22*(P93/(SUM(P:P)))</f>
        <v>#DIV/0!</v>
      </c>
      <c r="V93" s="179" t="e">
        <f>'Entrada e Saida'!$H$22*(Q93/(SUM(Q:Q)))</f>
        <v>#DIV/0!</v>
      </c>
      <c r="W93" s="180" t="e">
        <f t="shared" si="61"/>
        <v>#DIV/0!</v>
      </c>
      <c r="X93" s="179" t="e">
        <f>'Entrada e Saida'!$H$26*(IF('Entrada e Saida'!$H$15="PESO",(P93/(SUM(P:P))),(Q93/(SUM(Q:Q)))))</f>
        <v>#DIV/0!</v>
      </c>
      <c r="Y93" s="179" t="e">
        <f>'Entrada e Saida'!$H$27*(IF('Entrada e Saida'!$H$15="PESO",(P93/(SUM(P:P))),(Q93/(SUM(Q:Q)))))</f>
        <v>#DIV/0!</v>
      </c>
      <c r="Z93" s="179" t="e">
        <f>'Entrada e Saida'!$H$28*(IF('Entrada e Saida'!$H$15="PESO",(P93/(SUM(P:P))),(Q93/(SUM(Q:Q)))))</f>
        <v>#DIV/0!</v>
      </c>
      <c r="AA93" s="181" t="e">
        <f t="shared" si="62"/>
        <v>#DIV/0!</v>
      </c>
      <c r="AB93" s="178" t="e">
        <f t="shared" si="63"/>
        <v>#DIV/0!</v>
      </c>
      <c r="AC93" s="178" t="e">
        <f t="shared" si="64"/>
        <v>#DIV/0!</v>
      </c>
      <c r="AD93" s="178" t="e">
        <f t="shared" si="65"/>
        <v>#DIV/0!</v>
      </c>
      <c r="AE93" s="177" t="e">
        <f t="shared" si="66"/>
        <v>#DIV/0!</v>
      </c>
      <c r="AF93" s="182">
        <f>IFERROR(D93*F93*L93*'Entrada e Saida'!$K$8,0)</f>
        <v>0</v>
      </c>
      <c r="AG93" s="178" t="e">
        <f>((W93+AA93+AB93+AC93+AD93+AE93+AF93)/(1-'Entrada e Saida'!$G$65))*'Entrada e Saida'!$I$66</f>
        <v>#DIV/0!</v>
      </c>
      <c r="AH93" s="180" t="e">
        <f t="shared" si="67"/>
        <v>#DIV/0!</v>
      </c>
      <c r="AI93" s="183" t="e">
        <f>'Entrada e Saida'!$K$51*(IF('Entrada e Saida'!$H$15="PESO",(P93/(SUM(P:P))),(Q93/(SUM(Q:Q)))))</f>
        <v>#DIV/0!</v>
      </c>
      <c r="AJ93" s="183">
        <f>(('Entrada e Saida'!$K$10-'Entrada e Saida'!$K$8)*E93*D93)</f>
        <v>0</v>
      </c>
      <c r="AK93" s="184" t="e">
        <f>IF('Entrada e Saida'!$H$15="PESO",W93+AA93+AH93+AI93+AJ93,W93+AA93+AH93+AI93+AJ93-S93+T93-U93+V93)</f>
        <v>#DIV/0!</v>
      </c>
      <c r="AL93" s="185" t="e">
        <f>IF('Entrada e Saida'!$H$12="REAL",AC93,0)</f>
        <v>#DIV/0!</v>
      </c>
      <c r="AM93" s="185" t="e">
        <f>IF('Entrada e Saida'!$H$12="REAL",AD93,0)</f>
        <v>#DIV/0!</v>
      </c>
      <c r="AN93" s="186" t="e">
        <f>IF('Entrada e Saida'!$H$13= "NÃO",AE93,0)</f>
        <v>#DIV/0!</v>
      </c>
      <c r="AO93" s="186" t="e">
        <f t="shared" si="68"/>
        <v>#DIV/0!</v>
      </c>
      <c r="AP93" s="184" t="e">
        <f t="shared" si="69"/>
        <v>#DIV/0!</v>
      </c>
      <c r="AQ93" s="178" t="e">
        <f>IF('Entrada e Saida'!$H$11="TRADING",AU93*'Custo Resumido'!D93,0)</f>
        <v>#DIV/0!</v>
      </c>
      <c r="AR93" s="178" t="e">
        <f>IF('Entrada e Saida'!$H$11="TRADING",AU93*'Entrada e Saida'!$G$63,0)</f>
        <v>#DIV/0!</v>
      </c>
      <c r="AS93" s="178" t="e">
        <f>IF('Entrada e Saida'!$H$11="TRADING",AU93*'Entrada e Saida'!$G$64,0)</f>
        <v>#DIV/0!</v>
      </c>
      <c r="AT93" s="178" t="e">
        <f>IF('Entrada e Saida'!$H$11="TRADING",AU93*'Entrada e Saida'!$G$65,0)</f>
        <v>#DIV/0!</v>
      </c>
      <c r="AU93" s="184" t="e">
        <f>IF('Entrada e Saida'!$H$11="TRADING",AP93/(1-(SUM('Entrada e Saida'!$G$63:$G$65)+'Custo Resumido'!D93)),0)</f>
        <v>#DIV/0!</v>
      </c>
      <c r="AV93" s="178" t="e">
        <f>IF('Entrada e Saida'!$H$13="NÃO",AU93*M93,0)</f>
        <v>#DIV/0!</v>
      </c>
      <c r="AW93" s="184" t="e">
        <f t="shared" si="70"/>
        <v>#DIV/0!</v>
      </c>
      <c r="AX93" s="178" t="e">
        <f>'Entrada e Saida'!$G$74*AU93</f>
        <v>#DIV/0!</v>
      </c>
      <c r="AY93" s="184" t="e">
        <f t="shared" si="71"/>
        <v>#DIV/0!</v>
      </c>
      <c r="AZ93" s="184" t="e">
        <f>AQ93+('Entrada e Saida'!$G$65-'Entrada e Saida'!$I$65)*AU93-AX93</f>
        <v>#DIV/0!</v>
      </c>
      <c r="BA93" s="3" t="e">
        <f>IF('Entrada e Saida'!$H$12="REAL",AZ93*'Entrada e Saida'!$G$81,AU93*'Entrada e Saida'!$G$81)</f>
        <v>#DIV/0!</v>
      </c>
      <c r="BB93" s="3" t="e">
        <f>IF('Entrada e Saida'!$H$12="REAL",AZ93*'Entrada e Saida'!$G$82,AU93*'Entrada e Saida'!$G$82)</f>
        <v>#DIV/0!</v>
      </c>
      <c r="BC93" s="4" t="e">
        <f t="shared" si="72"/>
        <v>#DIV/0!</v>
      </c>
      <c r="BD93" s="3" t="e">
        <f>IF('Entrada e Saida'!$H$11="TRADING",AW93/D93,AK93/D93)</f>
        <v>#DIV/0!</v>
      </c>
      <c r="BE93" s="3" t="e">
        <f t="shared" si="73"/>
        <v>#DIV/0!</v>
      </c>
      <c r="BF93" s="2" t="e">
        <f t="shared" si="74"/>
        <v>#DIV/0!</v>
      </c>
      <c r="BG93" s="3" t="e">
        <f>IF('Entrada e Saida'!$H$11="TRADING",AV93/D93,AN93/D93)</f>
        <v>#DIV/0!</v>
      </c>
      <c r="BH93" s="3" t="e">
        <f>IF('Entrada e Saida'!$H$11="TRADING",IF('Entrada e Saida'!$H$12="REAL",AR93/D93,0),AL93/D93)</f>
        <v>#DIV/0!</v>
      </c>
      <c r="BI93" s="3" t="e">
        <f>IF('Entrada e Saida'!$H$11="TRADING",IF('Entrada e Saida'!$H$12="REAL",AS93/D93,0),AM93/D93)</f>
        <v>#DIV/0!</v>
      </c>
      <c r="BJ93" s="3" t="e">
        <f>IF('Entrada e Saida'!$H$11="TRADING",AT93/D93,AO93/D93)</f>
        <v>#DIV/0!</v>
      </c>
      <c r="BK93" s="2" t="e">
        <f t="shared" si="75"/>
        <v>#DIV/0!</v>
      </c>
      <c r="BL93" s="2">
        <f>IF(O93&gt;0,IFERROR(IF('Entrada e Saida'!$H$11="DIRETA",0,(IF('Entrada e Saida'!$H$14="P.JURIDICA",(BD93*(1+O93)*N93)-((BD93/(1+M93))*'Entrada e Saida'!$G$65),((Produtos!N93-'Entrada e Saida'!$G$65)*Produtos!BD93)))),0),0)</f>
        <v>0</v>
      </c>
      <c r="BM93" s="2" t="e">
        <f t="shared" si="76"/>
        <v>#DIV/0!</v>
      </c>
    </row>
    <row r="94" spans="1:65" s="1" customFormat="1">
      <c r="A94" s="127"/>
      <c r="B94" s="172" t="e">
        <f>VLOOKUP(A94,'Master Modelo'!A:I,7,FALSE)</f>
        <v>#N/A</v>
      </c>
      <c r="C94" s="145" t="e">
        <f>VLOOKUP(A94,'Master Modelo'!A:I,2,FALSE)</f>
        <v>#N/A</v>
      </c>
      <c r="D94" s="146"/>
      <c r="E94" s="115">
        <f>IFERROR(VLOOKUP(A94,'Master Modelo'!A:I,9,FALSE),0)</f>
        <v>0</v>
      </c>
      <c r="F94" s="189">
        <f>IFERROR(VLOOKUP(A94,'Master Modelo'!A:I,8,FALSE),0)</f>
        <v>0</v>
      </c>
      <c r="G94" s="189">
        <f>IFERROR(VLOOKUP(A94,'Master Modelo'!A:K,11,FALSE),0)</f>
        <v>0</v>
      </c>
      <c r="H94" s="173" t="e">
        <f t="shared" si="59"/>
        <v>#DIV/0!</v>
      </c>
      <c r="I94" s="163">
        <f>IFERROR(VLOOKUP(A94,'Master Modelo'!A:I,3,FALSE),0)</f>
        <v>0</v>
      </c>
      <c r="J94" s="164">
        <f>IFERROR(VLOOKUP(A94,'Master Modelo'!A:I,5,FALSE),0)</f>
        <v>0</v>
      </c>
      <c r="K94" s="164">
        <f>IFERROR(VLOOKUP(A94,'Master Modelo'!A:I,6,FALSE),0)</f>
        <v>0</v>
      </c>
      <c r="L94" s="165" t="e">
        <f>VLOOKUP(A94,'Master Modelo'!A:J,10,FALSE)</f>
        <v>#N/A</v>
      </c>
      <c r="M94" s="163">
        <f>IFERROR(VLOOKUP(A94,'Master Modelo'!A:I,4,FALSE),0)</f>
        <v>0</v>
      </c>
      <c r="N94" s="175"/>
      <c r="O94" s="187"/>
      <c r="P94" s="177">
        <f t="shared" si="60"/>
        <v>0</v>
      </c>
      <c r="Q94" s="177">
        <f t="shared" si="58"/>
        <v>0</v>
      </c>
      <c r="R94" s="178">
        <f>D94*E94*'Entrada e Saida'!$K$8</f>
        <v>0</v>
      </c>
      <c r="S94" s="179" t="e">
        <f>'Entrada e Saida'!$H$21*'Entrada e Saida'!$K$8*(P94/(SUM(P:P)))</f>
        <v>#DIV/0!</v>
      </c>
      <c r="T94" s="179" t="e">
        <f>'Entrada e Saida'!$H$21*'Entrada e Saida'!$K$8*(Q94/(SUM(Q:Q)))</f>
        <v>#DIV/0!</v>
      </c>
      <c r="U94" s="179" t="e">
        <f>'Entrada e Saida'!$H$22*(P94/(SUM(P:P)))</f>
        <v>#DIV/0!</v>
      </c>
      <c r="V94" s="179" t="e">
        <f>'Entrada e Saida'!$H$22*(Q94/(SUM(Q:Q)))</f>
        <v>#DIV/0!</v>
      </c>
      <c r="W94" s="180" t="e">
        <f t="shared" si="61"/>
        <v>#DIV/0!</v>
      </c>
      <c r="X94" s="179" t="e">
        <f>'Entrada e Saida'!$H$26*(IF('Entrada e Saida'!$H$15="PESO",(P94/(SUM(P:P))),(Q94/(SUM(Q:Q)))))</f>
        <v>#DIV/0!</v>
      </c>
      <c r="Y94" s="179" t="e">
        <f>'Entrada e Saida'!$H$27*(IF('Entrada e Saida'!$H$15="PESO",(P94/(SUM(P:P))),(Q94/(SUM(Q:Q)))))</f>
        <v>#DIV/0!</v>
      </c>
      <c r="Z94" s="179" t="e">
        <f>'Entrada e Saida'!$H$28*(IF('Entrada e Saida'!$H$15="PESO",(P94/(SUM(P:P))),(Q94/(SUM(Q:Q)))))</f>
        <v>#DIV/0!</v>
      </c>
      <c r="AA94" s="181" t="e">
        <f t="shared" si="62"/>
        <v>#DIV/0!</v>
      </c>
      <c r="AB94" s="178" t="e">
        <f t="shared" si="63"/>
        <v>#DIV/0!</v>
      </c>
      <c r="AC94" s="178" t="e">
        <f t="shared" si="64"/>
        <v>#DIV/0!</v>
      </c>
      <c r="AD94" s="178" t="e">
        <f t="shared" si="65"/>
        <v>#DIV/0!</v>
      </c>
      <c r="AE94" s="177" t="e">
        <f t="shared" si="66"/>
        <v>#DIV/0!</v>
      </c>
      <c r="AF94" s="182">
        <f>IFERROR(D94*F94*L94*'Entrada e Saida'!$K$8,0)</f>
        <v>0</v>
      </c>
      <c r="AG94" s="178" t="e">
        <f>((W94+AA94+AB94+AC94+AD94+AE94+AF94)/(1-'Entrada e Saida'!$G$65))*'Entrada e Saida'!$I$66</f>
        <v>#DIV/0!</v>
      </c>
      <c r="AH94" s="180" t="e">
        <f t="shared" si="67"/>
        <v>#DIV/0!</v>
      </c>
      <c r="AI94" s="183" t="e">
        <f>'Entrada e Saida'!$K$51*(IF('Entrada e Saida'!$H$15="PESO",(P94/(SUM(P:P))),(Q94/(SUM(Q:Q)))))</f>
        <v>#DIV/0!</v>
      </c>
      <c r="AJ94" s="183">
        <f>(('Entrada e Saida'!$K$10-'Entrada e Saida'!$K$8)*E94*D94)</f>
        <v>0</v>
      </c>
      <c r="AK94" s="184" t="e">
        <f>IF('Entrada e Saida'!$H$15="PESO",W94+AA94+AH94+AI94+AJ94,W94+AA94+AH94+AI94+AJ94-S94+T94-U94+V94)</f>
        <v>#DIV/0!</v>
      </c>
      <c r="AL94" s="185" t="e">
        <f>IF('Entrada e Saida'!$H$12="REAL",AC94,0)</f>
        <v>#DIV/0!</v>
      </c>
      <c r="AM94" s="185" t="e">
        <f>IF('Entrada e Saida'!$H$12="REAL",AD94,0)</f>
        <v>#DIV/0!</v>
      </c>
      <c r="AN94" s="186" t="e">
        <f>IF('Entrada e Saida'!$H$13= "NÃO",AE94,0)</f>
        <v>#DIV/0!</v>
      </c>
      <c r="AO94" s="186" t="e">
        <f t="shared" si="68"/>
        <v>#DIV/0!</v>
      </c>
      <c r="AP94" s="184" t="e">
        <f t="shared" si="69"/>
        <v>#DIV/0!</v>
      </c>
      <c r="AQ94" s="178" t="e">
        <f>IF('Entrada e Saida'!$H$11="TRADING",AU94*'Custo Resumido'!D94,0)</f>
        <v>#DIV/0!</v>
      </c>
      <c r="AR94" s="178" t="e">
        <f>IF('Entrada e Saida'!$H$11="TRADING",AU94*'Entrada e Saida'!$G$63,0)</f>
        <v>#DIV/0!</v>
      </c>
      <c r="AS94" s="178" t="e">
        <f>IF('Entrada e Saida'!$H$11="TRADING",AU94*'Entrada e Saida'!$G$64,0)</f>
        <v>#DIV/0!</v>
      </c>
      <c r="AT94" s="178" t="e">
        <f>IF('Entrada e Saida'!$H$11="TRADING",AU94*'Entrada e Saida'!$G$65,0)</f>
        <v>#DIV/0!</v>
      </c>
      <c r="AU94" s="184" t="e">
        <f>IF('Entrada e Saida'!$H$11="TRADING",AP94/(1-(SUM('Entrada e Saida'!$G$63:$G$65)+'Custo Resumido'!D94)),0)</f>
        <v>#DIV/0!</v>
      </c>
      <c r="AV94" s="178" t="e">
        <f>IF('Entrada e Saida'!$H$13="NÃO",AU94*M94,0)</f>
        <v>#DIV/0!</v>
      </c>
      <c r="AW94" s="184" t="e">
        <f t="shared" si="70"/>
        <v>#DIV/0!</v>
      </c>
      <c r="AX94" s="178" t="e">
        <f>'Entrada e Saida'!$G$74*AU94</f>
        <v>#DIV/0!</v>
      </c>
      <c r="AY94" s="184" t="e">
        <f t="shared" si="71"/>
        <v>#DIV/0!</v>
      </c>
      <c r="AZ94" s="184" t="e">
        <f>AQ94+('Entrada e Saida'!$G$65-'Entrada e Saida'!$I$65)*AU94-AX94</f>
        <v>#DIV/0!</v>
      </c>
      <c r="BA94" s="3" t="e">
        <f>IF('Entrada e Saida'!$H$12="REAL",AZ94*'Entrada e Saida'!$G$81,AU94*'Entrada e Saida'!$G$81)</f>
        <v>#DIV/0!</v>
      </c>
      <c r="BB94" s="3" t="e">
        <f>IF('Entrada e Saida'!$H$12="REAL",AZ94*'Entrada e Saida'!$G$82,AU94*'Entrada e Saida'!$G$82)</f>
        <v>#DIV/0!</v>
      </c>
      <c r="BC94" s="4" t="e">
        <f t="shared" si="72"/>
        <v>#DIV/0!</v>
      </c>
      <c r="BD94" s="3" t="e">
        <f>IF('Entrada e Saida'!$H$11="TRADING",AW94/D94,AK94/D94)</f>
        <v>#DIV/0!</v>
      </c>
      <c r="BE94" s="3" t="e">
        <f t="shared" si="73"/>
        <v>#DIV/0!</v>
      </c>
      <c r="BF94" s="2" t="e">
        <f t="shared" si="74"/>
        <v>#DIV/0!</v>
      </c>
      <c r="BG94" s="3" t="e">
        <f>IF('Entrada e Saida'!$H$11="TRADING",AV94/D94,AN94/D94)</f>
        <v>#DIV/0!</v>
      </c>
      <c r="BH94" s="3" t="e">
        <f>IF('Entrada e Saida'!$H$11="TRADING",IF('Entrada e Saida'!$H$12="REAL",AR94/D94,0),AL94/D94)</f>
        <v>#DIV/0!</v>
      </c>
      <c r="BI94" s="3" t="e">
        <f>IF('Entrada e Saida'!$H$11="TRADING",IF('Entrada e Saida'!$H$12="REAL",AS94/D94,0),AM94/D94)</f>
        <v>#DIV/0!</v>
      </c>
      <c r="BJ94" s="3" t="e">
        <f>IF('Entrada e Saida'!$H$11="TRADING",AT94/D94,AO94/D94)</f>
        <v>#DIV/0!</v>
      </c>
      <c r="BK94" s="2" t="e">
        <f t="shared" si="75"/>
        <v>#DIV/0!</v>
      </c>
      <c r="BL94" s="2">
        <f>IF(O94&gt;0,IFERROR(IF('Entrada e Saida'!$H$11="DIRETA",0,(IF('Entrada e Saida'!$H$14="P.JURIDICA",(BD94*(1+O94)*N94)-((BD94/(1+M94))*'Entrada e Saida'!$G$65),((Produtos!N94-'Entrada e Saida'!$G$65)*Produtos!BD94)))),0),0)</f>
        <v>0</v>
      </c>
      <c r="BM94" s="2" t="e">
        <f t="shared" si="76"/>
        <v>#DIV/0!</v>
      </c>
    </row>
    <row r="95" spans="1:65" s="1" customFormat="1">
      <c r="A95" s="127"/>
      <c r="B95" s="172" t="e">
        <f>VLOOKUP(A95,'Master Modelo'!A:I,7,FALSE)</f>
        <v>#N/A</v>
      </c>
      <c r="C95" s="145" t="e">
        <f>VLOOKUP(A95,'Master Modelo'!A:I,2,FALSE)</f>
        <v>#N/A</v>
      </c>
      <c r="D95" s="146"/>
      <c r="E95" s="115">
        <f>IFERROR(VLOOKUP(A95,'Master Modelo'!A:I,9,FALSE),0)</f>
        <v>0</v>
      </c>
      <c r="F95" s="189">
        <f>IFERROR(VLOOKUP(A95,'Master Modelo'!A:I,8,FALSE),0)</f>
        <v>0</v>
      </c>
      <c r="G95" s="189">
        <f>IFERROR(VLOOKUP(A95,'Master Modelo'!A:K,11,FALSE),0)</f>
        <v>0</v>
      </c>
      <c r="H95" s="173" t="e">
        <f t="shared" si="59"/>
        <v>#DIV/0!</v>
      </c>
      <c r="I95" s="163">
        <f>IFERROR(VLOOKUP(A95,'Master Modelo'!A:I,3,FALSE),0)</f>
        <v>0</v>
      </c>
      <c r="J95" s="164">
        <f>IFERROR(VLOOKUP(A95,'Master Modelo'!A:I,5,FALSE),0)</f>
        <v>0</v>
      </c>
      <c r="K95" s="164">
        <f>IFERROR(VLOOKUP(A95,'Master Modelo'!A:I,6,FALSE),0)</f>
        <v>0</v>
      </c>
      <c r="L95" s="165" t="e">
        <f>VLOOKUP(A95,'Master Modelo'!A:J,10,FALSE)</f>
        <v>#N/A</v>
      </c>
      <c r="M95" s="163">
        <f>IFERROR(VLOOKUP(A95,'Master Modelo'!A:I,4,FALSE),0)</f>
        <v>0</v>
      </c>
      <c r="N95" s="175"/>
      <c r="O95" s="187"/>
      <c r="P95" s="177">
        <f t="shared" si="60"/>
        <v>0</v>
      </c>
      <c r="Q95" s="177">
        <f t="shared" si="58"/>
        <v>0</v>
      </c>
      <c r="R95" s="178">
        <f>D95*E95*'Entrada e Saida'!$K$8</f>
        <v>0</v>
      </c>
      <c r="S95" s="179" t="e">
        <f>'Entrada e Saida'!$H$21*'Entrada e Saida'!$K$8*(P95/(SUM(P:P)))</f>
        <v>#DIV/0!</v>
      </c>
      <c r="T95" s="179" t="e">
        <f>'Entrada e Saida'!$H$21*'Entrada e Saida'!$K$8*(Q95/(SUM(Q:Q)))</f>
        <v>#DIV/0!</v>
      </c>
      <c r="U95" s="179" t="e">
        <f>'Entrada e Saida'!$H$22*(P95/(SUM(P:P)))</f>
        <v>#DIV/0!</v>
      </c>
      <c r="V95" s="179" t="e">
        <f>'Entrada e Saida'!$H$22*(Q95/(SUM(Q:Q)))</f>
        <v>#DIV/0!</v>
      </c>
      <c r="W95" s="180" t="e">
        <f t="shared" si="61"/>
        <v>#DIV/0!</v>
      </c>
      <c r="X95" s="179" t="e">
        <f>'Entrada e Saida'!$H$26*(IF('Entrada e Saida'!$H$15="PESO",(P95/(SUM(P:P))),(Q95/(SUM(Q:Q)))))</f>
        <v>#DIV/0!</v>
      </c>
      <c r="Y95" s="179" t="e">
        <f>'Entrada e Saida'!$H$27*(IF('Entrada e Saida'!$H$15="PESO",(P95/(SUM(P:P))),(Q95/(SUM(Q:Q)))))</f>
        <v>#DIV/0!</v>
      </c>
      <c r="Z95" s="179" t="e">
        <f>'Entrada e Saida'!$H$28*(IF('Entrada e Saida'!$H$15="PESO",(P95/(SUM(P:P))),(Q95/(SUM(Q:Q)))))</f>
        <v>#DIV/0!</v>
      </c>
      <c r="AA95" s="181" t="e">
        <f t="shared" si="62"/>
        <v>#DIV/0!</v>
      </c>
      <c r="AB95" s="178" t="e">
        <f t="shared" si="63"/>
        <v>#DIV/0!</v>
      </c>
      <c r="AC95" s="178" t="e">
        <f t="shared" si="64"/>
        <v>#DIV/0!</v>
      </c>
      <c r="AD95" s="178" t="e">
        <f t="shared" si="65"/>
        <v>#DIV/0!</v>
      </c>
      <c r="AE95" s="177" t="e">
        <f t="shared" si="66"/>
        <v>#DIV/0!</v>
      </c>
      <c r="AF95" s="182">
        <f>IFERROR(D95*F95*L95*'Entrada e Saida'!$K$8,0)</f>
        <v>0</v>
      </c>
      <c r="AG95" s="178" t="e">
        <f>((W95+AA95+AB95+AC95+AD95+AE95+AF95)/(1-'Entrada e Saida'!$G$65))*'Entrada e Saida'!$I$66</f>
        <v>#DIV/0!</v>
      </c>
      <c r="AH95" s="180" t="e">
        <f t="shared" si="67"/>
        <v>#DIV/0!</v>
      </c>
      <c r="AI95" s="183" t="e">
        <f>'Entrada e Saida'!$K$51*(IF('Entrada e Saida'!$H$15="PESO",(P95/(SUM(P:P))),(Q95/(SUM(Q:Q)))))</f>
        <v>#DIV/0!</v>
      </c>
      <c r="AJ95" s="183">
        <f>(('Entrada e Saida'!$K$10-'Entrada e Saida'!$K$8)*E95*D95)</f>
        <v>0</v>
      </c>
      <c r="AK95" s="184" t="e">
        <f>IF('Entrada e Saida'!$H$15="PESO",W95+AA95+AH95+AI95+AJ95,W95+AA95+AH95+AI95+AJ95-S95+T95-U95+V95)</f>
        <v>#DIV/0!</v>
      </c>
      <c r="AL95" s="185" t="e">
        <f>IF('Entrada e Saida'!$H$12="REAL",AC95,0)</f>
        <v>#DIV/0!</v>
      </c>
      <c r="AM95" s="185" t="e">
        <f>IF('Entrada e Saida'!$H$12="REAL",AD95,0)</f>
        <v>#DIV/0!</v>
      </c>
      <c r="AN95" s="186" t="e">
        <f>IF('Entrada e Saida'!$H$13= "NÃO",AE95,0)</f>
        <v>#DIV/0!</v>
      </c>
      <c r="AO95" s="186" t="e">
        <f t="shared" si="68"/>
        <v>#DIV/0!</v>
      </c>
      <c r="AP95" s="184" t="e">
        <f t="shared" si="69"/>
        <v>#DIV/0!</v>
      </c>
      <c r="AQ95" s="178" t="e">
        <f>IF('Entrada e Saida'!$H$11="TRADING",AU95*'Custo Resumido'!D95,0)</f>
        <v>#DIV/0!</v>
      </c>
      <c r="AR95" s="178" t="e">
        <f>IF('Entrada e Saida'!$H$11="TRADING",AU95*'Entrada e Saida'!$G$63,0)</f>
        <v>#DIV/0!</v>
      </c>
      <c r="AS95" s="178" t="e">
        <f>IF('Entrada e Saida'!$H$11="TRADING",AU95*'Entrada e Saida'!$G$64,0)</f>
        <v>#DIV/0!</v>
      </c>
      <c r="AT95" s="178" t="e">
        <f>IF('Entrada e Saida'!$H$11="TRADING",AU95*'Entrada e Saida'!$G$65,0)</f>
        <v>#DIV/0!</v>
      </c>
      <c r="AU95" s="184" t="e">
        <f>IF('Entrada e Saida'!$H$11="TRADING",AP95/(1-(SUM('Entrada e Saida'!$G$63:$G$65)+'Custo Resumido'!D95)),0)</f>
        <v>#DIV/0!</v>
      </c>
      <c r="AV95" s="178" t="e">
        <f>IF('Entrada e Saida'!$H$13="NÃO",AU95*M95,0)</f>
        <v>#DIV/0!</v>
      </c>
      <c r="AW95" s="184" t="e">
        <f t="shared" si="70"/>
        <v>#DIV/0!</v>
      </c>
      <c r="AX95" s="178" t="e">
        <f>'Entrada e Saida'!$G$74*AU95</f>
        <v>#DIV/0!</v>
      </c>
      <c r="AY95" s="184" t="e">
        <f t="shared" si="71"/>
        <v>#DIV/0!</v>
      </c>
      <c r="AZ95" s="184" t="e">
        <f>AQ95+('Entrada e Saida'!$G$65-'Entrada e Saida'!$I$65)*AU95-AX95</f>
        <v>#DIV/0!</v>
      </c>
      <c r="BA95" s="3" t="e">
        <f>IF('Entrada e Saida'!$H$12="REAL",AZ95*'Entrada e Saida'!$G$81,AU95*'Entrada e Saida'!$G$81)</f>
        <v>#DIV/0!</v>
      </c>
      <c r="BB95" s="3" t="e">
        <f>IF('Entrada e Saida'!$H$12="REAL",AZ95*'Entrada e Saida'!$G$82,AU95*'Entrada e Saida'!$G$82)</f>
        <v>#DIV/0!</v>
      </c>
      <c r="BC95" s="4" t="e">
        <f t="shared" si="72"/>
        <v>#DIV/0!</v>
      </c>
      <c r="BD95" s="3" t="e">
        <f>IF('Entrada e Saida'!$H$11="TRADING",AW95/D95,AK95/D95)</f>
        <v>#DIV/0!</v>
      </c>
      <c r="BE95" s="3" t="e">
        <f t="shared" si="73"/>
        <v>#DIV/0!</v>
      </c>
      <c r="BF95" s="2" t="e">
        <f t="shared" si="74"/>
        <v>#DIV/0!</v>
      </c>
      <c r="BG95" s="3" t="e">
        <f>IF('Entrada e Saida'!$H$11="TRADING",AV95/D95,AN95/D95)</f>
        <v>#DIV/0!</v>
      </c>
      <c r="BH95" s="3" t="e">
        <f>IF('Entrada e Saida'!$H$11="TRADING",IF('Entrada e Saida'!$H$12="REAL",AR95/D95,0),AL95/D95)</f>
        <v>#DIV/0!</v>
      </c>
      <c r="BI95" s="3" t="e">
        <f>IF('Entrada e Saida'!$H$11="TRADING",IF('Entrada e Saida'!$H$12="REAL",AS95/D95,0),AM95/D95)</f>
        <v>#DIV/0!</v>
      </c>
      <c r="BJ95" s="3" t="e">
        <f>IF('Entrada e Saida'!$H$11="TRADING",AT95/D95,AO95/D95)</f>
        <v>#DIV/0!</v>
      </c>
      <c r="BK95" s="2" t="e">
        <f t="shared" si="75"/>
        <v>#DIV/0!</v>
      </c>
      <c r="BL95" s="2">
        <f>IF(O95&gt;0,IFERROR(IF('Entrada e Saida'!$H$11="DIRETA",0,(IF('Entrada e Saida'!$H$14="P.JURIDICA",(BD95*(1+O95)*N95)-((BD95/(1+M95))*'Entrada e Saida'!$G$65),((Produtos!N95-'Entrada e Saida'!$G$65)*Produtos!BD95)))),0),0)</f>
        <v>0</v>
      </c>
      <c r="BM95" s="2" t="e">
        <f t="shared" si="76"/>
        <v>#DIV/0!</v>
      </c>
    </row>
    <row r="96" spans="1:65" s="1" customFormat="1">
      <c r="A96" s="127"/>
      <c r="B96" s="172" t="e">
        <f>VLOOKUP(A96,'Master Modelo'!A:I,7,FALSE)</f>
        <v>#N/A</v>
      </c>
      <c r="C96" s="145" t="e">
        <f>VLOOKUP(A96,'Master Modelo'!A:I,2,FALSE)</f>
        <v>#N/A</v>
      </c>
      <c r="D96" s="146"/>
      <c r="E96" s="115">
        <f>IFERROR(VLOOKUP(A96,'Master Modelo'!A:I,9,FALSE),0)</f>
        <v>0</v>
      </c>
      <c r="F96" s="189">
        <f>IFERROR(VLOOKUP(A96,'Master Modelo'!A:I,8,FALSE),0)</f>
        <v>0</v>
      </c>
      <c r="G96" s="189">
        <f>IFERROR(VLOOKUP(A96,'Master Modelo'!A:K,11,FALSE),0)</f>
        <v>0</v>
      </c>
      <c r="H96" s="173" t="e">
        <f t="shared" si="59"/>
        <v>#DIV/0!</v>
      </c>
      <c r="I96" s="163">
        <f>IFERROR(VLOOKUP(A96,'Master Modelo'!A:I,3,FALSE),0)</f>
        <v>0</v>
      </c>
      <c r="J96" s="164">
        <f>IFERROR(VLOOKUP(A96,'Master Modelo'!A:I,5,FALSE),0)</f>
        <v>0</v>
      </c>
      <c r="K96" s="164">
        <f>IFERROR(VLOOKUP(A96,'Master Modelo'!A:I,6,FALSE),0)</f>
        <v>0</v>
      </c>
      <c r="L96" s="165" t="e">
        <f>VLOOKUP(A96,'Master Modelo'!A:J,10,FALSE)</f>
        <v>#N/A</v>
      </c>
      <c r="M96" s="163">
        <f>IFERROR(VLOOKUP(A96,'Master Modelo'!A:I,4,FALSE),0)</f>
        <v>0</v>
      </c>
      <c r="N96" s="175"/>
      <c r="O96" s="187"/>
      <c r="P96" s="177">
        <f t="shared" si="60"/>
        <v>0</v>
      </c>
      <c r="Q96" s="177">
        <f t="shared" si="58"/>
        <v>0</v>
      </c>
      <c r="R96" s="178">
        <f>D96*E96*'Entrada e Saida'!$K$8</f>
        <v>0</v>
      </c>
      <c r="S96" s="179" t="e">
        <f>'Entrada e Saida'!$H$21*'Entrada e Saida'!$K$8*(P96/(SUM(P:P)))</f>
        <v>#DIV/0!</v>
      </c>
      <c r="T96" s="179" t="e">
        <f>'Entrada e Saida'!$H$21*'Entrada e Saida'!$K$8*(Q96/(SUM(Q:Q)))</f>
        <v>#DIV/0!</v>
      </c>
      <c r="U96" s="179" t="e">
        <f>'Entrada e Saida'!$H$22*(P96/(SUM(P:P)))</f>
        <v>#DIV/0!</v>
      </c>
      <c r="V96" s="179" t="e">
        <f>'Entrada e Saida'!$H$22*(Q96/(SUM(Q:Q)))</f>
        <v>#DIV/0!</v>
      </c>
      <c r="W96" s="180" t="e">
        <f t="shared" si="61"/>
        <v>#DIV/0!</v>
      </c>
      <c r="X96" s="179" t="e">
        <f>'Entrada e Saida'!$H$26*(IF('Entrada e Saida'!$H$15="PESO",(P96/(SUM(P:P))),(Q96/(SUM(Q:Q)))))</f>
        <v>#DIV/0!</v>
      </c>
      <c r="Y96" s="179" t="e">
        <f>'Entrada e Saida'!$H$27*(IF('Entrada e Saida'!$H$15="PESO",(P96/(SUM(P:P))),(Q96/(SUM(Q:Q)))))</f>
        <v>#DIV/0!</v>
      </c>
      <c r="Z96" s="179" t="e">
        <f>'Entrada e Saida'!$H$28*(IF('Entrada e Saida'!$H$15="PESO",(P96/(SUM(P:P))),(Q96/(SUM(Q:Q)))))</f>
        <v>#DIV/0!</v>
      </c>
      <c r="AA96" s="181" t="e">
        <f t="shared" si="62"/>
        <v>#DIV/0!</v>
      </c>
      <c r="AB96" s="178" t="e">
        <f t="shared" si="63"/>
        <v>#DIV/0!</v>
      </c>
      <c r="AC96" s="178" t="e">
        <f t="shared" si="64"/>
        <v>#DIV/0!</v>
      </c>
      <c r="AD96" s="178" t="e">
        <f t="shared" si="65"/>
        <v>#DIV/0!</v>
      </c>
      <c r="AE96" s="177" t="e">
        <f t="shared" si="66"/>
        <v>#DIV/0!</v>
      </c>
      <c r="AF96" s="182">
        <f>IFERROR(D96*F96*L96*'Entrada e Saida'!$K$8,0)</f>
        <v>0</v>
      </c>
      <c r="AG96" s="178" t="e">
        <f>((W96+AA96+AB96+AC96+AD96+AE96+AF96)/(1-'Entrada e Saida'!$G$65))*'Entrada e Saida'!$I$66</f>
        <v>#DIV/0!</v>
      </c>
      <c r="AH96" s="180" t="e">
        <f t="shared" si="67"/>
        <v>#DIV/0!</v>
      </c>
      <c r="AI96" s="183" t="e">
        <f>'Entrada e Saida'!$K$51*(IF('Entrada e Saida'!$H$15="PESO",(P96/(SUM(P:P))),(Q96/(SUM(Q:Q)))))</f>
        <v>#DIV/0!</v>
      </c>
      <c r="AJ96" s="183">
        <f>(('Entrada e Saida'!$K$10-'Entrada e Saida'!$K$8)*E96*D96)</f>
        <v>0</v>
      </c>
      <c r="AK96" s="184" t="e">
        <f>IF('Entrada e Saida'!$H$15="PESO",W96+AA96+AH96+AI96+AJ96,W96+AA96+AH96+AI96+AJ96-S96+T96-U96+V96)</f>
        <v>#DIV/0!</v>
      </c>
      <c r="AL96" s="185" t="e">
        <f>IF('Entrada e Saida'!$H$12="REAL",AC96,0)</f>
        <v>#DIV/0!</v>
      </c>
      <c r="AM96" s="185" t="e">
        <f>IF('Entrada e Saida'!$H$12="REAL",AD96,0)</f>
        <v>#DIV/0!</v>
      </c>
      <c r="AN96" s="186" t="e">
        <f>IF('Entrada e Saida'!$H$13= "NÃO",AE96,0)</f>
        <v>#DIV/0!</v>
      </c>
      <c r="AO96" s="186" t="e">
        <f t="shared" si="68"/>
        <v>#DIV/0!</v>
      </c>
      <c r="AP96" s="184" t="e">
        <f t="shared" si="69"/>
        <v>#DIV/0!</v>
      </c>
      <c r="AQ96" s="178" t="e">
        <f>IF('Entrada e Saida'!$H$11="TRADING",AU96*'Custo Resumido'!D96,0)</f>
        <v>#DIV/0!</v>
      </c>
      <c r="AR96" s="178" t="e">
        <f>IF('Entrada e Saida'!$H$11="TRADING",AU96*'Entrada e Saida'!$G$63,0)</f>
        <v>#DIV/0!</v>
      </c>
      <c r="AS96" s="178" t="e">
        <f>IF('Entrada e Saida'!$H$11="TRADING",AU96*'Entrada e Saida'!$G$64,0)</f>
        <v>#DIV/0!</v>
      </c>
      <c r="AT96" s="178" t="e">
        <f>IF('Entrada e Saida'!$H$11="TRADING",AU96*'Entrada e Saida'!$G$65,0)</f>
        <v>#DIV/0!</v>
      </c>
      <c r="AU96" s="184" t="e">
        <f>IF('Entrada e Saida'!$H$11="TRADING",AP96/(1-(SUM('Entrada e Saida'!$G$63:$G$65)+'Custo Resumido'!D96)),0)</f>
        <v>#DIV/0!</v>
      </c>
      <c r="AV96" s="178" t="e">
        <f>IF('Entrada e Saida'!$H$13="NÃO",AU96*M96,0)</f>
        <v>#DIV/0!</v>
      </c>
      <c r="AW96" s="184" t="e">
        <f t="shared" si="70"/>
        <v>#DIV/0!</v>
      </c>
      <c r="AX96" s="178" t="e">
        <f>'Entrada e Saida'!$G$74*AU96</f>
        <v>#DIV/0!</v>
      </c>
      <c r="AY96" s="184" t="e">
        <f t="shared" si="71"/>
        <v>#DIV/0!</v>
      </c>
      <c r="AZ96" s="184" t="e">
        <f>AQ96+('Entrada e Saida'!$G$65-'Entrada e Saida'!$I$65)*AU96-AX96</f>
        <v>#DIV/0!</v>
      </c>
      <c r="BA96" s="3" t="e">
        <f>IF('Entrada e Saida'!$H$12="REAL",AZ96*'Entrada e Saida'!$G$81,AU96*'Entrada e Saida'!$G$81)</f>
        <v>#DIV/0!</v>
      </c>
      <c r="BB96" s="3" t="e">
        <f>IF('Entrada e Saida'!$H$12="REAL",AZ96*'Entrada e Saida'!$G$82,AU96*'Entrada e Saida'!$G$82)</f>
        <v>#DIV/0!</v>
      </c>
      <c r="BC96" s="4" t="e">
        <f t="shared" si="72"/>
        <v>#DIV/0!</v>
      </c>
      <c r="BD96" s="3" t="e">
        <f>IF('Entrada e Saida'!$H$11="TRADING",AW96/D96,AK96/D96)</f>
        <v>#DIV/0!</v>
      </c>
      <c r="BE96" s="3" t="e">
        <f t="shared" si="73"/>
        <v>#DIV/0!</v>
      </c>
      <c r="BF96" s="2" t="e">
        <f t="shared" si="74"/>
        <v>#DIV/0!</v>
      </c>
      <c r="BG96" s="3" t="e">
        <f>IF('Entrada e Saida'!$H$11="TRADING",AV96/D96,AN96/D96)</f>
        <v>#DIV/0!</v>
      </c>
      <c r="BH96" s="3" t="e">
        <f>IF('Entrada e Saida'!$H$11="TRADING",IF('Entrada e Saida'!$H$12="REAL",AR96/D96,0),AL96/D96)</f>
        <v>#DIV/0!</v>
      </c>
      <c r="BI96" s="3" t="e">
        <f>IF('Entrada e Saida'!$H$11="TRADING",IF('Entrada e Saida'!$H$12="REAL",AS96/D96,0),AM96/D96)</f>
        <v>#DIV/0!</v>
      </c>
      <c r="BJ96" s="3" t="e">
        <f>IF('Entrada e Saida'!$H$11="TRADING",AT96/D96,AO96/D96)</f>
        <v>#DIV/0!</v>
      </c>
      <c r="BK96" s="2" t="e">
        <f t="shared" si="75"/>
        <v>#DIV/0!</v>
      </c>
      <c r="BL96" s="2">
        <f>IF(O96&gt;0,IFERROR(IF('Entrada e Saida'!$H$11="DIRETA",0,(IF('Entrada e Saida'!$H$14="P.JURIDICA",(BD96*(1+O96)*N96)-((BD96/(1+M96))*'Entrada e Saida'!$G$65),((Produtos!N96-'Entrada e Saida'!$G$65)*Produtos!BD96)))),0),0)</f>
        <v>0</v>
      </c>
      <c r="BM96" s="2" t="e">
        <f t="shared" si="76"/>
        <v>#DIV/0!</v>
      </c>
    </row>
    <row r="97" spans="1:65" s="1" customFormat="1">
      <c r="A97" s="127"/>
      <c r="B97" s="114"/>
      <c r="C97" s="116"/>
      <c r="D97" s="146"/>
      <c r="E97" s="115">
        <f>IFERROR(VLOOKUP(A97,'Master Modelo'!A:I,9,FALSE),0)</f>
        <v>0</v>
      </c>
      <c r="F97" s="189">
        <f>IFERROR(VLOOKUP(A97,'Master Modelo'!A:I,8,FALSE),0)</f>
        <v>0</v>
      </c>
      <c r="G97" s="189">
        <f>IFERROR(VLOOKUP(A97,'Master Modelo'!A:K,11,FALSE),0)</f>
        <v>0</v>
      </c>
      <c r="H97" s="173" t="e">
        <f t="shared" si="59"/>
        <v>#DIV/0!</v>
      </c>
      <c r="I97" s="163">
        <f>IFERROR(VLOOKUP(A97,'Master Modelo'!A:I,3,FALSE),0)</f>
        <v>0</v>
      </c>
      <c r="J97" s="164">
        <f>IFERROR(VLOOKUP(A97,'Master Modelo'!A:I,5,FALSE),0)</f>
        <v>0</v>
      </c>
      <c r="K97" s="164">
        <f>IFERROR(VLOOKUP(A97,'Master Modelo'!A:I,6,FALSE),0)</f>
        <v>0</v>
      </c>
      <c r="L97" s="165" t="e">
        <f>VLOOKUP(A97,'Master Modelo'!A:J,10,FALSE)</f>
        <v>#N/A</v>
      </c>
      <c r="M97" s="163">
        <f>IFERROR(VLOOKUP(A97,'Master Modelo'!A:I,4,FALSE),0)</f>
        <v>0</v>
      </c>
      <c r="N97" s="175"/>
      <c r="O97" s="187"/>
      <c r="P97" s="177">
        <f t="shared" si="60"/>
        <v>0</v>
      </c>
      <c r="Q97" s="177">
        <f t="shared" si="58"/>
        <v>0</v>
      </c>
      <c r="R97" s="178">
        <f>D97*E97*'Entrada e Saida'!$K$8</f>
        <v>0</v>
      </c>
      <c r="S97" s="179" t="e">
        <f>'Entrada e Saida'!$H$21*'Entrada e Saida'!$K$8*(P97/(SUM(P:P)))</f>
        <v>#DIV/0!</v>
      </c>
      <c r="T97" s="179" t="e">
        <f>'Entrada e Saida'!$H$21*'Entrada e Saida'!$K$8*(Q97/(SUM(Q:Q)))</f>
        <v>#DIV/0!</v>
      </c>
      <c r="U97" s="179" t="e">
        <f>'Entrada e Saida'!$H$22*(P97/(SUM(P:P)))</f>
        <v>#DIV/0!</v>
      </c>
      <c r="V97" s="179" t="e">
        <f>'Entrada e Saida'!$H$22*(Q97/(SUM(Q:Q)))</f>
        <v>#DIV/0!</v>
      </c>
      <c r="W97" s="180" t="e">
        <f t="shared" si="61"/>
        <v>#DIV/0!</v>
      </c>
      <c r="X97" s="179" t="e">
        <f>'Entrada e Saida'!$H$26*(IF('Entrada e Saida'!$H$15="PESO",(P97/(SUM(P:P))),(Q97/(SUM(Q:Q)))))</f>
        <v>#DIV/0!</v>
      </c>
      <c r="Y97" s="179" t="e">
        <f>'Entrada e Saida'!$H$27*(IF('Entrada e Saida'!$H$15="PESO",(P97/(SUM(P:P))),(Q97/(SUM(Q:Q)))))</f>
        <v>#DIV/0!</v>
      </c>
      <c r="Z97" s="179" t="e">
        <f>'Entrada e Saida'!$H$28*(IF('Entrada e Saida'!$H$15="PESO",(P97/(SUM(P:P))),(Q97/(SUM(Q:Q)))))</f>
        <v>#DIV/0!</v>
      </c>
      <c r="AA97" s="181" t="e">
        <f t="shared" si="62"/>
        <v>#DIV/0!</v>
      </c>
      <c r="AB97" s="178" t="e">
        <f t="shared" si="63"/>
        <v>#DIV/0!</v>
      </c>
      <c r="AC97" s="178" t="e">
        <f t="shared" si="64"/>
        <v>#DIV/0!</v>
      </c>
      <c r="AD97" s="178" t="e">
        <f t="shared" si="65"/>
        <v>#DIV/0!</v>
      </c>
      <c r="AE97" s="177" t="e">
        <f t="shared" si="66"/>
        <v>#DIV/0!</v>
      </c>
      <c r="AF97" s="182">
        <f>IFERROR(D97*F97*L97*'Entrada e Saida'!$K$8,0)</f>
        <v>0</v>
      </c>
      <c r="AG97" s="178" t="e">
        <f>((W97+AA97+AB97+AC97+AD97+AE97+AF97)/(1-'Entrada e Saida'!$G$65))*'Entrada e Saida'!$I$66</f>
        <v>#DIV/0!</v>
      </c>
      <c r="AH97" s="180" t="e">
        <f t="shared" si="67"/>
        <v>#DIV/0!</v>
      </c>
      <c r="AI97" s="183" t="e">
        <f>'Entrada e Saida'!$K$51*(IF('Entrada e Saida'!$H$15="PESO",(P97/(SUM(P:P))),(Q97/(SUM(Q:Q)))))</f>
        <v>#DIV/0!</v>
      </c>
      <c r="AJ97" s="183">
        <f>(('Entrada e Saida'!$K$10-'Entrada e Saida'!$K$8)*E97*D97)</f>
        <v>0</v>
      </c>
      <c r="AK97" s="184" t="e">
        <f>IF('Entrada e Saida'!$H$15="PESO",W97+AA97+AH97+AI97+AJ97,W97+AA97+AH97+AI97+AJ97-S97+T97-U97+V97)</f>
        <v>#DIV/0!</v>
      </c>
      <c r="AL97" s="185" t="e">
        <f>IF('Entrada e Saida'!$H$12="REAL",AC97,0)</f>
        <v>#DIV/0!</v>
      </c>
      <c r="AM97" s="185" t="e">
        <f>IF('Entrada e Saida'!$H$12="REAL",AD97,0)</f>
        <v>#DIV/0!</v>
      </c>
      <c r="AN97" s="186" t="e">
        <f>IF('Entrada e Saida'!$H$13= "NÃO",AE97,0)</f>
        <v>#DIV/0!</v>
      </c>
      <c r="AO97" s="186" t="e">
        <f t="shared" si="68"/>
        <v>#DIV/0!</v>
      </c>
      <c r="AP97" s="184" t="e">
        <f t="shared" si="69"/>
        <v>#DIV/0!</v>
      </c>
      <c r="AQ97" s="178" t="e">
        <f>IF('Entrada e Saida'!$H$11="TRADING",AU97*'Custo Resumido'!D97,0)</f>
        <v>#DIV/0!</v>
      </c>
      <c r="AR97" s="178" t="e">
        <f>IF('Entrada e Saida'!$H$11="TRADING",AU97*'Entrada e Saida'!$G$63,0)</f>
        <v>#DIV/0!</v>
      </c>
      <c r="AS97" s="178" t="e">
        <f>IF('Entrada e Saida'!$H$11="TRADING",AU97*'Entrada e Saida'!$G$64,0)</f>
        <v>#DIV/0!</v>
      </c>
      <c r="AT97" s="178" t="e">
        <f>IF('Entrada e Saida'!$H$11="TRADING",AU97*'Entrada e Saida'!$G$65,0)</f>
        <v>#DIV/0!</v>
      </c>
      <c r="AU97" s="184" t="e">
        <f>IF('Entrada e Saida'!$H$11="TRADING",AP97/(1-(SUM('Entrada e Saida'!$G$63:$G$65)+'Custo Resumido'!D97)),0)</f>
        <v>#DIV/0!</v>
      </c>
      <c r="AV97" s="178" t="e">
        <f>IF('Entrada e Saida'!$H$13="NÃO",AU97*M97,0)</f>
        <v>#DIV/0!</v>
      </c>
      <c r="AW97" s="184" t="e">
        <f t="shared" si="70"/>
        <v>#DIV/0!</v>
      </c>
      <c r="AX97" s="178" t="e">
        <f>'Entrada e Saida'!$G$74*AU97</f>
        <v>#DIV/0!</v>
      </c>
      <c r="AY97" s="184" t="e">
        <f t="shared" si="71"/>
        <v>#DIV/0!</v>
      </c>
      <c r="AZ97" s="184" t="e">
        <f>AQ97+('Entrada e Saida'!$G$65-'Entrada e Saida'!$I$65)*AU97-AX97</f>
        <v>#DIV/0!</v>
      </c>
      <c r="BA97" s="3" t="e">
        <f>IF('Entrada e Saida'!$H$12="REAL",AZ97*'Entrada e Saida'!$G$81,AU97*'Entrada e Saida'!$G$81)</f>
        <v>#DIV/0!</v>
      </c>
      <c r="BB97" s="3" t="e">
        <f>IF('Entrada e Saida'!$H$12="REAL",AZ97*'Entrada e Saida'!$G$82,AU97*'Entrada e Saida'!$G$82)</f>
        <v>#DIV/0!</v>
      </c>
      <c r="BC97" s="4" t="e">
        <f t="shared" si="72"/>
        <v>#DIV/0!</v>
      </c>
      <c r="BD97" s="3" t="e">
        <f>IF('Entrada e Saida'!$H$11="TRADING",AW97/D97,AK97/D97)</f>
        <v>#DIV/0!</v>
      </c>
      <c r="BE97" s="3" t="e">
        <f t="shared" si="73"/>
        <v>#DIV/0!</v>
      </c>
      <c r="BF97" s="2" t="e">
        <f t="shared" si="74"/>
        <v>#DIV/0!</v>
      </c>
      <c r="BG97" s="3" t="e">
        <f>IF('Entrada e Saida'!$H$11="TRADING",AV97/D97,AN97/D97)</f>
        <v>#DIV/0!</v>
      </c>
      <c r="BH97" s="3" t="e">
        <f>IF('Entrada e Saida'!$H$11="TRADING",IF('Entrada e Saida'!$H$12="REAL",AR97/D97,0),AL97/D97)</f>
        <v>#DIV/0!</v>
      </c>
      <c r="BI97" s="3" t="e">
        <f>IF('Entrada e Saida'!$H$11="TRADING",IF('Entrada e Saida'!$H$12="REAL",AS97/D97,0),AM97/D97)</f>
        <v>#DIV/0!</v>
      </c>
      <c r="BJ97" s="3" t="e">
        <f>IF('Entrada e Saida'!$H$11="TRADING",AT97/D97,AO97/D97)</f>
        <v>#DIV/0!</v>
      </c>
      <c r="BK97" s="2" t="e">
        <f t="shared" si="75"/>
        <v>#DIV/0!</v>
      </c>
      <c r="BL97" s="2">
        <f>IF(O97&gt;0,IFERROR(IF('Entrada e Saida'!$H$11="DIRETA",0,(IF('Entrada e Saida'!$H$14="P.JURIDICA",(BD97*(1+O97)*N97)-((BD97/(1+M97))*'Entrada e Saida'!$G$65),((Produtos!N97-'Entrada e Saida'!$G$65)*Produtos!BD97)))),0),0)</f>
        <v>0</v>
      </c>
      <c r="BM97" s="2" t="e">
        <f t="shared" si="76"/>
        <v>#DIV/0!</v>
      </c>
    </row>
    <row r="98" spans="1:65" s="1" customFormat="1">
      <c r="A98" s="127"/>
      <c r="B98" s="114"/>
      <c r="C98" s="116"/>
      <c r="D98" s="146"/>
      <c r="E98" s="115">
        <f>IFERROR(VLOOKUP(A98,'Master Modelo'!A:I,9,FALSE),0)</f>
        <v>0</v>
      </c>
      <c r="F98" s="189">
        <f>IFERROR(VLOOKUP(A98,'Master Modelo'!A:I,8,FALSE),0)</f>
        <v>0</v>
      </c>
      <c r="G98" s="189">
        <f>IFERROR(VLOOKUP(A98,'Master Modelo'!A:K,11,FALSE),0)</f>
        <v>0</v>
      </c>
      <c r="H98" s="173" t="e">
        <f t="shared" si="59"/>
        <v>#DIV/0!</v>
      </c>
      <c r="I98" s="163">
        <f>IFERROR(VLOOKUP(A98,'Master Modelo'!A:I,3,FALSE),0)</f>
        <v>0</v>
      </c>
      <c r="J98" s="164">
        <f>IFERROR(VLOOKUP(A98,'Master Modelo'!A:I,5,FALSE),0)</f>
        <v>0</v>
      </c>
      <c r="K98" s="164">
        <f>IFERROR(VLOOKUP(A98,'Master Modelo'!A:I,6,FALSE),0)</f>
        <v>0</v>
      </c>
      <c r="L98" s="165" t="e">
        <f>VLOOKUP(A98,'Master Modelo'!A:J,10,FALSE)</f>
        <v>#N/A</v>
      </c>
      <c r="M98" s="163">
        <f>IFERROR(VLOOKUP(A98,'Master Modelo'!A:I,4,FALSE),0)</f>
        <v>0</v>
      </c>
      <c r="N98" s="175"/>
      <c r="O98" s="187"/>
      <c r="P98" s="177">
        <f t="shared" si="60"/>
        <v>0</v>
      </c>
      <c r="Q98" s="177">
        <f t="shared" si="58"/>
        <v>0</v>
      </c>
      <c r="R98" s="178">
        <f>D98*E98*'Entrada e Saida'!$K$8</f>
        <v>0</v>
      </c>
      <c r="S98" s="179" t="e">
        <f>'Entrada e Saida'!$H$21*'Entrada e Saida'!$K$8*(P98/(SUM(P:P)))</f>
        <v>#DIV/0!</v>
      </c>
      <c r="T98" s="179" t="e">
        <f>'Entrada e Saida'!$H$21*'Entrada e Saida'!$K$8*(Q98/(SUM(Q:Q)))</f>
        <v>#DIV/0!</v>
      </c>
      <c r="U98" s="179" t="e">
        <f>'Entrada e Saida'!$H$22*(P98/(SUM(P:P)))</f>
        <v>#DIV/0!</v>
      </c>
      <c r="V98" s="179" t="e">
        <f>'Entrada e Saida'!$H$22*(Q98/(SUM(Q:Q)))</f>
        <v>#DIV/0!</v>
      </c>
      <c r="W98" s="180" t="e">
        <f t="shared" si="61"/>
        <v>#DIV/0!</v>
      </c>
      <c r="X98" s="179" t="e">
        <f>'Entrada e Saida'!$H$26*(IF('Entrada e Saida'!$H$15="PESO",(P98/(SUM(P:P))),(Q98/(SUM(Q:Q)))))</f>
        <v>#DIV/0!</v>
      </c>
      <c r="Y98" s="179" t="e">
        <f>'Entrada e Saida'!$H$27*(IF('Entrada e Saida'!$H$15="PESO",(P98/(SUM(P:P))),(Q98/(SUM(Q:Q)))))</f>
        <v>#DIV/0!</v>
      </c>
      <c r="Z98" s="179" t="e">
        <f>'Entrada e Saida'!$H$28*(IF('Entrada e Saida'!$H$15="PESO",(P98/(SUM(P:P))),(Q98/(SUM(Q:Q)))))</f>
        <v>#DIV/0!</v>
      </c>
      <c r="AA98" s="181" t="e">
        <f t="shared" si="62"/>
        <v>#DIV/0!</v>
      </c>
      <c r="AB98" s="178" t="e">
        <f t="shared" si="63"/>
        <v>#DIV/0!</v>
      </c>
      <c r="AC98" s="178" t="e">
        <f t="shared" si="64"/>
        <v>#DIV/0!</v>
      </c>
      <c r="AD98" s="178" t="e">
        <f t="shared" si="65"/>
        <v>#DIV/0!</v>
      </c>
      <c r="AE98" s="177" t="e">
        <f t="shared" si="66"/>
        <v>#DIV/0!</v>
      </c>
      <c r="AF98" s="182">
        <f>IFERROR(D98*F98*L98*'Entrada e Saida'!$K$8,0)</f>
        <v>0</v>
      </c>
      <c r="AG98" s="178" t="e">
        <f>((W98+AA98+AB98+AC98+AD98+AE98+AF98)/(1-'Entrada e Saida'!$G$65))*'Entrada e Saida'!$I$66</f>
        <v>#DIV/0!</v>
      </c>
      <c r="AH98" s="180" t="e">
        <f t="shared" si="67"/>
        <v>#DIV/0!</v>
      </c>
      <c r="AI98" s="183" t="e">
        <f>'Entrada e Saida'!$K$51*(IF('Entrada e Saida'!$H$15="PESO",(P98/(SUM(P:P))),(Q98/(SUM(Q:Q)))))</f>
        <v>#DIV/0!</v>
      </c>
      <c r="AJ98" s="183">
        <f>(('Entrada e Saida'!$K$10-'Entrada e Saida'!$K$8)*E98*D98)</f>
        <v>0</v>
      </c>
      <c r="AK98" s="184" t="e">
        <f>IF('Entrada e Saida'!$H$15="PESO",W98+AA98+AH98+AI98+AJ98,W98+AA98+AH98+AI98+AJ98-S98+T98-U98+V98)</f>
        <v>#DIV/0!</v>
      </c>
      <c r="AL98" s="185" t="e">
        <f>IF('Entrada e Saida'!$H$12="REAL",AC98,0)</f>
        <v>#DIV/0!</v>
      </c>
      <c r="AM98" s="185" t="e">
        <f>IF('Entrada e Saida'!$H$12="REAL",AD98,0)</f>
        <v>#DIV/0!</v>
      </c>
      <c r="AN98" s="186" t="e">
        <f>IF('Entrada e Saida'!$H$13= "NÃO",AE98,0)</f>
        <v>#DIV/0!</v>
      </c>
      <c r="AO98" s="186" t="e">
        <f t="shared" si="68"/>
        <v>#DIV/0!</v>
      </c>
      <c r="AP98" s="184" t="e">
        <f t="shared" si="69"/>
        <v>#DIV/0!</v>
      </c>
      <c r="AQ98" s="178" t="e">
        <f>IF('Entrada e Saida'!$H$11="TRADING",AU98*'Custo Resumido'!D98,0)</f>
        <v>#DIV/0!</v>
      </c>
      <c r="AR98" s="178" t="e">
        <f>IF('Entrada e Saida'!$H$11="TRADING",AU98*'Entrada e Saida'!$G$63,0)</f>
        <v>#DIV/0!</v>
      </c>
      <c r="AS98" s="178" t="e">
        <f>IF('Entrada e Saida'!$H$11="TRADING",AU98*'Entrada e Saida'!$G$64,0)</f>
        <v>#DIV/0!</v>
      </c>
      <c r="AT98" s="178" t="e">
        <f>IF('Entrada e Saida'!$H$11="TRADING",AU98*'Entrada e Saida'!$G$65,0)</f>
        <v>#DIV/0!</v>
      </c>
      <c r="AU98" s="184" t="e">
        <f>IF('Entrada e Saida'!$H$11="TRADING",AP98/(1-(SUM('Entrada e Saida'!$G$63:$G$65)+'Custo Resumido'!D98)),0)</f>
        <v>#DIV/0!</v>
      </c>
      <c r="AV98" s="178" t="e">
        <f>IF('Entrada e Saida'!$H$13="NÃO",AU98*M98,0)</f>
        <v>#DIV/0!</v>
      </c>
      <c r="AW98" s="184" t="e">
        <f t="shared" si="70"/>
        <v>#DIV/0!</v>
      </c>
      <c r="AX98" s="178" t="e">
        <f>'Entrada e Saida'!$G$74*AU98</f>
        <v>#DIV/0!</v>
      </c>
      <c r="AY98" s="184" t="e">
        <f t="shared" si="71"/>
        <v>#DIV/0!</v>
      </c>
      <c r="AZ98" s="184" t="e">
        <f>AQ98+('Entrada e Saida'!$G$65-'Entrada e Saida'!$I$65)*AU98-AX98</f>
        <v>#DIV/0!</v>
      </c>
      <c r="BA98" s="3" t="e">
        <f>IF('Entrada e Saida'!$H$12="REAL",AZ98*'Entrada e Saida'!$G$81,AU98*'Entrada e Saida'!$G$81)</f>
        <v>#DIV/0!</v>
      </c>
      <c r="BB98" s="3" t="e">
        <f>IF('Entrada e Saida'!$H$12="REAL",AZ98*'Entrada e Saida'!$G$82,AU98*'Entrada e Saida'!$G$82)</f>
        <v>#DIV/0!</v>
      </c>
      <c r="BC98" s="4" t="e">
        <f t="shared" si="72"/>
        <v>#DIV/0!</v>
      </c>
      <c r="BD98" s="3" t="e">
        <f>IF('Entrada e Saida'!$H$11="TRADING",AW98/D98,AK98/D98)</f>
        <v>#DIV/0!</v>
      </c>
      <c r="BE98" s="3" t="e">
        <f t="shared" si="73"/>
        <v>#DIV/0!</v>
      </c>
      <c r="BF98" s="2" t="e">
        <f t="shared" si="74"/>
        <v>#DIV/0!</v>
      </c>
      <c r="BG98" s="3" t="e">
        <f>IF('Entrada e Saida'!$H$11="TRADING",AV98/D98,AN98/D98)</f>
        <v>#DIV/0!</v>
      </c>
      <c r="BH98" s="3" t="e">
        <f>IF('Entrada e Saida'!$H$11="TRADING",IF('Entrada e Saida'!$H$12="REAL",AR98/D98,0),AL98/D98)</f>
        <v>#DIV/0!</v>
      </c>
      <c r="BI98" s="3" t="e">
        <f>IF('Entrada e Saida'!$H$11="TRADING",IF('Entrada e Saida'!$H$12="REAL",AS98/D98,0),AM98/D98)</f>
        <v>#DIV/0!</v>
      </c>
      <c r="BJ98" s="3" t="e">
        <f>IF('Entrada e Saida'!$H$11="TRADING",AT98/D98,AO98/D98)</f>
        <v>#DIV/0!</v>
      </c>
      <c r="BK98" s="2" t="e">
        <f t="shared" si="75"/>
        <v>#DIV/0!</v>
      </c>
      <c r="BL98" s="2">
        <f>IF(O98&gt;0,IFERROR(IF('Entrada e Saida'!$H$11="DIRETA",0,(IF('Entrada e Saida'!$H$14="P.JURIDICA",(BD98*(1+O98)*N98)-((BD98/(1+M98))*'Entrada e Saida'!$G$65),((Produtos!N98-'Entrada e Saida'!$G$65)*Produtos!BD98)))),0),0)</f>
        <v>0</v>
      </c>
      <c r="BM98" s="2" t="e">
        <f t="shared" si="76"/>
        <v>#DIV/0!</v>
      </c>
    </row>
    <row r="99" spans="1:65" s="1" customFormat="1">
      <c r="A99" s="127"/>
      <c r="B99" s="114"/>
      <c r="C99" s="116"/>
      <c r="D99" s="146"/>
      <c r="E99" s="115">
        <f>IFERROR(VLOOKUP(A99,'Master Modelo'!A:I,9,FALSE),0)</f>
        <v>0</v>
      </c>
      <c r="F99" s="189">
        <f>IFERROR(VLOOKUP(A99,'Master Modelo'!A:I,8,FALSE),0)</f>
        <v>0</v>
      </c>
      <c r="G99" s="189">
        <f>IFERROR(VLOOKUP(A99,'Master Modelo'!A:K,11,FALSE),0)</f>
        <v>0</v>
      </c>
      <c r="H99" s="114" t="e">
        <f t="shared" si="59"/>
        <v>#DIV/0!</v>
      </c>
      <c r="I99" s="150">
        <f>IFERROR(VLOOKUP(A99,'Master Modelo'!A:I,3,FALSE),0)</f>
        <v>0</v>
      </c>
      <c r="J99" s="151">
        <f>IFERROR(VLOOKUP(A99,'Master Modelo'!A:I,5,FALSE),0)</f>
        <v>0</v>
      </c>
      <c r="K99" s="151">
        <f>IFERROR(VLOOKUP(A99,'Master Modelo'!A:I,6,FALSE),0)</f>
        <v>0</v>
      </c>
      <c r="L99" s="152" t="e">
        <f>VLOOKUP(A99,'Master Modelo'!A:J,10,FALSE)</f>
        <v>#N/A</v>
      </c>
      <c r="M99" s="150">
        <f>IFERROR(VLOOKUP(A99,'Master Modelo'!A:I,4,FALSE),0)</f>
        <v>0</v>
      </c>
      <c r="N99" s="128"/>
      <c r="O99" s="129"/>
      <c r="P99" s="9">
        <f t="shared" si="60"/>
        <v>0</v>
      </c>
      <c r="Q99" s="177">
        <f t="shared" si="58"/>
        <v>0</v>
      </c>
      <c r="R99" s="3">
        <f>D99*E99*'Entrada e Saida'!$K$8</f>
        <v>0</v>
      </c>
      <c r="S99" s="179" t="e">
        <f>'Entrada e Saida'!$H$21*'Entrada e Saida'!$K$8*(P99/(SUM(P:P)))</f>
        <v>#DIV/0!</v>
      </c>
      <c r="T99" s="179" t="e">
        <f>'Entrada e Saida'!$H$21*'Entrada e Saida'!$K$8*(Q99/(SUM(Q:Q)))</f>
        <v>#DIV/0!</v>
      </c>
      <c r="U99" s="179" t="e">
        <f>'Entrada e Saida'!$H$22*(P99/(SUM(P:P)))</f>
        <v>#DIV/0!</v>
      </c>
      <c r="V99" s="179" t="e">
        <f>'Entrada e Saida'!$H$22*(Q99/(SUM(Q:Q)))</f>
        <v>#DIV/0!</v>
      </c>
      <c r="W99" s="8" t="e">
        <f t="shared" si="61"/>
        <v>#DIV/0!</v>
      </c>
      <c r="X99" s="179" t="e">
        <f>'Entrada e Saida'!$H$26*(IF('Entrada e Saida'!$H$15="PESO",(P99/(SUM(P:P))),(Q99/(SUM(Q:Q)))))</f>
        <v>#DIV/0!</v>
      </c>
      <c r="Y99" s="179" t="e">
        <f>'Entrada e Saida'!$H$27*(IF('Entrada e Saida'!$H$15="PESO",(P99/(SUM(P:P))),(Q99/(SUM(Q:Q)))))</f>
        <v>#DIV/0!</v>
      </c>
      <c r="Z99" s="179" t="e">
        <f>'Entrada e Saida'!$H$28*(IF('Entrada e Saida'!$H$15="PESO",(P99/(SUM(P:P))),(Q99/(SUM(Q:Q)))))</f>
        <v>#DIV/0!</v>
      </c>
      <c r="AA99" s="10" t="e">
        <f t="shared" si="62"/>
        <v>#DIV/0!</v>
      </c>
      <c r="AB99" s="3" t="e">
        <f t="shared" si="63"/>
        <v>#DIV/0!</v>
      </c>
      <c r="AC99" s="3" t="e">
        <f t="shared" si="64"/>
        <v>#DIV/0!</v>
      </c>
      <c r="AD99" s="3" t="e">
        <f t="shared" si="65"/>
        <v>#DIV/0!</v>
      </c>
      <c r="AE99" s="9" t="e">
        <f t="shared" si="66"/>
        <v>#DIV/0!</v>
      </c>
      <c r="AF99" s="126">
        <f>IFERROR(D99*F99*L99*'Entrada e Saida'!$K$8,0)</f>
        <v>0</v>
      </c>
      <c r="AG99" s="3" t="e">
        <f>((W99+AA99+AB99+AC99+AD99+AE99+AF99)/(1-'Entrada e Saida'!$G$65))*'Entrada e Saida'!$I$66</f>
        <v>#DIV/0!</v>
      </c>
      <c r="AH99" s="8" t="e">
        <f t="shared" si="67"/>
        <v>#DIV/0!</v>
      </c>
      <c r="AI99" s="183" t="e">
        <f>'Entrada e Saida'!$K$51*(IF('Entrada e Saida'!$H$15="PESO",(P99/(SUM(P:P))),(Q99/(SUM(Q:Q)))))</f>
        <v>#DIV/0!</v>
      </c>
      <c r="AJ99" s="7">
        <f>(('Entrada e Saida'!$K$10-'Entrada e Saida'!$K$8)*E99*D99)</f>
        <v>0</v>
      </c>
      <c r="AK99" s="184" t="e">
        <f>IF('Entrada e Saida'!$H$15="PESO",W99+AA99+AH99+AI99+AJ99,W99+AA99+AH99+AI99+AJ99-S99+T99-U99+V99)</f>
        <v>#DIV/0!</v>
      </c>
      <c r="AL99" s="6" t="e">
        <f>IF('Entrada e Saida'!$H$12="REAL",AC99,0)</f>
        <v>#DIV/0!</v>
      </c>
      <c r="AM99" s="6" t="e">
        <f>IF('Entrada e Saida'!$H$12="REAL",AD99,0)</f>
        <v>#DIV/0!</v>
      </c>
      <c r="AN99" s="5" t="e">
        <f>IF('Entrada e Saida'!$H$13= "NÃO",AE99,0)</f>
        <v>#DIV/0!</v>
      </c>
      <c r="AO99" s="5" t="e">
        <f t="shared" si="68"/>
        <v>#DIV/0!</v>
      </c>
      <c r="AP99" s="4" t="e">
        <f t="shared" si="69"/>
        <v>#DIV/0!</v>
      </c>
      <c r="AQ99" s="3" t="e">
        <f>IF('Entrada e Saida'!$H$11="TRADING",AU99*'Custo Resumido'!D99,0)</f>
        <v>#DIV/0!</v>
      </c>
      <c r="AR99" s="3" t="e">
        <f>IF('Entrada e Saida'!$H$11="TRADING",AU99*'Entrada e Saida'!$G$63,0)</f>
        <v>#DIV/0!</v>
      </c>
      <c r="AS99" s="3" t="e">
        <f>IF('Entrada e Saida'!$H$11="TRADING",AU99*'Entrada e Saida'!$G$64,0)</f>
        <v>#DIV/0!</v>
      </c>
      <c r="AT99" s="3" t="e">
        <f>IF('Entrada e Saida'!$H$11="TRADING",AU99*'Entrada e Saida'!$G$65,0)</f>
        <v>#DIV/0!</v>
      </c>
      <c r="AU99" s="4" t="e">
        <f>IF('Entrada e Saida'!$H$11="TRADING",AP99/(1-(SUM('Entrada e Saida'!$G$63:$G$65)+'Custo Resumido'!D99)),0)</f>
        <v>#DIV/0!</v>
      </c>
      <c r="AV99" s="3" t="e">
        <f>IF('Entrada e Saida'!$H$13="NÃO",AU99*M99,0)</f>
        <v>#DIV/0!</v>
      </c>
      <c r="AW99" s="4" t="e">
        <f t="shared" si="70"/>
        <v>#DIV/0!</v>
      </c>
      <c r="AX99" s="3" t="e">
        <f>'Entrada e Saida'!$G$74*AU99</f>
        <v>#DIV/0!</v>
      </c>
      <c r="AY99" s="4" t="e">
        <f t="shared" si="71"/>
        <v>#DIV/0!</v>
      </c>
      <c r="AZ99" s="4" t="e">
        <f>AQ99+('Entrada e Saida'!$G$65-'Entrada e Saida'!$I$65)*AU99-AX99</f>
        <v>#DIV/0!</v>
      </c>
      <c r="BA99" s="3" t="e">
        <f>IF('Entrada e Saida'!$H$12="REAL",AZ99*'Entrada e Saida'!$G$81,AU99*'Entrada e Saida'!$G$81)</f>
        <v>#DIV/0!</v>
      </c>
      <c r="BB99" s="3" t="e">
        <f>IF('Entrada e Saida'!$H$12="REAL",AZ99*'Entrada e Saida'!$G$82,AU99*'Entrada e Saida'!$G$82)</f>
        <v>#DIV/0!</v>
      </c>
      <c r="BC99" s="4" t="e">
        <f t="shared" si="72"/>
        <v>#DIV/0!</v>
      </c>
      <c r="BD99" s="3" t="e">
        <f>IF('Entrada e Saida'!$H$11="TRADING",AW99/D99,AK99/D99)</f>
        <v>#DIV/0!</v>
      </c>
      <c r="BE99" s="3" t="e">
        <f t="shared" si="73"/>
        <v>#DIV/0!</v>
      </c>
      <c r="BF99" s="2" t="e">
        <f t="shared" si="74"/>
        <v>#DIV/0!</v>
      </c>
      <c r="BG99" s="3" t="e">
        <f>IF('Entrada e Saida'!$H$11="TRADING",AV99/D99,AN99/D99)</f>
        <v>#DIV/0!</v>
      </c>
      <c r="BH99" s="3" t="e">
        <f>IF('Entrada e Saida'!$H$11="TRADING",IF('Entrada e Saida'!$H$12="REAL",AR99/D99,0),AL99/D99)</f>
        <v>#DIV/0!</v>
      </c>
      <c r="BI99" s="3" t="e">
        <f>IF('Entrada e Saida'!$H$11="TRADING",IF('Entrada e Saida'!$H$12="REAL",AS99/D99,0),AM99/D99)</f>
        <v>#DIV/0!</v>
      </c>
      <c r="BJ99" s="3" t="e">
        <f>IF('Entrada e Saida'!$H$11="TRADING",AT99/D99,AO99/D99)</f>
        <v>#DIV/0!</v>
      </c>
      <c r="BK99" s="2" t="e">
        <f t="shared" si="75"/>
        <v>#DIV/0!</v>
      </c>
      <c r="BL99" s="2">
        <f>IF(O99&gt;0,IFERROR(IF('Entrada e Saida'!$H$11="DIRETA",0,(IF('Entrada e Saida'!$H$14="P.JURIDICA",(BD99*(1+O99)*N99)-((BD99/(1+M99))*'Entrada e Saida'!$G$65),((Produtos!N99-'Entrada e Saida'!$G$65)*Produtos!BD99)))),0),0)</f>
        <v>0</v>
      </c>
      <c r="BM99" s="2" t="e">
        <f t="shared" si="76"/>
        <v>#DIV/0!</v>
      </c>
    </row>
    <row r="100" spans="1:65" s="1" customFormat="1">
      <c r="A100" s="127"/>
      <c r="B100" s="114"/>
      <c r="C100" s="116"/>
      <c r="D100" s="146"/>
      <c r="E100" s="115">
        <f>IFERROR(VLOOKUP(A100,'Master Modelo'!A:I,9,FALSE),0)</f>
        <v>0</v>
      </c>
      <c r="F100" s="189">
        <f>IFERROR(VLOOKUP(A100,'Master Modelo'!A:I,8,FALSE),0)</f>
        <v>0</v>
      </c>
      <c r="G100" s="189">
        <f>IFERROR(VLOOKUP(A100,'Master Modelo'!A:K,11,FALSE),0)</f>
        <v>0</v>
      </c>
      <c r="H100" s="114" t="e">
        <f t="shared" si="59"/>
        <v>#DIV/0!</v>
      </c>
      <c r="I100" s="150">
        <f>IFERROR(VLOOKUP(A100,'Master Modelo'!A:I,3,FALSE),0)</f>
        <v>0</v>
      </c>
      <c r="J100" s="151">
        <f>IFERROR(VLOOKUP(A100,'Master Modelo'!A:I,5,FALSE),0)</f>
        <v>0</v>
      </c>
      <c r="K100" s="151">
        <f>IFERROR(VLOOKUP(A100,'Master Modelo'!A:I,6,FALSE),0)</f>
        <v>0</v>
      </c>
      <c r="L100" s="152" t="e">
        <f>VLOOKUP(A100,'Master Modelo'!A:J,10,FALSE)</f>
        <v>#N/A</v>
      </c>
      <c r="M100" s="150">
        <f>IFERROR(VLOOKUP(A100,'Master Modelo'!A:I,4,FALSE),0)</f>
        <v>0</v>
      </c>
      <c r="N100" s="128"/>
      <c r="O100" s="129"/>
      <c r="P100" s="9">
        <f t="shared" si="60"/>
        <v>0</v>
      </c>
      <c r="Q100" s="177">
        <f t="shared" si="58"/>
        <v>0</v>
      </c>
      <c r="R100" s="3">
        <f>D100*E100*'Entrada e Saida'!$K$8</f>
        <v>0</v>
      </c>
      <c r="S100" s="179" t="e">
        <f>'Entrada e Saida'!$H$21*'Entrada e Saida'!$K$8*(P100/(SUM(P:P)))</f>
        <v>#DIV/0!</v>
      </c>
      <c r="T100" s="179" t="e">
        <f>'Entrada e Saida'!$H$21*'Entrada e Saida'!$K$8*(Q100/(SUM(Q:Q)))</f>
        <v>#DIV/0!</v>
      </c>
      <c r="U100" s="179" t="e">
        <f>'Entrada e Saida'!$H$22*(P100/(SUM(P:P)))</f>
        <v>#DIV/0!</v>
      </c>
      <c r="V100" s="179" t="e">
        <f>'Entrada e Saida'!$H$22*(Q100/(SUM(Q:Q)))</f>
        <v>#DIV/0!</v>
      </c>
      <c r="W100" s="8" t="e">
        <f t="shared" si="61"/>
        <v>#DIV/0!</v>
      </c>
      <c r="X100" s="179" t="e">
        <f>'Entrada e Saida'!$H$26*(IF('Entrada e Saida'!$H$15="PESO",(P100/(SUM(P:P))),(Q100/(SUM(Q:Q)))))</f>
        <v>#DIV/0!</v>
      </c>
      <c r="Y100" s="179" t="e">
        <f>'Entrada e Saida'!$H$27*(IF('Entrada e Saida'!$H$15="PESO",(P100/(SUM(P:P))),(Q100/(SUM(Q:Q)))))</f>
        <v>#DIV/0!</v>
      </c>
      <c r="Z100" s="179" t="e">
        <f>'Entrada e Saida'!$H$28*(IF('Entrada e Saida'!$H$15="PESO",(P100/(SUM(P:P))),(Q100/(SUM(Q:Q)))))</f>
        <v>#DIV/0!</v>
      </c>
      <c r="AA100" s="10" t="e">
        <f t="shared" si="62"/>
        <v>#DIV/0!</v>
      </c>
      <c r="AB100" s="3" t="e">
        <f t="shared" si="63"/>
        <v>#DIV/0!</v>
      </c>
      <c r="AC100" s="3" t="e">
        <f t="shared" si="64"/>
        <v>#DIV/0!</v>
      </c>
      <c r="AD100" s="3" t="e">
        <f t="shared" si="65"/>
        <v>#DIV/0!</v>
      </c>
      <c r="AE100" s="9" t="e">
        <f t="shared" si="66"/>
        <v>#DIV/0!</v>
      </c>
      <c r="AF100" s="126">
        <f>IFERROR(D100*F100*L100*'Entrada e Saida'!$K$8,0)</f>
        <v>0</v>
      </c>
      <c r="AG100" s="3" t="e">
        <f>((W100+AA100+AB100+AC100+AD100+AE100+AF100)/(1-'Entrada e Saida'!$G$65))*'Entrada e Saida'!$I$66</f>
        <v>#DIV/0!</v>
      </c>
      <c r="AH100" s="8" t="e">
        <f t="shared" si="67"/>
        <v>#DIV/0!</v>
      </c>
      <c r="AI100" s="183" t="e">
        <f>'Entrada e Saida'!$K$51*(IF('Entrada e Saida'!$H$15="PESO",(P100/(SUM(P:P))),(Q100/(SUM(Q:Q)))))</f>
        <v>#DIV/0!</v>
      </c>
      <c r="AJ100" s="7">
        <f>(('Entrada e Saida'!$K$10-'Entrada e Saida'!$K$8)*E100*D100)</f>
        <v>0</v>
      </c>
      <c r="AK100" s="184" t="e">
        <f>IF('Entrada e Saida'!$H$15="PESO",W100+AA100+AH100+AI100+AJ100,W100+AA100+AH100+AI100+AJ100-S100+T100-U100+V100)</f>
        <v>#DIV/0!</v>
      </c>
      <c r="AL100" s="6" t="e">
        <f>IF('Entrada e Saida'!$H$12="REAL",AC100,0)</f>
        <v>#DIV/0!</v>
      </c>
      <c r="AM100" s="6" t="e">
        <f>IF('Entrada e Saida'!$H$12="REAL",AD100,0)</f>
        <v>#DIV/0!</v>
      </c>
      <c r="AN100" s="5" t="e">
        <f>IF('Entrada e Saida'!$H$13= "NÃO",AE100,0)</f>
        <v>#DIV/0!</v>
      </c>
      <c r="AO100" s="5" t="e">
        <f t="shared" si="68"/>
        <v>#DIV/0!</v>
      </c>
      <c r="AP100" s="4" t="e">
        <f t="shared" si="69"/>
        <v>#DIV/0!</v>
      </c>
      <c r="AQ100" s="3" t="e">
        <f>IF('Entrada e Saida'!$H$11="TRADING",AU100*'Custo Resumido'!D100,0)</f>
        <v>#DIV/0!</v>
      </c>
      <c r="AR100" s="3" t="e">
        <f>IF('Entrada e Saida'!$H$11="TRADING",AU100*'Entrada e Saida'!$G$63,0)</f>
        <v>#DIV/0!</v>
      </c>
      <c r="AS100" s="3" t="e">
        <f>IF('Entrada e Saida'!$H$11="TRADING",AU100*'Entrada e Saida'!$G$64,0)</f>
        <v>#DIV/0!</v>
      </c>
      <c r="AT100" s="3" t="e">
        <f>IF('Entrada e Saida'!$H$11="TRADING",AU100*'Entrada e Saida'!$G$65,0)</f>
        <v>#DIV/0!</v>
      </c>
      <c r="AU100" s="4" t="e">
        <f>IF('Entrada e Saida'!$H$11="TRADING",AP100/(1-(SUM('Entrada e Saida'!$G$63:$G$65)+'Custo Resumido'!D100)),0)</f>
        <v>#DIV/0!</v>
      </c>
      <c r="AV100" s="3" t="e">
        <f>IF('Entrada e Saida'!$H$13="NÃO",AU100*M100,0)</f>
        <v>#DIV/0!</v>
      </c>
      <c r="AW100" s="4" t="e">
        <f t="shared" si="70"/>
        <v>#DIV/0!</v>
      </c>
      <c r="AX100" s="3" t="e">
        <f>'Entrada e Saida'!$G$74*AU100</f>
        <v>#DIV/0!</v>
      </c>
      <c r="AY100" s="4" t="e">
        <f t="shared" si="71"/>
        <v>#DIV/0!</v>
      </c>
      <c r="AZ100" s="4" t="e">
        <f>AQ100+('Entrada e Saida'!$G$65-'Entrada e Saida'!$I$65)*AU100-AX100</f>
        <v>#DIV/0!</v>
      </c>
      <c r="BA100" s="3" t="e">
        <f>IF('Entrada e Saida'!$H$12="REAL",AZ100*'Entrada e Saida'!$G$81,AU100*'Entrada e Saida'!$G$81)</f>
        <v>#DIV/0!</v>
      </c>
      <c r="BB100" s="3" t="e">
        <f>IF('Entrada e Saida'!$H$12="REAL",AZ100*'Entrada e Saida'!$G$82,AU100*'Entrada e Saida'!$G$82)</f>
        <v>#DIV/0!</v>
      </c>
      <c r="BC100" s="4" t="e">
        <f t="shared" si="72"/>
        <v>#DIV/0!</v>
      </c>
      <c r="BD100" s="3" t="e">
        <f>IF('Entrada e Saida'!$H$11="TRADING",AW100/D100,AK100/D100)</f>
        <v>#DIV/0!</v>
      </c>
      <c r="BE100" s="3" t="e">
        <f t="shared" si="73"/>
        <v>#DIV/0!</v>
      </c>
      <c r="BF100" s="2" t="e">
        <f t="shared" si="74"/>
        <v>#DIV/0!</v>
      </c>
      <c r="BG100" s="3" t="e">
        <f>IF('Entrada e Saida'!$H$11="TRADING",AV100/D100,AN100/D100)</f>
        <v>#DIV/0!</v>
      </c>
      <c r="BH100" s="3" t="e">
        <f>IF('Entrada e Saida'!$H$11="TRADING",IF('Entrada e Saida'!$H$12="REAL",AR100/D100,0),AL100/D100)</f>
        <v>#DIV/0!</v>
      </c>
      <c r="BI100" s="3" t="e">
        <f>IF('Entrada e Saida'!$H$11="TRADING",IF('Entrada e Saida'!$H$12="REAL",AS100/D100,0),AM100/D100)</f>
        <v>#DIV/0!</v>
      </c>
      <c r="BJ100" s="3" t="e">
        <f>IF('Entrada e Saida'!$H$11="TRADING",AT100/D100,AO100/D100)</f>
        <v>#DIV/0!</v>
      </c>
      <c r="BK100" s="2" t="e">
        <f t="shared" si="75"/>
        <v>#DIV/0!</v>
      </c>
      <c r="BL100" s="2">
        <f>IF(O100&gt;0,IFERROR(IF('Entrada e Saida'!$H$11="DIRETA",0,(IF('Entrada e Saida'!$H$14="P.JURIDICA",(BD100*(1+O100)*N100)-((BD100/(1+M100))*'Entrada e Saida'!$G$65),((Produtos!N100-'Entrada e Saida'!$G$65)*Produtos!BD100)))),0),0)</f>
        <v>0</v>
      </c>
      <c r="BM100" s="2" t="e">
        <f t="shared" si="76"/>
        <v>#DIV/0!</v>
      </c>
    </row>
    <row r="101" spans="1:65" s="1" customFormat="1">
      <c r="A101" s="127"/>
      <c r="B101" s="114"/>
      <c r="C101" s="116"/>
      <c r="D101" s="146"/>
      <c r="E101" s="115">
        <f>IFERROR(VLOOKUP(A101,'Master Modelo'!A:I,9,FALSE),0)</f>
        <v>0</v>
      </c>
      <c r="F101" s="189">
        <f>IFERROR(VLOOKUP(A101,'Master Modelo'!A:I,8,FALSE),0)</f>
        <v>0</v>
      </c>
      <c r="G101" s="189">
        <f>IFERROR(VLOOKUP(A101,'Master Modelo'!A:K,11,FALSE),0)</f>
        <v>0</v>
      </c>
      <c r="H101" s="114" t="e">
        <f t="shared" si="59"/>
        <v>#DIV/0!</v>
      </c>
      <c r="I101" s="150">
        <f>IFERROR(VLOOKUP(A101,'Master Modelo'!A:I,3,FALSE),0)</f>
        <v>0</v>
      </c>
      <c r="J101" s="151">
        <f>IFERROR(VLOOKUP(A101,'Master Modelo'!A:I,5,FALSE),0)</f>
        <v>0</v>
      </c>
      <c r="K101" s="151">
        <f>IFERROR(VLOOKUP(A101,'Master Modelo'!A:I,6,FALSE),0)</f>
        <v>0</v>
      </c>
      <c r="L101" s="152" t="e">
        <f>VLOOKUP(A101,'Master Modelo'!A:J,10,FALSE)</f>
        <v>#N/A</v>
      </c>
      <c r="M101" s="150">
        <f>IFERROR(VLOOKUP(A101,'Master Modelo'!A:I,4,FALSE),0)</f>
        <v>0</v>
      </c>
      <c r="N101" s="128"/>
      <c r="O101" s="129"/>
      <c r="P101" s="9">
        <f t="shared" si="60"/>
        <v>0</v>
      </c>
      <c r="Q101" s="177">
        <f t="shared" si="58"/>
        <v>0</v>
      </c>
      <c r="R101" s="3">
        <f>D101*E101*'Entrada e Saida'!$K$8</f>
        <v>0</v>
      </c>
      <c r="S101" s="179" t="e">
        <f>'Entrada e Saida'!$H$21*'Entrada e Saida'!$K$8*(P101/(SUM(P:P)))</f>
        <v>#DIV/0!</v>
      </c>
      <c r="T101" s="179" t="e">
        <f>'Entrada e Saida'!$H$21*'Entrada e Saida'!$K$8*(Q101/(SUM(Q:Q)))</f>
        <v>#DIV/0!</v>
      </c>
      <c r="U101" s="179" t="e">
        <f>'Entrada e Saida'!$H$22*(P101/(SUM(P:P)))</f>
        <v>#DIV/0!</v>
      </c>
      <c r="V101" s="179" t="e">
        <f>'Entrada e Saida'!$H$22*(Q101/(SUM(Q:Q)))</f>
        <v>#DIV/0!</v>
      </c>
      <c r="W101" s="8" t="e">
        <f t="shared" si="61"/>
        <v>#DIV/0!</v>
      </c>
      <c r="X101" s="179" t="e">
        <f>'Entrada e Saida'!$H$26*(IF('Entrada e Saida'!$H$15="PESO",(P101/(SUM(P:P))),(Q101/(SUM(Q:Q)))))</f>
        <v>#DIV/0!</v>
      </c>
      <c r="Y101" s="179" t="e">
        <f>'Entrada e Saida'!$H$27*(IF('Entrada e Saida'!$H$15="PESO",(P101/(SUM(P:P))),(Q101/(SUM(Q:Q)))))</f>
        <v>#DIV/0!</v>
      </c>
      <c r="Z101" s="179" t="e">
        <f>'Entrada e Saida'!$H$28*(IF('Entrada e Saida'!$H$15="PESO",(P101/(SUM(P:P))),(Q101/(SUM(Q:Q)))))</f>
        <v>#DIV/0!</v>
      </c>
      <c r="AA101" s="10" t="e">
        <f t="shared" si="62"/>
        <v>#DIV/0!</v>
      </c>
      <c r="AB101" s="3" t="e">
        <f t="shared" si="63"/>
        <v>#DIV/0!</v>
      </c>
      <c r="AC101" s="3" t="e">
        <f t="shared" si="64"/>
        <v>#DIV/0!</v>
      </c>
      <c r="AD101" s="3" t="e">
        <f t="shared" si="65"/>
        <v>#DIV/0!</v>
      </c>
      <c r="AE101" s="9" t="e">
        <f t="shared" si="66"/>
        <v>#DIV/0!</v>
      </c>
      <c r="AF101" s="126">
        <f>IFERROR(D101*F101*L101*'Entrada e Saida'!$K$8,0)</f>
        <v>0</v>
      </c>
      <c r="AG101" s="3" t="e">
        <f>((W101+AA101+AB101+AC101+AD101+AE101+AF101)/(1-'Entrada e Saida'!$G$65))*'Entrada e Saida'!$I$66</f>
        <v>#DIV/0!</v>
      </c>
      <c r="AH101" s="8" t="e">
        <f t="shared" si="67"/>
        <v>#DIV/0!</v>
      </c>
      <c r="AI101" s="183" t="e">
        <f>'Entrada e Saida'!$K$51*(IF('Entrada e Saida'!$H$15="PESO",(P101/(SUM(P:P))),(Q101/(SUM(Q:Q)))))</f>
        <v>#DIV/0!</v>
      </c>
      <c r="AJ101" s="7">
        <f>(('Entrada e Saida'!$K$10-'Entrada e Saida'!$K$8)*E101*D101)</f>
        <v>0</v>
      </c>
      <c r="AK101" s="184" t="e">
        <f>IF('Entrada e Saida'!$H$15="PESO",W101+AA101+AH101+AI101+AJ101,W101+AA101+AH101+AI101+AJ101-S101+T101-U101+V101)</f>
        <v>#DIV/0!</v>
      </c>
      <c r="AL101" s="6" t="e">
        <f>IF('Entrada e Saida'!$H$12="REAL",AC101,0)</f>
        <v>#DIV/0!</v>
      </c>
      <c r="AM101" s="6" t="e">
        <f>IF('Entrada e Saida'!$H$12="REAL",AD101,0)</f>
        <v>#DIV/0!</v>
      </c>
      <c r="AN101" s="5" t="e">
        <f>IF('Entrada e Saida'!$H$13= "NÃO",AE101,0)</f>
        <v>#DIV/0!</v>
      </c>
      <c r="AO101" s="5" t="e">
        <f t="shared" si="68"/>
        <v>#DIV/0!</v>
      </c>
      <c r="AP101" s="4" t="e">
        <f t="shared" si="69"/>
        <v>#DIV/0!</v>
      </c>
      <c r="AQ101" s="3" t="e">
        <f>IF('Entrada e Saida'!$H$11="TRADING",AU101*'Custo Resumido'!D101,0)</f>
        <v>#DIV/0!</v>
      </c>
      <c r="AR101" s="3" t="e">
        <f>IF('Entrada e Saida'!$H$11="TRADING",AU101*'Entrada e Saida'!$G$63,0)</f>
        <v>#DIV/0!</v>
      </c>
      <c r="AS101" s="3" t="e">
        <f>IF('Entrada e Saida'!$H$11="TRADING",AU101*'Entrada e Saida'!$G$64,0)</f>
        <v>#DIV/0!</v>
      </c>
      <c r="AT101" s="3" t="e">
        <f>IF('Entrada e Saida'!$H$11="TRADING",AU101*'Entrada e Saida'!$G$65,0)</f>
        <v>#DIV/0!</v>
      </c>
      <c r="AU101" s="4" t="e">
        <f>IF('Entrada e Saida'!$H$11="TRADING",AP101/(1-(SUM('Entrada e Saida'!$G$63:$G$65)+'Custo Resumido'!D101)),0)</f>
        <v>#DIV/0!</v>
      </c>
      <c r="AV101" s="3" t="e">
        <f>IF('Entrada e Saida'!$H$13="NÃO",AU101*M101,0)</f>
        <v>#DIV/0!</v>
      </c>
      <c r="AW101" s="4" t="e">
        <f t="shared" si="70"/>
        <v>#DIV/0!</v>
      </c>
      <c r="AX101" s="3" t="e">
        <f>'Entrada e Saida'!$G$74*AU101</f>
        <v>#DIV/0!</v>
      </c>
      <c r="AY101" s="4" t="e">
        <f t="shared" si="71"/>
        <v>#DIV/0!</v>
      </c>
      <c r="AZ101" s="4" t="e">
        <f>AQ101+('Entrada e Saida'!$G$65-'Entrada e Saida'!$I$65)*AU101-AX101</f>
        <v>#DIV/0!</v>
      </c>
      <c r="BA101" s="3" t="e">
        <f>IF('Entrada e Saida'!$H$12="REAL",AZ101*'Entrada e Saida'!$G$81,AU101*'Entrada e Saida'!$G$81)</f>
        <v>#DIV/0!</v>
      </c>
      <c r="BB101" s="3" t="e">
        <f>IF('Entrada e Saida'!$H$12="REAL",AZ101*'Entrada e Saida'!$G$82,AU101*'Entrada e Saida'!$G$82)</f>
        <v>#DIV/0!</v>
      </c>
      <c r="BC101" s="4" t="e">
        <f t="shared" si="72"/>
        <v>#DIV/0!</v>
      </c>
      <c r="BD101" s="3" t="e">
        <f>IF('Entrada e Saida'!$H$11="TRADING",AW101/D101,AK101/D101)</f>
        <v>#DIV/0!</v>
      </c>
      <c r="BE101" s="3" t="e">
        <f t="shared" si="73"/>
        <v>#DIV/0!</v>
      </c>
      <c r="BF101" s="2" t="e">
        <f t="shared" si="74"/>
        <v>#DIV/0!</v>
      </c>
      <c r="BG101" s="3" t="e">
        <f>IF('Entrada e Saida'!$H$11="TRADING",AV101/D101,AN101/D101)</f>
        <v>#DIV/0!</v>
      </c>
      <c r="BH101" s="3" t="e">
        <f>IF('Entrada e Saida'!$H$11="TRADING",IF('Entrada e Saida'!$H$12="REAL",AR101/D101,0),AL101/D101)</f>
        <v>#DIV/0!</v>
      </c>
      <c r="BI101" s="3" t="e">
        <f>IF('Entrada e Saida'!$H$11="TRADING",IF('Entrada e Saida'!$H$12="REAL",AS101/D101,0),AM101/D101)</f>
        <v>#DIV/0!</v>
      </c>
      <c r="BJ101" s="3" t="e">
        <f>IF('Entrada e Saida'!$H$11="TRADING",AT101/D101,AO101/D101)</f>
        <v>#DIV/0!</v>
      </c>
      <c r="BK101" s="2" t="e">
        <f t="shared" si="75"/>
        <v>#DIV/0!</v>
      </c>
      <c r="BL101" s="2">
        <f>IF(O101&gt;0,IFERROR(IF('Entrada e Saida'!$H$11="DIRETA",0,(IF('Entrada e Saida'!$H$14="P.JURIDICA",(BD101*(1+O101)*N101)-((BD101/(1+M101))*'Entrada e Saida'!$G$65),((Produtos!N101-'Entrada e Saida'!$G$65)*Produtos!BD101)))),0),0)</f>
        <v>0</v>
      </c>
      <c r="BM101" s="2" t="e">
        <f t="shared" si="76"/>
        <v>#DIV/0!</v>
      </c>
    </row>
    <row r="102" spans="1:65" s="1" customFormat="1">
      <c r="A102" s="127"/>
      <c r="B102" s="114"/>
      <c r="C102" s="116"/>
      <c r="D102" s="146"/>
      <c r="E102" s="115">
        <f>IFERROR(VLOOKUP(A102,'Master Modelo'!A:I,9,FALSE),0)</f>
        <v>0</v>
      </c>
      <c r="F102" s="189">
        <f>IFERROR(VLOOKUP(A102,'Master Modelo'!A:I,8,FALSE),0)</f>
        <v>0</v>
      </c>
      <c r="G102" s="189">
        <f>IFERROR(VLOOKUP(A102,'Master Modelo'!A:K,11,FALSE),0)</f>
        <v>0</v>
      </c>
      <c r="H102" s="114" t="e">
        <f t="shared" si="59"/>
        <v>#DIV/0!</v>
      </c>
      <c r="I102" s="150">
        <f>IFERROR(VLOOKUP(A102,'Master Modelo'!A:I,3,FALSE),0)</f>
        <v>0</v>
      </c>
      <c r="J102" s="151">
        <f>IFERROR(VLOOKUP(A102,'Master Modelo'!A:I,5,FALSE),0)</f>
        <v>0</v>
      </c>
      <c r="K102" s="151">
        <f>IFERROR(VLOOKUP(A102,'Master Modelo'!A:I,6,FALSE),0)</f>
        <v>0</v>
      </c>
      <c r="L102" s="152" t="e">
        <f>VLOOKUP(A102,'Master Modelo'!A:J,10,FALSE)</f>
        <v>#N/A</v>
      </c>
      <c r="M102" s="150">
        <f>IFERROR(VLOOKUP(A102,'Master Modelo'!A:I,4,FALSE),0)</f>
        <v>0</v>
      </c>
      <c r="N102" s="128"/>
      <c r="O102" s="129"/>
      <c r="P102" s="9">
        <f t="shared" si="60"/>
        <v>0</v>
      </c>
      <c r="Q102" s="177">
        <f t="shared" si="58"/>
        <v>0</v>
      </c>
      <c r="R102" s="3">
        <f>D102*E102*'Entrada e Saida'!$K$8</f>
        <v>0</v>
      </c>
      <c r="S102" s="179" t="e">
        <f>'Entrada e Saida'!$H$21*'Entrada e Saida'!$K$8*(P102/(SUM(P:P)))</f>
        <v>#DIV/0!</v>
      </c>
      <c r="T102" s="179" t="e">
        <f>'Entrada e Saida'!$H$21*'Entrada e Saida'!$K$8*(Q102/(SUM(Q:Q)))</f>
        <v>#DIV/0!</v>
      </c>
      <c r="U102" s="179" t="e">
        <f>'Entrada e Saida'!$H$22*(P102/(SUM(P:P)))</f>
        <v>#DIV/0!</v>
      </c>
      <c r="V102" s="179" t="e">
        <f>'Entrada e Saida'!$H$22*(Q102/(SUM(Q:Q)))</f>
        <v>#DIV/0!</v>
      </c>
      <c r="W102" s="8" t="e">
        <f t="shared" si="61"/>
        <v>#DIV/0!</v>
      </c>
      <c r="X102" s="179" t="e">
        <f>'Entrada e Saida'!$H$26*(IF('Entrada e Saida'!$H$15="PESO",(P102/(SUM(P:P))),(Q102/(SUM(Q:Q)))))</f>
        <v>#DIV/0!</v>
      </c>
      <c r="Y102" s="179" t="e">
        <f>'Entrada e Saida'!$H$27*(IF('Entrada e Saida'!$H$15="PESO",(P102/(SUM(P:P))),(Q102/(SUM(Q:Q)))))</f>
        <v>#DIV/0!</v>
      </c>
      <c r="Z102" s="179" t="e">
        <f>'Entrada e Saida'!$H$28*(IF('Entrada e Saida'!$H$15="PESO",(P102/(SUM(P:P))),(Q102/(SUM(Q:Q)))))</f>
        <v>#DIV/0!</v>
      </c>
      <c r="AA102" s="10" t="e">
        <f t="shared" si="62"/>
        <v>#DIV/0!</v>
      </c>
      <c r="AB102" s="3" t="e">
        <f t="shared" si="63"/>
        <v>#DIV/0!</v>
      </c>
      <c r="AC102" s="3" t="e">
        <f t="shared" si="64"/>
        <v>#DIV/0!</v>
      </c>
      <c r="AD102" s="3" t="e">
        <f t="shared" si="65"/>
        <v>#DIV/0!</v>
      </c>
      <c r="AE102" s="9" t="e">
        <f t="shared" si="66"/>
        <v>#DIV/0!</v>
      </c>
      <c r="AF102" s="126">
        <f>IFERROR(D102*F102*L102*'Entrada e Saida'!$K$8,0)</f>
        <v>0</v>
      </c>
      <c r="AG102" s="3" t="e">
        <f>((W102+AA102+AB102+AC102+AD102+AE102+AF102)/(1-'Entrada e Saida'!$G$65))*'Entrada e Saida'!$I$66</f>
        <v>#DIV/0!</v>
      </c>
      <c r="AH102" s="8" t="e">
        <f t="shared" si="67"/>
        <v>#DIV/0!</v>
      </c>
      <c r="AI102" s="183" t="e">
        <f>'Entrada e Saida'!$K$51*(IF('Entrada e Saida'!$H$15="PESO",(P102/(SUM(P:P))),(Q102/(SUM(Q:Q)))))</f>
        <v>#DIV/0!</v>
      </c>
      <c r="AJ102" s="7">
        <f>(('Entrada e Saida'!$K$10-'Entrada e Saida'!$K$8)*E102*D102)</f>
        <v>0</v>
      </c>
      <c r="AK102" s="184" t="e">
        <f>IF('Entrada e Saida'!$H$15="PESO",W102+AA102+AH102+AI102+AJ102,W102+AA102+AH102+AI102+AJ102-S102+T102-U102+V102)</f>
        <v>#DIV/0!</v>
      </c>
      <c r="AL102" s="6" t="e">
        <f>IF('Entrada e Saida'!$H$12="REAL",AC102,0)</f>
        <v>#DIV/0!</v>
      </c>
      <c r="AM102" s="6" t="e">
        <f>IF('Entrada e Saida'!$H$12="REAL",AD102,0)</f>
        <v>#DIV/0!</v>
      </c>
      <c r="AN102" s="5" t="e">
        <f>IF('Entrada e Saida'!$H$13= "NÃO",AE102,0)</f>
        <v>#DIV/0!</v>
      </c>
      <c r="AO102" s="5" t="e">
        <f t="shared" si="68"/>
        <v>#DIV/0!</v>
      </c>
      <c r="AP102" s="4" t="e">
        <f t="shared" si="69"/>
        <v>#DIV/0!</v>
      </c>
      <c r="AQ102" s="3" t="e">
        <f>IF('Entrada e Saida'!$H$11="TRADING",AU102*'Custo Resumido'!D102,0)</f>
        <v>#DIV/0!</v>
      </c>
      <c r="AR102" s="3" t="e">
        <f>IF('Entrada e Saida'!$H$11="TRADING",AU102*'Entrada e Saida'!$G$63,0)</f>
        <v>#DIV/0!</v>
      </c>
      <c r="AS102" s="3" t="e">
        <f>IF('Entrada e Saida'!$H$11="TRADING",AU102*'Entrada e Saida'!$G$64,0)</f>
        <v>#DIV/0!</v>
      </c>
      <c r="AT102" s="3" t="e">
        <f>IF('Entrada e Saida'!$H$11="TRADING",AU102*'Entrada e Saida'!$G$65,0)</f>
        <v>#DIV/0!</v>
      </c>
      <c r="AU102" s="4" t="e">
        <f>IF('Entrada e Saida'!$H$11="TRADING",AP102/(1-(SUM('Entrada e Saida'!$G$63:$G$65)+'Custo Resumido'!D102)),0)</f>
        <v>#DIV/0!</v>
      </c>
      <c r="AV102" s="3" t="e">
        <f>IF('Entrada e Saida'!$H$13="NÃO",AU102*M102,0)</f>
        <v>#DIV/0!</v>
      </c>
      <c r="AW102" s="4" t="e">
        <f t="shared" si="70"/>
        <v>#DIV/0!</v>
      </c>
      <c r="AX102" s="3" t="e">
        <f>'Entrada e Saida'!$G$74*AU102</f>
        <v>#DIV/0!</v>
      </c>
      <c r="AY102" s="4" t="e">
        <f t="shared" si="71"/>
        <v>#DIV/0!</v>
      </c>
      <c r="AZ102" s="4" t="e">
        <f>AQ102+('Entrada e Saida'!$G$65-'Entrada e Saida'!$I$65)*AU102-AX102</f>
        <v>#DIV/0!</v>
      </c>
      <c r="BA102" s="3" t="e">
        <f>IF('Entrada e Saida'!$H$12="REAL",AZ102*'Entrada e Saida'!$G$81,AU102*'Entrada e Saida'!$G$81)</f>
        <v>#DIV/0!</v>
      </c>
      <c r="BB102" s="3" t="e">
        <f>IF('Entrada e Saida'!$H$12="REAL",AZ102*'Entrada e Saida'!$G$82,AU102*'Entrada e Saida'!$G$82)</f>
        <v>#DIV/0!</v>
      </c>
      <c r="BC102" s="4" t="e">
        <f t="shared" si="72"/>
        <v>#DIV/0!</v>
      </c>
      <c r="BD102" s="3" t="e">
        <f>IF('Entrada e Saida'!$H$11="TRADING",AW102/D102,AK102/D102)</f>
        <v>#DIV/0!</v>
      </c>
      <c r="BE102" s="3" t="e">
        <f t="shared" si="73"/>
        <v>#DIV/0!</v>
      </c>
      <c r="BF102" s="2" t="e">
        <f t="shared" si="74"/>
        <v>#DIV/0!</v>
      </c>
      <c r="BG102" s="3" t="e">
        <f>IF('Entrada e Saida'!$H$11="TRADING",AV102/D102,AN102/D102)</f>
        <v>#DIV/0!</v>
      </c>
      <c r="BH102" s="3" t="e">
        <f>IF('Entrada e Saida'!$H$11="TRADING",IF('Entrada e Saida'!$H$12="REAL",AR102/D102,0),AL102/D102)</f>
        <v>#DIV/0!</v>
      </c>
      <c r="BI102" s="3" t="e">
        <f>IF('Entrada e Saida'!$H$11="TRADING",IF('Entrada e Saida'!$H$12="REAL",AS102/D102,0),AM102/D102)</f>
        <v>#DIV/0!</v>
      </c>
      <c r="BJ102" s="3" t="e">
        <f>IF('Entrada e Saida'!$H$11="TRADING",AT102/D102,AO102/D102)</f>
        <v>#DIV/0!</v>
      </c>
      <c r="BK102" s="2" t="e">
        <f t="shared" si="75"/>
        <v>#DIV/0!</v>
      </c>
      <c r="BL102" s="2">
        <f>IF(O102&gt;0,IFERROR(IF('Entrada e Saida'!$H$11="DIRETA",0,(IF('Entrada e Saida'!$H$14="P.JURIDICA",(BD102*(1+O102)*N102)-((BD102/(1+M102))*'Entrada e Saida'!$G$65),((Produtos!N102-'Entrada e Saida'!$G$65)*Produtos!BD102)))),0),0)</f>
        <v>0</v>
      </c>
      <c r="BM102" s="2" t="e">
        <f t="shared" si="76"/>
        <v>#DIV/0!</v>
      </c>
    </row>
    <row r="103" spans="1:65" s="1" customFormat="1">
      <c r="A103" s="127"/>
      <c r="B103" s="114"/>
      <c r="C103" s="116"/>
      <c r="D103" s="146"/>
      <c r="E103" s="115">
        <f>IFERROR(VLOOKUP(A103,'Master Modelo'!A:I,9,FALSE),0)</f>
        <v>0</v>
      </c>
      <c r="F103" s="189">
        <f>IFERROR(VLOOKUP(A103,'Master Modelo'!A:I,8,FALSE),0)</f>
        <v>0</v>
      </c>
      <c r="G103" s="189">
        <f>IFERROR(VLOOKUP(A103,'Master Modelo'!A:K,11,FALSE),0)</f>
        <v>0</v>
      </c>
      <c r="H103" s="114" t="e">
        <f t="shared" si="59"/>
        <v>#DIV/0!</v>
      </c>
      <c r="I103" s="150">
        <f>IFERROR(VLOOKUP(A103,'Master Modelo'!A:I,3,FALSE),0)</f>
        <v>0</v>
      </c>
      <c r="J103" s="151">
        <f>IFERROR(VLOOKUP(A103,'Master Modelo'!A:I,5,FALSE),0)</f>
        <v>0</v>
      </c>
      <c r="K103" s="151">
        <f>IFERROR(VLOOKUP(A103,'Master Modelo'!A:I,6,FALSE),0)</f>
        <v>0</v>
      </c>
      <c r="L103" s="152" t="e">
        <f>VLOOKUP(A103,'Master Modelo'!A:J,10,FALSE)</f>
        <v>#N/A</v>
      </c>
      <c r="M103" s="150">
        <f>IFERROR(VLOOKUP(A103,'Master Modelo'!A:I,4,FALSE),0)</f>
        <v>0</v>
      </c>
      <c r="N103" s="128"/>
      <c r="O103" s="129"/>
      <c r="P103" s="9">
        <f t="shared" si="60"/>
        <v>0</v>
      </c>
      <c r="Q103" s="177">
        <f t="shared" si="58"/>
        <v>0</v>
      </c>
      <c r="R103" s="3">
        <f>D103*E103*'Entrada e Saida'!$K$8</f>
        <v>0</v>
      </c>
      <c r="S103" s="179" t="e">
        <f>'Entrada e Saida'!$H$21*'Entrada e Saida'!$K$8*(P103/(SUM(P:P)))</f>
        <v>#DIV/0!</v>
      </c>
      <c r="T103" s="179" t="e">
        <f>'Entrada e Saida'!$H$21*'Entrada e Saida'!$K$8*(Q103/(SUM(Q:Q)))</f>
        <v>#DIV/0!</v>
      </c>
      <c r="U103" s="179" t="e">
        <f>'Entrada e Saida'!$H$22*(P103/(SUM(P:P)))</f>
        <v>#DIV/0!</v>
      </c>
      <c r="V103" s="179" t="e">
        <f>'Entrada e Saida'!$H$22*(Q103/(SUM(Q:Q)))</f>
        <v>#DIV/0!</v>
      </c>
      <c r="W103" s="8" t="e">
        <f t="shared" si="61"/>
        <v>#DIV/0!</v>
      </c>
      <c r="X103" s="179" t="e">
        <f>'Entrada e Saida'!$H$26*(IF('Entrada e Saida'!$H$15="PESO",(P103/(SUM(P:P))),(Q103/(SUM(Q:Q)))))</f>
        <v>#DIV/0!</v>
      </c>
      <c r="Y103" s="179" t="e">
        <f>'Entrada e Saida'!$H$27*(IF('Entrada e Saida'!$H$15="PESO",(P103/(SUM(P:P))),(Q103/(SUM(Q:Q)))))</f>
        <v>#DIV/0!</v>
      </c>
      <c r="Z103" s="179" t="e">
        <f>'Entrada e Saida'!$H$28*(IF('Entrada e Saida'!$H$15="PESO",(P103/(SUM(P:P))),(Q103/(SUM(Q:Q)))))</f>
        <v>#DIV/0!</v>
      </c>
      <c r="AA103" s="10" t="e">
        <f t="shared" si="62"/>
        <v>#DIV/0!</v>
      </c>
      <c r="AB103" s="3" t="e">
        <f t="shared" si="63"/>
        <v>#DIV/0!</v>
      </c>
      <c r="AC103" s="3" t="e">
        <f t="shared" si="64"/>
        <v>#DIV/0!</v>
      </c>
      <c r="AD103" s="3" t="e">
        <f t="shared" si="65"/>
        <v>#DIV/0!</v>
      </c>
      <c r="AE103" s="9" t="e">
        <f t="shared" si="66"/>
        <v>#DIV/0!</v>
      </c>
      <c r="AF103" s="126">
        <f>IFERROR(D103*F103*L103*'Entrada e Saida'!$K$8,0)</f>
        <v>0</v>
      </c>
      <c r="AG103" s="3" t="e">
        <f>((W103+AA103+AB103+AC103+AD103+AE103+AF103)/(1-'Entrada e Saida'!$G$65))*'Entrada e Saida'!$I$66</f>
        <v>#DIV/0!</v>
      </c>
      <c r="AH103" s="8" t="e">
        <f t="shared" si="67"/>
        <v>#DIV/0!</v>
      </c>
      <c r="AI103" s="183" t="e">
        <f>'Entrada e Saida'!$K$51*(IF('Entrada e Saida'!$H$15="PESO",(P103/(SUM(P:P))),(Q103/(SUM(Q:Q)))))</f>
        <v>#DIV/0!</v>
      </c>
      <c r="AJ103" s="7">
        <f>(('Entrada e Saida'!$K$10-'Entrada e Saida'!$K$8)*E103*D103)</f>
        <v>0</v>
      </c>
      <c r="AK103" s="184" t="e">
        <f>IF('Entrada e Saida'!$H$15="PESO",W103+AA103+AH103+AI103+AJ103,W103+AA103+AH103+AI103+AJ103-S103+T103-U103+V103)</f>
        <v>#DIV/0!</v>
      </c>
      <c r="AL103" s="6" t="e">
        <f>IF('Entrada e Saida'!$H$12="REAL",AC103,0)</f>
        <v>#DIV/0!</v>
      </c>
      <c r="AM103" s="6" t="e">
        <f>IF('Entrada e Saida'!$H$12="REAL",AD103,0)</f>
        <v>#DIV/0!</v>
      </c>
      <c r="AN103" s="5" t="e">
        <f>IF('Entrada e Saida'!$H$13= "NÃO",AE103,0)</f>
        <v>#DIV/0!</v>
      </c>
      <c r="AO103" s="5" t="e">
        <f t="shared" si="68"/>
        <v>#DIV/0!</v>
      </c>
      <c r="AP103" s="4" t="e">
        <f t="shared" si="69"/>
        <v>#DIV/0!</v>
      </c>
      <c r="AQ103" s="3" t="e">
        <f>IF('Entrada e Saida'!$H$11="TRADING",AU103*'Custo Resumido'!D103,0)</f>
        <v>#DIV/0!</v>
      </c>
      <c r="AR103" s="3" t="e">
        <f>IF('Entrada e Saida'!$H$11="TRADING",AU103*'Entrada e Saida'!$G$63,0)</f>
        <v>#DIV/0!</v>
      </c>
      <c r="AS103" s="3" t="e">
        <f>IF('Entrada e Saida'!$H$11="TRADING",AU103*'Entrada e Saida'!$G$64,0)</f>
        <v>#DIV/0!</v>
      </c>
      <c r="AT103" s="3" t="e">
        <f>IF('Entrada e Saida'!$H$11="TRADING",AU103*'Entrada e Saida'!$G$65,0)</f>
        <v>#DIV/0!</v>
      </c>
      <c r="AU103" s="4" t="e">
        <f>IF('Entrada e Saida'!$H$11="TRADING",AP103/(1-(SUM('Entrada e Saida'!$G$63:$G$65)+'Custo Resumido'!D103)),0)</f>
        <v>#DIV/0!</v>
      </c>
      <c r="AV103" s="3" t="e">
        <f>IF('Entrada e Saida'!$H$13="NÃO",AU103*M103,0)</f>
        <v>#DIV/0!</v>
      </c>
      <c r="AW103" s="4" t="e">
        <f t="shared" si="70"/>
        <v>#DIV/0!</v>
      </c>
      <c r="AX103" s="3" t="e">
        <f>'Entrada e Saida'!$G$74*AU103</f>
        <v>#DIV/0!</v>
      </c>
      <c r="AY103" s="4" t="e">
        <f t="shared" si="71"/>
        <v>#DIV/0!</v>
      </c>
      <c r="AZ103" s="4" t="e">
        <f>AQ103+('Entrada e Saida'!$G$65-'Entrada e Saida'!$I$65)*AU103-AX103</f>
        <v>#DIV/0!</v>
      </c>
      <c r="BA103" s="3" t="e">
        <f>IF('Entrada e Saida'!$H$12="REAL",AZ103*'Entrada e Saida'!$G$81,AU103*'Entrada e Saida'!$G$81)</f>
        <v>#DIV/0!</v>
      </c>
      <c r="BB103" s="3" t="e">
        <f>IF('Entrada e Saida'!$H$12="REAL",AZ103*'Entrada e Saida'!$G$82,AU103*'Entrada e Saida'!$G$82)</f>
        <v>#DIV/0!</v>
      </c>
      <c r="BC103" s="4" t="e">
        <f t="shared" si="72"/>
        <v>#DIV/0!</v>
      </c>
      <c r="BD103" s="3" t="e">
        <f>IF('Entrada e Saida'!$H$11="TRADING",AW103/D103,AK103/D103)</f>
        <v>#DIV/0!</v>
      </c>
      <c r="BE103" s="3" t="e">
        <f t="shared" si="73"/>
        <v>#DIV/0!</v>
      </c>
      <c r="BF103" s="2" t="e">
        <f t="shared" si="74"/>
        <v>#DIV/0!</v>
      </c>
      <c r="BG103" s="3" t="e">
        <f>IF('Entrada e Saida'!$H$11="TRADING",AV103/D103,AN103/D103)</f>
        <v>#DIV/0!</v>
      </c>
      <c r="BH103" s="3" t="e">
        <f>IF('Entrada e Saida'!$H$11="TRADING",IF('Entrada e Saida'!$H$12="REAL",AR103/D103,0),AL103/D103)</f>
        <v>#DIV/0!</v>
      </c>
      <c r="BI103" s="3" t="e">
        <f>IF('Entrada e Saida'!$H$11="TRADING",IF('Entrada e Saida'!$H$12="REAL",AS103/D103,0),AM103/D103)</f>
        <v>#DIV/0!</v>
      </c>
      <c r="BJ103" s="3" t="e">
        <f>IF('Entrada e Saida'!$H$11="TRADING",AT103/D103,AO103/D103)</f>
        <v>#DIV/0!</v>
      </c>
      <c r="BK103" s="2" t="e">
        <f t="shared" si="75"/>
        <v>#DIV/0!</v>
      </c>
      <c r="BL103" s="2">
        <f>IF(O103&gt;0,IFERROR(IF('Entrada e Saida'!$H$11="DIRETA",0,(IF('Entrada e Saida'!$H$14="P.JURIDICA",(BD103*(1+O103)*N103)-((BD103/(1+M103))*'Entrada e Saida'!$G$65),((Produtos!N103-'Entrada e Saida'!$G$65)*Produtos!BD103)))),0),0)</f>
        <v>0</v>
      </c>
      <c r="BM103" s="2" t="e">
        <f t="shared" si="76"/>
        <v>#DIV/0!</v>
      </c>
    </row>
    <row r="104" spans="1:65" s="1" customFormat="1">
      <c r="A104" s="127"/>
      <c r="B104" s="114"/>
      <c r="C104" s="116"/>
      <c r="D104" s="146"/>
      <c r="E104" s="115">
        <f>IFERROR(VLOOKUP(A104,'Master Modelo'!A:I,9,FALSE),0)</f>
        <v>0</v>
      </c>
      <c r="F104" s="189">
        <f>IFERROR(VLOOKUP(A104,'Master Modelo'!A:I,8,FALSE),0)</f>
        <v>0</v>
      </c>
      <c r="G104" s="189">
        <f>IFERROR(VLOOKUP(A104,'Master Modelo'!A:K,11,FALSE),0)</f>
        <v>0</v>
      </c>
      <c r="H104" s="114" t="e">
        <f t="shared" si="59"/>
        <v>#DIV/0!</v>
      </c>
      <c r="I104" s="150">
        <f>IFERROR(VLOOKUP(A104,'Master Modelo'!A:I,3,FALSE),0)</f>
        <v>0</v>
      </c>
      <c r="J104" s="151">
        <f>IFERROR(VLOOKUP(A104,'Master Modelo'!A:I,5,FALSE),0)</f>
        <v>0</v>
      </c>
      <c r="K104" s="151">
        <f>IFERROR(VLOOKUP(A104,'Master Modelo'!A:I,6,FALSE),0)</f>
        <v>0</v>
      </c>
      <c r="L104" s="152" t="e">
        <f>VLOOKUP(A104,'Master Modelo'!A:J,10,FALSE)</f>
        <v>#N/A</v>
      </c>
      <c r="M104" s="150">
        <f>IFERROR(VLOOKUP(A104,'Master Modelo'!A:I,4,FALSE),0)</f>
        <v>0</v>
      </c>
      <c r="N104" s="128"/>
      <c r="O104" s="129"/>
      <c r="P104" s="9">
        <f t="shared" si="60"/>
        <v>0</v>
      </c>
      <c r="Q104" s="177">
        <f t="shared" si="58"/>
        <v>0</v>
      </c>
      <c r="R104" s="3">
        <f>D104*E104*'Entrada e Saida'!$K$8</f>
        <v>0</v>
      </c>
      <c r="S104" s="179" t="e">
        <f>'Entrada e Saida'!$H$21*'Entrada e Saida'!$K$8*(P104/(SUM(P:P)))</f>
        <v>#DIV/0!</v>
      </c>
      <c r="T104" s="179" t="e">
        <f>'Entrada e Saida'!$H$21*'Entrada e Saida'!$K$8*(Q104/(SUM(Q:Q)))</f>
        <v>#DIV/0!</v>
      </c>
      <c r="U104" s="179" t="e">
        <f>'Entrada e Saida'!$H$22*(P104/(SUM(P:P)))</f>
        <v>#DIV/0!</v>
      </c>
      <c r="V104" s="179" t="e">
        <f>'Entrada e Saida'!$H$22*(Q104/(SUM(Q:Q)))</f>
        <v>#DIV/0!</v>
      </c>
      <c r="W104" s="8" t="e">
        <f t="shared" si="61"/>
        <v>#DIV/0!</v>
      </c>
      <c r="X104" s="179" t="e">
        <f>'Entrada e Saida'!$H$26*(IF('Entrada e Saida'!$H$15="PESO",(P104/(SUM(P:P))),(Q104/(SUM(Q:Q)))))</f>
        <v>#DIV/0!</v>
      </c>
      <c r="Y104" s="179" t="e">
        <f>'Entrada e Saida'!$H$27*(IF('Entrada e Saida'!$H$15="PESO",(P104/(SUM(P:P))),(Q104/(SUM(Q:Q)))))</f>
        <v>#DIV/0!</v>
      </c>
      <c r="Z104" s="179" t="e">
        <f>'Entrada e Saida'!$H$28*(IF('Entrada e Saida'!$H$15="PESO",(P104/(SUM(P:P))),(Q104/(SUM(Q:Q)))))</f>
        <v>#DIV/0!</v>
      </c>
      <c r="AA104" s="10" t="e">
        <f t="shared" si="62"/>
        <v>#DIV/0!</v>
      </c>
      <c r="AB104" s="3" t="e">
        <f t="shared" si="63"/>
        <v>#DIV/0!</v>
      </c>
      <c r="AC104" s="3" t="e">
        <f t="shared" si="64"/>
        <v>#DIV/0!</v>
      </c>
      <c r="AD104" s="3" t="e">
        <f t="shared" si="65"/>
        <v>#DIV/0!</v>
      </c>
      <c r="AE104" s="9" t="e">
        <f t="shared" si="66"/>
        <v>#DIV/0!</v>
      </c>
      <c r="AF104" s="126">
        <f>IFERROR(D104*F104*L104*'Entrada e Saida'!$K$8,0)</f>
        <v>0</v>
      </c>
      <c r="AG104" s="3" t="e">
        <f>((W104+AA104+AB104+AC104+AD104+AE104+AF104)/(1-'Entrada e Saida'!$G$65))*'Entrada e Saida'!$I$66</f>
        <v>#DIV/0!</v>
      </c>
      <c r="AH104" s="8" t="e">
        <f t="shared" si="67"/>
        <v>#DIV/0!</v>
      </c>
      <c r="AI104" s="183" t="e">
        <f>'Entrada e Saida'!$K$51*(IF('Entrada e Saida'!$H$15="PESO",(P104/(SUM(P:P))),(Q104/(SUM(Q:Q)))))</f>
        <v>#DIV/0!</v>
      </c>
      <c r="AJ104" s="7">
        <f>(('Entrada e Saida'!$K$10-'Entrada e Saida'!$K$8)*E104*D104)</f>
        <v>0</v>
      </c>
      <c r="AK104" s="184" t="e">
        <f>IF('Entrada e Saida'!$H$15="PESO",W104+AA104+AH104+AI104+AJ104,W104+AA104+AH104+AI104+AJ104-S104+T104-U104+V104)</f>
        <v>#DIV/0!</v>
      </c>
      <c r="AL104" s="6" t="e">
        <f>IF('Entrada e Saida'!$H$12="REAL",AC104,0)</f>
        <v>#DIV/0!</v>
      </c>
      <c r="AM104" s="6" t="e">
        <f>IF('Entrada e Saida'!$H$12="REAL",AD104,0)</f>
        <v>#DIV/0!</v>
      </c>
      <c r="AN104" s="5" t="e">
        <f>IF('Entrada e Saida'!$H$13= "NÃO",AE104,0)</f>
        <v>#DIV/0!</v>
      </c>
      <c r="AO104" s="5" t="e">
        <f t="shared" si="68"/>
        <v>#DIV/0!</v>
      </c>
      <c r="AP104" s="4" t="e">
        <f t="shared" si="69"/>
        <v>#DIV/0!</v>
      </c>
      <c r="AQ104" s="3" t="e">
        <f>IF('Entrada e Saida'!$H$11="TRADING",AU104*'Custo Resumido'!D104,0)</f>
        <v>#DIV/0!</v>
      </c>
      <c r="AR104" s="3" t="e">
        <f>IF('Entrada e Saida'!$H$11="TRADING",AU104*'Entrada e Saida'!$G$63,0)</f>
        <v>#DIV/0!</v>
      </c>
      <c r="AS104" s="3" t="e">
        <f>IF('Entrada e Saida'!$H$11="TRADING",AU104*'Entrada e Saida'!$G$64,0)</f>
        <v>#DIV/0!</v>
      </c>
      <c r="AT104" s="3" t="e">
        <f>IF('Entrada e Saida'!$H$11="TRADING",AU104*'Entrada e Saida'!$G$65,0)</f>
        <v>#DIV/0!</v>
      </c>
      <c r="AU104" s="4" t="e">
        <f>IF('Entrada e Saida'!$H$11="TRADING",AP104/(1-(SUM('Entrada e Saida'!$G$63:$G$65)+'Custo Resumido'!D104)),0)</f>
        <v>#DIV/0!</v>
      </c>
      <c r="AV104" s="3" t="e">
        <f>IF('Entrada e Saida'!$H$13="NÃO",AU104*M104,0)</f>
        <v>#DIV/0!</v>
      </c>
      <c r="AW104" s="4" t="e">
        <f t="shared" si="70"/>
        <v>#DIV/0!</v>
      </c>
      <c r="AX104" s="3" t="e">
        <f>'Entrada e Saida'!$G$74*AU104</f>
        <v>#DIV/0!</v>
      </c>
      <c r="AY104" s="4" t="e">
        <f t="shared" si="71"/>
        <v>#DIV/0!</v>
      </c>
      <c r="AZ104" s="4" t="e">
        <f>AQ104+('Entrada e Saida'!$G$65-'Entrada e Saida'!$I$65)*AU104-AX104</f>
        <v>#DIV/0!</v>
      </c>
      <c r="BA104" s="3" t="e">
        <f>IF('Entrada e Saida'!$H$12="REAL",AZ104*'Entrada e Saida'!$G$81,AU104*'Entrada e Saida'!$G$81)</f>
        <v>#DIV/0!</v>
      </c>
      <c r="BB104" s="3" t="e">
        <f>IF('Entrada e Saida'!$H$12="REAL",AZ104*'Entrada e Saida'!$G$82,AU104*'Entrada e Saida'!$G$82)</f>
        <v>#DIV/0!</v>
      </c>
      <c r="BC104" s="4" t="e">
        <f t="shared" si="72"/>
        <v>#DIV/0!</v>
      </c>
      <c r="BD104" s="3" t="e">
        <f>IF('Entrada e Saida'!$H$11="TRADING",AW104/D104,AK104/D104)</f>
        <v>#DIV/0!</v>
      </c>
      <c r="BE104" s="3" t="e">
        <f t="shared" si="73"/>
        <v>#DIV/0!</v>
      </c>
      <c r="BF104" s="2" t="e">
        <f t="shared" si="74"/>
        <v>#DIV/0!</v>
      </c>
      <c r="BG104" s="3" t="e">
        <f>IF('Entrada e Saida'!$H$11="TRADING",AV104/D104,AN104/D104)</f>
        <v>#DIV/0!</v>
      </c>
      <c r="BH104" s="3" t="e">
        <f>IF('Entrada e Saida'!$H$11="TRADING",IF('Entrada e Saida'!$H$12="REAL",AR104/D104,0),AL104/D104)</f>
        <v>#DIV/0!</v>
      </c>
      <c r="BI104" s="3" t="e">
        <f>IF('Entrada e Saida'!$H$11="TRADING",IF('Entrada e Saida'!$H$12="REAL",AS104/D104,0),AM104/D104)</f>
        <v>#DIV/0!</v>
      </c>
      <c r="BJ104" s="3" t="e">
        <f>IF('Entrada e Saida'!$H$11="TRADING",AT104/D104,AO104/D104)</f>
        <v>#DIV/0!</v>
      </c>
      <c r="BK104" s="2" t="e">
        <f t="shared" si="75"/>
        <v>#DIV/0!</v>
      </c>
      <c r="BL104" s="2">
        <f>IF(O104&gt;0,IFERROR(IF('Entrada e Saida'!$H$11="DIRETA",0,(IF('Entrada e Saida'!$H$14="P.JURIDICA",(BD104*(1+O104)*N104)-((BD104/(1+M104))*'Entrada e Saida'!$G$65),((Produtos!N104-'Entrada e Saida'!$G$65)*Produtos!BD104)))),0),0)</f>
        <v>0</v>
      </c>
      <c r="BM104" s="2" t="e">
        <f t="shared" si="76"/>
        <v>#DIV/0!</v>
      </c>
    </row>
    <row r="105" spans="1:65" s="1" customFormat="1">
      <c r="A105" s="127"/>
      <c r="B105" s="114"/>
      <c r="C105" s="116"/>
      <c r="D105" s="146"/>
      <c r="E105" s="115">
        <f>IFERROR(VLOOKUP(A105,'Master Modelo'!A:I,9,FALSE),0)</f>
        <v>0</v>
      </c>
      <c r="F105" s="189">
        <f>IFERROR(VLOOKUP(A105,'Master Modelo'!A:I,8,FALSE),0)</f>
        <v>0</v>
      </c>
      <c r="G105" s="189">
        <f>IFERROR(VLOOKUP(A105,'Master Modelo'!A:K,11,FALSE),0)</f>
        <v>0</v>
      </c>
      <c r="H105" s="114" t="e">
        <f t="shared" si="59"/>
        <v>#DIV/0!</v>
      </c>
      <c r="I105" s="150">
        <f>IFERROR(VLOOKUP(A105,'Master Modelo'!A:I,3,FALSE),0)</f>
        <v>0</v>
      </c>
      <c r="J105" s="151">
        <f>IFERROR(VLOOKUP(A105,'Master Modelo'!A:I,5,FALSE),0)</f>
        <v>0</v>
      </c>
      <c r="K105" s="151">
        <f>IFERROR(VLOOKUP(A105,'Master Modelo'!A:I,6,FALSE),0)</f>
        <v>0</v>
      </c>
      <c r="L105" s="152" t="e">
        <f>VLOOKUP(A105,'Master Modelo'!A:J,10,FALSE)</f>
        <v>#N/A</v>
      </c>
      <c r="M105" s="150">
        <f>IFERROR(VLOOKUP(A105,'Master Modelo'!A:I,4,FALSE),0)</f>
        <v>0</v>
      </c>
      <c r="N105" s="128"/>
      <c r="O105" s="129"/>
      <c r="P105" s="9">
        <f t="shared" si="60"/>
        <v>0</v>
      </c>
      <c r="Q105" s="177">
        <f t="shared" si="58"/>
        <v>0</v>
      </c>
      <c r="R105" s="3">
        <f>D105*E105*'Entrada e Saida'!$K$8</f>
        <v>0</v>
      </c>
      <c r="S105" s="179" t="e">
        <f>'Entrada e Saida'!$H$21*'Entrada e Saida'!$K$8*(P105/(SUM(P:P)))</f>
        <v>#DIV/0!</v>
      </c>
      <c r="T105" s="179" t="e">
        <f>'Entrada e Saida'!$H$21*'Entrada e Saida'!$K$8*(Q105/(SUM(Q:Q)))</f>
        <v>#DIV/0!</v>
      </c>
      <c r="U105" s="179" t="e">
        <f>'Entrada e Saida'!$H$22*(P105/(SUM(P:P)))</f>
        <v>#DIV/0!</v>
      </c>
      <c r="V105" s="179" t="e">
        <f>'Entrada e Saida'!$H$22*(Q105/(SUM(Q:Q)))</f>
        <v>#DIV/0!</v>
      </c>
      <c r="W105" s="8" t="e">
        <f t="shared" si="61"/>
        <v>#DIV/0!</v>
      </c>
      <c r="X105" s="179" t="e">
        <f>'Entrada e Saida'!$H$26*(IF('Entrada e Saida'!$H$15="PESO",(P105/(SUM(P:P))),(Q105/(SUM(Q:Q)))))</f>
        <v>#DIV/0!</v>
      </c>
      <c r="Y105" s="179" t="e">
        <f>'Entrada e Saida'!$H$27*(IF('Entrada e Saida'!$H$15="PESO",(P105/(SUM(P:P))),(Q105/(SUM(Q:Q)))))</f>
        <v>#DIV/0!</v>
      </c>
      <c r="Z105" s="179" t="e">
        <f>'Entrada e Saida'!$H$28*(IF('Entrada e Saida'!$H$15="PESO",(P105/(SUM(P:P))),(Q105/(SUM(Q:Q)))))</f>
        <v>#DIV/0!</v>
      </c>
      <c r="AA105" s="10" t="e">
        <f t="shared" si="62"/>
        <v>#DIV/0!</v>
      </c>
      <c r="AB105" s="3" t="e">
        <f t="shared" si="63"/>
        <v>#DIV/0!</v>
      </c>
      <c r="AC105" s="3" t="e">
        <f t="shared" si="64"/>
        <v>#DIV/0!</v>
      </c>
      <c r="AD105" s="3" t="e">
        <f t="shared" si="65"/>
        <v>#DIV/0!</v>
      </c>
      <c r="AE105" s="9" t="e">
        <f t="shared" si="66"/>
        <v>#DIV/0!</v>
      </c>
      <c r="AF105" s="126">
        <f>IFERROR(D105*F105*L105*'Entrada e Saida'!$K$8,0)</f>
        <v>0</v>
      </c>
      <c r="AG105" s="3" t="e">
        <f>((W105+AA105+AB105+AC105+AD105+AE105+AF105)/(1-'Entrada e Saida'!$G$65))*'Entrada e Saida'!$I$66</f>
        <v>#DIV/0!</v>
      </c>
      <c r="AH105" s="8" t="e">
        <f t="shared" si="67"/>
        <v>#DIV/0!</v>
      </c>
      <c r="AI105" s="183" t="e">
        <f>'Entrada e Saida'!$K$51*(IF('Entrada e Saida'!$H$15="PESO",(P105/(SUM(P:P))),(Q105/(SUM(Q:Q)))))</f>
        <v>#DIV/0!</v>
      </c>
      <c r="AJ105" s="7">
        <f>(('Entrada e Saida'!$K$10-'Entrada e Saida'!$K$8)*E105*D105)</f>
        <v>0</v>
      </c>
      <c r="AK105" s="184" t="e">
        <f>IF('Entrada e Saida'!$H$15="PESO",W105+AA105+AH105+AI105+AJ105,W105+AA105+AH105+AI105+AJ105-S105+T105-U105+V105)</f>
        <v>#DIV/0!</v>
      </c>
      <c r="AL105" s="6" t="e">
        <f>IF('Entrada e Saida'!$H$12="REAL",AC105,0)</f>
        <v>#DIV/0!</v>
      </c>
      <c r="AM105" s="6" t="e">
        <f>IF('Entrada e Saida'!$H$12="REAL",AD105,0)</f>
        <v>#DIV/0!</v>
      </c>
      <c r="AN105" s="5" t="e">
        <f>IF('Entrada e Saida'!$H$13= "NÃO",AE105,0)</f>
        <v>#DIV/0!</v>
      </c>
      <c r="AO105" s="5" t="e">
        <f t="shared" si="68"/>
        <v>#DIV/0!</v>
      </c>
      <c r="AP105" s="4" t="e">
        <f t="shared" si="69"/>
        <v>#DIV/0!</v>
      </c>
      <c r="AQ105" s="3" t="e">
        <f>IF('Entrada e Saida'!$H$11="TRADING",AU105*'Custo Resumido'!D105,0)</f>
        <v>#DIV/0!</v>
      </c>
      <c r="AR105" s="3" t="e">
        <f>IF('Entrada e Saida'!$H$11="TRADING",AU105*'Entrada e Saida'!$G$63,0)</f>
        <v>#DIV/0!</v>
      </c>
      <c r="AS105" s="3" t="e">
        <f>IF('Entrada e Saida'!$H$11="TRADING",AU105*'Entrada e Saida'!$G$64,0)</f>
        <v>#DIV/0!</v>
      </c>
      <c r="AT105" s="3" t="e">
        <f>IF('Entrada e Saida'!$H$11="TRADING",AU105*'Entrada e Saida'!$G$65,0)</f>
        <v>#DIV/0!</v>
      </c>
      <c r="AU105" s="4" t="e">
        <f>IF('Entrada e Saida'!$H$11="TRADING",AP105/(1-(SUM('Entrada e Saida'!$G$63:$G$65)+'Custo Resumido'!D105)),0)</f>
        <v>#DIV/0!</v>
      </c>
      <c r="AV105" s="3" t="e">
        <f>IF('Entrada e Saida'!$H$13="NÃO",AU105*M105,0)</f>
        <v>#DIV/0!</v>
      </c>
      <c r="AW105" s="4" t="e">
        <f t="shared" si="70"/>
        <v>#DIV/0!</v>
      </c>
      <c r="AX105" s="3" t="e">
        <f>'Entrada e Saida'!$G$74*AU105</f>
        <v>#DIV/0!</v>
      </c>
      <c r="AY105" s="4" t="e">
        <f t="shared" si="71"/>
        <v>#DIV/0!</v>
      </c>
      <c r="AZ105" s="4" t="e">
        <f>AQ105+('Entrada e Saida'!$G$65-'Entrada e Saida'!$I$65)*AU105-AX105</f>
        <v>#DIV/0!</v>
      </c>
      <c r="BA105" s="3" t="e">
        <f>IF('Entrada e Saida'!$H$12="REAL",AZ105*'Entrada e Saida'!$G$81,AU105*'Entrada e Saida'!$G$81)</f>
        <v>#DIV/0!</v>
      </c>
      <c r="BB105" s="3" t="e">
        <f>IF('Entrada e Saida'!$H$12="REAL",AZ105*'Entrada e Saida'!$G$82,AU105*'Entrada e Saida'!$G$82)</f>
        <v>#DIV/0!</v>
      </c>
      <c r="BC105" s="4" t="e">
        <f t="shared" si="72"/>
        <v>#DIV/0!</v>
      </c>
      <c r="BD105" s="3" t="e">
        <f>IF('Entrada e Saida'!$H$11="TRADING",AW105/D105,AK105/D105)</f>
        <v>#DIV/0!</v>
      </c>
      <c r="BE105" s="3" t="e">
        <f t="shared" si="73"/>
        <v>#DIV/0!</v>
      </c>
      <c r="BF105" s="2" t="e">
        <f t="shared" si="74"/>
        <v>#DIV/0!</v>
      </c>
      <c r="BG105" s="3" t="e">
        <f>IF('Entrada e Saida'!$H$11="TRADING",AV105/D105,AN105/D105)</f>
        <v>#DIV/0!</v>
      </c>
      <c r="BH105" s="3" t="e">
        <f>IF('Entrada e Saida'!$H$11="TRADING",IF('Entrada e Saida'!$H$12="REAL",AR105/D105,0),AL105/D105)</f>
        <v>#DIV/0!</v>
      </c>
      <c r="BI105" s="3" t="e">
        <f>IF('Entrada e Saida'!$H$11="TRADING",IF('Entrada e Saida'!$H$12="REAL",AS105/D105,0),AM105/D105)</f>
        <v>#DIV/0!</v>
      </c>
      <c r="BJ105" s="3" t="e">
        <f>IF('Entrada e Saida'!$H$11="TRADING",AT105/D105,AO105/D105)</f>
        <v>#DIV/0!</v>
      </c>
      <c r="BK105" s="2" t="e">
        <f t="shared" si="75"/>
        <v>#DIV/0!</v>
      </c>
      <c r="BL105" s="2">
        <f>IF(O105&gt;0,IFERROR(IF('Entrada e Saida'!$H$11="DIRETA",0,(IF('Entrada e Saida'!$H$14="P.JURIDICA",(BD105*(1+O105)*N105)-((BD105/(1+M105))*'Entrada e Saida'!$G$65),((Produtos!N105-'Entrada e Saida'!$G$65)*Produtos!BD105)))),0),0)</f>
        <v>0</v>
      </c>
      <c r="BM105" s="2" t="e">
        <f t="shared" si="76"/>
        <v>#DIV/0!</v>
      </c>
    </row>
    <row r="106" spans="1:65" s="1" customFormat="1">
      <c r="A106" s="127"/>
      <c r="B106" s="114"/>
      <c r="C106" s="116"/>
      <c r="D106" s="146"/>
      <c r="E106" s="115">
        <f>IFERROR(VLOOKUP(A106,'Master Modelo'!A:I,9,FALSE),0)</f>
        <v>0</v>
      </c>
      <c r="F106" s="189">
        <f>IFERROR(VLOOKUP(A106,'Master Modelo'!A:I,8,FALSE),0)</f>
        <v>0</v>
      </c>
      <c r="G106" s="189">
        <f>IFERROR(VLOOKUP(A106,'Master Modelo'!A:K,11,FALSE),0)</f>
        <v>0</v>
      </c>
      <c r="H106" s="114" t="e">
        <f t="shared" si="59"/>
        <v>#DIV/0!</v>
      </c>
      <c r="I106" s="150">
        <f>IFERROR(VLOOKUP(A106,'Master Modelo'!A:I,3,FALSE),0)</f>
        <v>0</v>
      </c>
      <c r="J106" s="151">
        <f>IFERROR(VLOOKUP(A106,'Master Modelo'!A:I,5,FALSE),0)</f>
        <v>0</v>
      </c>
      <c r="K106" s="151">
        <f>IFERROR(VLOOKUP(A106,'Master Modelo'!A:I,6,FALSE),0)</f>
        <v>0</v>
      </c>
      <c r="L106" s="152" t="e">
        <f>VLOOKUP(A106,'Master Modelo'!A:J,10,FALSE)</f>
        <v>#N/A</v>
      </c>
      <c r="M106" s="150">
        <f>IFERROR(VLOOKUP(A106,'Master Modelo'!A:I,4,FALSE),0)</f>
        <v>0</v>
      </c>
      <c r="N106" s="128"/>
      <c r="O106" s="129"/>
      <c r="P106" s="9">
        <f t="shared" si="60"/>
        <v>0</v>
      </c>
      <c r="Q106" s="177">
        <f t="shared" si="58"/>
        <v>0</v>
      </c>
      <c r="R106" s="3">
        <f>D106*E106*'Entrada e Saida'!$K$8</f>
        <v>0</v>
      </c>
      <c r="S106" s="179" t="e">
        <f>'Entrada e Saida'!$H$21*'Entrada e Saida'!$K$8*(P106/(SUM(P:P)))</f>
        <v>#DIV/0!</v>
      </c>
      <c r="T106" s="179" t="e">
        <f>'Entrada e Saida'!$H$21*'Entrada e Saida'!$K$8*(Q106/(SUM(Q:Q)))</f>
        <v>#DIV/0!</v>
      </c>
      <c r="U106" s="179" t="e">
        <f>'Entrada e Saida'!$H$22*(P106/(SUM(P:P)))</f>
        <v>#DIV/0!</v>
      </c>
      <c r="V106" s="179" t="e">
        <f>'Entrada e Saida'!$H$22*(Q106/(SUM(Q:Q)))</f>
        <v>#DIV/0!</v>
      </c>
      <c r="W106" s="8" t="e">
        <f t="shared" si="61"/>
        <v>#DIV/0!</v>
      </c>
      <c r="X106" s="179" t="e">
        <f>'Entrada e Saida'!$H$26*(IF('Entrada e Saida'!$H$15="PESO",(P106/(SUM(P:P))),(Q106/(SUM(Q:Q)))))</f>
        <v>#DIV/0!</v>
      </c>
      <c r="Y106" s="179" t="e">
        <f>'Entrada e Saida'!$H$27*(IF('Entrada e Saida'!$H$15="PESO",(P106/(SUM(P:P))),(Q106/(SUM(Q:Q)))))</f>
        <v>#DIV/0!</v>
      </c>
      <c r="Z106" s="179" t="e">
        <f>'Entrada e Saida'!$H$28*(IF('Entrada e Saida'!$H$15="PESO",(P106/(SUM(P:P))),(Q106/(SUM(Q:Q)))))</f>
        <v>#DIV/0!</v>
      </c>
      <c r="AA106" s="10" t="e">
        <f t="shared" si="62"/>
        <v>#DIV/0!</v>
      </c>
      <c r="AB106" s="3" t="e">
        <f t="shared" si="63"/>
        <v>#DIV/0!</v>
      </c>
      <c r="AC106" s="3" t="e">
        <f t="shared" si="64"/>
        <v>#DIV/0!</v>
      </c>
      <c r="AD106" s="3" t="e">
        <f t="shared" si="65"/>
        <v>#DIV/0!</v>
      </c>
      <c r="AE106" s="9" t="e">
        <f t="shared" si="66"/>
        <v>#DIV/0!</v>
      </c>
      <c r="AF106" s="126">
        <f>IFERROR(D106*F106*L106*'Entrada e Saida'!$K$8,0)</f>
        <v>0</v>
      </c>
      <c r="AG106" s="3" t="e">
        <f>((W106+AA106+AB106+AC106+AD106+AE106+AF106)/(1-'Entrada e Saida'!$G$65))*'Entrada e Saida'!$I$66</f>
        <v>#DIV/0!</v>
      </c>
      <c r="AH106" s="8" t="e">
        <f t="shared" si="67"/>
        <v>#DIV/0!</v>
      </c>
      <c r="AI106" s="183" t="e">
        <f>'Entrada e Saida'!$K$51*(IF('Entrada e Saida'!$H$15="PESO",(P106/(SUM(P:P))),(Q106/(SUM(Q:Q)))))</f>
        <v>#DIV/0!</v>
      </c>
      <c r="AJ106" s="7">
        <f>(('Entrada e Saida'!$K$10-'Entrada e Saida'!$K$8)*E106*D106)</f>
        <v>0</v>
      </c>
      <c r="AK106" s="184" t="e">
        <f>IF('Entrada e Saida'!$H$15="PESO",W106+AA106+AH106+AI106+AJ106,W106+AA106+AH106+AI106+AJ106-S106+T106-U106+V106)</f>
        <v>#DIV/0!</v>
      </c>
      <c r="AL106" s="6" t="e">
        <f>IF('Entrada e Saida'!$H$12="REAL",AC106,0)</f>
        <v>#DIV/0!</v>
      </c>
      <c r="AM106" s="6" t="e">
        <f>IF('Entrada e Saida'!$H$12="REAL",AD106,0)</f>
        <v>#DIV/0!</v>
      </c>
      <c r="AN106" s="5" t="e">
        <f>IF('Entrada e Saida'!$H$13= "NÃO",AE106,0)</f>
        <v>#DIV/0!</v>
      </c>
      <c r="AO106" s="5" t="e">
        <f t="shared" si="68"/>
        <v>#DIV/0!</v>
      </c>
      <c r="AP106" s="4" t="e">
        <f t="shared" si="69"/>
        <v>#DIV/0!</v>
      </c>
      <c r="AQ106" s="3" t="e">
        <f>IF('Entrada e Saida'!$H$11="TRADING",AU106*'Custo Resumido'!D106,0)</f>
        <v>#DIV/0!</v>
      </c>
      <c r="AR106" s="3" t="e">
        <f>IF('Entrada e Saida'!$H$11="TRADING",AU106*'Entrada e Saida'!$G$63,0)</f>
        <v>#DIV/0!</v>
      </c>
      <c r="AS106" s="3" t="e">
        <f>IF('Entrada e Saida'!$H$11="TRADING",AU106*'Entrada e Saida'!$G$64,0)</f>
        <v>#DIV/0!</v>
      </c>
      <c r="AT106" s="3" t="e">
        <f>IF('Entrada e Saida'!$H$11="TRADING",AU106*'Entrada e Saida'!$G$65,0)</f>
        <v>#DIV/0!</v>
      </c>
      <c r="AU106" s="4" t="e">
        <f>IF('Entrada e Saida'!$H$11="TRADING",AP106/(1-(SUM('Entrada e Saida'!$G$63:$G$65)+'Custo Resumido'!D106)),0)</f>
        <v>#DIV/0!</v>
      </c>
      <c r="AV106" s="3" t="e">
        <f>IF('Entrada e Saida'!$H$13="NÃO",AU106*M106,0)</f>
        <v>#DIV/0!</v>
      </c>
      <c r="AW106" s="4" t="e">
        <f t="shared" si="70"/>
        <v>#DIV/0!</v>
      </c>
      <c r="AX106" s="3" t="e">
        <f>'Entrada e Saida'!$G$74*AU106</f>
        <v>#DIV/0!</v>
      </c>
      <c r="AY106" s="4" t="e">
        <f t="shared" si="71"/>
        <v>#DIV/0!</v>
      </c>
      <c r="AZ106" s="4" t="e">
        <f>AQ106+('Entrada e Saida'!$G$65-'Entrada e Saida'!$I$65)*AU106-AX106</f>
        <v>#DIV/0!</v>
      </c>
      <c r="BA106" s="3" t="e">
        <f>IF('Entrada e Saida'!$H$12="REAL",AZ106*'Entrada e Saida'!$G$81,AU106*'Entrada e Saida'!$G$81)</f>
        <v>#DIV/0!</v>
      </c>
      <c r="BB106" s="3" t="e">
        <f>IF('Entrada e Saida'!$H$12="REAL",AZ106*'Entrada e Saida'!$G$82,AU106*'Entrada e Saida'!$G$82)</f>
        <v>#DIV/0!</v>
      </c>
      <c r="BC106" s="4" t="e">
        <f t="shared" si="72"/>
        <v>#DIV/0!</v>
      </c>
      <c r="BD106" s="3" t="e">
        <f>IF('Entrada e Saida'!$H$11="TRADING",AW106/D106,AK106/D106)</f>
        <v>#DIV/0!</v>
      </c>
      <c r="BE106" s="3" t="e">
        <f t="shared" si="73"/>
        <v>#DIV/0!</v>
      </c>
      <c r="BF106" s="2" t="e">
        <f t="shared" si="74"/>
        <v>#DIV/0!</v>
      </c>
      <c r="BG106" s="3" t="e">
        <f>IF('Entrada e Saida'!$H$11="TRADING",AV106/D106,AN106/D106)</f>
        <v>#DIV/0!</v>
      </c>
      <c r="BH106" s="3" t="e">
        <f>IF('Entrada e Saida'!$H$11="TRADING",IF('Entrada e Saida'!$H$12="REAL",AR106/D106,0),AL106/D106)</f>
        <v>#DIV/0!</v>
      </c>
      <c r="BI106" s="3" t="e">
        <f>IF('Entrada e Saida'!$H$11="TRADING",IF('Entrada e Saida'!$H$12="REAL",AS106/D106,0),AM106/D106)</f>
        <v>#DIV/0!</v>
      </c>
      <c r="BJ106" s="3" t="e">
        <f>IF('Entrada e Saida'!$H$11="TRADING",AT106/D106,AO106/D106)</f>
        <v>#DIV/0!</v>
      </c>
      <c r="BK106" s="2" t="e">
        <f t="shared" si="75"/>
        <v>#DIV/0!</v>
      </c>
      <c r="BL106" s="2">
        <f>IF(O106&gt;0,IFERROR(IF('Entrada e Saida'!$H$11="DIRETA",0,(IF('Entrada e Saida'!$H$14="P.JURIDICA",(BD106*(1+O106)*N106)-((BD106/(1+M106))*'Entrada e Saida'!$G$65),((Produtos!N106-'Entrada e Saida'!$G$65)*Produtos!BD106)))),0),0)</f>
        <v>0</v>
      </c>
      <c r="BM106" s="2" t="e">
        <f t="shared" si="76"/>
        <v>#DIV/0!</v>
      </c>
    </row>
    <row r="107" spans="1:65" s="1" customFormat="1">
      <c r="A107" s="127"/>
      <c r="B107" s="114"/>
      <c r="C107" s="116"/>
      <c r="D107" s="146"/>
      <c r="E107" s="115">
        <f>IFERROR(VLOOKUP(A107,'Master Modelo'!A:I,9,FALSE),0)</f>
        <v>0</v>
      </c>
      <c r="F107" s="189">
        <f>IFERROR(VLOOKUP(A107,'Master Modelo'!A:I,8,FALSE),0)</f>
        <v>0</v>
      </c>
      <c r="G107" s="189">
        <f>IFERROR(VLOOKUP(A107,'Master Modelo'!A:K,11,FALSE),0)</f>
        <v>0</v>
      </c>
      <c r="H107" s="114" t="e">
        <f t="shared" si="59"/>
        <v>#DIV/0!</v>
      </c>
      <c r="I107" s="150">
        <f>IFERROR(VLOOKUP(A107,'Master Modelo'!A:I,3,FALSE),0)</f>
        <v>0</v>
      </c>
      <c r="J107" s="151">
        <f>IFERROR(VLOOKUP(A107,'Master Modelo'!A:I,5,FALSE),0)</f>
        <v>0</v>
      </c>
      <c r="K107" s="151">
        <f>IFERROR(VLOOKUP(A107,'Master Modelo'!A:I,6,FALSE),0)</f>
        <v>0</v>
      </c>
      <c r="L107" s="152" t="e">
        <f>VLOOKUP(A107,'Master Modelo'!A:J,10,FALSE)</f>
        <v>#N/A</v>
      </c>
      <c r="M107" s="150">
        <f>IFERROR(VLOOKUP(A107,'Master Modelo'!A:I,4,FALSE),0)</f>
        <v>0</v>
      </c>
      <c r="N107" s="128"/>
      <c r="O107" s="129"/>
      <c r="P107" s="9">
        <f t="shared" si="60"/>
        <v>0</v>
      </c>
      <c r="Q107" s="177">
        <f t="shared" si="58"/>
        <v>0</v>
      </c>
      <c r="R107" s="3">
        <f>D107*E107*'Entrada e Saida'!$K$8</f>
        <v>0</v>
      </c>
      <c r="S107" s="179" t="e">
        <f>'Entrada e Saida'!$H$21*'Entrada e Saida'!$K$8*(P107/(SUM(P:P)))</f>
        <v>#DIV/0!</v>
      </c>
      <c r="T107" s="179" t="e">
        <f>'Entrada e Saida'!$H$21*'Entrada e Saida'!$K$8*(Q107/(SUM(Q:Q)))</f>
        <v>#DIV/0!</v>
      </c>
      <c r="U107" s="179" t="e">
        <f>'Entrada e Saida'!$H$22*(P107/(SUM(P:P)))</f>
        <v>#DIV/0!</v>
      </c>
      <c r="V107" s="179" t="e">
        <f>'Entrada e Saida'!$H$22*(Q107/(SUM(Q:Q)))</f>
        <v>#DIV/0!</v>
      </c>
      <c r="W107" s="8" t="e">
        <f t="shared" si="61"/>
        <v>#DIV/0!</v>
      </c>
      <c r="X107" s="179" t="e">
        <f>'Entrada e Saida'!$H$26*(IF('Entrada e Saida'!$H$15="PESO",(P107/(SUM(P:P))),(Q107/(SUM(Q:Q)))))</f>
        <v>#DIV/0!</v>
      </c>
      <c r="Y107" s="179" t="e">
        <f>'Entrada e Saida'!$H$27*(IF('Entrada e Saida'!$H$15="PESO",(P107/(SUM(P:P))),(Q107/(SUM(Q:Q)))))</f>
        <v>#DIV/0!</v>
      </c>
      <c r="Z107" s="179" t="e">
        <f>'Entrada e Saida'!$H$28*(IF('Entrada e Saida'!$H$15="PESO",(P107/(SUM(P:P))),(Q107/(SUM(Q:Q)))))</f>
        <v>#DIV/0!</v>
      </c>
      <c r="AA107" s="10" t="e">
        <f t="shared" si="62"/>
        <v>#DIV/0!</v>
      </c>
      <c r="AB107" s="3" t="e">
        <f t="shared" si="63"/>
        <v>#DIV/0!</v>
      </c>
      <c r="AC107" s="3" t="e">
        <f t="shared" si="64"/>
        <v>#DIV/0!</v>
      </c>
      <c r="AD107" s="3" t="e">
        <f t="shared" si="65"/>
        <v>#DIV/0!</v>
      </c>
      <c r="AE107" s="9" t="e">
        <f t="shared" si="66"/>
        <v>#DIV/0!</v>
      </c>
      <c r="AF107" s="126">
        <f>IFERROR(D107*F107*L107*'Entrada e Saida'!$K$8,0)</f>
        <v>0</v>
      </c>
      <c r="AG107" s="3" t="e">
        <f>((W107+AA107+AB107+AC107+AD107+AE107+AF107)/(1-'Entrada e Saida'!$G$65))*'Entrada e Saida'!$I$66</f>
        <v>#DIV/0!</v>
      </c>
      <c r="AH107" s="8" t="e">
        <f t="shared" si="67"/>
        <v>#DIV/0!</v>
      </c>
      <c r="AI107" s="183" t="e">
        <f>'Entrada e Saida'!$K$51*(IF('Entrada e Saida'!$H$15="PESO",(P107/(SUM(P:P))),(Q107/(SUM(Q:Q)))))</f>
        <v>#DIV/0!</v>
      </c>
      <c r="AJ107" s="7">
        <f>(('Entrada e Saida'!$K$10-'Entrada e Saida'!$K$8)*E107*D107)</f>
        <v>0</v>
      </c>
      <c r="AK107" s="184" t="e">
        <f>IF('Entrada e Saida'!$H$15="PESO",W107+AA107+AH107+AI107+AJ107,W107+AA107+AH107+AI107+AJ107-S107+T107-U107+V107)</f>
        <v>#DIV/0!</v>
      </c>
      <c r="AL107" s="6" t="e">
        <f>IF('Entrada e Saida'!$H$12="REAL",AC107,0)</f>
        <v>#DIV/0!</v>
      </c>
      <c r="AM107" s="6" t="e">
        <f>IF('Entrada e Saida'!$H$12="REAL",AD107,0)</f>
        <v>#DIV/0!</v>
      </c>
      <c r="AN107" s="5" t="e">
        <f>IF('Entrada e Saida'!$H$13= "NÃO",AE107,0)</f>
        <v>#DIV/0!</v>
      </c>
      <c r="AO107" s="5" t="e">
        <f t="shared" si="68"/>
        <v>#DIV/0!</v>
      </c>
      <c r="AP107" s="4" t="e">
        <f t="shared" si="69"/>
        <v>#DIV/0!</v>
      </c>
      <c r="AQ107" s="3" t="e">
        <f>IF('Entrada e Saida'!$H$11="TRADING",AU107*'Custo Resumido'!D107,0)</f>
        <v>#DIV/0!</v>
      </c>
      <c r="AR107" s="3" t="e">
        <f>IF('Entrada e Saida'!$H$11="TRADING",AU107*'Entrada e Saida'!$G$63,0)</f>
        <v>#DIV/0!</v>
      </c>
      <c r="AS107" s="3" t="e">
        <f>IF('Entrada e Saida'!$H$11="TRADING",AU107*'Entrada e Saida'!$G$64,0)</f>
        <v>#DIV/0!</v>
      </c>
      <c r="AT107" s="3" t="e">
        <f>IF('Entrada e Saida'!$H$11="TRADING",AU107*'Entrada e Saida'!$G$65,0)</f>
        <v>#DIV/0!</v>
      </c>
      <c r="AU107" s="4" t="e">
        <f>IF('Entrada e Saida'!$H$11="TRADING",AP107/(1-(SUM('Entrada e Saida'!$G$63:$G$65)+'Custo Resumido'!D107)),0)</f>
        <v>#DIV/0!</v>
      </c>
      <c r="AV107" s="3" t="e">
        <f>IF('Entrada e Saida'!$H$13="NÃO",AU107*M107,0)</f>
        <v>#DIV/0!</v>
      </c>
      <c r="AW107" s="4" t="e">
        <f t="shared" si="70"/>
        <v>#DIV/0!</v>
      </c>
      <c r="AX107" s="3" t="e">
        <f>'Entrada e Saida'!$G$74*AU107</f>
        <v>#DIV/0!</v>
      </c>
      <c r="AY107" s="4" t="e">
        <f t="shared" si="71"/>
        <v>#DIV/0!</v>
      </c>
      <c r="AZ107" s="4" t="e">
        <f>AQ107+('Entrada e Saida'!$G$65-'Entrada e Saida'!$I$65)*AU107-AX107</f>
        <v>#DIV/0!</v>
      </c>
      <c r="BA107" s="3" t="e">
        <f>IF('Entrada e Saida'!$H$12="REAL",AZ107*'Entrada e Saida'!$G$81,AU107*'Entrada e Saida'!$G$81)</f>
        <v>#DIV/0!</v>
      </c>
      <c r="BB107" s="3" t="e">
        <f>IF('Entrada e Saida'!$H$12="REAL",AZ107*'Entrada e Saida'!$G$82,AU107*'Entrada e Saida'!$G$82)</f>
        <v>#DIV/0!</v>
      </c>
      <c r="BC107" s="4" t="e">
        <f t="shared" si="72"/>
        <v>#DIV/0!</v>
      </c>
      <c r="BD107" s="3" t="e">
        <f>IF('Entrada e Saida'!$H$11="TRADING",AW107/D107,AK107/D107)</f>
        <v>#DIV/0!</v>
      </c>
      <c r="BE107" s="3" t="e">
        <f t="shared" si="73"/>
        <v>#DIV/0!</v>
      </c>
      <c r="BF107" s="2" t="e">
        <f t="shared" si="74"/>
        <v>#DIV/0!</v>
      </c>
      <c r="BG107" s="3" t="e">
        <f>IF('Entrada e Saida'!$H$11="TRADING",AV107/D107,AN107/D107)</f>
        <v>#DIV/0!</v>
      </c>
      <c r="BH107" s="3" t="e">
        <f>IF('Entrada e Saida'!$H$11="TRADING",IF('Entrada e Saida'!$H$12="REAL",AR107/D107,0),AL107/D107)</f>
        <v>#DIV/0!</v>
      </c>
      <c r="BI107" s="3" t="e">
        <f>IF('Entrada e Saida'!$H$11="TRADING",IF('Entrada e Saida'!$H$12="REAL",AS107/D107,0),AM107/D107)</f>
        <v>#DIV/0!</v>
      </c>
      <c r="BJ107" s="3" t="e">
        <f>IF('Entrada e Saida'!$H$11="TRADING",AT107/D107,AO107/D107)</f>
        <v>#DIV/0!</v>
      </c>
      <c r="BK107" s="2" t="e">
        <f t="shared" si="75"/>
        <v>#DIV/0!</v>
      </c>
      <c r="BL107" s="2">
        <f>IF(O107&gt;0,IFERROR(IF('Entrada e Saida'!$H$11="DIRETA",0,(IF('Entrada e Saida'!$H$14="P.JURIDICA",(BD107*(1+O107)*N107)-((BD107/(1+M107))*'Entrada e Saida'!$G$65),((Produtos!N107-'Entrada e Saida'!$G$65)*Produtos!BD107)))),0),0)</f>
        <v>0</v>
      </c>
      <c r="BM107" s="2" t="e">
        <f t="shared" si="76"/>
        <v>#DIV/0!</v>
      </c>
    </row>
    <row r="108" spans="1:65" s="1" customFormat="1">
      <c r="A108" s="127"/>
      <c r="B108" s="114"/>
      <c r="C108" s="116"/>
      <c r="D108" s="146"/>
      <c r="E108" s="115">
        <f>IFERROR(VLOOKUP(A108,'Master Modelo'!A:I,9,FALSE),0)</f>
        <v>0</v>
      </c>
      <c r="F108" s="189">
        <f>IFERROR(VLOOKUP(A108,'Master Modelo'!A:I,8,FALSE),0)</f>
        <v>0</v>
      </c>
      <c r="G108" s="189">
        <f>IFERROR(VLOOKUP(A108,'Master Modelo'!A:K,11,FALSE),0)</f>
        <v>0</v>
      </c>
      <c r="H108" s="114" t="e">
        <f t="shared" si="59"/>
        <v>#DIV/0!</v>
      </c>
      <c r="I108" s="150">
        <f>IFERROR(VLOOKUP(A108,'Master Modelo'!A:I,3,FALSE),0)</f>
        <v>0</v>
      </c>
      <c r="J108" s="151">
        <f>IFERROR(VLOOKUP(A108,'Master Modelo'!A:I,5,FALSE),0)</f>
        <v>0</v>
      </c>
      <c r="K108" s="151">
        <f>IFERROR(VLOOKUP(A108,'Master Modelo'!A:I,6,FALSE),0)</f>
        <v>0</v>
      </c>
      <c r="L108" s="152" t="e">
        <f>VLOOKUP(A108,'Master Modelo'!A:J,10,FALSE)</f>
        <v>#N/A</v>
      </c>
      <c r="M108" s="150">
        <f>IFERROR(VLOOKUP(A108,'Master Modelo'!A:I,4,FALSE),0)</f>
        <v>0</v>
      </c>
      <c r="N108" s="128"/>
      <c r="O108" s="129"/>
      <c r="P108" s="9">
        <f t="shared" si="60"/>
        <v>0</v>
      </c>
      <c r="Q108" s="177">
        <f t="shared" si="58"/>
        <v>0</v>
      </c>
      <c r="R108" s="3">
        <f>D108*E108*'Entrada e Saida'!$K$8</f>
        <v>0</v>
      </c>
      <c r="S108" s="179" t="e">
        <f>'Entrada e Saida'!$H$21*'Entrada e Saida'!$K$8*(P108/(SUM(P:P)))</f>
        <v>#DIV/0!</v>
      </c>
      <c r="T108" s="179" t="e">
        <f>'Entrada e Saida'!$H$21*'Entrada e Saida'!$K$8*(Q108/(SUM(Q:Q)))</f>
        <v>#DIV/0!</v>
      </c>
      <c r="U108" s="179" t="e">
        <f>'Entrada e Saida'!$H$22*(P108/(SUM(P:P)))</f>
        <v>#DIV/0!</v>
      </c>
      <c r="V108" s="179" t="e">
        <f>'Entrada e Saida'!$H$22*(Q108/(SUM(Q:Q)))</f>
        <v>#DIV/0!</v>
      </c>
      <c r="W108" s="8" t="e">
        <f t="shared" si="61"/>
        <v>#DIV/0!</v>
      </c>
      <c r="X108" s="179" t="e">
        <f>'Entrada e Saida'!$H$26*(IF('Entrada e Saida'!$H$15="PESO",(P108/(SUM(P:P))),(Q108/(SUM(Q:Q)))))</f>
        <v>#DIV/0!</v>
      </c>
      <c r="Y108" s="179" t="e">
        <f>'Entrada e Saida'!$H$27*(IF('Entrada e Saida'!$H$15="PESO",(P108/(SUM(P:P))),(Q108/(SUM(Q:Q)))))</f>
        <v>#DIV/0!</v>
      </c>
      <c r="Z108" s="179" t="e">
        <f>'Entrada e Saida'!$H$28*(IF('Entrada e Saida'!$H$15="PESO",(P108/(SUM(P:P))),(Q108/(SUM(Q:Q)))))</f>
        <v>#DIV/0!</v>
      </c>
      <c r="AA108" s="10" t="e">
        <f t="shared" si="62"/>
        <v>#DIV/0!</v>
      </c>
      <c r="AB108" s="3" t="e">
        <f t="shared" si="63"/>
        <v>#DIV/0!</v>
      </c>
      <c r="AC108" s="3" t="e">
        <f t="shared" si="64"/>
        <v>#DIV/0!</v>
      </c>
      <c r="AD108" s="3" t="e">
        <f t="shared" si="65"/>
        <v>#DIV/0!</v>
      </c>
      <c r="AE108" s="9" t="e">
        <f t="shared" si="66"/>
        <v>#DIV/0!</v>
      </c>
      <c r="AF108" s="126">
        <f>IFERROR(D108*F108*L108*'Entrada e Saida'!$K$8,0)</f>
        <v>0</v>
      </c>
      <c r="AG108" s="3" t="e">
        <f>((W108+AA108+AB108+AC108+AD108+AE108+AF108)/(1-'Entrada e Saida'!$G$65))*'Entrada e Saida'!$I$66</f>
        <v>#DIV/0!</v>
      </c>
      <c r="AH108" s="8" t="e">
        <f t="shared" si="67"/>
        <v>#DIV/0!</v>
      </c>
      <c r="AI108" s="183" t="e">
        <f>'Entrada e Saida'!$K$51*(IF('Entrada e Saida'!$H$15="PESO",(P108/(SUM(P:P))),(Q108/(SUM(Q:Q)))))</f>
        <v>#DIV/0!</v>
      </c>
      <c r="AJ108" s="7">
        <f>(('Entrada e Saida'!$K$10-'Entrada e Saida'!$K$8)*E108*D108)</f>
        <v>0</v>
      </c>
      <c r="AK108" s="184" t="e">
        <f>IF('Entrada e Saida'!$H$15="PESO",W108+AA108+AH108+AI108+AJ108,W108+AA108+AH108+AI108+AJ108-S108+T108-U108+V108)</f>
        <v>#DIV/0!</v>
      </c>
      <c r="AL108" s="6" t="e">
        <f>IF('Entrada e Saida'!$H$12="REAL",AC108,0)</f>
        <v>#DIV/0!</v>
      </c>
      <c r="AM108" s="6" t="e">
        <f>IF('Entrada e Saida'!$H$12="REAL",AD108,0)</f>
        <v>#DIV/0!</v>
      </c>
      <c r="AN108" s="5" t="e">
        <f>IF('Entrada e Saida'!$H$13= "NÃO",AE108,0)</f>
        <v>#DIV/0!</v>
      </c>
      <c r="AO108" s="5" t="e">
        <f t="shared" si="68"/>
        <v>#DIV/0!</v>
      </c>
      <c r="AP108" s="4" t="e">
        <f t="shared" si="69"/>
        <v>#DIV/0!</v>
      </c>
      <c r="AQ108" s="3" t="e">
        <f>IF('Entrada e Saida'!$H$11="TRADING",AU108*'Custo Resumido'!D108,0)</f>
        <v>#DIV/0!</v>
      </c>
      <c r="AR108" s="3" t="e">
        <f>IF('Entrada e Saida'!$H$11="TRADING",AU108*'Entrada e Saida'!$G$63,0)</f>
        <v>#DIV/0!</v>
      </c>
      <c r="AS108" s="3" t="e">
        <f>IF('Entrada e Saida'!$H$11="TRADING",AU108*'Entrada e Saida'!$G$64,0)</f>
        <v>#DIV/0!</v>
      </c>
      <c r="AT108" s="3" t="e">
        <f>IF('Entrada e Saida'!$H$11="TRADING",AU108*'Entrada e Saida'!$G$65,0)</f>
        <v>#DIV/0!</v>
      </c>
      <c r="AU108" s="4" t="e">
        <f>IF('Entrada e Saida'!$H$11="TRADING",AP108/(1-(SUM('Entrada e Saida'!$G$63:$G$65)+'Custo Resumido'!D108)),0)</f>
        <v>#DIV/0!</v>
      </c>
      <c r="AV108" s="3" t="e">
        <f>IF('Entrada e Saida'!$H$13="NÃO",AU108*M108,0)</f>
        <v>#DIV/0!</v>
      </c>
      <c r="AW108" s="4" t="e">
        <f t="shared" si="70"/>
        <v>#DIV/0!</v>
      </c>
      <c r="AX108" s="3" t="e">
        <f>'Entrada e Saida'!$G$74*AU108</f>
        <v>#DIV/0!</v>
      </c>
      <c r="AY108" s="4" t="e">
        <f t="shared" si="71"/>
        <v>#DIV/0!</v>
      </c>
      <c r="AZ108" s="4" t="e">
        <f>AQ108+('Entrada e Saida'!$G$65-'Entrada e Saida'!$I$65)*AU108-AX108</f>
        <v>#DIV/0!</v>
      </c>
      <c r="BA108" s="3" t="e">
        <f>IF('Entrada e Saida'!$H$12="REAL",AZ108*'Entrada e Saida'!$G$81,AU108*'Entrada e Saida'!$G$81)</f>
        <v>#DIV/0!</v>
      </c>
      <c r="BB108" s="3" t="e">
        <f>IF('Entrada e Saida'!$H$12="REAL",AZ108*'Entrada e Saida'!$G$82,AU108*'Entrada e Saida'!$G$82)</f>
        <v>#DIV/0!</v>
      </c>
      <c r="BC108" s="4" t="e">
        <f t="shared" si="72"/>
        <v>#DIV/0!</v>
      </c>
      <c r="BD108" s="3" t="e">
        <f>IF('Entrada e Saida'!$H$11="TRADING",AW108/D108,AK108/D108)</f>
        <v>#DIV/0!</v>
      </c>
      <c r="BE108" s="3" t="e">
        <f t="shared" si="73"/>
        <v>#DIV/0!</v>
      </c>
      <c r="BF108" s="2" t="e">
        <f t="shared" si="74"/>
        <v>#DIV/0!</v>
      </c>
      <c r="BG108" s="3" t="e">
        <f>IF('Entrada e Saida'!$H$11="TRADING",AV108/D108,AN108/D108)</f>
        <v>#DIV/0!</v>
      </c>
      <c r="BH108" s="3" t="e">
        <f>IF('Entrada e Saida'!$H$11="TRADING",IF('Entrada e Saida'!$H$12="REAL",AR108/D108,0),AL108/D108)</f>
        <v>#DIV/0!</v>
      </c>
      <c r="BI108" s="3" t="e">
        <f>IF('Entrada e Saida'!$H$11="TRADING",IF('Entrada e Saida'!$H$12="REAL",AS108/D108,0),AM108/D108)</f>
        <v>#DIV/0!</v>
      </c>
      <c r="BJ108" s="3" t="e">
        <f>IF('Entrada e Saida'!$H$11="TRADING",AT108/D108,AO108/D108)</f>
        <v>#DIV/0!</v>
      </c>
      <c r="BK108" s="2" t="e">
        <f t="shared" si="75"/>
        <v>#DIV/0!</v>
      </c>
      <c r="BL108" s="2">
        <f>IF(O108&gt;0,IFERROR(IF('Entrada e Saida'!$H$11="DIRETA",0,(IF('Entrada e Saida'!$H$14="P.JURIDICA",(BD108*(1+O108)*N108)-((BD108/(1+M108))*'Entrada e Saida'!$G$65),((Produtos!N108-'Entrada e Saida'!$G$65)*Produtos!BD108)))),0),0)</f>
        <v>0</v>
      </c>
      <c r="BM108" s="2" t="e">
        <f t="shared" si="76"/>
        <v>#DIV/0!</v>
      </c>
    </row>
    <row r="109" spans="1:65" s="1" customFormat="1">
      <c r="A109" s="127"/>
      <c r="B109" s="114"/>
      <c r="C109" s="116"/>
      <c r="D109" s="146"/>
      <c r="E109" s="115">
        <f>IFERROR(VLOOKUP(A109,'Master Modelo'!A:I,9,FALSE),0)</f>
        <v>0</v>
      </c>
      <c r="F109" s="189">
        <f>IFERROR(VLOOKUP(A109,'Master Modelo'!A:I,8,FALSE),0)</f>
        <v>0</v>
      </c>
      <c r="G109" s="189">
        <f>IFERROR(VLOOKUP(A109,'Master Modelo'!A:K,11,FALSE),0)</f>
        <v>0</v>
      </c>
      <c r="H109" s="114" t="e">
        <f t="shared" si="59"/>
        <v>#DIV/0!</v>
      </c>
      <c r="I109" s="150">
        <f>IFERROR(VLOOKUP(A109,'Master Modelo'!A:I,3,FALSE),0)</f>
        <v>0</v>
      </c>
      <c r="J109" s="151">
        <f>IFERROR(VLOOKUP(A109,'Master Modelo'!A:I,5,FALSE),0)</f>
        <v>0</v>
      </c>
      <c r="K109" s="151">
        <f>IFERROR(VLOOKUP(A109,'Master Modelo'!A:I,6,FALSE),0)</f>
        <v>0</v>
      </c>
      <c r="L109" s="152" t="e">
        <f>VLOOKUP(A109,'Master Modelo'!A:J,10,FALSE)</f>
        <v>#N/A</v>
      </c>
      <c r="M109" s="150">
        <f>IFERROR(VLOOKUP(A109,'Master Modelo'!A:I,4,FALSE),0)</f>
        <v>0</v>
      </c>
      <c r="N109" s="128"/>
      <c r="O109" s="129"/>
      <c r="P109" s="9">
        <f t="shared" si="60"/>
        <v>0</v>
      </c>
      <c r="Q109" s="177">
        <f t="shared" si="58"/>
        <v>0</v>
      </c>
      <c r="R109" s="3">
        <f>D109*E109*'Entrada e Saida'!$K$8</f>
        <v>0</v>
      </c>
      <c r="S109" s="179" t="e">
        <f>'Entrada e Saida'!$H$21*'Entrada e Saida'!$K$8*(P109/(SUM(P:P)))</f>
        <v>#DIV/0!</v>
      </c>
      <c r="T109" s="179" t="e">
        <f>'Entrada e Saida'!$H$21*'Entrada e Saida'!$K$8*(Q109/(SUM(Q:Q)))</f>
        <v>#DIV/0!</v>
      </c>
      <c r="U109" s="179" t="e">
        <f>'Entrada e Saida'!$H$22*(P109/(SUM(P:P)))</f>
        <v>#DIV/0!</v>
      </c>
      <c r="V109" s="179" t="e">
        <f>'Entrada e Saida'!$H$22*(Q109/(SUM(Q:Q)))</f>
        <v>#DIV/0!</v>
      </c>
      <c r="W109" s="8" t="e">
        <f t="shared" si="61"/>
        <v>#DIV/0!</v>
      </c>
      <c r="X109" s="179" t="e">
        <f>'Entrada e Saida'!$H$26*(IF('Entrada e Saida'!$H$15="PESO",(P109/(SUM(P:P))),(Q109/(SUM(Q:Q)))))</f>
        <v>#DIV/0!</v>
      </c>
      <c r="Y109" s="179" t="e">
        <f>'Entrada e Saida'!$H$27*(IF('Entrada e Saida'!$H$15="PESO",(P109/(SUM(P:P))),(Q109/(SUM(Q:Q)))))</f>
        <v>#DIV/0!</v>
      </c>
      <c r="Z109" s="179" t="e">
        <f>'Entrada e Saida'!$H$28*(IF('Entrada e Saida'!$H$15="PESO",(P109/(SUM(P:P))),(Q109/(SUM(Q:Q)))))</f>
        <v>#DIV/0!</v>
      </c>
      <c r="AA109" s="10" t="e">
        <f t="shared" si="62"/>
        <v>#DIV/0!</v>
      </c>
      <c r="AB109" s="3" t="e">
        <f t="shared" si="63"/>
        <v>#DIV/0!</v>
      </c>
      <c r="AC109" s="3" t="e">
        <f t="shared" si="64"/>
        <v>#DIV/0!</v>
      </c>
      <c r="AD109" s="3" t="e">
        <f t="shared" si="65"/>
        <v>#DIV/0!</v>
      </c>
      <c r="AE109" s="9" t="e">
        <f t="shared" si="66"/>
        <v>#DIV/0!</v>
      </c>
      <c r="AF109" s="126">
        <f>IFERROR(D109*F109*L109*'Entrada e Saida'!$K$8,0)</f>
        <v>0</v>
      </c>
      <c r="AG109" s="3" t="e">
        <f>((W109+AA109+AB109+AC109+AD109+AE109+AF109)/(1-'Entrada e Saida'!$G$65))*'Entrada e Saida'!$I$66</f>
        <v>#DIV/0!</v>
      </c>
      <c r="AH109" s="8" t="e">
        <f t="shared" si="67"/>
        <v>#DIV/0!</v>
      </c>
      <c r="AI109" s="183" t="e">
        <f>'Entrada e Saida'!$K$51*(IF('Entrada e Saida'!$H$15="PESO",(P109/(SUM(P:P))),(Q109/(SUM(Q:Q)))))</f>
        <v>#DIV/0!</v>
      </c>
      <c r="AJ109" s="7">
        <f>(('Entrada e Saida'!$K$10-'Entrada e Saida'!$K$8)*E109*D109)</f>
        <v>0</v>
      </c>
      <c r="AK109" s="184" t="e">
        <f>IF('Entrada e Saida'!$H$15="PESO",W109+AA109+AH109+AI109+AJ109,W109+AA109+AH109+AI109+AJ109-S109+T109-U109+V109)</f>
        <v>#DIV/0!</v>
      </c>
      <c r="AL109" s="6" t="e">
        <f>IF('Entrada e Saida'!$H$12="REAL",AC109,0)</f>
        <v>#DIV/0!</v>
      </c>
      <c r="AM109" s="6" t="e">
        <f>IF('Entrada e Saida'!$H$12="REAL",AD109,0)</f>
        <v>#DIV/0!</v>
      </c>
      <c r="AN109" s="5" t="e">
        <f>IF('Entrada e Saida'!$H$13= "NÃO",AE109,0)</f>
        <v>#DIV/0!</v>
      </c>
      <c r="AO109" s="5" t="e">
        <f t="shared" si="68"/>
        <v>#DIV/0!</v>
      </c>
      <c r="AP109" s="4" t="e">
        <f t="shared" si="69"/>
        <v>#DIV/0!</v>
      </c>
      <c r="AQ109" s="3" t="e">
        <f>IF('Entrada e Saida'!$H$11="TRADING",AU109*'Custo Resumido'!D109,0)</f>
        <v>#DIV/0!</v>
      </c>
      <c r="AR109" s="3" t="e">
        <f>IF('Entrada e Saida'!$H$11="TRADING",AU109*'Entrada e Saida'!$G$63,0)</f>
        <v>#DIV/0!</v>
      </c>
      <c r="AS109" s="3" t="e">
        <f>IF('Entrada e Saida'!$H$11="TRADING",AU109*'Entrada e Saida'!$G$64,0)</f>
        <v>#DIV/0!</v>
      </c>
      <c r="AT109" s="3" t="e">
        <f>IF('Entrada e Saida'!$H$11="TRADING",AU109*'Entrada e Saida'!$G$65,0)</f>
        <v>#DIV/0!</v>
      </c>
      <c r="AU109" s="4" t="e">
        <f>IF('Entrada e Saida'!$H$11="TRADING",AP109/(1-(SUM('Entrada e Saida'!$G$63:$G$65)+'Custo Resumido'!D109)),0)</f>
        <v>#DIV/0!</v>
      </c>
      <c r="AV109" s="3" t="e">
        <f>IF('Entrada e Saida'!$H$13="NÃO",AU109*M109,0)</f>
        <v>#DIV/0!</v>
      </c>
      <c r="AW109" s="4" t="e">
        <f t="shared" si="70"/>
        <v>#DIV/0!</v>
      </c>
      <c r="AX109" s="3" t="e">
        <f>'Entrada e Saida'!$G$74*AU109</f>
        <v>#DIV/0!</v>
      </c>
      <c r="AY109" s="4" t="e">
        <f t="shared" si="71"/>
        <v>#DIV/0!</v>
      </c>
      <c r="AZ109" s="4" t="e">
        <f>AQ109+('Entrada e Saida'!$G$65-'Entrada e Saida'!$I$65)*AU109-AX109</f>
        <v>#DIV/0!</v>
      </c>
      <c r="BA109" s="3" t="e">
        <f>IF('Entrada e Saida'!$H$12="REAL",AZ109*'Entrada e Saida'!$G$81,AU109*'Entrada e Saida'!$G$81)</f>
        <v>#DIV/0!</v>
      </c>
      <c r="BB109" s="3" t="e">
        <f>IF('Entrada e Saida'!$H$12="REAL",AZ109*'Entrada e Saida'!$G$82,AU109*'Entrada e Saida'!$G$82)</f>
        <v>#DIV/0!</v>
      </c>
      <c r="BC109" s="4" t="e">
        <f t="shared" si="72"/>
        <v>#DIV/0!</v>
      </c>
      <c r="BD109" s="3" t="e">
        <f>IF('Entrada e Saida'!$H$11="TRADING",AW109/D109,AK109/D109)</f>
        <v>#DIV/0!</v>
      </c>
      <c r="BE109" s="3" t="e">
        <f t="shared" si="73"/>
        <v>#DIV/0!</v>
      </c>
      <c r="BF109" s="2" t="e">
        <f t="shared" si="74"/>
        <v>#DIV/0!</v>
      </c>
      <c r="BG109" s="3" t="e">
        <f>IF('Entrada e Saida'!$H$11="TRADING",AV109/D109,AN109/D109)</f>
        <v>#DIV/0!</v>
      </c>
      <c r="BH109" s="3" t="e">
        <f>IF('Entrada e Saida'!$H$11="TRADING",IF('Entrada e Saida'!$H$12="REAL",AR109/D109,0),AL109/D109)</f>
        <v>#DIV/0!</v>
      </c>
      <c r="BI109" s="3" t="e">
        <f>IF('Entrada e Saida'!$H$11="TRADING",IF('Entrada e Saida'!$H$12="REAL",AS109/D109,0),AM109/D109)</f>
        <v>#DIV/0!</v>
      </c>
      <c r="BJ109" s="3" t="e">
        <f>IF('Entrada e Saida'!$H$11="TRADING",AT109/D109,AO109/D109)</f>
        <v>#DIV/0!</v>
      </c>
      <c r="BK109" s="2" t="e">
        <f t="shared" si="75"/>
        <v>#DIV/0!</v>
      </c>
      <c r="BL109" s="2">
        <f>IF(O109&gt;0,IFERROR(IF('Entrada e Saida'!$H$11="DIRETA",0,(IF('Entrada e Saida'!$H$14="P.JURIDICA",(BD109*(1+O109)*N109)-((BD109/(1+M109))*'Entrada e Saida'!$G$65),((Produtos!N109-'Entrada e Saida'!$G$65)*Produtos!BD109)))),0),0)</f>
        <v>0</v>
      </c>
      <c r="BM109" s="2" t="e">
        <f t="shared" si="76"/>
        <v>#DIV/0!</v>
      </c>
    </row>
    <row r="110" spans="1:65" s="1" customFormat="1">
      <c r="A110" s="127"/>
      <c r="B110" s="114"/>
      <c r="C110" s="116"/>
      <c r="D110" s="146"/>
      <c r="E110" s="115">
        <f>IFERROR(VLOOKUP(A110,'Master Modelo'!A:I,9,FALSE),0)</f>
        <v>0</v>
      </c>
      <c r="F110" s="189">
        <f>IFERROR(VLOOKUP(A110,'Master Modelo'!A:I,8,FALSE),0)</f>
        <v>0</v>
      </c>
      <c r="G110" s="189">
        <f>IFERROR(VLOOKUP(A110,'Master Modelo'!A:K,11,FALSE),0)</f>
        <v>0</v>
      </c>
      <c r="H110" s="114" t="e">
        <f t="shared" si="59"/>
        <v>#DIV/0!</v>
      </c>
      <c r="I110" s="150">
        <f>IFERROR(VLOOKUP(A110,'Master Modelo'!A:I,3,FALSE),0)</f>
        <v>0</v>
      </c>
      <c r="J110" s="151">
        <f>IFERROR(VLOOKUP(A110,'Master Modelo'!A:I,5,FALSE),0)</f>
        <v>0</v>
      </c>
      <c r="K110" s="151">
        <f>IFERROR(VLOOKUP(A110,'Master Modelo'!A:I,6,FALSE),0)</f>
        <v>0</v>
      </c>
      <c r="L110" s="152" t="e">
        <f>VLOOKUP(A110,'Master Modelo'!A:J,10,FALSE)</f>
        <v>#N/A</v>
      </c>
      <c r="M110" s="150">
        <f>IFERROR(VLOOKUP(A110,'Master Modelo'!A:I,4,FALSE),0)</f>
        <v>0</v>
      </c>
      <c r="N110" s="128"/>
      <c r="O110" s="129"/>
      <c r="P110" s="9">
        <f t="shared" si="60"/>
        <v>0</v>
      </c>
      <c r="Q110" s="177">
        <f t="shared" si="58"/>
        <v>0</v>
      </c>
      <c r="R110" s="3">
        <f>D110*E110*'Entrada e Saida'!$K$8</f>
        <v>0</v>
      </c>
      <c r="S110" s="179" t="e">
        <f>'Entrada e Saida'!$H$21*'Entrada e Saida'!$K$8*(P110/(SUM(P:P)))</f>
        <v>#DIV/0!</v>
      </c>
      <c r="T110" s="179" t="e">
        <f>'Entrada e Saida'!$H$21*'Entrada e Saida'!$K$8*(Q110/(SUM(Q:Q)))</f>
        <v>#DIV/0!</v>
      </c>
      <c r="U110" s="179" t="e">
        <f>'Entrada e Saida'!$H$22*(P110/(SUM(P:P)))</f>
        <v>#DIV/0!</v>
      </c>
      <c r="V110" s="179" t="e">
        <f>'Entrada e Saida'!$H$22*(Q110/(SUM(Q:Q)))</f>
        <v>#DIV/0!</v>
      </c>
      <c r="W110" s="8" t="e">
        <f t="shared" si="61"/>
        <v>#DIV/0!</v>
      </c>
      <c r="X110" s="179" t="e">
        <f>'Entrada e Saida'!$H$26*(IF('Entrada e Saida'!$H$15="PESO",(P110/(SUM(P:P))),(Q110/(SUM(Q:Q)))))</f>
        <v>#DIV/0!</v>
      </c>
      <c r="Y110" s="179" t="e">
        <f>'Entrada e Saida'!$H$27*(IF('Entrada e Saida'!$H$15="PESO",(P110/(SUM(P:P))),(Q110/(SUM(Q:Q)))))</f>
        <v>#DIV/0!</v>
      </c>
      <c r="Z110" s="179" t="e">
        <f>'Entrada e Saida'!$H$28*(IF('Entrada e Saida'!$H$15="PESO",(P110/(SUM(P:P))),(Q110/(SUM(Q:Q)))))</f>
        <v>#DIV/0!</v>
      </c>
      <c r="AA110" s="10" t="e">
        <f t="shared" si="62"/>
        <v>#DIV/0!</v>
      </c>
      <c r="AB110" s="3" t="e">
        <f t="shared" si="63"/>
        <v>#DIV/0!</v>
      </c>
      <c r="AC110" s="3" t="e">
        <f t="shared" si="64"/>
        <v>#DIV/0!</v>
      </c>
      <c r="AD110" s="3" t="e">
        <f t="shared" si="65"/>
        <v>#DIV/0!</v>
      </c>
      <c r="AE110" s="9" t="e">
        <f t="shared" si="66"/>
        <v>#DIV/0!</v>
      </c>
      <c r="AF110" s="126">
        <f>IFERROR(D110*F110*L110*'Entrada e Saida'!$K$8,0)</f>
        <v>0</v>
      </c>
      <c r="AG110" s="3" t="e">
        <f>((W110+AA110+AB110+AC110+AD110+AE110+AF110)/(1-'Entrada e Saida'!$G$65))*'Entrada e Saida'!$I$66</f>
        <v>#DIV/0!</v>
      </c>
      <c r="AH110" s="8" t="e">
        <f t="shared" si="67"/>
        <v>#DIV/0!</v>
      </c>
      <c r="AI110" s="183" t="e">
        <f>'Entrada e Saida'!$K$51*(IF('Entrada e Saida'!$H$15="PESO",(P110/(SUM(P:P))),(Q110/(SUM(Q:Q)))))</f>
        <v>#DIV/0!</v>
      </c>
      <c r="AJ110" s="7">
        <f>(('Entrada e Saida'!$K$10-'Entrada e Saida'!$K$8)*E110*D110)</f>
        <v>0</v>
      </c>
      <c r="AK110" s="184" t="e">
        <f>IF('Entrada e Saida'!$H$15="PESO",W110+AA110+AH110+AI110+AJ110,W110+AA110+AH110+AI110+AJ110-S110+T110-U110+V110)</f>
        <v>#DIV/0!</v>
      </c>
      <c r="AL110" s="6" t="e">
        <f>IF('Entrada e Saida'!$H$12="REAL",AC110,0)</f>
        <v>#DIV/0!</v>
      </c>
      <c r="AM110" s="6" t="e">
        <f>IF('Entrada e Saida'!$H$12="REAL",AD110,0)</f>
        <v>#DIV/0!</v>
      </c>
      <c r="AN110" s="5" t="e">
        <f>IF('Entrada e Saida'!$H$13= "NÃO",AE110,0)</f>
        <v>#DIV/0!</v>
      </c>
      <c r="AO110" s="5" t="e">
        <f t="shared" si="68"/>
        <v>#DIV/0!</v>
      </c>
      <c r="AP110" s="4" t="e">
        <f t="shared" si="69"/>
        <v>#DIV/0!</v>
      </c>
      <c r="AQ110" s="3" t="e">
        <f>IF('Entrada e Saida'!$H$11="TRADING",AU110*'Custo Resumido'!D110,0)</f>
        <v>#DIV/0!</v>
      </c>
      <c r="AR110" s="3" t="e">
        <f>IF('Entrada e Saida'!$H$11="TRADING",AU110*'Entrada e Saida'!$G$63,0)</f>
        <v>#DIV/0!</v>
      </c>
      <c r="AS110" s="3" t="e">
        <f>IF('Entrada e Saida'!$H$11="TRADING",AU110*'Entrada e Saida'!$G$64,0)</f>
        <v>#DIV/0!</v>
      </c>
      <c r="AT110" s="3" t="e">
        <f>IF('Entrada e Saida'!$H$11="TRADING",AU110*'Entrada e Saida'!$G$65,0)</f>
        <v>#DIV/0!</v>
      </c>
      <c r="AU110" s="4" t="e">
        <f>IF('Entrada e Saida'!$H$11="TRADING",AP110/(1-(SUM('Entrada e Saida'!$G$63:$G$65)+'Custo Resumido'!D110)),0)</f>
        <v>#DIV/0!</v>
      </c>
      <c r="AV110" s="3" t="e">
        <f>IF('Entrada e Saida'!$H$13="NÃO",AU110*M110,0)</f>
        <v>#DIV/0!</v>
      </c>
      <c r="AW110" s="4" t="e">
        <f t="shared" si="70"/>
        <v>#DIV/0!</v>
      </c>
      <c r="AX110" s="3" t="e">
        <f>'Entrada e Saida'!$G$74*AU110</f>
        <v>#DIV/0!</v>
      </c>
      <c r="AY110" s="4" t="e">
        <f t="shared" si="71"/>
        <v>#DIV/0!</v>
      </c>
      <c r="AZ110" s="4" t="e">
        <f>AQ110+('Entrada e Saida'!$G$65-'Entrada e Saida'!$I$65)*AU110-AX110</f>
        <v>#DIV/0!</v>
      </c>
      <c r="BA110" s="3" t="e">
        <f>IF('Entrada e Saida'!$H$12="REAL",AZ110*'Entrada e Saida'!$G$81,AU110*'Entrada e Saida'!$G$81)</f>
        <v>#DIV/0!</v>
      </c>
      <c r="BB110" s="3" t="e">
        <f>IF('Entrada e Saida'!$H$12="REAL",AZ110*'Entrada e Saida'!$G$82,AU110*'Entrada e Saida'!$G$82)</f>
        <v>#DIV/0!</v>
      </c>
      <c r="BC110" s="4" t="e">
        <f t="shared" si="72"/>
        <v>#DIV/0!</v>
      </c>
      <c r="BD110" s="3" t="e">
        <f>IF('Entrada e Saida'!$H$11="TRADING",AW110/D110,AK110/D110)</f>
        <v>#DIV/0!</v>
      </c>
      <c r="BE110" s="3" t="e">
        <f t="shared" si="73"/>
        <v>#DIV/0!</v>
      </c>
      <c r="BF110" s="2" t="e">
        <f t="shared" si="74"/>
        <v>#DIV/0!</v>
      </c>
      <c r="BG110" s="3" t="e">
        <f>IF('Entrada e Saida'!$H$11="TRADING",AV110/D110,AN110/D110)</f>
        <v>#DIV/0!</v>
      </c>
      <c r="BH110" s="3" t="e">
        <f>IF('Entrada e Saida'!$H$11="TRADING",IF('Entrada e Saida'!$H$12="REAL",AR110/D110,0),AL110/D110)</f>
        <v>#DIV/0!</v>
      </c>
      <c r="BI110" s="3" t="e">
        <f>IF('Entrada e Saida'!$H$11="TRADING",IF('Entrada e Saida'!$H$12="REAL",AS110/D110,0),AM110/D110)</f>
        <v>#DIV/0!</v>
      </c>
      <c r="BJ110" s="3" t="e">
        <f>IF('Entrada e Saida'!$H$11="TRADING",AT110/D110,AO110/D110)</f>
        <v>#DIV/0!</v>
      </c>
      <c r="BK110" s="2" t="e">
        <f t="shared" si="75"/>
        <v>#DIV/0!</v>
      </c>
      <c r="BL110" s="2">
        <f>IF(O110&gt;0,IFERROR(IF('Entrada e Saida'!$H$11="DIRETA",0,(IF('Entrada e Saida'!$H$14="P.JURIDICA",(BD110*(1+O110)*N110)-((BD110/(1+M110))*'Entrada e Saida'!$G$65),((Produtos!N110-'Entrada e Saida'!$G$65)*Produtos!BD110)))),0),0)</f>
        <v>0</v>
      </c>
      <c r="BM110" s="2" t="e">
        <f t="shared" si="76"/>
        <v>#DIV/0!</v>
      </c>
    </row>
    <row r="111" spans="1:65" s="1" customFormat="1">
      <c r="A111" s="127"/>
      <c r="B111" s="114"/>
      <c r="C111" s="116"/>
      <c r="D111" s="146"/>
      <c r="E111" s="115">
        <f>IFERROR(VLOOKUP(A111,'Master Modelo'!A:I,9,FALSE),0)</f>
        <v>0</v>
      </c>
      <c r="F111" s="189">
        <f>IFERROR(VLOOKUP(A111,'Master Modelo'!A:I,8,FALSE),0)</f>
        <v>0</v>
      </c>
      <c r="G111" s="189">
        <f>IFERROR(VLOOKUP(A111,'Master Modelo'!A:K,11,FALSE),0)</f>
        <v>0</v>
      </c>
      <c r="H111" s="114" t="e">
        <f t="shared" si="59"/>
        <v>#DIV/0!</v>
      </c>
      <c r="I111" s="150">
        <f>IFERROR(VLOOKUP(A111,'Master Modelo'!A:I,3,FALSE),0)</f>
        <v>0</v>
      </c>
      <c r="J111" s="151">
        <f>IFERROR(VLOOKUP(A111,'Master Modelo'!A:I,5,FALSE),0)</f>
        <v>0</v>
      </c>
      <c r="K111" s="151">
        <f>IFERROR(VLOOKUP(A111,'Master Modelo'!A:I,6,FALSE),0)</f>
        <v>0</v>
      </c>
      <c r="L111" s="152" t="e">
        <f>VLOOKUP(A111,'Master Modelo'!A:J,10,FALSE)</f>
        <v>#N/A</v>
      </c>
      <c r="M111" s="150">
        <f>IFERROR(VLOOKUP(A111,'Master Modelo'!A:I,4,FALSE),0)</f>
        <v>0</v>
      </c>
      <c r="N111" s="128"/>
      <c r="O111" s="129"/>
      <c r="P111" s="9">
        <f t="shared" si="60"/>
        <v>0</v>
      </c>
      <c r="Q111" s="177">
        <f t="shared" si="58"/>
        <v>0</v>
      </c>
      <c r="R111" s="3">
        <f>D111*E111*'Entrada e Saida'!$K$8</f>
        <v>0</v>
      </c>
      <c r="S111" s="179" t="e">
        <f>'Entrada e Saida'!$H$21*'Entrada e Saida'!$K$8*(P111/(SUM(P:P)))</f>
        <v>#DIV/0!</v>
      </c>
      <c r="T111" s="179" t="e">
        <f>'Entrada e Saida'!$H$21*'Entrada e Saida'!$K$8*(Q111/(SUM(Q:Q)))</f>
        <v>#DIV/0!</v>
      </c>
      <c r="U111" s="179" t="e">
        <f>'Entrada e Saida'!$H$22*(P111/(SUM(P:P)))</f>
        <v>#DIV/0!</v>
      </c>
      <c r="V111" s="179" t="e">
        <f>'Entrada e Saida'!$H$22*(Q111/(SUM(Q:Q)))</f>
        <v>#DIV/0!</v>
      </c>
      <c r="W111" s="8" t="e">
        <f t="shared" si="61"/>
        <v>#DIV/0!</v>
      </c>
      <c r="X111" s="179" t="e">
        <f>'Entrada e Saida'!$H$26*(IF('Entrada e Saida'!$H$15="PESO",(P111/(SUM(P:P))),(Q111/(SUM(Q:Q)))))</f>
        <v>#DIV/0!</v>
      </c>
      <c r="Y111" s="179" t="e">
        <f>'Entrada e Saida'!$H$27*(IF('Entrada e Saida'!$H$15="PESO",(P111/(SUM(P:P))),(Q111/(SUM(Q:Q)))))</f>
        <v>#DIV/0!</v>
      </c>
      <c r="Z111" s="179" t="e">
        <f>'Entrada e Saida'!$H$28*(IF('Entrada e Saida'!$H$15="PESO",(P111/(SUM(P:P))),(Q111/(SUM(Q:Q)))))</f>
        <v>#DIV/0!</v>
      </c>
      <c r="AA111" s="10" t="e">
        <f t="shared" si="62"/>
        <v>#DIV/0!</v>
      </c>
      <c r="AB111" s="3" t="e">
        <f t="shared" si="63"/>
        <v>#DIV/0!</v>
      </c>
      <c r="AC111" s="3" t="e">
        <f t="shared" si="64"/>
        <v>#DIV/0!</v>
      </c>
      <c r="AD111" s="3" t="e">
        <f t="shared" si="65"/>
        <v>#DIV/0!</v>
      </c>
      <c r="AE111" s="9" t="e">
        <f t="shared" si="66"/>
        <v>#DIV/0!</v>
      </c>
      <c r="AF111" s="126">
        <f>IFERROR(D111*F111*L111*'Entrada e Saida'!$K$8,0)</f>
        <v>0</v>
      </c>
      <c r="AG111" s="3" t="e">
        <f>((W111+AA111+AB111+AC111+AD111+AE111+AF111)/(1-'Entrada e Saida'!$G$65))*'Entrada e Saida'!$I$66</f>
        <v>#DIV/0!</v>
      </c>
      <c r="AH111" s="8" t="e">
        <f t="shared" si="67"/>
        <v>#DIV/0!</v>
      </c>
      <c r="AI111" s="183" t="e">
        <f>'Entrada e Saida'!$K$51*(IF('Entrada e Saida'!$H$15="PESO",(P111/(SUM(P:P))),(Q111/(SUM(Q:Q)))))</f>
        <v>#DIV/0!</v>
      </c>
      <c r="AJ111" s="7">
        <f>(('Entrada e Saida'!$K$10-'Entrada e Saida'!$K$8)*E111*D111)</f>
        <v>0</v>
      </c>
      <c r="AK111" s="184" t="e">
        <f>IF('Entrada e Saida'!$H$15="PESO",W111+AA111+AH111+AI111+AJ111,W111+AA111+AH111+AI111+AJ111-S111+T111-U111+V111)</f>
        <v>#DIV/0!</v>
      </c>
      <c r="AL111" s="6" t="e">
        <f>IF('Entrada e Saida'!$H$12="REAL",AC111,0)</f>
        <v>#DIV/0!</v>
      </c>
      <c r="AM111" s="6" t="e">
        <f>IF('Entrada e Saida'!$H$12="REAL",AD111,0)</f>
        <v>#DIV/0!</v>
      </c>
      <c r="AN111" s="5" t="e">
        <f>IF('Entrada e Saida'!$H$13= "NÃO",AE111,0)</f>
        <v>#DIV/0!</v>
      </c>
      <c r="AO111" s="5" t="e">
        <f t="shared" si="68"/>
        <v>#DIV/0!</v>
      </c>
      <c r="AP111" s="4" t="e">
        <f t="shared" si="69"/>
        <v>#DIV/0!</v>
      </c>
      <c r="AQ111" s="3" t="e">
        <f>IF('Entrada e Saida'!$H$11="TRADING",AU111*'Custo Resumido'!D111,0)</f>
        <v>#DIV/0!</v>
      </c>
      <c r="AR111" s="3" t="e">
        <f>IF('Entrada e Saida'!$H$11="TRADING",AU111*'Entrada e Saida'!$G$63,0)</f>
        <v>#DIV/0!</v>
      </c>
      <c r="AS111" s="3" t="e">
        <f>IF('Entrada e Saida'!$H$11="TRADING",AU111*'Entrada e Saida'!$G$64,0)</f>
        <v>#DIV/0!</v>
      </c>
      <c r="AT111" s="3" t="e">
        <f>IF('Entrada e Saida'!$H$11="TRADING",AU111*'Entrada e Saida'!$G$65,0)</f>
        <v>#DIV/0!</v>
      </c>
      <c r="AU111" s="4" t="e">
        <f>IF('Entrada e Saida'!$H$11="TRADING",AP111/(1-(SUM('Entrada e Saida'!$G$63:$G$65)+'Custo Resumido'!D111)),0)</f>
        <v>#DIV/0!</v>
      </c>
      <c r="AV111" s="3" t="e">
        <f>IF('Entrada e Saida'!$H$13="NÃO",AU111*M111,0)</f>
        <v>#DIV/0!</v>
      </c>
      <c r="AW111" s="4" t="e">
        <f t="shared" si="70"/>
        <v>#DIV/0!</v>
      </c>
      <c r="AX111" s="3" t="e">
        <f>'Entrada e Saida'!$G$74*AU111</f>
        <v>#DIV/0!</v>
      </c>
      <c r="AY111" s="4" t="e">
        <f t="shared" si="71"/>
        <v>#DIV/0!</v>
      </c>
      <c r="AZ111" s="4" t="e">
        <f>AQ111+('Entrada e Saida'!$G$65-'Entrada e Saida'!$I$65)*AU111-AX111</f>
        <v>#DIV/0!</v>
      </c>
      <c r="BA111" s="3" t="e">
        <f>IF('Entrada e Saida'!$H$12="REAL",AZ111*'Entrada e Saida'!$G$81,AU111*'Entrada e Saida'!$G$81)</f>
        <v>#DIV/0!</v>
      </c>
      <c r="BB111" s="3" t="e">
        <f>IF('Entrada e Saida'!$H$12="REAL",AZ111*'Entrada e Saida'!$G$82,AU111*'Entrada e Saida'!$G$82)</f>
        <v>#DIV/0!</v>
      </c>
      <c r="BC111" s="4" t="e">
        <f t="shared" si="72"/>
        <v>#DIV/0!</v>
      </c>
      <c r="BD111" s="3" t="e">
        <f>IF('Entrada e Saida'!$H$11="TRADING",AW111/D111,AK111/D111)</f>
        <v>#DIV/0!</v>
      </c>
      <c r="BE111" s="3" t="e">
        <f t="shared" si="73"/>
        <v>#DIV/0!</v>
      </c>
      <c r="BF111" s="2" t="e">
        <f t="shared" si="74"/>
        <v>#DIV/0!</v>
      </c>
      <c r="BG111" s="3" t="e">
        <f>IF('Entrada e Saida'!$H$11="TRADING",AV111/D111,AN111/D111)</f>
        <v>#DIV/0!</v>
      </c>
      <c r="BH111" s="3" t="e">
        <f>IF('Entrada e Saida'!$H$11="TRADING",IF('Entrada e Saida'!$H$12="REAL",AR111/D111,0),AL111/D111)</f>
        <v>#DIV/0!</v>
      </c>
      <c r="BI111" s="3" t="e">
        <f>IF('Entrada e Saida'!$H$11="TRADING",IF('Entrada e Saida'!$H$12="REAL",AS111/D111,0),AM111/D111)</f>
        <v>#DIV/0!</v>
      </c>
      <c r="BJ111" s="3" t="e">
        <f>IF('Entrada e Saida'!$H$11="TRADING",AT111/D111,AO111/D111)</f>
        <v>#DIV/0!</v>
      </c>
      <c r="BK111" s="2" t="e">
        <f t="shared" si="75"/>
        <v>#DIV/0!</v>
      </c>
      <c r="BL111" s="2">
        <f>IF(O111&gt;0,IFERROR(IF('Entrada e Saida'!$H$11="DIRETA",0,(IF('Entrada e Saida'!$H$14="P.JURIDICA",(BD111*(1+O111)*N111)-((BD111/(1+M111))*'Entrada e Saida'!$G$65),((Produtos!N111-'Entrada e Saida'!$G$65)*Produtos!BD111)))),0),0)</f>
        <v>0</v>
      </c>
      <c r="BM111" s="2" t="e">
        <f t="shared" si="76"/>
        <v>#DIV/0!</v>
      </c>
    </row>
    <row r="112" spans="1:65" s="1" customFormat="1">
      <c r="A112" s="127"/>
      <c r="B112" s="114"/>
      <c r="C112" s="116"/>
      <c r="D112" s="146"/>
      <c r="E112" s="115">
        <f>IFERROR(VLOOKUP(A112,'Master Modelo'!A:I,9,FALSE),0)</f>
        <v>0</v>
      </c>
      <c r="F112" s="189">
        <f>IFERROR(VLOOKUP(A112,'Master Modelo'!A:I,8,FALSE),0)</f>
        <v>0</v>
      </c>
      <c r="G112" s="189">
        <f>IFERROR(VLOOKUP(A112,'Master Modelo'!A:K,11,FALSE),0)</f>
        <v>0</v>
      </c>
      <c r="H112" s="114" t="e">
        <f t="shared" si="59"/>
        <v>#DIV/0!</v>
      </c>
      <c r="I112" s="150">
        <f>IFERROR(VLOOKUP(A112,'Master Modelo'!A:I,3,FALSE),0)</f>
        <v>0</v>
      </c>
      <c r="J112" s="151">
        <f>IFERROR(VLOOKUP(A112,'Master Modelo'!A:I,5,FALSE),0)</f>
        <v>0</v>
      </c>
      <c r="K112" s="151">
        <f>IFERROR(VLOOKUP(A112,'Master Modelo'!A:I,6,FALSE),0)</f>
        <v>0</v>
      </c>
      <c r="L112" s="152" t="e">
        <f>VLOOKUP(A112,'Master Modelo'!A:J,10,FALSE)</f>
        <v>#N/A</v>
      </c>
      <c r="M112" s="150">
        <f>IFERROR(VLOOKUP(A112,'Master Modelo'!A:I,4,FALSE),0)</f>
        <v>0</v>
      </c>
      <c r="N112" s="128"/>
      <c r="O112" s="129"/>
      <c r="P112" s="9">
        <f t="shared" si="60"/>
        <v>0</v>
      </c>
      <c r="Q112" s="177">
        <f t="shared" si="58"/>
        <v>0</v>
      </c>
      <c r="R112" s="3">
        <f>D112*E112*'Entrada e Saida'!$K$8</f>
        <v>0</v>
      </c>
      <c r="S112" s="179" t="e">
        <f>'Entrada e Saida'!$H$21*'Entrada e Saida'!$K$8*(P112/(SUM(P:P)))</f>
        <v>#DIV/0!</v>
      </c>
      <c r="T112" s="179" t="e">
        <f>'Entrada e Saida'!$H$21*'Entrada e Saida'!$K$8*(Q112/(SUM(Q:Q)))</f>
        <v>#DIV/0!</v>
      </c>
      <c r="U112" s="179" t="e">
        <f>'Entrada e Saida'!$H$22*(P112/(SUM(P:P)))</f>
        <v>#DIV/0!</v>
      </c>
      <c r="V112" s="179" t="e">
        <f>'Entrada e Saida'!$H$22*(Q112/(SUM(Q:Q)))</f>
        <v>#DIV/0!</v>
      </c>
      <c r="W112" s="8" t="e">
        <f t="shared" si="61"/>
        <v>#DIV/0!</v>
      </c>
      <c r="X112" s="179" t="e">
        <f>'Entrada e Saida'!$H$26*(IF('Entrada e Saida'!$H$15="PESO",(P112/(SUM(P:P))),(Q112/(SUM(Q:Q)))))</f>
        <v>#DIV/0!</v>
      </c>
      <c r="Y112" s="179" t="e">
        <f>'Entrada e Saida'!$H$27*(IF('Entrada e Saida'!$H$15="PESO",(P112/(SUM(P:P))),(Q112/(SUM(Q:Q)))))</f>
        <v>#DIV/0!</v>
      </c>
      <c r="Z112" s="179" t="e">
        <f>'Entrada e Saida'!$H$28*(IF('Entrada e Saida'!$H$15="PESO",(P112/(SUM(P:P))),(Q112/(SUM(Q:Q)))))</f>
        <v>#DIV/0!</v>
      </c>
      <c r="AA112" s="10" t="e">
        <f t="shared" si="62"/>
        <v>#DIV/0!</v>
      </c>
      <c r="AB112" s="3" t="e">
        <f t="shared" si="63"/>
        <v>#DIV/0!</v>
      </c>
      <c r="AC112" s="3" t="e">
        <f t="shared" si="64"/>
        <v>#DIV/0!</v>
      </c>
      <c r="AD112" s="3" t="e">
        <f t="shared" si="65"/>
        <v>#DIV/0!</v>
      </c>
      <c r="AE112" s="9" t="e">
        <f t="shared" si="66"/>
        <v>#DIV/0!</v>
      </c>
      <c r="AF112" s="126">
        <f>IFERROR(D112*F112*L112*'Entrada e Saida'!$K$8,0)</f>
        <v>0</v>
      </c>
      <c r="AG112" s="3" t="e">
        <f>((W112+AA112+AB112+AC112+AD112+AE112+AF112)/(1-'Entrada e Saida'!$G$65))*'Entrada e Saida'!$I$66</f>
        <v>#DIV/0!</v>
      </c>
      <c r="AH112" s="8" t="e">
        <f t="shared" si="67"/>
        <v>#DIV/0!</v>
      </c>
      <c r="AI112" s="183" t="e">
        <f>'Entrada e Saida'!$K$51*(IF('Entrada e Saida'!$H$15="PESO",(P112/(SUM(P:P))),(Q112/(SUM(Q:Q)))))</f>
        <v>#DIV/0!</v>
      </c>
      <c r="AJ112" s="7">
        <f>(('Entrada e Saida'!$K$10-'Entrada e Saida'!$K$8)*E112*D112)</f>
        <v>0</v>
      </c>
      <c r="AK112" s="184" t="e">
        <f>IF('Entrada e Saida'!$H$15="PESO",W112+AA112+AH112+AI112+AJ112,W112+AA112+AH112+AI112+AJ112-S112+T112-U112+V112)</f>
        <v>#DIV/0!</v>
      </c>
      <c r="AL112" s="6" t="e">
        <f>IF('Entrada e Saida'!$H$12="REAL",AC112,0)</f>
        <v>#DIV/0!</v>
      </c>
      <c r="AM112" s="6" t="e">
        <f>IF('Entrada e Saida'!$H$12="REAL",AD112,0)</f>
        <v>#DIV/0!</v>
      </c>
      <c r="AN112" s="5" t="e">
        <f>IF('Entrada e Saida'!$H$13= "NÃO",AE112,0)</f>
        <v>#DIV/0!</v>
      </c>
      <c r="AO112" s="5" t="e">
        <f t="shared" si="68"/>
        <v>#DIV/0!</v>
      </c>
      <c r="AP112" s="4" t="e">
        <f t="shared" si="69"/>
        <v>#DIV/0!</v>
      </c>
      <c r="AQ112" s="3" t="e">
        <f>IF('Entrada e Saida'!$H$11="TRADING",AU112*'Custo Resumido'!D112,0)</f>
        <v>#DIV/0!</v>
      </c>
      <c r="AR112" s="3" t="e">
        <f>IF('Entrada e Saida'!$H$11="TRADING",AU112*'Entrada e Saida'!$G$63,0)</f>
        <v>#DIV/0!</v>
      </c>
      <c r="AS112" s="3" t="e">
        <f>IF('Entrada e Saida'!$H$11="TRADING",AU112*'Entrada e Saida'!$G$64,0)</f>
        <v>#DIV/0!</v>
      </c>
      <c r="AT112" s="3" t="e">
        <f>IF('Entrada e Saida'!$H$11="TRADING",AU112*'Entrada e Saida'!$G$65,0)</f>
        <v>#DIV/0!</v>
      </c>
      <c r="AU112" s="4" t="e">
        <f>IF('Entrada e Saida'!$H$11="TRADING",AP112/(1-(SUM('Entrada e Saida'!$G$63:$G$65)+'Custo Resumido'!D112)),0)</f>
        <v>#DIV/0!</v>
      </c>
      <c r="AV112" s="3" t="e">
        <f>IF('Entrada e Saida'!$H$13="NÃO",AU112*M112,0)</f>
        <v>#DIV/0!</v>
      </c>
      <c r="AW112" s="4" t="e">
        <f t="shared" si="70"/>
        <v>#DIV/0!</v>
      </c>
      <c r="AX112" s="3" t="e">
        <f>'Entrada e Saida'!$G$74*AU112</f>
        <v>#DIV/0!</v>
      </c>
      <c r="AY112" s="4" t="e">
        <f t="shared" si="71"/>
        <v>#DIV/0!</v>
      </c>
      <c r="AZ112" s="4" t="e">
        <f>AQ112+('Entrada e Saida'!$G$65-'Entrada e Saida'!$I$65)*AU112-AX112</f>
        <v>#DIV/0!</v>
      </c>
      <c r="BA112" s="3" t="e">
        <f>IF('Entrada e Saida'!$H$12="REAL",AZ112*'Entrada e Saida'!$G$81,AU112*'Entrada e Saida'!$G$81)</f>
        <v>#DIV/0!</v>
      </c>
      <c r="BB112" s="3" t="e">
        <f>IF('Entrada e Saida'!$H$12="REAL",AZ112*'Entrada e Saida'!$G$82,AU112*'Entrada e Saida'!$G$82)</f>
        <v>#DIV/0!</v>
      </c>
      <c r="BC112" s="4" t="e">
        <f t="shared" si="72"/>
        <v>#DIV/0!</v>
      </c>
      <c r="BD112" s="3" t="e">
        <f>IF('Entrada e Saida'!$H$11="TRADING",AW112/D112,AK112/D112)</f>
        <v>#DIV/0!</v>
      </c>
      <c r="BE112" s="3" t="e">
        <f t="shared" si="73"/>
        <v>#DIV/0!</v>
      </c>
      <c r="BF112" s="2" t="e">
        <f t="shared" si="74"/>
        <v>#DIV/0!</v>
      </c>
      <c r="BG112" s="3" t="e">
        <f>IF('Entrada e Saida'!$H$11="TRADING",AV112/D112,AN112/D112)</f>
        <v>#DIV/0!</v>
      </c>
      <c r="BH112" s="3" t="e">
        <f>IF('Entrada e Saida'!$H$11="TRADING",IF('Entrada e Saida'!$H$12="REAL",AR112/D112,0),AL112/D112)</f>
        <v>#DIV/0!</v>
      </c>
      <c r="BI112" s="3" t="e">
        <f>IF('Entrada e Saida'!$H$11="TRADING",IF('Entrada e Saida'!$H$12="REAL",AS112/D112,0),AM112/D112)</f>
        <v>#DIV/0!</v>
      </c>
      <c r="BJ112" s="3" t="e">
        <f>IF('Entrada e Saida'!$H$11="TRADING",AT112/D112,AO112/D112)</f>
        <v>#DIV/0!</v>
      </c>
      <c r="BK112" s="2" t="e">
        <f t="shared" si="75"/>
        <v>#DIV/0!</v>
      </c>
      <c r="BL112" s="2">
        <f>IF(O112&gt;0,IFERROR(IF('Entrada e Saida'!$H$11="DIRETA",0,(IF('Entrada e Saida'!$H$14="P.JURIDICA",(BD112*(1+O112)*N112)-((BD112/(1+M112))*'Entrada e Saida'!$G$65),((Produtos!N112-'Entrada e Saida'!$G$65)*Produtos!BD112)))),0),0)</f>
        <v>0</v>
      </c>
      <c r="BM112" s="2" t="e">
        <f t="shared" si="76"/>
        <v>#DIV/0!</v>
      </c>
    </row>
    <row r="113" spans="1:65" s="1" customFormat="1">
      <c r="A113" s="127"/>
      <c r="B113" s="114"/>
      <c r="C113" s="116"/>
      <c r="D113" s="146"/>
      <c r="E113" s="115">
        <f>IFERROR(VLOOKUP(A113,'Master Modelo'!A:I,9,FALSE),0)</f>
        <v>0</v>
      </c>
      <c r="F113" s="189">
        <f>IFERROR(VLOOKUP(A113,'Master Modelo'!A:I,8,FALSE),0)</f>
        <v>0</v>
      </c>
      <c r="G113" s="189">
        <f>IFERROR(VLOOKUP(A113,'Master Modelo'!A:K,11,FALSE),0)</f>
        <v>0</v>
      </c>
      <c r="H113" s="114" t="e">
        <f t="shared" si="59"/>
        <v>#DIV/0!</v>
      </c>
      <c r="I113" s="150">
        <f>IFERROR(VLOOKUP(A113,'Master Modelo'!A:I,3,FALSE),0)</f>
        <v>0</v>
      </c>
      <c r="J113" s="151">
        <f>IFERROR(VLOOKUP(A113,'Master Modelo'!A:I,5,FALSE),0)</f>
        <v>0</v>
      </c>
      <c r="K113" s="151">
        <f>IFERROR(VLOOKUP(A113,'Master Modelo'!A:I,6,FALSE),0)</f>
        <v>0</v>
      </c>
      <c r="L113" s="152" t="e">
        <f>VLOOKUP(A113,'Master Modelo'!A:J,10,FALSE)</f>
        <v>#N/A</v>
      </c>
      <c r="M113" s="150">
        <f>IFERROR(VLOOKUP(A113,'Master Modelo'!A:I,4,FALSE),0)</f>
        <v>0</v>
      </c>
      <c r="N113" s="128"/>
      <c r="O113" s="129"/>
      <c r="P113" s="9">
        <f t="shared" si="60"/>
        <v>0</v>
      </c>
      <c r="Q113" s="177">
        <f t="shared" si="58"/>
        <v>0</v>
      </c>
      <c r="R113" s="3">
        <f>D113*E113*'Entrada e Saida'!$K$8</f>
        <v>0</v>
      </c>
      <c r="S113" s="179" t="e">
        <f>'Entrada e Saida'!$H$21*'Entrada e Saida'!$K$8*(P113/(SUM(P:P)))</f>
        <v>#DIV/0!</v>
      </c>
      <c r="T113" s="179" t="e">
        <f>'Entrada e Saida'!$H$21*'Entrada e Saida'!$K$8*(Q113/(SUM(Q:Q)))</f>
        <v>#DIV/0!</v>
      </c>
      <c r="U113" s="179" t="e">
        <f>'Entrada e Saida'!$H$22*(P113/(SUM(P:P)))</f>
        <v>#DIV/0!</v>
      </c>
      <c r="V113" s="179" t="e">
        <f>'Entrada e Saida'!$H$22*(Q113/(SUM(Q:Q)))</f>
        <v>#DIV/0!</v>
      </c>
      <c r="W113" s="8" t="e">
        <f t="shared" si="61"/>
        <v>#DIV/0!</v>
      </c>
      <c r="X113" s="179" t="e">
        <f>'Entrada e Saida'!$H$26*(IF('Entrada e Saida'!$H$15="PESO",(P113/(SUM(P:P))),(Q113/(SUM(Q:Q)))))</f>
        <v>#DIV/0!</v>
      </c>
      <c r="Y113" s="179" t="e">
        <f>'Entrada e Saida'!$H$27*(IF('Entrada e Saida'!$H$15="PESO",(P113/(SUM(P:P))),(Q113/(SUM(Q:Q)))))</f>
        <v>#DIV/0!</v>
      </c>
      <c r="Z113" s="179" t="e">
        <f>'Entrada e Saida'!$H$28*(IF('Entrada e Saida'!$H$15="PESO",(P113/(SUM(P:P))),(Q113/(SUM(Q:Q)))))</f>
        <v>#DIV/0!</v>
      </c>
      <c r="AA113" s="10" t="e">
        <f t="shared" si="62"/>
        <v>#DIV/0!</v>
      </c>
      <c r="AB113" s="3" t="e">
        <f t="shared" si="63"/>
        <v>#DIV/0!</v>
      </c>
      <c r="AC113" s="3" t="e">
        <f t="shared" si="64"/>
        <v>#DIV/0!</v>
      </c>
      <c r="AD113" s="3" t="e">
        <f t="shared" si="65"/>
        <v>#DIV/0!</v>
      </c>
      <c r="AE113" s="9" t="e">
        <f t="shared" si="66"/>
        <v>#DIV/0!</v>
      </c>
      <c r="AF113" s="126">
        <f>IFERROR(D113*F113*L113*'Entrada e Saida'!$K$8,0)</f>
        <v>0</v>
      </c>
      <c r="AG113" s="3" t="e">
        <f>((W113+AA113+AB113+AC113+AD113+AE113+AF113)/(1-'Entrada e Saida'!$G$65))*'Entrada e Saida'!$I$66</f>
        <v>#DIV/0!</v>
      </c>
      <c r="AH113" s="8" t="e">
        <f t="shared" si="67"/>
        <v>#DIV/0!</v>
      </c>
      <c r="AI113" s="183" t="e">
        <f>'Entrada e Saida'!$K$51*(IF('Entrada e Saida'!$H$15="PESO",(P113/(SUM(P:P))),(Q113/(SUM(Q:Q)))))</f>
        <v>#DIV/0!</v>
      </c>
      <c r="AJ113" s="7">
        <f>(('Entrada e Saida'!$K$10-'Entrada e Saida'!$K$8)*E113*D113)</f>
        <v>0</v>
      </c>
      <c r="AK113" s="184" t="e">
        <f>IF('Entrada e Saida'!$H$15="PESO",W113+AA113+AH113+AI113+AJ113,W113+AA113+AH113+AI113+AJ113-S113+T113-U113+V113)</f>
        <v>#DIV/0!</v>
      </c>
      <c r="AL113" s="6" t="e">
        <f>IF('Entrada e Saida'!$H$12="REAL",AC113,0)</f>
        <v>#DIV/0!</v>
      </c>
      <c r="AM113" s="6" t="e">
        <f>IF('Entrada e Saida'!$H$12="REAL",AD113,0)</f>
        <v>#DIV/0!</v>
      </c>
      <c r="AN113" s="5" t="e">
        <f>IF('Entrada e Saida'!$H$13= "NÃO",AE113,0)</f>
        <v>#DIV/0!</v>
      </c>
      <c r="AO113" s="5" t="e">
        <f t="shared" si="68"/>
        <v>#DIV/0!</v>
      </c>
      <c r="AP113" s="4" t="e">
        <f t="shared" si="69"/>
        <v>#DIV/0!</v>
      </c>
      <c r="AQ113" s="3" t="e">
        <f>IF('Entrada e Saida'!$H$11="TRADING",AU113*'Custo Resumido'!D113,0)</f>
        <v>#DIV/0!</v>
      </c>
      <c r="AR113" s="3" t="e">
        <f>IF('Entrada e Saida'!$H$11="TRADING",AU113*'Entrada e Saida'!$G$63,0)</f>
        <v>#DIV/0!</v>
      </c>
      <c r="AS113" s="3" t="e">
        <f>IF('Entrada e Saida'!$H$11="TRADING",AU113*'Entrada e Saida'!$G$64,0)</f>
        <v>#DIV/0!</v>
      </c>
      <c r="AT113" s="3" t="e">
        <f>IF('Entrada e Saida'!$H$11="TRADING",AU113*'Entrada e Saida'!$G$65,0)</f>
        <v>#DIV/0!</v>
      </c>
      <c r="AU113" s="4" t="e">
        <f>IF('Entrada e Saida'!$H$11="TRADING",AP113/(1-(SUM('Entrada e Saida'!$G$63:$G$65)+'Custo Resumido'!D113)),0)</f>
        <v>#DIV/0!</v>
      </c>
      <c r="AV113" s="3" t="e">
        <f>IF('Entrada e Saida'!$H$13="NÃO",AU113*M113,0)</f>
        <v>#DIV/0!</v>
      </c>
      <c r="AW113" s="4" t="e">
        <f t="shared" si="70"/>
        <v>#DIV/0!</v>
      </c>
      <c r="AX113" s="3" t="e">
        <f>'Entrada e Saida'!$G$74*AU113</f>
        <v>#DIV/0!</v>
      </c>
      <c r="AY113" s="4" t="e">
        <f t="shared" si="71"/>
        <v>#DIV/0!</v>
      </c>
      <c r="AZ113" s="4" t="e">
        <f>AQ113+('Entrada e Saida'!$G$65-'Entrada e Saida'!$I$65)*AU113-AX113</f>
        <v>#DIV/0!</v>
      </c>
      <c r="BA113" s="3" t="e">
        <f>IF('Entrada e Saida'!$H$12="REAL",AZ113*'Entrada e Saida'!$G$81,AU113*'Entrada e Saida'!$G$81)</f>
        <v>#DIV/0!</v>
      </c>
      <c r="BB113" s="3" t="e">
        <f>IF('Entrada e Saida'!$H$12="REAL",AZ113*'Entrada e Saida'!$G$82,AU113*'Entrada e Saida'!$G$82)</f>
        <v>#DIV/0!</v>
      </c>
      <c r="BC113" s="4" t="e">
        <f t="shared" si="72"/>
        <v>#DIV/0!</v>
      </c>
      <c r="BD113" s="3" t="e">
        <f>IF('Entrada e Saida'!$H$11="TRADING",AW113/D113,AK113/D113)</f>
        <v>#DIV/0!</v>
      </c>
      <c r="BE113" s="3" t="e">
        <f t="shared" si="73"/>
        <v>#DIV/0!</v>
      </c>
      <c r="BF113" s="2" t="e">
        <f t="shared" si="74"/>
        <v>#DIV/0!</v>
      </c>
      <c r="BG113" s="3" t="e">
        <f>IF('Entrada e Saida'!$H$11="TRADING",AV113/D113,AN113/D113)</f>
        <v>#DIV/0!</v>
      </c>
      <c r="BH113" s="3" t="e">
        <f>IF('Entrada e Saida'!$H$11="TRADING",IF('Entrada e Saida'!$H$12="REAL",AR113/D113,0),AL113/D113)</f>
        <v>#DIV/0!</v>
      </c>
      <c r="BI113" s="3" t="e">
        <f>IF('Entrada e Saida'!$H$11="TRADING",IF('Entrada e Saida'!$H$12="REAL",AS113/D113,0),AM113/D113)</f>
        <v>#DIV/0!</v>
      </c>
      <c r="BJ113" s="3" t="e">
        <f>IF('Entrada e Saida'!$H$11="TRADING",AT113/D113,AO113/D113)</f>
        <v>#DIV/0!</v>
      </c>
      <c r="BK113" s="2" t="e">
        <f t="shared" si="75"/>
        <v>#DIV/0!</v>
      </c>
      <c r="BL113" s="2">
        <f>IF(O113&gt;0,IFERROR(IF('Entrada e Saida'!$H$11="DIRETA",0,(IF('Entrada e Saida'!$H$14="P.JURIDICA",(BD113*(1+O113)*N113)-((BD113/(1+M113))*'Entrada e Saida'!$G$65),((Produtos!N113-'Entrada e Saida'!$G$65)*Produtos!BD113)))),0),0)</f>
        <v>0</v>
      </c>
      <c r="BM113" s="2" t="e">
        <f t="shared" si="76"/>
        <v>#DIV/0!</v>
      </c>
    </row>
    <row r="114" spans="1:65" s="1" customFormat="1">
      <c r="A114" s="127"/>
      <c r="B114" s="114"/>
      <c r="C114" s="116"/>
      <c r="D114" s="146"/>
      <c r="E114" s="115">
        <f>IFERROR(VLOOKUP(A114,'Master Modelo'!A:I,9,FALSE),0)</f>
        <v>0</v>
      </c>
      <c r="F114" s="189">
        <f>IFERROR(VLOOKUP(A114,'Master Modelo'!A:I,8,FALSE),0)</f>
        <v>0</v>
      </c>
      <c r="G114" s="189">
        <f>IFERROR(VLOOKUP(A114,'Master Modelo'!A:K,11,FALSE),0)</f>
        <v>0</v>
      </c>
      <c r="H114" s="114" t="e">
        <f t="shared" si="59"/>
        <v>#DIV/0!</v>
      </c>
      <c r="I114" s="150">
        <f>IFERROR(VLOOKUP(A114,'Master Modelo'!A:I,3,FALSE),0)</f>
        <v>0</v>
      </c>
      <c r="J114" s="151">
        <f>IFERROR(VLOOKUP(A114,'Master Modelo'!A:I,5,FALSE),0)</f>
        <v>0</v>
      </c>
      <c r="K114" s="151">
        <f>IFERROR(VLOOKUP(A114,'Master Modelo'!A:I,6,FALSE),0)</f>
        <v>0</v>
      </c>
      <c r="L114" s="152" t="e">
        <f>VLOOKUP(A114,'Master Modelo'!A:J,10,FALSE)</f>
        <v>#N/A</v>
      </c>
      <c r="M114" s="150">
        <f>IFERROR(VLOOKUP(A114,'Master Modelo'!A:I,4,FALSE),0)</f>
        <v>0</v>
      </c>
      <c r="N114" s="128"/>
      <c r="O114" s="129"/>
      <c r="P114" s="9">
        <f t="shared" si="60"/>
        <v>0</v>
      </c>
      <c r="Q114" s="177">
        <f t="shared" si="58"/>
        <v>0</v>
      </c>
      <c r="R114" s="3">
        <f>D114*E114*'Entrada e Saida'!$K$8</f>
        <v>0</v>
      </c>
      <c r="S114" s="179" t="e">
        <f>'Entrada e Saida'!$H$21*'Entrada e Saida'!$K$8*(P114/(SUM(P:P)))</f>
        <v>#DIV/0!</v>
      </c>
      <c r="T114" s="179" t="e">
        <f>'Entrada e Saida'!$H$21*'Entrada e Saida'!$K$8*(Q114/(SUM(Q:Q)))</f>
        <v>#DIV/0!</v>
      </c>
      <c r="U114" s="179" t="e">
        <f>'Entrada e Saida'!$H$22*(P114/(SUM(P:P)))</f>
        <v>#DIV/0!</v>
      </c>
      <c r="V114" s="179" t="e">
        <f>'Entrada e Saida'!$H$22*(Q114/(SUM(Q:Q)))</f>
        <v>#DIV/0!</v>
      </c>
      <c r="W114" s="8" t="e">
        <f t="shared" si="61"/>
        <v>#DIV/0!</v>
      </c>
      <c r="X114" s="179" t="e">
        <f>'Entrada e Saida'!$H$26*(IF('Entrada e Saida'!$H$15="PESO",(P114/(SUM(P:P))),(Q114/(SUM(Q:Q)))))</f>
        <v>#DIV/0!</v>
      </c>
      <c r="Y114" s="179" t="e">
        <f>'Entrada e Saida'!$H$27*(IF('Entrada e Saida'!$H$15="PESO",(P114/(SUM(P:P))),(Q114/(SUM(Q:Q)))))</f>
        <v>#DIV/0!</v>
      </c>
      <c r="Z114" s="179" t="e">
        <f>'Entrada e Saida'!$H$28*(IF('Entrada e Saida'!$H$15="PESO",(P114/(SUM(P:P))),(Q114/(SUM(Q:Q)))))</f>
        <v>#DIV/0!</v>
      </c>
      <c r="AA114" s="10" t="e">
        <f t="shared" si="62"/>
        <v>#DIV/0!</v>
      </c>
      <c r="AB114" s="3" t="e">
        <f t="shared" si="63"/>
        <v>#DIV/0!</v>
      </c>
      <c r="AC114" s="3" t="e">
        <f t="shared" si="64"/>
        <v>#DIV/0!</v>
      </c>
      <c r="AD114" s="3" t="e">
        <f t="shared" si="65"/>
        <v>#DIV/0!</v>
      </c>
      <c r="AE114" s="9" t="e">
        <f t="shared" si="66"/>
        <v>#DIV/0!</v>
      </c>
      <c r="AF114" s="126">
        <f>IFERROR(D114*F114*L114*'Entrada e Saida'!$K$8,0)</f>
        <v>0</v>
      </c>
      <c r="AG114" s="3" t="e">
        <f>((W114+AA114+AB114+AC114+AD114+AE114+AF114)/(1-'Entrada e Saida'!$G$65))*'Entrada e Saida'!$I$66</f>
        <v>#DIV/0!</v>
      </c>
      <c r="AH114" s="8" t="e">
        <f t="shared" si="67"/>
        <v>#DIV/0!</v>
      </c>
      <c r="AI114" s="183" t="e">
        <f>'Entrada e Saida'!$K$51*(IF('Entrada e Saida'!$H$15="PESO",(P114/(SUM(P:P))),(Q114/(SUM(Q:Q)))))</f>
        <v>#DIV/0!</v>
      </c>
      <c r="AJ114" s="7">
        <f>(('Entrada e Saida'!$K$10-'Entrada e Saida'!$K$8)*E114*D114)</f>
        <v>0</v>
      </c>
      <c r="AK114" s="184" t="e">
        <f>IF('Entrada e Saida'!$H$15="PESO",W114+AA114+AH114+AI114+AJ114,W114+AA114+AH114+AI114+AJ114-S114+T114-U114+V114)</f>
        <v>#DIV/0!</v>
      </c>
      <c r="AL114" s="6" t="e">
        <f>IF('Entrada e Saida'!$H$12="REAL",AC114,0)</f>
        <v>#DIV/0!</v>
      </c>
      <c r="AM114" s="6" t="e">
        <f>IF('Entrada e Saida'!$H$12="REAL",AD114,0)</f>
        <v>#DIV/0!</v>
      </c>
      <c r="AN114" s="5" t="e">
        <f>IF('Entrada e Saida'!$H$13= "NÃO",AE114,0)</f>
        <v>#DIV/0!</v>
      </c>
      <c r="AO114" s="5" t="e">
        <f t="shared" si="68"/>
        <v>#DIV/0!</v>
      </c>
      <c r="AP114" s="4" t="e">
        <f t="shared" si="69"/>
        <v>#DIV/0!</v>
      </c>
      <c r="AQ114" s="3" t="e">
        <f>IF('Entrada e Saida'!$H$11="TRADING",AU114*'Custo Resumido'!D114,0)</f>
        <v>#DIV/0!</v>
      </c>
      <c r="AR114" s="3" t="e">
        <f>IF('Entrada e Saida'!$H$11="TRADING",AU114*'Entrada e Saida'!$G$63,0)</f>
        <v>#DIV/0!</v>
      </c>
      <c r="AS114" s="3" t="e">
        <f>IF('Entrada e Saida'!$H$11="TRADING",AU114*'Entrada e Saida'!$G$64,0)</f>
        <v>#DIV/0!</v>
      </c>
      <c r="AT114" s="3" t="e">
        <f>IF('Entrada e Saida'!$H$11="TRADING",AU114*'Entrada e Saida'!$G$65,0)</f>
        <v>#DIV/0!</v>
      </c>
      <c r="AU114" s="4" t="e">
        <f>IF('Entrada e Saida'!$H$11="TRADING",AP114/(1-(SUM('Entrada e Saida'!$G$63:$G$65)+'Custo Resumido'!D114)),0)</f>
        <v>#DIV/0!</v>
      </c>
      <c r="AV114" s="3" t="e">
        <f>IF('Entrada e Saida'!$H$13="NÃO",AU114*M114,0)</f>
        <v>#DIV/0!</v>
      </c>
      <c r="AW114" s="4" t="e">
        <f t="shared" si="70"/>
        <v>#DIV/0!</v>
      </c>
      <c r="AX114" s="3" t="e">
        <f>'Entrada e Saida'!$G$74*AU114</f>
        <v>#DIV/0!</v>
      </c>
      <c r="AY114" s="4" t="e">
        <f t="shared" si="71"/>
        <v>#DIV/0!</v>
      </c>
      <c r="AZ114" s="4" t="e">
        <f>AQ114+('Entrada e Saida'!$G$65-'Entrada e Saida'!$I$65)*AU114-AX114</f>
        <v>#DIV/0!</v>
      </c>
      <c r="BA114" s="3" t="e">
        <f>IF('Entrada e Saida'!$H$12="REAL",AZ114*'Entrada e Saida'!$G$81,AU114*'Entrada e Saida'!$G$81)</f>
        <v>#DIV/0!</v>
      </c>
      <c r="BB114" s="3" t="e">
        <f>IF('Entrada e Saida'!$H$12="REAL",AZ114*'Entrada e Saida'!$G$82,AU114*'Entrada e Saida'!$G$82)</f>
        <v>#DIV/0!</v>
      </c>
      <c r="BC114" s="4" t="e">
        <f t="shared" si="72"/>
        <v>#DIV/0!</v>
      </c>
      <c r="BD114" s="3" t="e">
        <f>IF('Entrada e Saida'!$H$11="TRADING",AW114/D114,AK114/D114)</f>
        <v>#DIV/0!</v>
      </c>
      <c r="BE114" s="3" t="e">
        <f t="shared" si="73"/>
        <v>#DIV/0!</v>
      </c>
      <c r="BF114" s="2" t="e">
        <f t="shared" si="74"/>
        <v>#DIV/0!</v>
      </c>
      <c r="BG114" s="3" t="e">
        <f>IF('Entrada e Saida'!$H$11="TRADING",AV114/D114,AN114/D114)</f>
        <v>#DIV/0!</v>
      </c>
      <c r="BH114" s="3" t="e">
        <f>IF('Entrada e Saida'!$H$11="TRADING",IF('Entrada e Saida'!$H$12="REAL",AR114/D114,0),AL114/D114)</f>
        <v>#DIV/0!</v>
      </c>
      <c r="BI114" s="3" t="e">
        <f>IF('Entrada e Saida'!$H$11="TRADING",IF('Entrada e Saida'!$H$12="REAL",AS114/D114,0),AM114/D114)</f>
        <v>#DIV/0!</v>
      </c>
      <c r="BJ114" s="3" t="e">
        <f>IF('Entrada e Saida'!$H$11="TRADING",AT114/D114,AO114/D114)</f>
        <v>#DIV/0!</v>
      </c>
      <c r="BK114" s="2" t="e">
        <f t="shared" si="75"/>
        <v>#DIV/0!</v>
      </c>
      <c r="BL114" s="2">
        <f>IF(O114&gt;0,IFERROR(IF('Entrada e Saida'!$H$11="DIRETA",0,(IF('Entrada e Saida'!$H$14="P.JURIDICA",(BD114*(1+O114)*N114)-((BD114/(1+M114))*'Entrada e Saida'!$G$65),((Produtos!N114-'Entrada e Saida'!$G$65)*Produtos!BD114)))),0),0)</f>
        <v>0</v>
      </c>
      <c r="BM114" s="2" t="e">
        <f t="shared" si="76"/>
        <v>#DIV/0!</v>
      </c>
    </row>
    <row r="115" spans="1:65" s="1" customFormat="1">
      <c r="A115" s="127"/>
      <c r="B115" s="114"/>
      <c r="C115" s="116"/>
      <c r="D115" s="146"/>
      <c r="E115" s="115">
        <f>IFERROR(VLOOKUP(A115,'Master Modelo'!A:I,9,FALSE),0)</f>
        <v>0</v>
      </c>
      <c r="F115" s="189">
        <f>IFERROR(VLOOKUP(A115,'Master Modelo'!A:I,8,FALSE),0)</f>
        <v>0</v>
      </c>
      <c r="G115" s="189">
        <f>IFERROR(VLOOKUP(A115,'Master Modelo'!A:K,11,FALSE),0)</f>
        <v>0</v>
      </c>
      <c r="H115" s="114" t="e">
        <f t="shared" si="59"/>
        <v>#DIV/0!</v>
      </c>
      <c r="I115" s="150">
        <f>IFERROR(VLOOKUP(A115,'Master Modelo'!A:I,3,FALSE),0)</f>
        <v>0</v>
      </c>
      <c r="J115" s="151">
        <f>IFERROR(VLOOKUP(A115,'Master Modelo'!A:I,5,FALSE),0)</f>
        <v>0</v>
      </c>
      <c r="K115" s="151">
        <f>IFERROR(VLOOKUP(A115,'Master Modelo'!A:I,6,FALSE),0)</f>
        <v>0</v>
      </c>
      <c r="L115" s="152" t="e">
        <f>VLOOKUP(A115,'Master Modelo'!A:J,10,FALSE)</f>
        <v>#N/A</v>
      </c>
      <c r="M115" s="150">
        <f>IFERROR(VLOOKUP(A115,'Master Modelo'!A:I,4,FALSE),0)</f>
        <v>0</v>
      </c>
      <c r="N115" s="128"/>
      <c r="O115" s="129"/>
      <c r="P115" s="9">
        <f t="shared" si="60"/>
        <v>0</v>
      </c>
      <c r="Q115" s="177">
        <f t="shared" si="58"/>
        <v>0</v>
      </c>
      <c r="R115" s="3">
        <f>D115*E115*'Entrada e Saida'!$K$8</f>
        <v>0</v>
      </c>
      <c r="S115" s="179" t="e">
        <f>'Entrada e Saida'!$H$21*'Entrada e Saida'!$K$8*(P115/(SUM(P:P)))</f>
        <v>#DIV/0!</v>
      </c>
      <c r="T115" s="179" t="e">
        <f>'Entrada e Saida'!$H$21*'Entrada e Saida'!$K$8*(Q115/(SUM(Q:Q)))</f>
        <v>#DIV/0!</v>
      </c>
      <c r="U115" s="179" t="e">
        <f>'Entrada e Saida'!$H$22*(P115/(SUM(P:P)))</f>
        <v>#DIV/0!</v>
      </c>
      <c r="V115" s="179" t="e">
        <f>'Entrada e Saida'!$H$22*(Q115/(SUM(Q:Q)))</f>
        <v>#DIV/0!</v>
      </c>
      <c r="W115" s="8" t="e">
        <f t="shared" si="61"/>
        <v>#DIV/0!</v>
      </c>
      <c r="X115" s="179" t="e">
        <f>'Entrada e Saida'!$H$26*(IF('Entrada e Saida'!$H$15="PESO",(P115/(SUM(P:P))),(Q115/(SUM(Q:Q)))))</f>
        <v>#DIV/0!</v>
      </c>
      <c r="Y115" s="179" t="e">
        <f>'Entrada e Saida'!$H$27*(IF('Entrada e Saida'!$H$15="PESO",(P115/(SUM(P:P))),(Q115/(SUM(Q:Q)))))</f>
        <v>#DIV/0!</v>
      </c>
      <c r="Z115" s="179" t="e">
        <f>'Entrada e Saida'!$H$28*(IF('Entrada e Saida'!$H$15="PESO",(P115/(SUM(P:P))),(Q115/(SUM(Q:Q)))))</f>
        <v>#DIV/0!</v>
      </c>
      <c r="AA115" s="10" t="e">
        <f t="shared" si="62"/>
        <v>#DIV/0!</v>
      </c>
      <c r="AB115" s="3" t="e">
        <f t="shared" si="63"/>
        <v>#DIV/0!</v>
      </c>
      <c r="AC115" s="3" t="e">
        <f t="shared" si="64"/>
        <v>#DIV/0!</v>
      </c>
      <c r="AD115" s="3" t="e">
        <f t="shared" si="65"/>
        <v>#DIV/0!</v>
      </c>
      <c r="AE115" s="9" t="e">
        <f t="shared" si="66"/>
        <v>#DIV/0!</v>
      </c>
      <c r="AF115" s="126">
        <f>IFERROR(D115*F115*L115*'Entrada e Saida'!$K$8,0)</f>
        <v>0</v>
      </c>
      <c r="AG115" s="3" t="e">
        <f>((W115+AA115+AB115+AC115+AD115+AE115+AF115)/(1-'Entrada e Saida'!$G$65))*'Entrada e Saida'!$I$66</f>
        <v>#DIV/0!</v>
      </c>
      <c r="AH115" s="8" t="e">
        <f t="shared" si="67"/>
        <v>#DIV/0!</v>
      </c>
      <c r="AI115" s="183" t="e">
        <f>'Entrada e Saida'!$K$51*(IF('Entrada e Saida'!$H$15="PESO",(P115/(SUM(P:P))),(Q115/(SUM(Q:Q)))))</f>
        <v>#DIV/0!</v>
      </c>
      <c r="AJ115" s="7">
        <f>(('Entrada e Saida'!$K$10-'Entrada e Saida'!$K$8)*E115*D115)</f>
        <v>0</v>
      </c>
      <c r="AK115" s="184" t="e">
        <f>IF('Entrada e Saida'!$H$15="PESO",W115+AA115+AH115+AI115+AJ115,W115+AA115+AH115+AI115+AJ115-S115+T115-U115+V115)</f>
        <v>#DIV/0!</v>
      </c>
      <c r="AL115" s="6" t="e">
        <f>IF('Entrada e Saida'!$H$12="REAL",AC115,0)</f>
        <v>#DIV/0!</v>
      </c>
      <c r="AM115" s="6" t="e">
        <f>IF('Entrada e Saida'!$H$12="REAL",AD115,0)</f>
        <v>#DIV/0!</v>
      </c>
      <c r="AN115" s="5" t="e">
        <f>IF('Entrada e Saida'!$H$13= "NÃO",AE115,0)</f>
        <v>#DIV/0!</v>
      </c>
      <c r="AO115" s="5" t="e">
        <f t="shared" si="68"/>
        <v>#DIV/0!</v>
      </c>
      <c r="AP115" s="4" t="e">
        <f t="shared" si="69"/>
        <v>#DIV/0!</v>
      </c>
      <c r="AQ115" s="3" t="e">
        <f>IF('Entrada e Saida'!$H$11="TRADING",AU115*'Custo Resumido'!D115,0)</f>
        <v>#DIV/0!</v>
      </c>
      <c r="AR115" s="3" t="e">
        <f>IF('Entrada e Saida'!$H$11="TRADING",AU115*'Entrada e Saida'!$G$63,0)</f>
        <v>#DIV/0!</v>
      </c>
      <c r="AS115" s="3" t="e">
        <f>IF('Entrada e Saida'!$H$11="TRADING",AU115*'Entrada e Saida'!$G$64,0)</f>
        <v>#DIV/0!</v>
      </c>
      <c r="AT115" s="3" t="e">
        <f>IF('Entrada e Saida'!$H$11="TRADING",AU115*'Entrada e Saida'!$G$65,0)</f>
        <v>#DIV/0!</v>
      </c>
      <c r="AU115" s="4" t="e">
        <f>IF('Entrada e Saida'!$H$11="TRADING",AP115/(1-(SUM('Entrada e Saida'!$G$63:$G$65)+'Custo Resumido'!D115)),0)</f>
        <v>#DIV/0!</v>
      </c>
      <c r="AV115" s="3" t="e">
        <f>IF('Entrada e Saida'!$H$13="NÃO",AU115*M115,0)</f>
        <v>#DIV/0!</v>
      </c>
      <c r="AW115" s="4" t="e">
        <f t="shared" si="70"/>
        <v>#DIV/0!</v>
      </c>
      <c r="AX115" s="3" t="e">
        <f>'Entrada e Saida'!$G$74*AU115</f>
        <v>#DIV/0!</v>
      </c>
      <c r="AY115" s="4" t="e">
        <f t="shared" si="71"/>
        <v>#DIV/0!</v>
      </c>
      <c r="AZ115" s="4" t="e">
        <f>AQ115+('Entrada e Saida'!$G$65-'Entrada e Saida'!$I$65)*AU115-AX115</f>
        <v>#DIV/0!</v>
      </c>
      <c r="BA115" s="3" t="e">
        <f>IF('Entrada e Saida'!$H$12="REAL",AZ115*'Entrada e Saida'!$G$81,AU115*'Entrada e Saida'!$G$81)</f>
        <v>#DIV/0!</v>
      </c>
      <c r="BB115" s="3" t="e">
        <f>IF('Entrada e Saida'!$H$12="REAL",AZ115*'Entrada e Saida'!$G$82,AU115*'Entrada e Saida'!$G$82)</f>
        <v>#DIV/0!</v>
      </c>
      <c r="BC115" s="4" t="e">
        <f t="shared" si="72"/>
        <v>#DIV/0!</v>
      </c>
      <c r="BD115" s="3" t="e">
        <f>IF('Entrada e Saida'!$H$11="TRADING",AW115/D115,AK115/D115)</f>
        <v>#DIV/0!</v>
      </c>
      <c r="BE115" s="3" t="e">
        <f t="shared" si="73"/>
        <v>#DIV/0!</v>
      </c>
      <c r="BF115" s="2" t="e">
        <f t="shared" si="74"/>
        <v>#DIV/0!</v>
      </c>
      <c r="BG115" s="3" t="e">
        <f>IF('Entrada e Saida'!$H$11="TRADING",AV115/D115,AN115/D115)</f>
        <v>#DIV/0!</v>
      </c>
      <c r="BH115" s="3" t="e">
        <f>IF('Entrada e Saida'!$H$11="TRADING",IF('Entrada e Saida'!$H$12="REAL",AR115/D115,0),AL115/D115)</f>
        <v>#DIV/0!</v>
      </c>
      <c r="BI115" s="3" t="e">
        <f>IF('Entrada e Saida'!$H$11="TRADING",IF('Entrada e Saida'!$H$12="REAL",AS115/D115,0),AM115/D115)</f>
        <v>#DIV/0!</v>
      </c>
      <c r="BJ115" s="3" t="e">
        <f>IF('Entrada e Saida'!$H$11="TRADING",AT115/D115,AO115/D115)</f>
        <v>#DIV/0!</v>
      </c>
      <c r="BK115" s="2" t="e">
        <f t="shared" si="75"/>
        <v>#DIV/0!</v>
      </c>
      <c r="BL115" s="2">
        <f>IF(O115&gt;0,IFERROR(IF('Entrada e Saida'!$H$11="DIRETA",0,(IF('Entrada e Saida'!$H$14="P.JURIDICA",(BD115*(1+O115)*N115)-((BD115/(1+M115))*'Entrada e Saida'!$G$65),((Produtos!N115-'Entrada e Saida'!$G$65)*Produtos!BD115)))),0),0)</f>
        <v>0</v>
      </c>
      <c r="BM115" s="2" t="e">
        <f t="shared" si="76"/>
        <v>#DIV/0!</v>
      </c>
    </row>
    <row r="116" spans="1:65" s="1" customFormat="1">
      <c r="A116" s="127"/>
      <c r="B116" s="114"/>
      <c r="C116" s="116"/>
      <c r="D116" s="146"/>
      <c r="E116" s="115">
        <f>IFERROR(VLOOKUP(A116,'Master Modelo'!A:I,9,FALSE),0)</f>
        <v>0</v>
      </c>
      <c r="F116" s="189">
        <f>IFERROR(VLOOKUP(A116,'Master Modelo'!A:I,8,FALSE),0)</f>
        <v>0</v>
      </c>
      <c r="G116" s="189">
        <f>IFERROR(VLOOKUP(A116,'Master Modelo'!A:K,11,FALSE),0)</f>
        <v>0</v>
      </c>
      <c r="H116" s="114" t="e">
        <f t="shared" si="59"/>
        <v>#DIV/0!</v>
      </c>
      <c r="I116" s="150">
        <f>IFERROR(VLOOKUP(A116,'Master Modelo'!A:I,3,FALSE),0)</f>
        <v>0</v>
      </c>
      <c r="J116" s="151">
        <f>IFERROR(VLOOKUP(A116,'Master Modelo'!A:I,5,FALSE),0)</f>
        <v>0</v>
      </c>
      <c r="K116" s="151">
        <f>IFERROR(VLOOKUP(A116,'Master Modelo'!A:I,6,FALSE),0)</f>
        <v>0</v>
      </c>
      <c r="L116" s="152" t="e">
        <f>VLOOKUP(A116,'Master Modelo'!A:J,10,FALSE)</f>
        <v>#N/A</v>
      </c>
      <c r="M116" s="150">
        <f>IFERROR(VLOOKUP(A116,'Master Modelo'!A:I,4,FALSE),0)</f>
        <v>0</v>
      </c>
      <c r="N116" s="128"/>
      <c r="O116" s="129"/>
      <c r="P116" s="9">
        <f t="shared" si="60"/>
        <v>0</v>
      </c>
      <c r="Q116" s="177">
        <f t="shared" si="58"/>
        <v>0</v>
      </c>
      <c r="R116" s="3">
        <f>D116*E116*'Entrada e Saida'!$K$8</f>
        <v>0</v>
      </c>
      <c r="S116" s="179" t="e">
        <f>'Entrada e Saida'!$H$21*'Entrada e Saida'!$K$8*(P116/(SUM(P:P)))</f>
        <v>#DIV/0!</v>
      </c>
      <c r="T116" s="179" t="e">
        <f>'Entrada e Saida'!$H$21*'Entrada e Saida'!$K$8*(Q116/(SUM(Q:Q)))</f>
        <v>#DIV/0!</v>
      </c>
      <c r="U116" s="179" t="e">
        <f>'Entrada e Saida'!$H$22*(P116/(SUM(P:P)))</f>
        <v>#DIV/0!</v>
      </c>
      <c r="V116" s="179" t="e">
        <f>'Entrada e Saida'!$H$22*(Q116/(SUM(Q:Q)))</f>
        <v>#DIV/0!</v>
      </c>
      <c r="W116" s="8" t="e">
        <f t="shared" si="61"/>
        <v>#DIV/0!</v>
      </c>
      <c r="X116" s="179" t="e">
        <f>'Entrada e Saida'!$H$26*(IF('Entrada e Saida'!$H$15="PESO",(P116/(SUM(P:P))),(Q116/(SUM(Q:Q)))))</f>
        <v>#DIV/0!</v>
      </c>
      <c r="Y116" s="179" t="e">
        <f>'Entrada e Saida'!$H$27*(IF('Entrada e Saida'!$H$15="PESO",(P116/(SUM(P:P))),(Q116/(SUM(Q:Q)))))</f>
        <v>#DIV/0!</v>
      </c>
      <c r="Z116" s="179" t="e">
        <f>'Entrada e Saida'!$H$28*(IF('Entrada e Saida'!$H$15="PESO",(P116/(SUM(P:P))),(Q116/(SUM(Q:Q)))))</f>
        <v>#DIV/0!</v>
      </c>
      <c r="AA116" s="10" t="e">
        <f t="shared" si="62"/>
        <v>#DIV/0!</v>
      </c>
      <c r="AB116" s="3" t="e">
        <f t="shared" si="63"/>
        <v>#DIV/0!</v>
      </c>
      <c r="AC116" s="3" t="e">
        <f t="shared" si="64"/>
        <v>#DIV/0!</v>
      </c>
      <c r="AD116" s="3" t="e">
        <f t="shared" si="65"/>
        <v>#DIV/0!</v>
      </c>
      <c r="AE116" s="9" t="e">
        <f t="shared" si="66"/>
        <v>#DIV/0!</v>
      </c>
      <c r="AF116" s="126">
        <f>IFERROR(D116*F116*L116*'Entrada e Saida'!$K$8,0)</f>
        <v>0</v>
      </c>
      <c r="AG116" s="3" t="e">
        <f>((W116+AA116+AB116+AC116+AD116+AE116+AF116)/(1-'Entrada e Saida'!$G$65))*'Entrada e Saida'!$I$66</f>
        <v>#DIV/0!</v>
      </c>
      <c r="AH116" s="8" t="e">
        <f t="shared" si="67"/>
        <v>#DIV/0!</v>
      </c>
      <c r="AI116" s="183" t="e">
        <f>'Entrada e Saida'!$K$51*(IF('Entrada e Saida'!$H$15="PESO",(P116/(SUM(P:P))),(Q116/(SUM(Q:Q)))))</f>
        <v>#DIV/0!</v>
      </c>
      <c r="AJ116" s="7">
        <f>(('Entrada e Saida'!$K$10-'Entrada e Saida'!$K$8)*E116*D116)</f>
        <v>0</v>
      </c>
      <c r="AK116" s="184" t="e">
        <f>IF('Entrada e Saida'!$H$15="PESO",W116+AA116+AH116+AI116+AJ116,W116+AA116+AH116+AI116+AJ116-S116+T116-U116+V116)</f>
        <v>#DIV/0!</v>
      </c>
      <c r="AL116" s="6" t="e">
        <f>IF('Entrada e Saida'!$H$12="REAL",AC116,0)</f>
        <v>#DIV/0!</v>
      </c>
      <c r="AM116" s="6" t="e">
        <f>IF('Entrada e Saida'!$H$12="REAL",AD116,0)</f>
        <v>#DIV/0!</v>
      </c>
      <c r="AN116" s="5" t="e">
        <f>IF('Entrada e Saida'!$H$13= "NÃO",AE116,0)</f>
        <v>#DIV/0!</v>
      </c>
      <c r="AO116" s="5" t="e">
        <f t="shared" si="68"/>
        <v>#DIV/0!</v>
      </c>
      <c r="AP116" s="4" t="e">
        <f t="shared" si="69"/>
        <v>#DIV/0!</v>
      </c>
      <c r="AQ116" s="3" t="e">
        <f>IF('Entrada e Saida'!$H$11="TRADING",AU116*'Custo Resumido'!D116,0)</f>
        <v>#DIV/0!</v>
      </c>
      <c r="AR116" s="3" t="e">
        <f>IF('Entrada e Saida'!$H$11="TRADING",AU116*'Entrada e Saida'!$G$63,0)</f>
        <v>#DIV/0!</v>
      </c>
      <c r="AS116" s="3" t="e">
        <f>IF('Entrada e Saida'!$H$11="TRADING",AU116*'Entrada e Saida'!$G$64,0)</f>
        <v>#DIV/0!</v>
      </c>
      <c r="AT116" s="3" t="e">
        <f>IF('Entrada e Saida'!$H$11="TRADING",AU116*'Entrada e Saida'!$G$65,0)</f>
        <v>#DIV/0!</v>
      </c>
      <c r="AU116" s="4" t="e">
        <f>IF('Entrada e Saida'!$H$11="TRADING",AP116/(1-(SUM('Entrada e Saida'!$G$63:$G$65)+'Custo Resumido'!D116)),0)</f>
        <v>#DIV/0!</v>
      </c>
      <c r="AV116" s="3" t="e">
        <f>IF('Entrada e Saida'!$H$13="NÃO",AU116*M116,0)</f>
        <v>#DIV/0!</v>
      </c>
      <c r="AW116" s="4" t="e">
        <f t="shared" si="70"/>
        <v>#DIV/0!</v>
      </c>
      <c r="AX116" s="3" t="e">
        <f>'Entrada e Saida'!$G$74*AU116</f>
        <v>#DIV/0!</v>
      </c>
      <c r="AY116" s="4" t="e">
        <f t="shared" si="71"/>
        <v>#DIV/0!</v>
      </c>
      <c r="AZ116" s="4" t="e">
        <f>AQ116+('Entrada e Saida'!$G$65-'Entrada e Saida'!$I$65)*AU116-AX116</f>
        <v>#DIV/0!</v>
      </c>
      <c r="BA116" s="3" t="e">
        <f>IF('Entrada e Saida'!$H$12="REAL",AZ116*'Entrada e Saida'!$G$81,AU116*'Entrada e Saida'!$G$81)</f>
        <v>#DIV/0!</v>
      </c>
      <c r="BB116" s="3" t="e">
        <f>IF('Entrada e Saida'!$H$12="REAL",AZ116*'Entrada e Saida'!$G$82,AU116*'Entrada e Saida'!$G$82)</f>
        <v>#DIV/0!</v>
      </c>
      <c r="BC116" s="4" t="e">
        <f t="shared" si="72"/>
        <v>#DIV/0!</v>
      </c>
      <c r="BD116" s="3" t="e">
        <f>IF('Entrada e Saida'!$H$11="TRADING",AW116/D116,AK116/D116)</f>
        <v>#DIV/0!</v>
      </c>
      <c r="BE116" s="3" t="e">
        <f t="shared" si="73"/>
        <v>#DIV/0!</v>
      </c>
      <c r="BF116" s="2" t="e">
        <f t="shared" si="74"/>
        <v>#DIV/0!</v>
      </c>
      <c r="BG116" s="3" t="e">
        <f>IF('Entrada e Saida'!$H$11="TRADING",AV116/D116,AN116/D116)</f>
        <v>#DIV/0!</v>
      </c>
      <c r="BH116" s="3" t="e">
        <f>IF('Entrada e Saida'!$H$11="TRADING",IF('Entrada e Saida'!$H$12="REAL",AR116/D116,0),AL116/D116)</f>
        <v>#DIV/0!</v>
      </c>
      <c r="BI116" s="3" t="e">
        <f>IF('Entrada e Saida'!$H$11="TRADING",IF('Entrada e Saida'!$H$12="REAL",AS116/D116,0),AM116/D116)</f>
        <v>#DIV/0!</v>
      </c>
      <c r="BJ116" s="3" t="e">
        <f>IF('Entrada e Saida'!$H$11="TRADING",AT116/D116,AO116/D116)</f>
        <v>#DIV/0!</v>
      </c>
      <c r="BK116" s="2" t="e">
        <f t="shared" si="75"/>
        <v>#DIV/0!</v>
      </c>
      <c r="BL116" s="2">
        <f>IF(O116&gt;0,IFERROR(IF('Entrada e Saida'!$H$11="DIRETA",0,(IF('Entrada e Saida'!$H$14="P.JURIDICA",(BD116*(1+O116)*N116)-((BD116/(1+M116))*'Entrada e Saida'!$G$65),((Produtos!N116-'Entrada e Saida'!$G$65)*Produtos!BD116)))),0),0)</f>
        <v>0</v>
      </c>
      <c r="BM116" s="2" t="e">
        <f t="shared" si="76"/>
        <v>#DIV/0!</v>
      </c>
    </row>
    <row r="117" spans="1:65" s="1" customFormat="1">
      <c r="A117" s="127"/>
      <c r="B117" s="114"/>
      <c r="C117" s="116"/>
      <c r="D117" s="146"/>
      <c r="E117" s="115">
        <f>IFERROR(VLOOKUP(A117,'Master Modelo'!A:I,9,FALSE),0)</f>
        <v>0</v>
      </c>
      <c r="F117" s="189">
        <f>IFERROR(VLOOKUP(A117,'Master Modelo'!A:I,8,FALSE),0)</f>
        <v>0</v>
      </c>
      <c r="G117" s="189">
        <f>IFERROR(VLOOKUP(A117,'Master Modelo'!A:K,11,FALSE),0)</f>
        <v>0</v>
      </c>
      <c r="H117" s="114" t="e">
        <f t="shared" si="59"/>
        <v>#DIV/0!</v>
      </c>
      <c r="I117" s="150">
        <f>IFERROR(VLOOKUP(A117,'Master Modelo'!A:I,3,FALSE),0)</f>
        <v>0</v>
      </c>
      <c r="J117" s="151">
        <f>IFERROR(VLOOKUP(A117,'Master Modelo'!A:I,5,FALSE),0)</f>
        <v>0</v>
      </c>
      <c r="K117" s="151">
        <f>IFERROR(VLOOKUP(A117,'Master Modelo'!A:I,6,FALSE),0)</f>
        <v>0</v>
      </c>
      <c r="L117" s="152" t="e">
        <f>VLOOKUP(A117,'Master Modelo'!A:J,10,FALSE)</f>
        <v>#N/A</v>
      </c>
      <c r="M117" s="150">
        <f>IFERROR(VLOOKUP(A117,'Master Modelo'!A:I,4,FALSE),0)</f>
        <v>0</v>
      </c>
      <c r="N117" s="128"/>
      <c r="O117" s="129"/>
      <c r="P117" s="9">
        <f t="shared" si="60"/>
        <v>0</v>
      </c>
      <c r="Q117" s="177">
        <f t="shared" si="58"/>
        <v>0</v>
      </c>
      <c r="R117" s="3">
        <f>D117*E117*'Entrada e Saida'!$K$8</f>
        <v>0</v>
      </c>
      <c r="S117" s="179" t="e">
        <f>'Entrada e Saida'!$H$21*'Entrada e Saida'!$K$8*(P117/(SUM(P:P)))</f>
        <v>#DIV/0!</v>
      </c>
      <c r="T117" s="179" t="e">
        <f>'Entrada e Saida'!$H$21*'Entrada e Saida'!$K$8*(Q117/(SUM(Q:Q)))</f>
        <v>#DIV/0!</v>
      </c>
      <c r="U117" s="179" t="e">
        <f>'Entrada e Saida'!$H$22*(P117/(SUM(P:P)))</f>
        <v>#DIV/0!</v>
      </c>
      <c r="V117" s="179" t="e">
        <f>'Entrada e Saida'!$H$22*(Q117/(SUM(Q:Q)))</f>
        <v>#DIV/0!</v>
      </c>
      <c r="W117" s="8" t="e">
        <f t="shared" si="61"/>
        <v>#DIV/0!</v>
      </c>
      <c r="X117" s="179" t="e">
        <f>'Entrada e Saida'!$H$26*(IF('Entrada e Saida'!$H$15="PESO",(P117/(SUM(P:P))),(Q117/(SUM(Q:Q)))))</f>
        <v>#DIV/0!</v>
      </c>
      <c r="Y117" s="179" t="e">
        <f>'Entrada e Saida'!$H$27*(IF('Entrada e Saida'!$H$15="PESO",(P117/(SUM(P:P))),(Q117/(SUM(Q:Q)))))</f>
        <v>#DIV/0!</v>
      </c>
      <c r="Z117" s="179" t="e">
        <f>'Entrada e Saida'!$H$28*(IF('Entrada e Saida'!$H$15="PESO",(P117/(SUM(P:P))),(Q117/(SUM(Q:Q)))))</f>
        <v>#DIV/0!</v>
      </c>
      <c r="AA117" s="10" t="e">
        <f t="shared" si="62"/>
        <v>#DIV/0!</v>
      </c>
      <c r="AB117" s="3" t="e">
        <f t="shared" si="63"/>
        <v>#DIV/0!</v>
      </c>
      <c r="AC117" s="3" t="e">
        <f t="shared" si="64"/>
        <v>#DIV/0!</v>
      </c>
      <c r="AD117" s="3" t="e">
        <f t="shared" si="65"/>
        <v>#DIV/0!</v>
      </c>
      <c r="AE117" s="9" t="e">
        <f t="shared" si="66"/>
        <v>#DIV/0!</v>
      </c>
      <c r="AF117" s="126">
        <f>IFERROR(D117*F117*L117*'Entrada e Saida'!$K$8,0)</f>
        <v>0</v>
      </c>
      <c r="AG117" s="3" t="e">
        <f>((W117+AA117+AB117+AC117+AD117+AE117+AF117)/(1-'Entrada e Saida'!$G$65))*'Entrada e Saida'!$I$66</f>
        <v>#DIV/0!</v>
      </c>
      <c r="AH117" s="8" t="e">
        <f t="shared" si="67"/>
        <v>#DIV/0!</v>
      </c>
      <c r="AI117" s="183" t="e">
        <f>'Entrada e Saida'!$K$51*(IF('Entrada e Saida'!$H$15="PESO",(P117/(SUM(P:P))),(Q117/(SUM(Q:Q)))))</f>
        <v>#DIV/0!</v>
      </c>
      <c r="AJ117" s="7">
        <f>(('Entrada e Saida'!$K$10-'Entrada e Saida'!$K$8)*E117*D117)</f>
        <v>0</v>
      </c>
      <c r="AK117" s="184" t="e">
        <f>IF('Entrada e Saida'!$H$15="PESO",W117+AA117+AH117+AI117+AJ117,W117+AA117+AH117+AI117+AJ117-S117+T117-U117+V117)</f>
        <v>#DIV/0!</v>
      </c>
      <c r="AL117" s="6" t="e">
        <f>IF('Entrada e Saida'!$H$12="REAL",AC117,0)</f>
        <v>#DIV/0!</v>
      </c>
      <c r="AM117" s="6" t="e">
        <f>IF('Entrada e Saida'!$H$12="REAL",AD117,0)</f>
        <v>#DIV/0!</v>
      </c>
      <c r="AN117" s="5" t="e">
        <f>IF('Entrada e Saida'!$H$13= "NÃO",AE117,0)</f>
        <v>#DIV/0!</v>
      </c>
      <c r="AO117" s="5" t="e">
        <f t="shared" si="68"/>
        <v>#DIV/0!</v>
      </c>
      <c r="AP117" s="4" t="e">
        <f t="shared" si="69"/>
        <v>#DIV/0!</v>
      </c>
      <c r="AQ117" s="3" t="e">
        <f>IF('Entrada e Saida'!$H$11="TRADING",AU117*'Custo Resumido'!D117,0)</f>
        <v>#DIV/0!</v>
      </c>
      <c r="AR117" s="3" t="e">
        <f>IF('Entrada e Saida'!$H$11="TRADING",AU117*'Entrada e Saida'!$G$63,0)</f>
        <v>#DIV/0!</v>
      </c>
      <c r="AS117" s="3" t="e">
        <f>IF('Entrada e Saida'!$H$11="TRADING",AU117*'Entrada e Saida'!$G$64,0)</f>
        <v>#DIV/0!</v>
      </c>
      <c r="AT117" s="3" t="e">
        <f>IF('Entrada e Saida'!$H$11="TRADING",AU117*'Entrada e Saida'!$G$65,0)</f>
        <v>#DIV/0!</v>
      </c>
      <c r="AU117" s="4" t="e">
        <f>IF('Entrada e Saida'!$H$11="TRADING",AP117/(1-(SUM('Entrada e Saida'!$G$63:$G$65)+'Custo Resumido'!D117)),0)</f>
        <v>#DIV/0!</v>
      </c>
      <c r="AV117" s="3" t="e">
        <f>IF('Entrada e Saida'!$H$13="NÃO",AU117*M117,0)</f>
        <v>#DIV/0!</v>
      </c>
      <c r="AW117" s="4" t="e">
        <f t="shared" si="70"/>
        <v>#DIV/0!</v>
      </c>
      <c r="AX117" s="3" t="e">
        <f>'Entrada e Saida'!$G$74*AU117</f>
        <v>#DIV/0!</v>
      </c>
      <c r="AY117" s="4" t="e">
        <f t="shared" si="71"/>
        <v>#DIV/0!</v>
      </c>
      <c r="AZ117" s="4" t="e">
        <f>AQ117+('Entrada e Saida'!$G$65-'Entrada e Saida'!$I$65)*AU117-AX117</f>
        <v>#DIV/0!</v>
      </c>
      <c r="BA117" s="3" t="e">
        <f>IF('Entrada e Saida'!$H$12="REAL",AZ117*'Entrada e Saida'!$G$81,AU117*'Entrada e Saida'!$G$81)</f>
        <v>#DIV/0!</v>
      </c>
      <c r="BB117" s="3" t="e">
        <f>IF('Entrada e Saida'!$H$12="REAL",AZ117*'Entrada e Saida'!$G$82,AU117*'Entrada e Saida'!$G$82)</f>
        <v>#DIV/0!</v>
      </c>
      <c r="BC117" s="4" t="e">
        <f t="shared" si="72"/>
        <v>#DIV/0!</v>
      </c>
      <c r="BD117" s="3" t="e">
        <f>IF('Entrada e Saida'!$H$11="TRADING",AW117/D117,AK117/D117)</f>
        <v>#DIV/0!</v>
      </c>
      <c r="BE117" s="3" t="e">
        <f t="shared" si="73"/>
        <v>#DIV/0!</v>
      </c>
      <c r="BF117" s="2" t="e">
        <f t="shared" si="74"/>
        <v>#DIV/0!</v>
      </c>
      <c r="BG117" s="3" t="e">
        <f>IF('Entrada e Saida'!$H$11="TRADING",AV117/D117,AN117/D117)</f>
        <v>#DIV/0!</v>
      </c>
      <c r="BH117" s="3" t="e">
        <f>IF('Entrada e Saida'!$H$11="TRADING",IF('Entrada e Saida'!$H$12="REAL",AR117/D117,0),AL117/D117)</f>
        <v>#DIV/0!</v>
      </c>
      <c r="BI117" s="3" t="e">
        <f>IF('Entrada e Saida'!$H$11="TRADING",IF('Entrada e Saida'!$H$12="REAL",AS117/D117,0),AM117/D117)</f>
        <v>#DIV/0!</v>
      </c>
      <c r="BJ117" s="3" t="e">
        <f>IF('Entrada e Saida'!$H$11="TRADING",AT117/D117,AO117/D117)</f>
        <v>#DIV/0!</v>
      </c>
      <c r="BK117" s="2" t="e">
        <f t="shared" si="75"/>
        <v>#DIV/0!</v>
      </c>
      <c r="BL117" s="2">
        <f>IF(O117&gt;0,IFERROR(IF('Entrada e Saida'!$H$11="DIRETA",0,(IF('Entrada e Saida'!$H$14="P.JURIDICA",(BD117*(1+O117)*N117)-((BD117/(1+M117))*'Entrada e Saida'!$G$65),((Produtos!N117-'Entrada e Saida'!$G$65)*Produtos!BD117)))),0),0)</f>
        <v>0</v>
      </c>
      <c r="BM117" s="2" t="e">
        <f t="shared" si="76"/>
        <v>#DIV/0!</v>
      </c>
    </row>
    <row r="118" spans="1:65" s="1" customFormat="1">
      <c r="A118" s="127"/>
      <c r="B118" s="114"/>
      <c r="C118" s="116"/>
      <c r="D118" s="146"/>
      <c r="E118" s="115">
        <f>IFERROR(VLOOKUP(A118,'Master Modelo'!A:I,9,FALSE),0)</f>
        <v>0</v>
      </c>
      <c r="F118" s="189">
        <f>IFERROR(VLOOKUP(A118,'Master Modelo'!A:I,8,FALSE),0)</f>
        <v>0</v>
      </c>
      <c r="G118" s="189">
        <f>IFERROR(VLOOKUP(A118,'Master Modelo'!A:K,11,FALSE),0)</f>
        <v>0</v>
      </c>
      <c r="H118" s="114" t="e">
        <f t="shared" si="59"/>
        <v>#DIV/0!</v>
      </c>
      <c r="I118" s="150">
        <f>IFERROR(VLOOKUP(A118,'Master Modelo'!A:I,3,FALSE),0)</f>
        <v>0</v>
      </c>
      <c r="J118" s="151">
        <f>IFERROR(VLOOKUP(A118,'Master Modelo'!A:I,5,FALSE),0)</f>
        <v>0</v>
      </c>
      <c r="K118" s="151">
        <f>IFERROR(VLOOKUP(A118,'Master Modelo'!A:I,6,FALSE),0)</f>
        <v>0</v>
      </c>
      <c r="L118" s="152" t="e">
        <f>VLOOKUP(A118,'Master Modelo'!A:J,10,FALSE)</f>
        <v>#N/A</v>
      </c>
      <c r="M118" s="150">
        <f>IFERROR(VLOOKUP(A118,'Master Modelo'!A:I,4,FALSE),0)</f>
        <v>0</v>
      </c>
      <c r="N118" s="128"/>
      <c r="O118" s="129"/>
      <c r="P118" s="9">
        <f t="shared" si="60"/>
        <v>0</v>
      </c>
      <c r="Q118" s="177">
        <f t="shared" si="58"/>
        <v>0</v>
      </c>
      <c r="R118" s="3">
        <f>D118*E118*'Entrada e Saida'!$K$8</f>
        <v>0</v>
      </c>
      <c r="S118" s="179" t="e">
        <f>'Entrada e Saida'!$H$21*'Entrada e Saida'!$K$8*(P118/(SUM(P:P)))</f>
        <v>#DIV/0!</v>
      </c>
      <c r="T118" s="179" t="e">
        <f>'Entrada e Saida'!$H$21*'Entrada e Saida'!$K$8*(Q118/(SUM(Q:Q)))</f>
        <v>#DIV/0!</v>
      </c>
      <c r="U118" s="179" t="e">
        <f>'Entrada e Saida'!$H$22*(P118/(SUM(P:P)))</f>
        <v>#DIV/0!</v>
      </c>
      <c r="V118" s="179" t="e">
        <f>'Entrada e Saida'!$H$22*(Q118/(SUM(Q:Q)))</f>
        <v>#DIV/0!</v>
      </c>
      <c r="W118" s="8" t="e">
        <f t="shared" si="61"/>
        <v>#DIV/0!</v>
      </c>
      <c r="X118" s="179" t="e">
        <f>'Entrada e Saida'!$H$26*(IF('Entrada e Saida'!$H$15="PESO",(P118/(SUM(P:P))),(Q118/(SUM(Q:Q)))))</f>
        <v>#DIV/0!</v>
      </c>
      <c r="Y118" s="179" t="e">
        <f>'Entrada e Saida'!$H$27*(IF('Entrada e Saida'!$H$15="PESO",(P118/(SUM(P:P))),(Q118/(SUM(Q:Q)))))</f>
        <v>#DIV/0!</v>
      </c>
      <c r="Z118" s="179" t="e">
        <f>'Entrada e Saida'!$H$28*(IF('Entrada e Saida'!$H$15="PESO",(P118/(SUM(P:P))),(Q118/(SUM(Q:Q)))))</f>
        <v>#DIV/0!</v>
      </c>
      <c r="AA118" s="10" t="e">
        <f t="shared" si="62"/>
        <v>#DIV/0!</v>
      </c>
      <c r="AB118" s="3" t="e">
        <f t="shared" si="63"/>
        <v>#DIV/0!</v>
      </c>
      <c r="AC118" s="3" t="e">
        <f t="shared" si="64"/>
        <v>#DIV/0!</v>
      </c>
      <c r="AD118" s="3" t="e">
        <f t="shared" si="65"/>
        <v>#DIV/0!</v>
      </c>
      <c r="AE118" s="9" t="e">
        <f t="shared" si="66"/>
        <v>#DIV/0!</v>
      </c>
      <c r="AF118" s="126">
        <f>IFERROR(D118*F118*L118*'Entrada e Saida'!$K$8,0)</f>
        <v>0</v>
      </c>
      <c r="AG118" s="3" t="e">
        <f>((W118+AA118+AB118+AC118+AD118+AE118+AF118)/(1-'Entrada e Saida'!$G$65))*'Entrada e Saida'!$I$66</f>
        <v>#DIV/0!</v>
      </c>
      <c r="AH118" s="8" t="e">
        <f t="shared" si="67"/>
        <v>#DIV/0!</v>
      </c>
      <c r="AI118" s="183" t="e">
        <f>'Entrada e Saida'!$K$51*(IF('Entrada e Saida'!$H$15="PESO",(P118/(SUM(P:P))),(Q118/(SUM(Q:Q)))))</f>
        <v>#DIV/0!</v>
      </c>
      <c r="AJ118" s="7">
        <f>(('Entrada e Saida'!$K$10-'Entrada e Saida'!$K$8)*E118*D118)</f>
        <v>0</v>
      </c>
      <c r="AK118" s="184" t="e">
        <f>IF('Entrada e Saida'!$H$15="PESO",W118+AA118+AH118+AI118+AJ118,W118+AA118+AH118+AI118+AJ118-S118+T118-U118+V118)</f>
        <v>#DIV/0!</v>
      </c>
      <c r="AL118" s="6" t="e">
        <f>IF('Entrada e Saida'!$H$12="REAL",AC118,0)</f>
        <v>#DIV/0!</v>
      </c>
      <c r="AM118" s="6" t="e">
        <f>IF('Entrada e Saida'!$H$12="REAL",AD118,0)</f>
        <v>#DIV/0!</v>
      </c>
      <c r="AN118" s="5" t="e">
        <f>IF('Entrada e Saida'!$H$13= "NÃO",AE118,0)</f>
        <v>#DIV/0!</v>
      </c>
      <c r="AO118" s="5" t="e">
        <f t="shared" si="68"/>
        <v>#DIV/0!</v>
      </c>
      <c r="AP118" s="4" t="e">
        <f t="shared" si="69"/>
        <v>#DIV/0!</v>
      </c>
      <c r="AQ118" s="3" t="e">
        <f>IF('Entrada e Saida'!$H$11="TRADING",AU118*'Custo Resumido'!D118,0)</f>
        <v>#DIV/0!</v>
      </c>
      <c r="AR118" s="3" t="e">
        <f>IF('Entrada e Saida'!$H$11="TRADING",AU118*'Entrada e Saida'!$G$63,0)</f>
        <v>#DIV/0!</v>
      </c>
      <c r="AS118" s="3" t="e">
        <f>IF('Entrada e Saida'!$H$11="TRADING",AU118*'Entrada e Saida'!$G$64,0)</f>
        <v>#DIV/0!</v>
      </c>
      <c r="AT118" s="3" t="e">
        <f>IF('Entrada e Saida'!$H$11="TRADING",AU118*'Entrada e Saida'!$G$65,0)</f>
        <v>#DIV/0!</v>
      </c>
      <c r="AU118" s="4" t="e">
        <f>IF('Entrada e Saida'!$H$11="TRADING",AP118/(1-(SUM('Entrada e Saida'!$G$63:$G$65)+'Custo Resumido'!D118)),0)</f>
        <v>#DIV/0!</v>
      </c>
      <c r="AV118" s="3" t="e">
        <f>IF('Entrada e Saida'!$H$13="NÃO",AU118*M118,0)</f>
        <v>#DIV/0!</v>
      </c>
      <c r="AW118" s="4" t="e">
        <f t="shared" si="70"/>
        <v>#DIV/0!</v>
      </c>
      <c r="AX118" s="3" t="e">
        <f>'Entrada e Saida'!$G$74*AU118</f>
        <v>#DIV/0!</v>
      </c>
      <c r="AY118" s="4" t="e">
        <f t="shared" si="71"/>
        <v>#DIV/0!</v>
      </c>
      <c r="AZ118" s="4" t="e">
        <f>AQ118+('Entrada e Saida'!$G$65-'Entrada e Saida'!$I$65)*AU118-AX118</f>
        <v>#DIV/0!</v>
      </c>
      <c r="BA118" s="3" t="e">
        <f>IF('Entrada e Saida'!$H$12="REAL",AZ118*'Entrada e Saida'!$G$81,AU118*'Entrada e Saida'!$G$81)</f>
        <v>#DIV/0!</v>
      </c>
      <c r="BB118" s="3" t="e">
        <f>IF('Entrada e Saida'!$H$12="REAL",AZ118*'Entrada e Saida'!$G$82,AU118*'Entrada e Saida'!$G$82)</f>
        <v>#DIV/0!</v>
      </c>
      <c r="BC118" s="4" t="e">
        <f t="shared" si="72"/>
        <v>#DIV/0!</v>
      </c>
      <c r="BD118" s="3" t="e">
        <f>IF('Entrada e Saida'!$H$11="TRADING",AW118/D118,AK118/D118)</f>
        <v>#DIV/0!</v>
      </c>
      <c r="BE118" s="3" t="e">
        <f t="shared" si="73"/>
        <v>#DIV/0!</v>
      </c>
      <c r="BF118" s="2" t="e">
        <f t="shared" si="74"/>
        <v>#DIV/0!</v>
      </c>
      <c r="BG118" s="3" t="e">
        <f>IF('Entrada e Saida'!$H$11="TRADING",AV118/D118,AN118/D118)</f>
        <v>#DIV/0!</v>
      </c>
      <c r="BH118" s="3" t="e">
        <f>IF('Entrada e Saida'!$H$11="TRADING",IF('Entrada e Saida'!$H$12="REAL",AR118/D118,0),AL118/D118)</f>
        <v>#DIV/0!</v>
      </c>
      <c r="BI118" s="3" t="e">
        <f>IF('Entrada e Saida'!$H$11="TRADING",IF('Entrada e Saida'!$H$12="REAL",AS118/D118,0),AM118/D118)</f>
        <v>#DIV/0!</v>
      </c>
      <c r="BJ118" s="3" t="e">
        <f>IF('Entrada e Saida'!$H$11="TRADING",AT118/D118,AO118/D118)</f>
        <v>#DIV/0!</v>
      </c>
      <c r="BK118" s="2" t="e">
        <f t="shared" si="75"/>
        <v>#DIV/0!</v>
      </c>
      <c r="BL118" s="2">
        <f>IF(O118&gt;0,IFERROR(IF('Entrada e Saida'!$H$11="DIRETA",0,(IF('Entrada e Saida'!$H$14="P.JURIDICA",(BD118*(1+O118)*N118)-((BD118/(1+M118))*'Entrada e Saida'!$G$65),((Produtos!N118-'Entrada e Saida'!$G$65)*Produtos!BD118)))),0),0)</f>
        <v>0</v>
      </c>
      <c r="BM118" s="2" t="e">
        <f t="shared" si="76"/>
        <v>#DIV/0!</v>
      </c>
    </row>
    <row r="119" spans="1:65" s="1" customFormat="1">
      <c r="A119" s="127"/>
      <c r="B119" s="114"/>
      <c r="C119" s="116"/>
      <c r="D119" s="146"/>
      <c r="E119" s="115">
        <f>IFERROR(VLOOKUP(A119,'Master Modelo'!A:I,9,FALSE),0)</f>
        <v>0</v>
      </c>
      <c r="F119" s="189">
        <f>IFERROR(VLOOKUP(A119,'Master Modelo'!A:I,8,FALSE),0)</f>
        <v>0</v>
      </c>
      <c r="G119" s="189">
        <f>IFERROR(VLOOKUP(A119,'Master Modelo'!A:K,11,FALSE),0)</f>
        <v>0</v>
      </c>
      <c r="H119" s="114" t="e">
        <f t="shared" si="59"/>
        <v>#DIV/0!</v>
      </c>
      <c r="I119" s="150">
        <f>IFERROR(VLOOKUP(A119,'Master Modelo'!A:I,3,FALSE),0)</f>
        <v>0</v>
      </c>
      <c r="J119" s="151">
        <f>IFERROR(VLOOKUP(A119,'Master Modelo'!A:I,5,FALSE),0)</f>
        <v>0</v>
      </c>
      <c r="K119" s="151">
        <f>IFERROR(VLOOKUP(A119,'Master Modelo'!A:I,6,FALSE),0)</f>
        <v>0</v>
      </c>
      <c r="L119" s="152" t="e">
        <f>VLOOKUP(A119,'Master Modelo'!A:J,10,FALSE)</f>
        <v>#N/A</v>
      </c>
      <c r="M119" s="150">
        <f>IFERROR(VLOOKUP(A119,'Master Modelo'!A:I,4,FALSE),0)</f>
        <v>0</v>
      </c>
      <c r="N119" s="128"/>
      <c r="O119" s="129"/>
      <c r="P119" s="9">
        <f t="shared" si="60"/>
        <v>0</v>
      </c>
      <c r="Q119" s="177">
        <f t="shared" si="58"/>
        <v>0</v>
      </c>
      <c r="R119" s="3">
        <f>D119*E119*'Entrada e Saida'!$K$8</f>
        <v>0</v>
      </c>
      <c r="S119" s="179" t="e">
        <f>'Entrada e Saida'!$H$21*'Entrada e Saida'!$K$8*(P119/(SUM(P:P)))</f>
        <v>#DIV/0!</v>
      </c>
      <c r="T119" s="179" t="e">
        <f>'Entrada e Saida'!$H$21*'Entrada e Saida'!$K$8*(Q119/(SUM(Q:Q)))</f>
        <v>#DIV/0!</v>
      </c>
      <c r="U119" s="179" t="e">
        <f>'Entrada e Saida'!$H$22*(P119/(SUM(P:P)))</f>
        <v>#DIV/0!</v>
      </c>
      <c r="V119" s="179" t="e">
        <f>'Entrada e Saida'!$H$22*(Q119/(SUM(Q:Q)))</f>
        <v>#DIV/0!</v>
      </c>
      <c r="W119" s="8" t="e">
        <f t="shared" si="61"/>
        <v>#DIV/0!</v>
      </c>
      <c r="X119" s="179" t="e">
        <f>'Entrada e Saida'!$H$26*(IF('Entrada e Saida'!$H$15="PESO",(P119/(SUM(P:P))),(Q119/(SUM(Q:Q)))))</f>
        <v>#DIV/0!</v>
      </c>
      <c r="Y119" s="179" t="e">
        <f>'Entrada e Saida'!$H$27*(IF('Entrada e Saida'!$H$15="PESO",(P119/(SUM(P:P))),(Q119/(SUM(Q:Q)))))</f>
        <v>#DIV/0!</v>
      </c>
      <c r="Z119" s="179" t="e">
        <f>'Entrada e Saida'!$H$28*(IF('Entrada e Saida'!$H$15="PESO",(P119/(SUM(P:P))),(Q119/(SUM(Q:Q)))))</f>
        <v>#DIV/0!</v>
      </c>
      <c r="AA119" s="10" t="e">
        <f t="shared" si="62"/>
        <v>#DIV/0!</v>
      </c>
      <c r="AB119" s="3" t="e">
        <f t="shared" si="63"/>
        <v>#DIV/0!</v>
      </c>
      <c r="AC119" s="3" t="e">
        <f t="shared" si="64"/>
        <v>#DIV/0!</v>
      </c>
      <c r="AD119" s="3" t="e">
        <f t="shared" si="65"/>
        <v>#DIV/0!</v>
      </c>
      <c r="AE119" s="9" t="e">
        <f t="shared" si="66"/>
        <v>#DIV/0!</v>
      </c>
      <c r="AF119" s="126">
        <f>IFERROR(D119*F119*L119*'Entrada e Saida'!$K$8,0)</f>
        <v>0</v>
      </c>
      <c r="AG119" s="3" t="e">
        <f>((W119+AA119+AB119+AC119+AD119+AE119+AF119)/(1-'Entrada e Saida'!$G$65))*'Entrada e Saida'!$I$66</f>
        <v>#DIV/0!</v>
      </c>
      <c r="AH119" s="8" t="e">
        <f t="shared" si="67"/>
        <v>#DIV/0!</v>
      </c>
      <c r="AI119" s="183" t="e">
        <f>'Entrada e Saida'!$K$51*(IF('Entrada e Saida'!$H$15="PESO",(P119/(SUM(P:P))),(Q119/(SUM(Q:Q)))))</f>
        <v>#DIV/0!</v>
      </c>
      <c r="AJ119" s="7">
        <f>(('Entrada e Saida'!$K$10-'Entrada e Saida'!$K$8)*E119*D119)</f>
        <v>0</v>
      </c>
      <c r="AK119" s="184" t="e">
        <f>IF('Entrada e Saida'!$H$15="PESO",W119+AA119+AH119+AI119+AJ119,W119+AA119+AH119+AI119+AJ119-S119+T119-U119+V119)</f>
        <v>#DIV/0!</v>
      </c>
      <c r="AL119" s="6" t="e">
        <f>IF('Entrada e Saida'!$H$12="REAL",AC119,0)</f>
        <v>#DIV/0!</v>
      </c>
      <c r="AM119" s="6" t="e">
        <f>IF('Entrada e Saida'!$H$12="REAL",AD119,0)</f>
        <v>#DIV/0!</v>
      </c>
      <c r="AN119" s="5" t="e">
        <f>IF('Entrada e Saida'!$H$13= "NÃO",AE119,0)</f>
        <v>#DIV/0!</v>
      </c>
      <c r="AO119" s="5" t="e">
        <f t="shared" si="68"/>
        <v>#DIV/0!</v>
      </c>
      <c r="AP119" s="4" t="e">
        <f t="shared" si="69"/>
        <v>#DIV/0!</v>
      </c>
      <c r="AQ119" s="3" t="e">
        <f>IF('Entrada e Saida'!$H$11="TRADING",AU119*'Custo Resumido'!D119,0)</f>
        <v>#DIV/0!</v>
      </c>
      <c r="AR119" s="3" t="e">
        <f>IF('Entrada e Saida'!$H$11="TRADING",AU119*'Entrada e Saida'!$G$63,0)</f>
        <v>#DIV/0!</v>
      </c>
      <c r="AS119" s="3" t="e">
        <f>IF('Entrada e Saida'!$H$11="TRADING",AU119*'Entrada e Saida'!$G$64,0)</f>
        <v>#DIV/0!</v>
      </c>
      <c r="AT119" s="3" t="e">
        <f>IF('Entrada e Saida'!$H$11="TRADING",AU119*'Entrada e Saida'!$G$65,0)</f>
        <v>#DIV/0!</v>
      </c>
      <c r="AU119" s="4" t="e">
        <f>IF('Entrada e Saida'!$H$11="TRADING",AP119/(1-(SUM('Entrada e Saida'!$G$63:$G$65)+'Custo Resumido'!D119)),0)</f>
        <v>#DIV/0!</v>
      </c>
      <c r="AV119" s="3" t="e">
        <f>IF('Entrada e Saida'!$H$13="NÃO",AU119*M119,0)</f>
        <v>#DIV/0!</v>
      </c>
      <c r="AW119" s="4" t="e">
        <f t="shared" si="70"/>
        <v>#DIV/0!</v>
      </c>
      <c r="AX119" s="3" t="e">
        <f>'Entrada e Saida'!$G$74*AU119</f>
        <v>#DIV/0!</v>
      </c>
      <c r="AY119" s="4" t="e">
        <f t="shared" si="71"/>
        <v>#DIV/0!</v>
      </c>
      <c r="AZ119" s="4" t="e">
        <f>AQ119+('Entrada e Saida'!$G$65-'Entrada e Saida'!$I$65)*AU119-AX119</f>
        <v>#DIV/0!</v>
      </c>
      <c r="BA119" s="3" t="e">
        <f>IF('Entrada e Saida'!$H$12="REAL",AZ119*'Entrada e Saida'!$G$81,AU119*'Entrada e Saida'!$G$81)</f>
        <v>#DIV/0!</v>
      </c>
      <c r="BB119" s="3" t="e">
        <f>IF('Entrada e Saida'!$H$12="REAL",AZ119*'Entrada e Saida'!$G$82,AU119*'Entrada e Saida'!$G$82)</f>
        <v>#DIV/0!</v>
      </c>
      <c r="BC119" s="4" t="e">
        <f t="shared" si="72"/>
        <v>#DIV/0!</v>
      </c>
      <c r="BD119" s="3" t="e">
        <f>IF('Entrada e Saida'!$H$11="TRADING",AW119/D119,AK119/D119)</f>
        <v>#DIV/0!</v>
      </c>
      <c r="BE119" s="3" t="e">
        <f t="shared" si="73"/>
        <v>#DIV/0!</v>
      </c>
      <c r="BF119" s="2" t="e">
        <f t="shared" si="74"/>
        <v>#DIV/0!</v>
      </c>
      <c r="BG119" s="3" t="e">
        <f>IF('Entrada e Saida'!$H$11="TRADING",AV119/D119,AN119/D119)</f>
        <v>#DIV/0!</v>
      </c>
      <c r="BH119" s="3" t="e">
        <f>IF('Entrada e Saida'!$H$11="TRADING",IF('Entrada e Saida'!$H$12="REAL",AR119/D119,0),AL119/D119)</f>
        <v>#DIV/0!</v>
      </c>
      <c r="BI119" s="3" t="e">
        <f>IF('Entrada e Saida'!$H$11="TRADING",IF('Entrada e Saida'!$H$12="REAL",AS119/D119,0),AM119/D119)</f>
        <v>#DIV/0!</v>
      </c>
      <c r="BJ119" s="3" t="e">
        <f>IF('Entrada e Saida'!$H$11="TRADING",AT119/D119,AO119/D119)</f>
        <v>#DIV/0!</v>
      </c>
      <c r="BK119" s="2" t="e">
        <f t="shared" si="75"/>
        <v>#DIV/0!</v>
      </c>
      <c r="BL119" s="2">
        <f>IF(O119&gt;0,IFERROR(IF('Entrada e Saida'!$H$11="DIRETA",0,(IF('Entrada e Saida'!$H$14="P.JURIDICA",(BD119*(1+O119)*N119)-((BD119/(1+M119))*'Entrada e Saida'!$G$65),((Produtos!N119-'Entrada e Saida'!$G$65)*Produtos!BD119)))),0),0)</f>
        <v>0</v>
      </c>
      <c r="BM119" s="2" t="e">
        <f t="shared" si="76"/>
        <v>#DIV/0!</v>
      </c>
    </row>
    <row r="120" spans="1:65" s="1" customFormat="1">
      <c r="A120" s="127"/>
      <c r="B120" s="114"/>
      <c r="C120" s="116"/>
      <c r="D120" s="146"/>
      <c r="E120" s="115">
        <f>IFERROR(VLOOKUP(A120,'Master Modelo'!A:I,9,FALSE),0)</f>
        <v>0</v>
      </c>
      <c r="F120" s="189">
        <f>IFERROR(VLOOKUP(A120,'Master Modelo'!A:I,8,FALSE),0)</f>
        <v>0</v>
      </c>
      <c r="G120" s="189">
        <f>IFERROR(VLOOKUP(A120,'Master Modelo'!A:K,11,FALSE),0)</f>
        <v>0</v>
      </c>
      <c r="H120" s="114" t="e">
        <f t="shared" si="59"/>
        <v>#DIV/0!</v>
      </c>
      <c r="I120" s="150">
        <f>IFERROR(VLOOKUP(A120,'Master Modelo'!A:I,3,FALSE),0)</f>
        <v>0</v>
      </c>
      <c r="J120" s="151">
        <f>IFERROR(VLOOKUP(A120,'Master Modelo'!A:I,5,FALSE),0)</f>
        <v>0</v>
      </c>
      <c r="K120" s="151">
        <f>IFERROR(VLOOKUP(A120,'Master Modelo'!A:I,6,FALSE),0)</f>
        <v>0</v>
      </c>
      <c r="L120" s="152" t="e">
        <f>VLOOKUP(A120,'Master Modelo'!A:J,10,FALSE)</f>
        <v>#N/A</v>
      </c>
      <c r="M120" s="150">
        <f>IFERROR(VLOOKUP(A120,'Master Modelo'!A:I,4,FALSE),0)</f>
        <v>0</v>
      </c>
      <c r="N120" s="128"/>
      <c r="O120" s="129"/>
      <c r="P120" s="9">
        <f t="shared" si="60"/>
        <v>0</v>
      </c>
      <c r="Q120" s="177">
        <f t="shared" si="58"/>
        <v>0</v>
      </c>
      <c r="R120" s="3">
        <f>D120*E120*'Entrada e Saida'!$K$8</f>
        <v>0</v>
      </c>
      <c r="S120" s="179" t="e">
        <f>'Entrada e Saida'!$H$21*'Entrada e Saida'!$K$8*(P120/(SUM(P:P)))</f>
        <v>#DIV/0!</v>
      </c>
      <c r="T120" s="179" t="e">
        <f>'Entrada e Saida'!$H$21*'Entrada e Saida'!$K$8*(Q120/(SUM(Q:Q)))</f>
        <v>#DIV/0!</v>
      </c>
      <c r="U120" s="179" t="e">
        <f>'Entrada e Saida'!$H$22*(P120/(SUM(P:P)))</f>
        <v>#DIV/0!</v>
      </c>
      <c r="V120" s="179" t="e">
        <f>'Entrada e Saida'!$H$22*(Q120/(SUM(Q:Q)))</f>
        <v>#DIV/0!</v>
      </c>
      <c r="W120" s="8" t="e">
        <f t="shared" si="61"/>
        <v>#DIV/0!</v>
      </c>
      <c r="X120" s="179" t="e">
        <f>'Entrada e Saida'!$H$26*(IF('Entrada e Saida'!$H$15="PESO",(P120/(SUM(P:P))),(Q120/(SUM(Q:Q)))))</f>
        <v>#DIV/0!</v>
      </c>
      <c r="Y120" s="179" t="e">
        <f>'Entrada e Saida'!$H$27*(IF('Entrada e Saida'!$H$15="PESO",(P120/(SUM(P:P))),(Q120/(SUM(Q:Q)))))</f>
        <v>#DIV/0!</v>
      </c>
      <c r="Z120" s="179" t="e">
        <f>'Entrada e Saida'!$H$28*(IF('Entrada e Saida'!$H$15="PESO",(P120/(SUM(P:P))),(Q120/(SUM(Q:Q)))))</f>
        <v>#DIV/0!</v>
      </c>
      <c r="AA120" s="10" t="e">
        <f t="shared" si="62"/>
        <v>#DIV/0!</v>
      </c>
      <c r="AB120" s="3" t="e">
        <f t="shared" si="63"/>
        <v>#DIV/0!</v>
      </c>
      <c r="AC120" s="3" t="e">
        <f t="shared" si="64"/>
        <v>#DIV/0!</v>
      </c>
      <c r="AD120" s="3" t="e">
        <f t="shared" si="65"/>
        <v>#DIV/0!</v>
      </c>
      <c r="AE120" s="9" t="e">
        <f t="shared" si="66"/>
        <v>#DIV/0!</v>
      </c>
      <c r="AF120" s="126">
        <f>IFERROR(D120*F120*L120*'Entrada e Saida'!$K$8,0)</f>
        <v>0</v>
      </c>
      <c r="AG120" s="3" t="e">
        <f>((W120+AA120+AB120+AC120+AD120+AE120+AF120)/(1-'Entrada e Saida'!$G$65))*'Entrada e Saida'!$I$66</f>
        <v>#DIV/0!</v>
      </c>
      <c r="AH120" s="8" t="e">
        <f t="shared" si="67"/>
        <v>#DIV/0!</v>
      </c>
      <c r="AI120" s="183" t="e">
        <f>'Entrada e Saida'!$K$51*(IF('Entrada e Saida'!$H$15="PESO",(P120/(SUM(P:P))),(Q120/(SUM(Q:Q)))))</f>
        <v>#DIV/0!</v>
      </c>
      <c r="AJ120" s="7">
        <f>(('Entrada e Saida'!$K$10-'Entrada e Saida'!$K$8)*E120*D120)</f>
        <v>0</v>
      </c>
      <c r="AK120" s="184" t="e">
        <f>IF('Entrada e Saida'!$H$15="PESO",W120+AA120+AH120+AI120+AJ120,W120+AA120+AH120+AI120+AJ120-S120+T120-U120+V120)</f>
        <v>#DIV/0!</v>
      </c>
      <c r="AL120" s="6" t="e">
        <f>IF('Entrada e Saida'!$H$12="REAL",AC120,0)</f>
        <v>#DIV/0!</v>
      </c>
      <c r="AM120" s="6" t="e">
        <f>IF('Entrada e Saida'!$H$12="REAL",AD120,0)</f>
        <v>#DIV/0!</v>
      </c>
      <c r="AN120" s="5" t="e">
        <f>IF('Entrada e Saida'!$H$13= "NÃO",AE120,0)</f>
        <v>#DIV/0!</v>
      </c>
      <c r="AO120" s="5" t="e">
        <f t="shared" si="68"/>
        <v>#DIV/0!</v>
      </c>
      <c r="AP120" s="4" t="e">
        <f t="shared" si="69"/>
        <v>#DIV/0!</v>
      </c>
      <c r="AQ120" s="3" t="e">
        <f>IF('Entrada e Saida'!$H$11="TRADING",AU120*'Custo Resumido'!D120,0)</f>
        <v>#DIV/0!</v>
      </c>
      <c r="AR120" s="3" t="e">
        <f>IF('Entrada e Saida'!$H$11="TRADING",AU120*'Entrada e Saida'!$G$63,0)</f>
        <v>#DIV/0!</v>
      </c>
      <c r="AS120" s="3" t="e">
        <f>IF('Entrada e Saida'!$H$11="TRADING",AU120*'Entrada e Saida'!$G$64,0)</f>
        <v>#DIV/0!</v>
      </c>
      <c r="AT120" s="3" t="e">
        <f>IF('Entrada e Saida'!$H$11="TRADING",AU120*'Entrada e Saida'!$G$65,0)</f>
        <v>#DIV/0!</v>
      </c>
      <c r="AU120" s="4" t="e">
        <f>IF('Entrada e Saida'!$H$11="TRADING",AP120/(1-(SUM('Entrada e Saida'!$G$63:$G$65)+'Custo Resumido'!D120)),0)</f>
        <v>#DIV/0!</v>
      </c>
      <c r="AV120" s="3" t="e">
        <f>IF('Entrada e Saida'!$H$13="NÃO",AU120*M120,0)</f>
        <v>#DIV/0!</v>
      </c>
      <c r="AW120" s="4" t="e">
        <f t="shared" si="70"/>
        <v>#DIV/0!</v>
      </c>
      <c r="AX120" s="3" t="e">
        <f>'Entrada e Saida'!$G$74*AU120</f>
        <v>#DIV/0!</v>
      </c>
      <c r="AY120" s="4" t="e">
        <f t="shared" si="71"/>
        <v>#DIV/0!</v>
      </c>
      <c r="AZ120" s="4" t="e">
        <f>AQ120+('Entrada e Saida'!$G$65-'Entrada e Saida'!$I$65)*AU120-AX120</f>
        <v>#DIV/0!</v>
      </c>
      <c r="BA120" s="3" t="e">
        <f>IF('Entrada e Saida'!$H$12="REAL",AZ120*'Entrada e Saida'!$G$81,AU120*'Entrada e Saida'!$G$81)</f>
        <v>#DIV/0!</v>
      </c>
      <c r="BB120" s="3" t="e">
        <f>IF('Entrada e Saida'!$H$12="REAL",AZ120*'Entrada e Saida'!$G$82,AU120*'Entrada e Saida'!$G$82)</f>
        <v>#DIV/0!</v>
      </c>
      <c r="BC120" s="4" t="e">
        <f t="shared" si="72"/>
        <v>#DIV/0!</v>
      </c>
      <c r="BD120" s="3" t="e">
        <f>IF('Entrada e Saida'!$H$11="TRADING",AW120/D120,AK120/D120)</f>
        <v>#DIV/0!</v>
      </c>
      <c r="BE120" s="3" t="e">
        <f t="shared" si="73"/>
        <v>#DIV/0!</v>
      </c>
      <c r="BF120" s="2" t="e">
        <f t="shared" si="74"/>
        <v>#DIV/0!</v>
      </c>
      <c r="BG120" s="3" t="e">
        <f>IF('Entrada e Saida'!$H$11="TRADING",AV120/D120,AN120/D120)</f>
        <v>#DIV/0!</v>
      </c>
      <c r="BH120" s="3" t="e">
        <f>IF('Entrada e Saida'!$H$11="TRADING",IF('Entrada e Saida'!$H$12="REAL",AR120/D120,0),AL120/D120)</f>
        <v>#DIV/0!</v>
      </c>
      <c r="BI120" s="3" t="e">
        <f>IF('Entrada e Saida'!$H$11="TRADING",IF('Entrada e Saida'!$H$12="REAL",AS120/D120,0),AM120/D120)</f>
        <v>#DIV/0!</v>
      </c>
      <c r="BJ120" s="3" t="e">
        <f>IF('Entrada e Saida'!$H$11="TRADING",AT120/D120,AO120/D120)</f>
        <v>#DIV/0!</v>
      </c>
      <c r="BK120" s="2" t="e">
        <f t="shared" si="75"/>
        <v>#DIV/0!</v>
      </c>
      <c r="BL120" s="2">
        <f>IF(O120&gt;0,IFERROR(IF('Entrada e Saida'!$H$11="DIRETA",0,(IF('Entrada e Saida'!$H$14="P.JURIDICA",(BD120*(1+O120)*N120)-((BD120/(1+M120))*'Entrada e Saida'!$G$65),((Produtos!N120-'Entrada e Saida'!$G$65)*Produtos!BD120)))),0),0)</f>
        <v>0</v>
      </c>
      <c r="BM120" s="2" t="e">
        <f t="shared" si="76"/>
        <v>#DIV/0!</v>
      </c>
    </row>
    <row r="121" spans="1:65" s="1" customFormat="1">
      <c r="A121" s="127"/>
      <c r="B121" s="114"/>
      <c r="C121" s="116"/>
      <c r="D121" s="146"/>
      <c r="E121" s="115">
        <f>IFERROR(VLOOKUP(A121,'Master Modelo'!A:I,9,FALSE),0)</f>
        <v>0</v>
      </c>
      <c r="F121" s="189">
        <f>IFERROR(VLOOKUP(A121,'Master Modelo'!A:I,8,FALSE),0)</f>
        <v>0</v>
      </c>
      <c r="G121" s="189">
        <f>IFERROR(VLOOKUP(A121,'Master Modelo'!A:K,11,FALSE),0)</f>
        <v>0</v>
      </c>
      <c r="H121" s="114" t="e">
        <f t="shared" si="59"/>
        <v>#DIV/0!</v>
      </c>
      <c r="I121" s="150">
        <f>IFERROR(VLOOKUP(A121,'Master Modelo'!A:I,3,FALSE),0)</f>
        <v>0</v>
      </c>
      <c r="J121" s="151">
        <f>IFERROR(VLOOKUP(A121,'Master Modelo'!A:I,5,FALSE),0)</f>
        <v>0</v>
      </c>
      <c r="K121" s="151">
        <f>IFERROR(VLOOKUP(A121,'Master Modelo'!A:I,6,FALSE),0)</f>
        <v>0</v>
      </c>
      <c r="L121" s="152" t="e">
        <f>VLOOKUP(A121,'Master Modelo'!A:J,10,FALSE)</f>
        <v>#N/A</v>
      </c>
      <c r="M121" s="150">
        <f>IFERROR(VLOOKUP(A121,'Master Modelo'!A:I,4,FALSE),0)</f>
        <v>0</v>
      </c>
      <c r="N121" s="128"/>
      <c r="O121" s="129"/>
      <c r="P121" s="9">
        <f t="shared" si="60"/>
        <v>0</v>
      </c>
      <c r="Q121" s="177">
        <f t="shared" si="58"/>
        <v>0</v>
      </c>
      <c r="R121" s="3">
        <f>D121*E121*'Entrada e Saida'!$K$8</f>
        <v>0</v>
      </c>
      <c r="S121" s="179" t="e">
        <f>'Entrada e Saida'!$H$21*'Entrada e Saida'!$K$8*(P121/(SUM(P:P)))</f>
        <v>#DIV/0!</v>
      </c>
      <c r="T121" s="179" t="e">
        <f>'Entrada e Saida'!$H$21*'Entrada e Saida'!$K$8*(Q121/(SUM(Q:Q)))</f>
        <v>#DIV/0!</v>
      </c>
      <c r="U121" s="179" t="e">
        <f>'Entrada e Saida'!$H$22*(P121/(SUM(P:P)))</f>
        <v>#DIV/0!</v>
      </c>
      <c r="V121" s="179" t="e">
        <f>'Entrada e Saida'!$H$22*(Q121/(SUM(Q:Q)))</f>
        <v>#DIV/0!</v>
      </c>
      <c r="W121" s="8" t="e">
        <f t="shared" si="61"/>
        <v>#DIV/0!</v>
      </c>
      <c r="X121" s="179" t="e">
        <f>'Entrada e Saida'!$H$26*(IF('Entrada e Saida'!$H$15="PESO",(P121/(SUM(P:P))),(Q121/(SUM(Q:Q)))))</f>
        <v>#DIV/0!</v>
      </c>
      <c r="Y121" s="179" t="e">
        <f>'Entrada e Saida'!$H$27*(IF('Entrada e Saida'!$H$15="PESO",(P121/(SUM(P:P))),(Q121/(SUM(Q:Q)))))</f>
        <v>#DIV/0!</v>
      </c>
      <c r="Z121" s="179" t="e">
        <f>'Entrada e Saida'!$H$28*(IF('Entrada e Saida'!$H$15="PESO",(P121/(SUM(P:P))),(Q121/(SUM(Q:Q)))))</f>
        <v>#DIV/0!</v>
      </c>
      <c r="AA121" s="10" t="e">
        <f t="shared" si="62"/>
        <v>#DIV/0!</v>
      </c>
      <c r="AB121" s="3" t="e">
        <f t="shared" si="63"/>
        <v>#DIV/0!</v>
      </c>
      <c r="AC121" s="3" t="e">
        <f t="shared" si="64"/>
        <v>#DIV/0!</v>
      </c>
      <c r="AD121" s="3" t="e">
        <f t="shared" si="65"/>
        <v>#DIV/0!</v>
      </c>
      <c r="AE121" s="9" t="e">
        <f t="shared" si="66"/>
        <v>#DIV/0!</v>
      </c>
      <c r="AF121" s="126">
        <f>IFERROR(D121*F121*L121*'Entrada e Saida'!$K$8,0)</f>
        <v>0</v>
      </c>
      <c r="AG121" s="3" t="e">
        <f>((W121+AA121+AB121+AC121+AD121+AE121+AF121)/(1-'Entrada e Saida'!$G$65))*'Entrada e Saida'!$I$66</f>
        <v>#DIV/0!</v>
      </c>
      <c r="AH121" s="8" t="e">
        <f t="shared" si="67"/>
        <v>#DIV/0!</v>
      </c>
      <c r="AI121" s="183" t="e">
        <f>'Entrada e Saida'!$K$51*(IF('Entrada e Saida'!$H$15="PESO",(P121/(SUM(P:P))),(Q121/(SUM(Q:Q)))))</f>
        <v>#DIV/0!</v>
      </c>
      <c r="AJ121" s="7">
        <f>(('Entrada e Saida'!$K$10-'Entrada e Saida'!$K$8)*E121*D121)</f>
        <v>0</v>
      </c>
      <c r="AK121" s="184" t="e">
        <f>IF('Entrada e Saida'!$H$15="PESO",W121+AA121+AH121+AI121+AJ121,W121+AA121+AH121+AI121+AJ121-S121+T121-U121+V121)</f>
        <v>#DIV/0!</v>
      </c>
      <c r="AL121" s="6" t="e">
        <f>IF('Entrada e Saida'!$H$12="REAL",AC121,0)</f>
        <v>#DIV/0!</v>
      </c>
      <c r="AM121" s="6" t="e">
        <f>IF('Entrada e Saida'!$H$12="REAL",AD121,0)</f>
        <v>#DIV/0!</v>
      </c>
      <c r="AN121" s="5" t="e">
        <f>IF('Entrada e Saida'!$H$13= "NÃO",AE121,0)</f>
        <v>#DIV/0!</v>
      </c>
      <c r="AO121" s="5" t="e">
        <f t="shared" si="68"/>
        <v>#DIV/0!</v>
      </c>
      <c r="AP121" s="4" t="e">
        <f t="shared" si="69"/>
        <v>#DIV/0!</v>
      </c>
      <c r="AQ121" s="3" t="e">
        <f>IF('Entrada e Saida'!$H$11="TRADING",AU121*'Custo Resumido'!D121,0)</f>
        <v>#DIV/0!</v>
      </c>
      <c r="AR121" s="3" t="e">
        <f>IF('Entrada e Saida'!$H$11="TRADING",AU121*'Entrada e Saida'!$G$63,0)</f>
        <v>#DIV/0!</v>
      </c>
      <c r="AS121" s="3" t="e">
        <f>IF('Entrada e Saida'!$H$11="TRADING",AU121*'Entrada e Saida'!$G$64,0)</f>
        <v>#DIV/0!</v>
      </c>
      <c r="AT121" s="3" t="e">
        <f>IF('Entrada e Saida'!$H$11="TRADING",AU121*'Entrada e Saida'!$G$65,0)</f>
        <v>#DIV/0!</v>
      </c>
      <c r="AU121" s="4" t="e">
        <f>IF('Entrada e Saida'!$H$11="TRADING",AP121/(1-(SUM('Entrada e Saida'!$G$63:$G$65)+'Custo Resumido'!D121)),0)</f>
        <v>#DIV/0!</v>
      </c>
      <c r="AV121" s="3" t="e">
        <f>IF('Entrada e Saida'!$H$13="NÃO",AU121*M121,0)</f>
        <v>#DIV/0!</v>
      </c>
      <c r="AW121" s="4" t="e">
        <f t="shared" si="70"/>
        <v>#DIV/0!</v>
      </c>
      <c r="AX121" s="3" t="e">
        <f>'Entrada e Saida'!$G$74*AU121</f>
        <v>#DIV/0!</v>
      </c>
      <c r="AY121" s="4" t="e">
        <f t="shared" si="71"/>
        <v>#DIV/0!</v>
      </c>
      <c r="AZ121" s="4" t="e">
        <f>AQ121+('Entrada e Saida'!$G$65-'Entrada e Saida'!$I$65)*AU121-AX121</f>
        <v>#DIV/0!</v>
      </c>
      <c r="BA121" s="3" t="e">
        <f>IF('Entrada e Saida'!$H$12="REAL",AZ121*'Entrada e Saida'!$G$81,AU121*'Entrada e Saida'!$G$81)</f>
        <v>#DIV/0!</v>
      </c>
      <c r="BB121" s="3" t="e">
        <f>IF('Entrada e Saida'!$H$12="REAL",AZ121*'Entrada e Saida'!$G$82,AU121*'Entrada e Saida'!$G$82)</f>
        <v>#DIV/0!</v>
      </c>
      <c r="BC121" s="4" t="e">
        <f t="shared" si="72"/>
        <v>#DIV/0!</v>
      </c>
      <c r="BD121" s="3" t="e">
        <f>IF('Entrada e Saida'!$H$11="TRADING",AW121/D121,AK121/D121)</f>
        <v>#DIV/0!</v>
      </c>
      <c r="BE121" s="3" t="e">
        <f t="shared" si="73"/>
        <v>#DIV/0!</v>
      </c>
      <c r="BF121" s="2" t="e">
        <f t="shared" si="74"/>
        <v>#DIV/0!</v>
      </c>
      <c r="BG121" s="3" t="e">
        <f>IF('Entrada e Saida'!$H$11="TRADING",AV121/D121,AN121/D121)</f>
        <v>#DIV/0!</v>
      </c>
      <c r="BH121" s="3" t="e">
        <f>IF('Entrada e Saida'!$H$11="TRADING",IF('Entrada e Saida'!$H$12="REAL",AR121/D121,0),AL121/D121)</f>
        <v>#DIV/0!</v>
      </c>
      <c r="BI121" s="3" t="e">
        <f>IF('Entrada e Saida'!$H$11="TRADING",IF('Entrada e Saida'!$H$12="REAL",AS121/D121,0),AM121/D121)</f>
        <v>#DIV/0!</v>
      </c>
      <c r="BJ121" s="3" t="e">
        <f>IF('Entrada e Saida'!$H$11="TRADING",AT121/D121,AO121/D121)</f>
        <v>#DIV/0!</v>
      </c>
      <c r="BK121" s="2" t="e">
        <f t="shared" si="75"/>
        <v>#DIV/0!</v>
      </c>
      <c r="BL121" s="2">
        <f>IF(O121&gt;0,IFERROR(IF('Entrada e Saida'!$H$11="DIRETA",0,(IF('Entrada e Saida'!$H$14="P.JURIDICA",(BD121*(1+O121)*N121)-((BD121/(1+M121))*'Entrada e Saida'!$G$65),((Produtos!N121-'Entrada e Saida'!$G$65)*Produtos!BD121)))),0),0)</f>
        <v>0</v>
      </c>
      <c r="BM121" s="2" t="e">
        <f t="shared" si="76"/>
        <v>#DIV/0!</v>
      </c>
    </row>
    <row r="122" spans="1:65" s="1" customFormat="1">
      <c r="A122" s="127"/>
      <c r="B122" s="114"/>
      <c r="C122" s="116"/>
      <c r="D122" s="146"/>
      <c r="E122" s="115">
        <f>IFERROR(VLOOKUP(A122,'Master Modelo'!A:I,9,FALSE),0)</f>
        <v>0</v>
      </c>
      <c r="F122" s="189">
        <f>IFERROR(VLOOKUP(A122,'Master Modelo'!A:I,8,FALSE),0)</f>
        <v>0</v>
      </c>
      <c r="G122" s="189">
        <f>IFERROR(VLOOKUP(A122,'Master Modelo'!A:K,11,FALSE),0)</f>
        <v>0</v>
      </c>
      <c r="H122" s="114" t="e">
        <f t="shared" si="59"/>
        <v>#DIV/0!</v>
      </c>
      <c r="I122" s="150">
        <f>IFERROR(VLOOKUP(A122,'Master Modelo'!A:I,3,FALSE),0)</f>
        <v>0</v>
      </c>
      <c r="J122" s="151">
        <f>IFERROR(VLOOKUP(A122,'Master Modelo'!A:I,5,FALSE),0)</f>
        <v>0</v>
      </c>
      <c r="K122" s="151">
        <f>IFERROR(VLOOKUP(A122,'Master Modelo'!A:I,6,FALSE),0)</f>
        <v>0</v>
      </c>
      <c r="L122" s="152" t="e">
        <f>VLOOKUP(A122,'Master Modelo'!A:J,10,FALSE)</f>
        <v>#N/A</v>
      </c>
      <c r="M122" s="150">
        <f>IFERROR(VLOOKUP(A122,'Master Modelo'!A:I,4,FALSE),0)</f>
        <v>0</v>
      </c>
      <c r="N122" s="128"/>
      <c r="O122" s="129"/>
      <c r="P122" s="9">
        <f t="shared" si="60"/>
        <v>0</v>
      </c>
      <c r="Q122" s="177">
        <f t="shared" si="58"/>
        <v>0</v>
      </c>
      <c r="R122" s="3">
        <f>D122*E122*'Entrada e Saida'!$K$8</f>
        <v>0</v>
      </c>
      <c r="S122" s="179" t="e">
        <f>'Entrada e Saida'!$H$21*'Entrada e Saida'!$K$8*(P122/(SUM(P:P)))</f>
        <v>#DIV/0!</v>
      </c>
      <c r="T122" s="179" t="e">
        <f>'Entrada e Saida'!$H$21*'Entrada e Saida'!$K$8*(Q122/(SUM(Q:Q)))</f>
        <v>#DIV/0!</v>
      </c>
      <c r="U122" s="179" t="e">
        <f>'Entrada e Saida'!$H$22*(P122/(SUM(P:P)))</f>
        <v>#DIV/0!</v>
      </c>
      <c r="V122" s="179" t="e">
        <f>'Entrada e Saida'!$H$22*(Q122/(SUM(Q:Q)))</f>
        <v>#DIV/0!</v>
      </c>
      <c r="W122" s="8" t="e">
        <f t="shared" si="61"/>
        <v>#DIV/0!</v>
      </c>
      <c r="X122" s="179" t="e">
        <f>'Entrada e Saida'!$H$26*(IF('Entrada e Saida'!$H$15="PESO",(P122/(SUM(P:P))),(Q122/(SUM(Q:Q)))))</f>
        <v>#DIV/0!</v>
      </c>
      <c r="Y122" s="179" t="e">
        <f>'Entrada e Saida'!$H$27*(IF('Entrada e Saida'!$H$15="PESO",(P122/(SUM(P:P))),(Q122/(SUM(Q:Q)))))</f>
        <v>#DIV/0!</v>
      </c>
      <c r="Z122" s="179" t="e">
        <f>'Entrada e Saida'!$H$28*(IF('Entrada e Saida'!$H$15="PESO",(P122/(SUM(P:P))),(Q122/(SUM(Q:Q)))))</f>
        <v>#DIV/0!</v>
      </c>
      <c r="AA122" s="10" t="e">
        <f t="shared" si="62"/>
        <v>#DIV/0!</v>
      </c>
      <c r="AB122" s="3" t="e">
        <f t="shared" si="63"/>
        <v>#DIV/0!</v>
      </c>
      <c r="AC122" s="3" t="e">
        <f t="shared" si="64"/>
        <v>#DIV/0!</v>
      </c>
      <c r="AD122" s="3" t="e">
        <f t="shared" si="65"/>
        <v>#DIV/0!</v>
      </c>
      <c r="AE122" s="9" t="e">
        <f t="shared" si="66"/>
        <v>#DIV/0!</v>
      </c>
      <c r="AF122" s="126">
        <f>IFERROR(D122*F122*L122*'Entrada e Saida'!$K$8,0)</f>
        <v>0</v>
      </c>
      <c r="AG122" s="3" t="e">
        <f>((W122+AA122+AB122+AC122+AD122+AE122+AF122)/(1-'Entrada e Saida'!$G$65))*'Entrada e Saida'!$I$66</f>
        <v>#DIV/0!</v>
      </c>
      <c r="AH122" s="8" t="e">
        <f t="shared" si="67"/>
        <v>#DIV/0!</v>
      </c>
      <c r="AI122" s="183" t="e">
        <f>'Entrada e Saida'!$K$51*(IF('Entrada e Saida'!$H$15="PESO",(P122/(SUM(P:P))),(Q122/(SUM(Q:Q)))))</f>
        <v>#DIV/0!</v>
      </c>
      <c r="AJ122" s="7">
        <f>(('Entrada e Saida'!$K$10-'Entrada e Saida'!$K$8)*E122*D122)</f>
        <v>0</v>
      </c>
      <c r="AK122" s="184" t="e">
        <f>IF('Entrada e Saida'!$H$15="PESO",W122+AA122+AH122+AI122+AJ122,W122+AA122+AH122+AI122+AJ122-S122+T122-U122+V122)</f>
        <v>#DIV/0!</v>
      </c>
      <c r="AL122" s="6" t="e">
        <f>IF('Entrada e Saida'!$H$12="REAL",AC122,0)</f>
        <v>#DIV/0!</v>
      </c>
      <c r="AM122" s="6" t="e">
        <f>IF('Entrada e Saida'!$H$12="REAL",AD122,0)</f>
        <v>#DIV/0!</v>
      </c>
      <c r="AN122" s="5" t="e">
        <f>IF('Entrada e Saida'!$H$13= "NÃO",AE122,0)</f>
        <v>#DIV/0!</v>
      </c>
      <c r="AO122" s="5" t="e">
        <f t="shared" si="68"/>
        <v>#DIV/0!</v>
      </c>
      <c r="AP122" s="4" t="e">
        <f t="shared" si="69"/>
        <v>#DIV/0!</v>
      </c>
      <c r="AQ122" s="3" t="e">
        <f>IF('Entrada e Saida'!$H$11="TRADING",AU122*'Custo Resumido'!D122,0)</f>
        <v>#DIV/0!</v>
      </c>
      <c r="AR122" s="3" t="e">
        <f>IF('Entrada e Saida'!$H$11="TRADING",AU122*'Entrada e Saida'!$G$63,0)</f>
        <v>#DIV/0!</v>
      </c>
      <c r="AS122" s="3" t="e">
        <f>IF('Entrada e Saida'!$H$11="TRADING",AU122*'Entrada e Saida'!$G$64,0)</f>
        <v>#DIV/0!</v>
      </c>
      <c r="AT122" s="3" t="e">
        <f>IF('Entrada e Saida'!$H$11="TRADING",AU122*'Entrada e Saida'!$G$65,0)</f>
        <v>#DIV/0!</v>
      </c>
      <c r="AU122" s="4" t="e">
        <f>IF('Entrada e Saida'!$H$11="TRADING",AP122/(1-(SUM('Entrada e Saida'!$G$63:$G$65)+'Custo Resumido'!D122)),0)</f>
        <v>#DIV/0!</v>
      </c>
      <c r="AV122" s="3" t="e">
        <f>IF('Entrada e Saida'!$H$13="NÃO",AU122*M122,0)</f>
        <v>#DIV/0!</v>
      </c>
      <c r="AW122" s="4" t="e">
        <f t="shared" si="70"/>
        <v>#DIV/0!</v>
      </c>
      <c r="AX122" s="3" t="e">
        <f>'Entrada e Saida'!$G$74*AU122</f>
        <v>#DIV/0!</v>
      </c>
      <c r="AY122" s="4" t="e">
        <f t="shared" si="71"/>
        <v>#DIV/0!</v>
      </c>
      <c r="AZ122" s="4" t="e">
        <f>AQ122+('Entrada e Saida'!$G$65-'Entrada e Saida'!$I$65)*AU122-AX122</f>
        <v>#DIV/0!</v>
      </c>
      <c r="BA122" s="3" t="e">
        <f>IF('Entrada e Saida'!$H$12="REAL",AZ122*'Entrada e Saida'!$G$81,AU122*'Entrada e Saida'!$G$81)</f>
        <v>#DIV/0!</v>
      </c>
      <c r="BB122" s="3" t="e">
        <f>IF('Entrada e Saida'!$H$12="REAL",AZ122*'Entrada e Saida'!$G$82,AU122*'Entrada e Saida'!$G$82)</f>
        <v>#DIV/0!</v>
      </c>
      <c r="BC122" s="4" t="e">
        <f t="shared" si="72"/>
        <v>#DIV/0!</v>
      </c>
      <c r="BD122" s="3" t="e">
        <f>IF('Entrada e Saida'!$H$11="TRADING",AW122/D122,AK122/D122)</f>
        <v>#DIV/0!</v>
      </c>
      <c r="BE122" s="3" t="e">
        <f t="shared" si="73"/>
        <v>#DIV/0!</v>
      </c>
      <c r="BF122" s="2" t="e">
        <f t="shared" si="74"/>
        <v>#DIV/0!</v>
      </c>
      <c r="BG122" s="3" t="e">
        <f>IF('Entrada e Saida'!$H$11="TRADING",AV122/D122,AN122/D122)</f>
        <v>#DIV/0!</v>
      </c>
      <c r="BH122" s="3" t="e">
        <f>IF('Entrada e Saida'!$H$11="TRADING",IF('Entrada e Saida'!$H$12="REAL",AR122/D122,0),AL122/D122)</f>
        <v>#DIV/0!</v>
      </c>
      <c r="BI122" s="3" t="e">
        <f>IF('Entrada e Saida'!$H$11="TRADING",IF('Entrada e Saida'!$H$12="REAL",AS122/D122,0),AM122/D122)</f>
        <v>#DIV/0!</v>
      </c>
      <c r="BJ122" s="3" t="e">
        <f>IF('Entrada e Saida'!$H$11="TRADING",AT122/D122,AO122/D122)</f>
        <v>#DIV/0!</v>
      </c>
      <c r="BK122" s="2" t="e">
        <f t="shared" si="75"/>
        <v>#DIV/0!</v>
      </c>
      <c r="BL122" s="2">
        <f>IF(O122&gt;0,IFERROR(IF('Entrada e Saida'!$H$11="DIRETA",0,(IF('Entrada e Saida'!$H$14="P.JURIDICA",(BD122*(1+O122)*N122)-((BD122/(1+M122))*'Entrada e Saida'!$G$65),((Produtos!N122-'Entrada e Saida'!$G$65)*Produtos!BD122)))),0),0)</f>
        <v>0</v>
      </c>
      <c r="BM122" s="2" t="e">
        <f t="shared" si="76"/>
        <v>#DIV/0!</v>
      </c>
    </row>
    <row r="123" spans="1:65" s="1" customFormat="1">
      <c r="A123" s="127"/>
      <c r="B123" s="114"/>
      <c r="C123" s="116"/>
      <c r="D123" s="146"/>
      <c r="E123" s="115">
        <f>IFERROR(VLOOKUP(A123,'Master Modelo'!A:I,9,FALSE),0)</f>
        <v>0</v>
      </c>
      <c r="F123" s="189">
        <f>IFERROR(VLOOKUP(A123,'Master Modelo'!A:I,8,FALSE),0)</f>
        <v>0</v>
      </c>
      <c r="G123" s="189">
        <f>IFERROR(VLOOKUP(A123,'Master Modelo'!A:K,11,FALSE),0)</f>
        <v>0</v>
      </c>
      <c r="H123" s="114" t="e">
        <f t="shared" si="59"/>
        <v>#DIV/0!</v>
      </c>
      <c r="I123" s="150">
        <f>IFERROR(VLOOKUP(A123,'Master Modelo'!A:I,3,FALSE),0)</f>
        <v>0</v>
      </c>
      <c r="J123" s="151">
        <f>IFERROR(VLOOKUP(A123,'Master Modelo'!A:I,5,FALSE),0)</f>
        <v>0</v>
      </c>
      <c r="K123" s="151">
        <f>IFERROR(VLOOKUP(A123,'Master Modelo'!A:I,6,FALSE),0)</f>
        <v>0</v>
      </c>
      <c r="L123" s="152" t="e">
        <f>VLOOKUP(A123,'Master Modelo'!A:J,10,FALSE)</f>
        <v>#N/A</v>
      </c>
      <c r="M123" s="150">
        <f>IFERROR(VLOOKUP(A123,'Master Modelo'!A:I,4,FALSE),0)</f>
        <v>0</v>
      </c>
      <c r="N123" s="128"/>
      <c r="O123" s="129"/>
      <c r="P123" s="9">
        <f t="shared" si="60"/>
        <v>0</v>
      </c>
      <c r="Q123" s="177">
        <f t="shared" si="58"/>
        <v>0</v>
      </c>
      <c r="R123" s="3">
        <f>D123*E123*'Entrada e Saida'!$K$8</f>
        <v>0</v>
      </c>
      <c r="S123" s="179" t="e">
        <f>'Entrada e Saida'!$H$21*'Entrada e Saida'!$K$8*(P123/(SUM(P:P)))</f>
        <v>#DIV/0!</v>
      </c>
      <c r="T123" s="179" t="e">
        <f>'Entrada e Saida'!$H$21*'Entrada e Saida'!$K$8*(Q123/(SUM(Q:Q)))</f>
        <v>#DIV/0!</v>
      </c>
      <c r="U123" s="179" t="e">
        <f>'Entrada e Saida'!$H$22*(P123/(SUM(P:P)))</f>
        <v>#DIV/0!</v>
      </c>
      <c r="V123" s="179" t="e">
        <f>'Entrada e Saida'!$H$22*(Q123/(SUM(Q:Q)))</f>
        <v>#DIV/0!</v>
      </c>
      <c r="W123" s="8" t="e">
        <f t="shared" si="61"/>
        <v>#DIV/0!</v>
      </c>
      <c r="X123" s="179" t="e">
        <f>'Entrada e Saida'!$H$26*(IF('Entrada e Saida'!$H$15="PESO",(P123/(SUM(P:P))),(Q123/(SUM(Q:Q)))))</f>
        <v>#DIV/0!</v>
      </c>
      <c r="Y123" s="179" t="e">
        <f>'Entrada e Saida'!$H$27*(IF('Entrada e Saida'!$H$15="PESO",(P123/(SUM(P:P))),(Q123/(SUM(Q:Q)))))</f>
        <v>#DIV/0!</v>
      </c>
      <c r="Z123" s="179" t="e">
        <f>'Entrada e Saida'!$H$28*(IF('Entrada e Saida'!$H$15="PESO",(P123/(SUM(P:P))),(Q123/(SUM(Q:Q)))))</f>
        <v>#DIV/0!</v>
      </c>
      <c r="AA123" s="10" t="e">
        <f t="shared" si="62"/>
        <v>#DIV/0!</v>
      </c>
      <c r="AB123" s="3" t="e">
        <f t="shared" si="63"/>
        <v>#DIV/0!</v>
      </c>
      <c r="AC123" s="3" t="e">
        <f t="shared" si="64"/>
        <v>#DIV/0!</v>
      </c>
      <c r="AD123" s="3" t="e">
        <f t="shared" si="65"/>
        <v>#DIV/0!</v>
      </c>
      <c r="AE123" s="9" t="e">
        <f t="shared" si="66"/>
        <v>#DIV/0!</v>
      </c>
      <c r="AF123" s="126">
        <f>IFERROR(D123*F123*L123*'Entrada e Saida'!$K$8,0)</f>
        <v>0</v>
      </c>
      <c r="AG123" s="3" t="e">
        <f>((W123+AA123+AB123+AC123+AD123+AE123+AF123)/(1-'Entrada e Saida'!$G$65))*'Entrada e Saida'!$I$66</f>
        <v>#DIV/0!</v>
      </c>
      <c r="AH123" s="8" t="e">
        <f t="shared" si="67"/>
        <v>#DIV/0!</v>
      </c>
      <c r="AI123" s="183" t="e">
        <f>'Entrada e Saida'!$K$51*(IF('Entrada e Saida'!$H$15="PESO",(P123/(SUM(P:P))),(Q123/(SUM(Q:Q)))))</f>
        <v>#DIV/0!</v>
      </c>
      <c r="AJ123" s="7">
        <f>(('Entrada e Saida'!$K$10-'Entrada e Saida'!$K$8)*E123*D123)</f>
        <v>0</v>
      </c>
      <c r="AK123" s="184" t="e">
        <f>IF('Entrada e Saida'!$H$15="PESO",W123+AA123+AH123+AI123+AJ123,W123+AA123+AH123+AI123+AJ123-S123+T123-U123+V123)</f>
        <v>#DIV/0!</v>
      </c>
      <c r="AL123" s="6" t="e">
        <f>IF('Entrada e Saida'!$H$12="REAL",AC123,0)</f>
        <v>#DIV/0!</v>
      </c>
      <c r="AM123" s="6" t="e">
        <f>IF('Entrada e Saida'!$H$12="REAL",AD123,0)</f>
        <v>#DIV/0!</v>
      </c>
      <c r="AN123" s="5" t="e">
        <f>IF('Entrada e Saida'!$H$13= "NÃO",AE123,0)</f>
        <v>#DIV/0!</v>
      </c>
      <c r="AO123" s="5" t="e">
        <f t="shared" si="68"/>
        <v>#DIV/0!</v>
      </c>
      <c r="AP123" s="4" t="e">
        <f t="shared" si="69"/>
        <v>#DIV/0!</v>
      </c>
      <c r="AQ123" s="3" t="e">
        <f>IF('Entrada e Saida'!$H$11="TRADING",AU123*'Custo Resumido'!D123,0)</f>
        <v>#DIV/0!</v>
      </c>
      <c r="AR123" s="3" t="e">
        <f>IF('Entrada e Saida'!$H$11="TRADING",AU123*'Entrada e Saida'!$G$63,0)</f>
        <v>#DIV/0!</v>
      </c>
      <c r="AS123" s="3" t="e">
        <f>IF('Entrada e Saida'!$H$11="TRADING",AU123*'Entrada e Saida'!$G$64,0)</f>
        <v>#DIV/0!</v>
      </c>
      <c r="AT123" s="3" t="e">
        <f>IF('Entrada e Saida'!$H$11="TRADING",AU123*'Entrada e Saida'!$G$65,0)</f>
        <v>#DIV/0!</v>
      </c>
      <c r="AU123" s="4" t="e">
        <f>IF('Entrada e Saida'!$H$11="TRADING",AP123/(1-(SUM('Entrada e Saida'!$G$63:$G$65)+'Custo Resumido'!D123)),0)</f>
        <v>#DIV/0!</v>
      </c>
      <c r="AV123" s="3" t="e">
        <f>IF('Entrada e Saida'!$H$13="NÃO",AU123*M123,0)</f>
        <v>#DIV/0!</v>
      </c>
      <c r="AW123" s="4" t="e">
        <f t="shared" si="70"/>
        <v>#DIV/0!</v>
      </c>
      <c r="AX123" s="3" t="e">
        <f>'Entrada e Saida'!$G$74*AU123</f>
        <v>#DIV/0!</v>
      </c>
      <c r="AY123" s="4" t="e">
        <f t="shared" si="71"/>
        <v>#DIV/0!</v>
      </c>
      <c r="AZ123" s="4" t="e">
        <f>AQ123+('Entrada e Saida'!$G$65-'Entrada e Saida'!$I$65)*AU123-AX123</f>
        <v>#DIV/0!</v>
      </c>
      <c r="BA123" s="3" t="e">
        <f>IF('Entrada e Saida'!$H$12="REAL",AZ123*'Entrada e Saida'!$G$81,AU123*'Entrada e Saida'!$G$81)</f>
        <v>#DIV/0!</v>
      </c>
      <c r="BB123" s="3" t="e">
        <f>IF('Entrada e Saida'!$H$12="REAL",AZ123*'Entrada e Saida'!$G$82,AU123*'Entrada e Saida'!$G$82)</f>
        <v>#DIV/0!</v>
      </c>
      <c r="BC123" s="4" t="e">
        <f t="shared" si="72"/>
        <v>#DIV/0!</v>
      </c>
      <c r="BD123" s="3" t="e">
        <f>IF('Entrada e Saida'!$H$11="TRADING",AW123/D123,AK123/D123)</f>
        <v>#DIV/0!</v>
      </c>
      <c r="BE123" s="3" t="e">
        <f t="shared" si="73"/>
        <v>#DIV/0!</v>
      </c>
      <c r="BF123" s="2" t="e">
        <f t="shared" si="74"/>
        <v>#DIV/0!</v>
      </c>
      <c r="BG123" s="3" t="e">
        <f>IF('Entrada e Saida'!$H$11="TRADING",AV123/D123,AN123/D123)</f>
        <v>#DIV/0!</v>
      </c>
      <c r="BH123" s="3" t="e">
        <f>IF('Entrada e Saida'!$H$11="TRADING",IF('Entrada e Saida'!$H$12="REAL",AR123/D123,0),AL123/D123)</f>
        <v>#DIV/0!</v>
      </c>
      <c r="BI123" s="3" t="e">
        <f>IF('Entrada e Saida'!$H$11="TRADING",IF('Entrada e Saida'!$H$12="REAL",AS123/D123,0),AM123/D123)</f>
        <v>#DIV/0!</v>
      </c>
      <c r="BJ123" s="3" t="e">
        <f>IF('Entrada e Saida'!$H$11="TRADING",AT123/D123,AO123/D123)</f>
        <v>#DIV/0!</v>
      </c>
      <c r="BK123" s="2" t="e">
        <f t="shared" si="75"/>
        <v>#DIV/0!</v>
      </c>
      <c r="BL123" s="2">
        <f>IF(O123&gt;0,IFERROR(IF('Entrada e Saida'!$H$11="DIRETA",0,(IF('Entrada e Saida'!$H$14="P.JURIDICA",(BD123*(1+O123)*N123)-((BD123/(1+M123))*'Entrada e Saida'!$G$65),((Produtos!N123-'Entrada e Saida'!$G$65)*Produtos!BD123)))),0),0)</f>
        <v>0</v>
      </c>
      <c r="BM123" s="2" t="e">
        <f t="shared" si="76"/>
        <v>#DIV/0!</v>
      </c>
    </row>
    <row r="124" spans="1:65" s="1" customFormat="1">
      <c r="A124" s="127"/>
      <c r="B124" s="114"/>
      <c r="C124" s="116"/>
      <c r="D124" s="146"/>
      <c r="E124" s="115">
        <f>IFERROR(VLOOKUP(A124,'Master Modelo'!A:I,9,FALSE),0)</f>
        <v>0</v>
      </c>
      <c r="F124" s="189">
        <f>IFERROR(VLOOKUP(A124,'Master Modelo'!A:I,8,FALSE),0)</f>
        <v>0</v>
      </c>
      <c r="G124" s="189">
        <f>IFERROR(VLOOKUP(A124,'Master Modelo'!A:K,11,FALSE),0)</f>
        <v>0</v>
      </c>
      <c r="H124" s="114" t="e">
        <f t="shared" si="59"/>
        <v>#DIV/0!</v>
      </c>
      <c r="I124" s="150">
        <f>IFERROR(VLOOKUP(A124,'Master Modelo'!A:I,3,FALSE),0)</f>
        <v>0</v>
      </c>
      <c r="J124" s="151">
        <f>IFERROR(VLOOKUP(A124,'Master Modelo'!A:I,5,FALSE),0)</f>
        <v>0</v>
      </c>
      <c r="K124" s="151">
        <f>IFERROR(VLOOKUP(A124,'Master Modelo'!A:I,6,FALSE),0)</f>
        <v>0</v>
      </c>
      <c r="L124" s="152" t="e">
        <f>VLOOKUP(A124,'Master Modelo'!A:J,10,FALSE)</f>
        <v>#N/A</v>
      </c>
      <c r="M124" s="150">
        <f>IFERROR(VLOOKUP(A124,'Master Modelo'!A:I,4,FALSE),0)</f>
        <v>0</v>
      </c>
      <c r="N124" s="128"/>
      <c r="O124" s="129"/>
      <c r="P124" s="9">
        <f t="shared" si="60"/>
        <v>0</v>
      </c>
      <c r="Q124" s="177">
        <f t="shared" si="58"/>
        <v>0</v>
      </c>
      <c r="R124" s="3">
        <f>D124*E124*'Entrada e Saida'!$K$8</f>
        <v>0</v>
      </c>
      <c r="S124" s="179" t="e">
        <f>'Entrada e Saida'!$H$21*'Entrada e Saida'!$K$8*(P124/(SUM(P:P)))</f>
        <v>#DIV/0!</v>
      </c>
      <c r="T124" s="179" t="e">
        <f>'Entrada e Saida'!$H$21*'Entrada e Saida'!$K$8*(Q124/(SUM(Q:Q)))</f>
        <v>#DIV/0!</v>
      </c>
      <c r="U124" s="179" t="e">
        <f>'Entrada e Saida'!$H$22*(P124/(SUM(P:P)))</f>
        <v>#DIV/0!</v>
      </c>
      <c r="V124" s="179" t="e">
        <f>'Entrada e Saida'!$H$22*(Q124/(SUM(Q:Q)))</f>
        <v>#DIV/0!</v>
      </c>
      <c r="W124" s="8" t="e">
        <f t="shared" si="61"/>
        <v>#DIV/0!</v>
      </c>
      <c r="X124" s="179" t="e">
        <f>'Entrada e Saida'!$H$26*(IF('Entrada e Saida'!$H$15="PESO",(P124/(SUM(P:P))),(Q124/(SUM(Q:Q)))))</f>
        <v>#DIV/0!</v>
      </c>
      <c r="Y124" s="179" t="e">
        <f>'Entrada e Saida'!$H$27*(IF('Entrada e Saida'!$H$15="PESO",(P124/(SUM(P:P))),(Q124/(SUM(Q:Q)))))</f>
        <v>#DIV/0!</v>
      </c>
      <c r="Z124" s="179" t="e">
        <f>'Entrada e Saida'!$H$28*(IF('Entrada e Saida'!$H$15="PESO",(P124/(SUM(P:P))),(Q124/(SUM(Q:Q)))))</f>
        <v>#DIV/0!</v>
      </c>
      <c r="AA124" s="10" t="e">
        <f t="shared" si="62"/>
        <v>#DIV/0!</v>
      </c>
      <c r="AB124" s="3" t="e">
        <f t="shared" si="63"/>
        <v>#DIV/0!</v>
      </c>
      <c r="AC124" s="3" t="e">
        <f t="shared" si="64"/>
        <v>#DIV/0!</v>
      </c>
      <c r="AD124" s="3" t="e">
        <f t="shared" si="65"/>
        <v>#DIV/0!</v>
      </c>
      <c r="AE124" s="9" t="e">
        <f t="shared" si="66"/>
        <v>#DIV/0!</v>
      </c>
      <c r="AF124" s="126">
        <f>IFERROR(D124*F124*L124*'Entrada e Saida'!$K$8,0)</f>
        <v>0</v>
      </c>
      <c r="AG124" s="3" t="e">
        <f>((W124+AA124+AB124+AC124+AD124+AE124+AF124)/(1-'Entrada e Saida'!$G$65))*'Entrada e Saida'!$I$66</f>
        <v>#DIV/0!</v>
      </c>
      <c r="AH124" s="8" t="e">
        <f t="shared" si="67"/>
        <v>#DIV/0!</v>
      </c>
      <c r="AI124" s="183" t="e">
        <f>'Entrada e Saida'!$K$51*(IF('Entrada e Saida'!$H$15="PESO",(P124/(SUM(P:P))),(Q124/(SUM(Q:Q)))))</f>
        <v>#DIV/0!</v>
      </c>
      <c r="AJ124" s="7">
        <f>(('Entrada e Saida'!$K$10-'Entrada e Saida'!$K$8)*E124*D124)</f>
        <v>0</v>
      </c>
      <c r="AK124" s="184" t="e">
        <f>IF('Entrada e Saida'!$H$15="PESO",W124+AA124+AH124+AI124+AJ124,W124+AA124+AH124+AI124+AJ124-S124+T124-U124+V124)</f>
        <v>#DIV/0!</v>
      </c>
      <c r="AL124" s="6" t="e">
        <f>IF('Entrada e Saida'!$H$12="REAL",AC124,0)</f>
        <v>#DIV/0!</v>
      </c>
      <c r="AM124" s="6" t="e">
        <f>IF('Entrada e Saida'!$H$12="REAL",AD124,0)</f>
        <v>#DIV/0!</v>
      </c>
      <c r="AN124" s="5" t="e">
        <f>IF('Entrada e Saida'!$H$13= "NÃO",AE124,0)</f>
        <v>#DIV/0!</v>
      </c>
      <c r="AO124" s="5" t="e">
        <f t="shared" si="68"/>
        <v>#DIV/0!</v>
      </c>
      <c r="AP124" s="4" t="e">
        <f t="shared" si="69"/>
        <v>#DIV/0!</v>
      </c>
      <c r="AQ124" s="3" t="e">
        <f>IF('Entrada e Saida'!$H$11="TRADING",AU124*'Custo Resumido'!D124,0)</f>
        <v>#DIV/0!</v>
      </c>
      <c r="AR124" s="3" t="e">
        <f>IF('Entrada e Saida'!$H$11="TRADING",AU124*'Entrada e Saida'!$G$63,0)</f>
        <v>#DIV/0!</v>
      </c>
      <c r="AS124" s="3" t="e">
        <f>IF('Entrada e Saida'!$H$11="TRADING",AU124*'Entrada e Saida'!$G$64,0)</f>
        <v>#DIV/0!</v>
      </c>
      <c r="AT124" s="3" t="e">
        <f>IF('Entrada e Saida'!$H$11="TRADING",AU124*'Entrada e Saida'!$G$65,0)</f>
        <v>#DIV/0!</v>
      </c>
      <c r="AU124" s="4" t="e">
        <f>IF('Entrada e Saida'!$H$11="TRADING",AP124/(1-(SUM('Entrada e Saida'!$G$63:$G$65)+'Custo Resumido'!D124)),0)</f>
        <v>#DIV/0!</v>
      </c>
      <c r="AV124" s="3" t="e">
        <f>IF('Entrada e Saida'!$H$13="NÃO",AU124*M124,0)</f>
        <v>#DIV/0!</v>
      </c>
      <c r="AW124" s="4" t="e">
        <f t="shared" si="70"/>
        <v>#DIV/0!</v>
      </c>
      <c r="AX124" s="3" t="e">
        <f>'Entrada e Saida'!$G$74*AU124</f>
        <v>#DIV/0!</v>
      </c>
      <c r="AY124" s="4" t="e">
        <f t="shared" si="71"/>
        <v>#DIV/0!</v>
      </c>
      <c r="AZ124" s="4" t="e">
        <f>AQ124+('Entrada e Saida'!$G$65-'Entrada e Saida'!$I$65)*AU124-AX124</f>
        <v>#DIV/0!</v>
      </c>
      <c r="BA124" s="3" t="e">
        <f>IF('Entrada e Saida'!$H$12="REAL",AZ124*'Entrada e Saida'!$G$81,AU124*'Entrada e Saida'!$G$81)</f>
        <v>#DIV/0!</v>
      </c>
      <c r="BB124" s="3" t="e">
        <f>IF('Entrada e Saida'!$H$12="REAL",AZ124*'Entrada e Saida'!$G$82,AU124*'Entrada e Saida'!$G$82)</f>
        <v>#DIV/0!</v>
      </c>
      <c r="BC124" s="4" t="e">
        <f t="shared" si="72"/>
        <v>#DIV/0!</v>
      </c>
      <c r="BD124" s="3" t="e">
        <f>IF('Entrada e Saida'!$H$11="TRADING",AW124/D124,AK124/D124)</f>
        <v>#DIV/0!</v>
      </c>
      <c r="BE124" s="3" t="e">
        <f t="shared" si="73"/>
        <v>#DIV/0!</v>
      </c>
      <c r="BF124" s="2" t="e">
        <f t="shared" si="74"/>
        <v>#DIV/0!</v>
      </c>
      <c r="BG124" s="3" t="e">
        <f>IF('Entrada e Saida'!$H$11="TRADING",AV124/D124,AN124/D124)</f>
        <v>#DIV/0!</v>
      </c>
      <c r="BH124" s="3" t="e">
        <f>IF('Entrada e Saida'!$H$11="TRADING",IF('Entrada e Saida'!$H$12="REAL",AR124/D124,0),AL124/D124)</f>
        <v>#DIV/0!</v>
      </c>
      <c r="BI124" s="3" t="e">
        <f>IF('Entrada e Saida'!$H$11="TRADING",IF('Entrada e Saida'!$H$12="REAL",AS124/D124,0),AM124/D124)</f>
        <v>#DIV/0!</v>
      </c>
      <c r="BJ124" s="3" t="e">
        <f>IF('Entrada e Saida'!$H$11="TRADING",AT124/D124,AO124/D124)</f>
        <v>#DIV/0!</v>
      </c>
      <c r="BK124" s="2" t="e">
        <f t="shared" si="75"/>
        <v>#DIV/0!</v>
      </c>
      <c r="BL124" s="2">
        <f>IF(O124&gt;0,IFERROR(IF('Entrada e Saida'!$H$11="DIRETA",0,(IF('Entrada e Saida'!$H$14="P.JURIDICA",(BD124*(1+O124)*N124)-((BD124/(1+M124))*'Entrada e Saida'!$G$65),((Produtos!N124-'Entrada e Saida'!$G$65)*Produtos!BD124)))),0),0)</f>
        <v>0</v>
      </c>
      <c r="BM124" s="2" t="e">
        <f t="shared" si="76"/>
        <v>#DIV/0!</v>
      </c>
    </row>
    <row r="125" spans="1:65" s="1" customFormat="1">
      <c r="A125" s="127"/>
      <c r="B125" s="114"/>
      <c r="C125" s="116"/>
      <c r="D125" s="146"/>
      <c r="E125" s="115">
        <f>IFERROR(VLOOKUP(A125,'Master Modelo'!A:I,9,FALSE),0)</f>
        <v>0</v>
      </c>
      <c r="F125" s="189">
        <f>IFERROR(VLOOKUP(A125,'Master Modelo'!A:I,8,FALSE),0)</f>
        <v>0</v>
      </c>
      <c r="G125" s="189">
        <f>IFERROR(VLOOKUP(A125,'Master Modelo'!A:K,11,FALSE),0)</f>
        <v>0</v>
      </c>
      <c r="H125" s="114" t="e">
        <f t="shared" si="59"/>
        <v>#DIV/0!</v>
      </c>
      <c r="I125" s="150">
        <f>IFERROR(VLOOKUP(A125,'Master Modelo'!A:I,3,FALSE),0)</f>
        <v>0</v>
      </c>
      <c r="J125" s="151">
        <f>IFERROR(VLOOKUP(A125,'Master Modelo'!A:I,5,FALSE),0)</f>
        <v>0</v>
      </c>
      <c r="K125" s="151">
        <f>IFERROR(VLOOKUP(A125,'Master Modelo'!A:I,6,FALSE),0)</f>
        <v>0</v>
      </c>
      <c r="L125" s="152" t="e">
        <f>VLOOKUP(A125,'Master Modelo'!A:J,10,FALSE)</f>
        <v>#N/A</v>
      </c>
      <c r="M125" s="150">
        <f>IFERROR(VLOOKUP(A125,'Master Modelo'!A:I,4,FALSE),0)</f>
        <v>0</v>
      </c>
      <c r="N125" s="128"/>
      <c r="O125" s="129"/>
      <c r="P125" s="9">
        <f t="shared" si="60"/>
        <v>0</v>
      </c>
      <c r="Q125" s="177">
        <f t="shared" si="58"/>
        <v>0</v>
      </c>
      <c r="R125" s="3">
        <f>D125*E125*'Entrada e Saida'!$K$8</f>
        <v>0</v>
      </c>
      <c r="S125" s="179" t="e">
        <f>'Entrada e Saida'!$H$21*'Entrada e Saida'!$K$8*(P125/(SUM(P:P)))</f>
        <v>#DIV/0!</v>
      </c>
      <c r="T125" s="179" t="e">
        <f>'Entrada e Saida'!$H$21*'Entrada e Saida'!$K$8*(Q125/(SUM(Q:Q)))</f>
        <v>#DIV/0!</v>
      </c>
      <c r="U125" s="179" t="e">
        <f>'Entrada e Saida'!$H$22*(P125/(SUM(P:P)))</f>
        <v>#DIV/0!</v>
      </c>
      <c r="V125" s="179" t="e">
        <f>'Entrada e Saida'!$H$22*(Q125/(SUM(Q:Q)))</f>
        <v>#DIV/0!</v>
      </c>
      <c r="W125" s="8" t="e">
        <f t="shared" si="61"/>
        <v>#DIV/0!</v>
      </c>
      <c r="X125" s="179" t="e">
        <f>'Entrada e Saida'!$H$26*(IF('Entrada e Saida'!$H$15="PESO",(P125/(SUM(P:P))),(Q125/(SUM(Q:Q)))))</f>
        <v>#DIV/0!</v>
      </c>
      <c r="Y125" s="179" t="e">
        <f>'Entrada e Saida'!$H$27*(IF('Entrada e Saida'!$H$15="PESO",(P125/(SUM(P:P))),(Q125/(SUM(Q:Q)))))</f>
        <v>#DIV/0!</v>
      </c>
      <c r="Z125" s="179" t="e">
        <f>'Entrada e Saida'!$H$28*(IF('Entrada e Saida'!$H$15="PESO",(P125/(SUM(P:P))),(Q125/(SUM(Q:Q)))))</f>
        <v>#DIV/0!</v>
      </c>
      <c r="AA125" s="10" t="e">
        <f t="shared" si="62"/>
        <v>#DIV/0!</v>
      </c>
      <c r="AB125" s="3" t="e">
        <f t="shared" si="63"/>
        <v>#DIV/0!</v>
      </c>
      <c r="AC125" s="3" t="e">
        <f t="shared" si="64"/>
        <v>#DIV/0!</v>
      </c>
      <c r="AD125" s="3" t="e">
        <f t="shared" si="65"/>
        <v>#DIV/0!</v>
      </c>
      <c r="AE125" s="9" t="e">
        <f t="shared" si="66"/>
        <v>#DIV/0!</v>
      </c>
      <c r="AF125" s="126">
        <f>IFERROR(D125*F125*L125*'Entrada e Saida'!$K$8,0)</f>
        <v>0</v>
      </c>
      <c r="AG125" s="3" t="e">
        <f>((W125+AA125+AB125+AC125+AD125+AE125+AF125)/(1-'Entrada e Saida'!$G$65))*'Entrada e Saida'!$I$66</f>
        <v>#DIV/0!</v>
      </c>
      <c r="AH125" s="8" t="e">
        <f t="shared" si="67"/>
        <v>#DIV/0!</v>
      </c>
      <c r="AI125" s="183" t="e">
        <f>'Entrada e Saida'!$K$51*(IF('Entrada e Saida'!$H$15="PESO",(P125/(SUM(P:P))),(Q125/(SUM(Q:Q)))))</f>
        <v>#DIV/0!</v>
      </c>
      <c r="AJ125" s="7">
        <f>(('Entrada e Saida'!$K$10-'Entrada e Saida'!$K$8)*E125*D125)</f>
        <v>0</v>
      </c>
      <c r="AK125" s="184" t="e">
        <f>IF('Entrada e Saida'!$H$15="PESO",W125+AA125+AH125+AI125+AJ125,W125+AA125+AH125+AI125+AJ125-S125+T125-U125+V125)</f>
        <v>#DIV/0!</v>
      </c>
      <c r="AL125" s="6" t="e">
        <f>IF('Entrada e Saida'!$H$12="REAL",AC125,0)</f>
        <v>#DIV/0!</v>
      </c>
      <c r="AM125" s="6" t="e">
        <f>IF('Entrada e Saida'!$H$12="REAL",AD125,0)</f>
        <v>#DIV/0!</v>
      </c>
      <c r="AN125" s="5" t="e">
        <f>IF('Entrada e Saida'!$H$13= "NÃO",AE125,0)</f>
        <v>#DIV/0!</v>
      </c>
      <c r="AO125" s="5" t="e">
        <f t="shared" si="68"/>
        <v>#DIV/0!</v>
      </c>
      <c r="AP125" s="4" t="e">
        <f t="shared" si="69"/>
        <v>#DIV/0!</v>
      </c>
      <c r="AQ125" s="3" t="e">
        <f>IF('Entrada e Saida'!$H$11="TRADING",AU125*'Custo Resumido'!D125,0)</f>
        <v>#DIV/0!</v>
      </c>
      <c r="AR125" s="3" t="e">
        <f>IF('Entrada e Saida'!$H$11="TRADING",AU125*'Entrada e Saida'!$G$63,0)</f>
        <v>#DIV/0!</v>
      </c>
      <c r="AS125" s="3" t="e">
        <f>IF('Entrada e Saida'!$H$11="TRADING",AU125*'Entrada e Saida'!$G$64,0)</f>
        <v>#DIV/0!</v>
      </c>
      <c r="AT125" s="3" t="e">
        <f>IF('Entrada e Saida'!$H$11="TRADING",AU125*'Entrada e Saida'!$G$65,0)</f>
        <v>#DIV/0!</v>
      </c>
      <c r="AU125" s="4" t="e">
        <f>IF('Entrada e Saida'!$H$11="TRADING",AP125/(1-(SUM('Entrada e Saida'!$G$63:$G$65)+'Custo Resumido'!D125)),0)</f>
        <v>#DIV/0!</v>
      </c>
      <c r="AV125" s="3" t="e">
        <f>IF('Entrada e Saida'!$H$13="NÃO",AU125*M125,0)</f>
        <v>#DIV/0!</v>
      </c>
      <c r="AW125" s="4" t="e">
        <f t="shared" si="70"/>
        <v>#DIV/0!</v>
      </c>
      <c r="AX125" s="3" t="e">
        <f>'Entrada e Saida'!$G$74*AU125</f>
        <v>#DIV/0!</v>
      </c>
      <c r="AY125" s="4" t="e">
        <f t="shared" si="71"/>
        <v>#DIV/0!</v>
      </c>
      <c r="AZ125" s="4" t="e">
        <f>AQ125+('Entrada e Saida'!$G$65-'Entrada e Saida'!$I$65)*AU125-AX125</f>
        <v>#DIV/0!</v>
      </c>
      <c r="BA125" s="3" t="e">
        <f>IF('Entrada e Saida'!$H$12="REAL",AZ125*'Entrada e Saida'!$G$81,AU125*'Entrada e Saida'!$G$81)</f>
        <v>#DIV/0!</v>
      </c>
      <c r="BB125" s="3" t="e">
        <f>IF('Entrada e Saida'!$H$12="REAL",AZ125*'Entrada e Saida'!$G$82,AU125*'Entrada e Saida'!$G$82)</f>
        <v>#DIV/0!</v>
      </c>
      <c r="BC125" s="4" t="e">
        <f t="shared" si="72"/>
        <v>#DIV/0!</v>
      </c>
      <c r="BD125" s="3" t="e">
        <f>IF('Entrada e Saida'!$H$11="TRADING",AW125/D125,AK125/D125)</f>
        <v>#DIV/0!</v>
      </c>
      <c r="BE125" s="3" t="e">
        <f t="shared" si="73"/>
        <v>#DIV/0!</v>
      </c>
      <c r="BF125" s="2" t="e">
        <f t="shared" si="74"/>
        <v>#DIV/0!</v>
      </c>
      <c r="BG125" s="3" t="e">
        <f>IF('Entrada e Saida'!$H$11="TRADING",AV125/D125,AN125/D125)</f>
        <v>#DIV/0!</v>
      </c>
      <c r="BH125" s="3" t="e">
        <f>IF('Entrada e Saida'!$H$11="TRADING",IF('Entrada e Saida'!$H$12="REAL",AR125/D125,0),AL125/D125)</f>
        <v>#DIV/0!</v>
      </c>
      <c r="BI125" s="3" t="e">
        <f>IF('Entrada e Saida'!$H$11="TRADING",IF('Entrada e Saida'!$H$12="REAL",AS125/D125,0),AM125/D125)</f>
        <v>#DIV/0!</v>
      </c>
      <c r="BJ125" s="3" t="e">
        <f>IF('Entrada e Saida'!$H$11="TRADING",AT125/D125,AO125/D125)</f>
        <v>#DIV/0!</v>
      </c>
      <c r="BK125" s="2" t="e">
        <f t="shared" si="75"/>
        <v>#DIV/0!</v>
      </c>
      <c r="BL125" s="2">
        <f>IF(O125&gt;0,IFERROR(IF('Entrada e Saida'!$H$11="DIRETA",0,(IF('Entrada e Saida'!$H$14="P.JURIDICA",(BD125*(1+O125)*N125)-((BD125/(1+M125))*'Entrada e Saida'!$G$65),((Produtos!N125-'Entrada e Saida'!$G$65)*Produtos!BD125)))),0),0)</f>
        <v>0</v>
      </c>
      <c r="BM125" s="2" t="e">
        <f t="shared" si="76"/>
        <v>#DIV/0!</v>
      </c>
    </row>
    <row r="126" spans="1:65" s="1" customFormat="1">
      <c r="A126" s="127"/>
      <c r="B126" s="114"/>
      <c r="C126" s="116"/>
      <c r="D126" s="146"/>
      <c r="E126" s="115">
        <f>IFERROR(VLOOKUP(A126,'Master Modelo'!A:I,9,FALSE),0)</f>
        <v>0</v>
      </c>
      <c r="F126" s="189">
        <f>IFERROR(VLOOKUP(A126,'Master Modelo'!A:I,8,FALSE),0)</f>
        <v>0</v>
      </c>
      <c r="G126" s="189">
        <f>IFERROR(VLOOKUP(A126,'Master Modelo'!A:K,11,FALSE),0)</f>
        <v>0</v>
      </c>
      <c r="H126" s="114" t="e">
        <f t="shared" si="59"/>
        <v>#DIV/0!</v>
      </c>
      <c r="I126" s="150">
        <f>IFERROR(VLOOKUP(A126,'Master Modelo'!A:I,3,FALSE),0)</f>
        <v>0</v>
      </c>
      <c r="J126" s="151">
        <f>IFERROR(VLOOKUP(A126,'Master Modelo'!A:I,5,FALSE),0)</f>
        <v>0</v>
      </c>
      <c r="K126" s="151">
        <f>IFERROR(VLOOKUP(A126,'Master Modelo'!A:I,6,FALSE),0)</f>
        <v>0</v>
      </c>
      <c r="L126" s="152" t="e">
        <f>VLOOKUP(A126,'Master Modelo'!A:J,10,FALSE)</f>
        <v>#N/A</v>
      </c>
      <c r="M126" s="150">
        <f>IFERROR(VLOOKUP(A126,'Master Modelo'!A:I,4,FALSE),0)</f>
        <v>0</v>
      </c>
      <c r="N126" s="128"/>
      <c r="O126" s="129"/>
      <c r="P126" s="9">
        <f t="shared" si="60"/>
        <v>0</v>
      </c>
      <c r="Q126" s="177">
        <f t="shared" si="58"/>
        <v>0</v>
      </c>
      <c r="R126" s="3">
        <f>D126*E126*'Entrada e Saida'!$K$8</f>
        <v>0</v>
      </c>
      <c r="S126" s="179" t="e">
        <f>'Entrada e Saida'!$H$21*'Entrada e Saida'!$K$8*(P126/(SUM(P:P)))</f>
        <v>#DIV/0!</v>
      </c>
      <c r="T126" s="179" t="e">
        <f>'Entrada e Saida'!$H$21*'Entrada e Saida'!$K$8*(Q126/(SUM(Q:Q)))</f>
        <v>#DIV/0!</v>
      </c>
      <c r="U126" s="179" t="e">
        <f>'Entrada e Saida'!$H$22*(P126/(SUM(P:P)))</f>
        <v>#DIV/0!</v>
      </c>
      <c r="V126" s="179" t="e">
        <f>'Entrada e Saida'!$H$22*(Q126/(SUM(Q:Q)))</f>
        <v>#DIV/0!</v>
      </c>
      <c r="W126" s="8" t="e">
        <f t="shared" si="61"/>
        <v>#DIV/0!</v>
      </c>
      <c r="X126" s="179" t="e">
        <f>'Entrada e Saida'!$H$26*(IF('Entrada e Saida'!$H$15="PESO",(P126/(SUM(P:P))),(Q126/(SUM(Q:Q)))))</f>
        <v>#DIV/0!</v>
      </c>
      <c r="Y126" s="179" t="e">
        <f>'Entrada e Saida'!$H$27*(IF('Entrada e Saida'!$H$15="PESO",(P126/(SUM(P:P))),(Q126/(SUM(Q:Q)))))</f>
        <v>#DIV/0!</v>
      </c>
      <c r="Z126" s="179" t="e">
        <f>'Entrada e Saida'!$H$28*(IF('Entrada e Saida'!$H$15="PESO",(P126/(SUM(P:P))),(Q126/(SUM(Q:Q)))))</f>
        <v>#DIV/0!</v>
      </c>
      <c r="AA126" s="10" t="e">
        <f t="shared" si="62"/>
        <v>#DIV/0!</v>
      </c>
      <c r="AB126" s="3" t="e">
        <f t="shared" si="63"/>
        <v>#DIV/0!</v>
      </c>
      <c r="AC126" s="3" t="e">
        <f t="shared" si="64"/>
        <v>#DIV/0!</v>
      </c>
      <c r="AD126" s="3" t="e">
        <f t="shared" si="65"/>
        <v>#DIV/0!</v>
      </c>
      <c r="AE126" s="9" t="e">
        <f t="shared" si="66"/>
        <v>#DIV/0!</v>
      </c>
      <c r="AF126" s="126">
        <f>IFERROR(D126*F126*L126*'Entrada e Saida'!$K$8,0)</f>
        <v>0</v>
      </c>
      <c r="AG126" s="3" t="e">
        <f>((W126+AA126+AB126+AC126+AD126+AE126+AF126)/(1-'Entrada e Saida'!$G$65))*'Entrada e Saida'!$I$66</f>
        <v>#DIV/0!</v>
      </c>
      <c r="AH126" s="8" t="e">
        <f t="shared" si="67"/>
        <v>#DIV/0!</v>
      </c>
      <c r="AI126" s="183" t="e">
        <f>'Entrada e Saida'!$K$51*(IF('Entrada e Saida'!$H$15="PESO",(P126/(SUM(P:P))),(Q126/(SUM(Q:Q)))))</f>
        <v>#DIV/0!</v>
      </c>
      <c r="AJ126" s="7">
        <f>(('Entrada e Saida'!$K$10-'Entrada e Saida'!$K$8)*E126*D126)</f>
        <v>0</v>
      </c>
      <c r="AK126" s="184" t="e">
        <f>IF('Entrada e Saida'!$H$15="PESO",W126+AA126+AH126+AI126+AJ126,W126+AA126+AH126+AI126+AJ126-S126+T126-U126+V126)</f>
        <v>#DIV/0!</v>
      </c>
      <c r="AL126" s="6" t="e">
        <f>IF('Entrada e Saida'!$H$12="REAL",AC126,0)</f>
        <v>#DIV/0!</v>
      </c>
      <c r="AM126" s="6" t="e">
        <f>IF('Entrada e Saida'!$H$12="REAL",AD126,0)</f>
        <v>#DIV/0!</v>
      </c>
      <c r="AN126" s="5" t="e">
        <f>IF('Entrada e Saida'!$H$13= "NÃO",AE126,0)</f>
        <v>#DIV/0!</v>
      </c>
      <c r="AO126" s="5" t="e">
        <f t="shared" si="68"/>
        <v>#DIV/0!</v>
      </c>
      <c r="AP126" s="4" t="e">
        <f t="shared" si="69"/>
        <v>#DIV/0!</v>
      </c>
      <c r="AQ126" s="3" t="e">
        <f>IF('Entrada e Saida'!$H$11="TRADING",AU126*'Custo Resumido'!D126,0)</f>
        <v>#DIV/0!</v>
      </c>
      <c r="AR126" s="3" t="e">
        <f>IF('Entrada e Saida'!$H$11="TRADING",AU126*'Entrada e Saida'!$G$63,0)</f>
        <v>#DIV/0!</v>
      </c>
      <c r="AS126" s="3" t="e">
        <f>IF('Entrada e Saida'!$H$11="TRADING",AU126*'Entrada e Saida'!$G$64,0)</f>
        <v>#DIV/0!</v>
      </c>
      <c r="AT126" s="3" t="e">
        <f>IF('Entrada e Saida'!$H$11="TRADING",AU126*'Entrada e Saida'!$G$65,0)</f>
        <v>#DIV/0!</v>
      </c>
      <c r="AU126" s="4" t="e">
        <f>IF('Entrada e Saida'!$H$11="TRADING",AP126/(1-(SUM('Entrada e Saida'!$G$63:$G$65)+'Custo Resumido'!D126)),0)</f>
        <v>#DIV/0!</v>
      </c>
      <c r="AV126" s="3" t="e">
        <f>IF('Entrada e Saida'!$H$13="NÃO",AU126*M126,0)</f>
        <v>#DIV/0!</v>
      </c>
      <c r="AW126" s="4" t="e">
        <f t="shared" si="70"/>
        <v>#DIV/0!</v>
      </c>
      <c r="AX126" s="3" t="e">
        <f>'Entrada e Saida'!$G$74*AU126</f>
        <v>#DIV/0!</v>
      </c>
      <c r="AY126" s="4" t="e">
        <f t="shared" si="71"/>
        <v>#DIV/0!</v>
      </c>
      <c r="AZ126" s="4" t="e">
        <f>AQ126+('Entrada e Saida'!$G$65-'Entrada e Saida'!$I$65)*AU126-AX126</f>
        <v>#DIV/0!</v>
      </c>
      <c r="BA126" s="3" t="e">
        <f>IF('Entrada e Saida'!$H$12="REAL",AZ126*'Entrada e Saida'!$G$81,AU126*'Entrada e Saida'!$G$81)</f>
        <v>#DIV/0!</v>
      </c>
      <c r="BB126" s="3" t="e">
        <f>IF('Entrada e Saida'!$H$12="REAL",AZ126*'Entrada e Saida'!$G$82,AU126*'Entrada e Saida'!$G$82)</f>
        <v>#DIV/0!</v>
      </c>
      <c r="BC126" s="4" t="e">
        <f t="shared" si="72"/>
        <v>#DIV/0!</v>
      </c>
      <c r="BD126" s="3" t="e">
        <f>IF('Entrada e Saida'!$H$11="TRADING",AW126/D126,AK126/D126)</f>
        <v>#DIV/0!</v>
      </c>
      <c r="BE126" s="3" t="e">
        <f t="shared" si="73"/>
        <v>#DIV/0!</v>
      </c>
      <c r="BF126" s="2" t="e">
        <f t="shared" si="74"/>
        <v>#DIV/0!</v>
      </c>
      <c r="BG126" s="3" t="e">
        <f>IF('Entrada e Saida'!$H$11="TRADING",AV126/D126,AN126/D126)</f>
        <v>#DIV/0!</v>
      </c>
      <c r="BH126" s="3" t="e">
        <f>IF('Entrada e Saida'!$H$11="TRADING",IF('Entrada e Saida'!$H$12="REAL",AR126/D126,0),AL126/D126)</f>
        <v>#DIV/0!</v>
      </c>
      <c r="BI126" s="3" t="e">
        <f>IF('Entrada e Saida'!$H$11="TRADING",IF('Entrada e Saida'!$H$12="REAL",AS126/D126,0),AM126/D126)</f>
        <v>#DIV/0!</v>
      </c>
      <c r="BJ126" s="3" t="e">
        <f>IF('Entrada e Saida'!$H$11="TRADING",AT126/D126,AO126/D126)</f>
        <v>#DIV/0!</v>
      </c>
      <c r="BK126" s="2" t="e">
        <f t="shared" si="75"/>
        <v>#DIV/0!</v>
      </c>
      <c r="BL126" s="2">
        <f>IF(O126&gt;0,IFERROR(IF('Entrada e Saida'!$H$11="DIRETA",0,(IF('Entrada e Saida'!$H$14="P.JURIDICA",(BD126*(1+O126)*N126)-((BD126/(1+M126))*'Entrada e Saida'!$G$65),((Produtos!N126-'Entrada e Saida'!$G$65)*Produtos!BD126)))),0),0)</f>
        <v>0</v>
      </c>
      <c r="BM126" s="2" t="e">
        <f t="shared" si="76"/>
        <v>#DIV/0!</v>
      </c>
    </row>
    <row r="127" spans="1:65" s="1" customFormat="1">
      <c r="A127" s="127"/>
      <c r="B127" s="114"/>
      <c r="C127" s="116"/>
      <c r="D127" s="146"/>
      <c r="E127" s="115">
        <f>IFERROR(VLOOKUP(A127,'Master Modelo'!A:I,9,FALSE),0)</f>
        <v>0</v>
      </c>
      <c r="F127" s="189">
        <f>IFERROR(VLOOKUP(A127,'Master Modelo'!A:I,8,FALSE),0)</f>
        <v>0</v>
      </c>
      <c r="G127" s="189">
        <f>IFERROR(VLOOKUP(A127,'Master Modelo'!A:K,11,FALSE),0)</f>
        <v>0</v>
      </c>
      <c r="H127" s="114" t="e">
        <f t="shared" si="59"/>
        <v>#DIV/0!</v>
      </c>
      <c r="I127" s="150">
        <f>IFERROR(VLOOKUP(A127,'Master Modelo'!A:I,3,FALSE),0)</f>
        <v>0</v>
      </c>
      <c r="J127" s="151">
        <f>IFERROR(VLOOKUP(A127,'Master Modelo'!A:I,5,FALSE),0)</f>
        <v>0</v>
      </c>
      <c r="K127" s="151">
        <f>IFERROR(VLOOKUP(A127,'Master Modelo'!A:I,6,FALSE),0)</f>
        <v>0</v>
      </c>
      <c r="L127" s="152" t="e">
        <f>VLOOKUP(A127,'Master Modelo'!A:J,10,FALSE)</f>
        <v>#N/A</v>
      </c>
      <c r="M127" s="150">
        <f>IFERROR(VLOOKUP(A127,'Master Modelo'!A:I,4,FALSE),0)</f>
        <v>0</v>
      </c>
      <c r="N127" s="128"/>
      <c r="O127" s="129"/>
      <c r="P127" s="9">
        <f t="shared" si="60"/>
        <v>0</v>
      </c>
      <c r="Q127" s="177">
        <f t="shared" si="58"/>
        <v>0</v>
      </c>
      <c r="R127" s="3">
        <f>D127*E127*'Entrada e Saida'!$K$8</f>
        <v>0</v>
      </c>
      <c r="S127" s="179" t="e">
        <f>'Entrada e Saida'!$H$21*'Entrada e Saida'!$K$8*(P127/(SUM(P:P)))</f>
        <v>#DIV/0!</v>
      </c>
      <c r="T127" s="179" t="e">
        <f>'Entrada e Saida'!$H$21*'Entrada e Saida'!$K$8*(Q127/(SUM(Q:Q)))</f>
        <v>#DIV/0!</v>
      </c>
      <c r="U127" s="179" t="e">
        <f>'Entrada e Saida'!$H$22*(P127/(SUM(P:P)))</f>
        <v>#DIV/0!</v>
      </c>
      <c r="V127" s="179" t="e">
        <f>'Entrada e Saida'!$H$22*(Q127/(SUM(Q:Q)))</f>
        <v>#DIV/0!</v>
      </c>
      <c r="W127" s="8" t="e">
        <f t="shared" si="61"/>
        <v>#DIV/0!</v>
      </c>
      <c r="X127" s="179" t="e">
        <f>'Entrada e Saida'!$H$26*(IF('Entrada e Saida'!$H$15="PESO",(P127/(SUM(P:P))),(Q127/(SUM(Q:Q)))))</f>
        <v>#DIV/0!</v>
      </c>
      <c r="Y127" s="179" t="e">
        <f>'Entrada e Saida'!$H$27*(IF('Entrada e Saida'!$H$15="PESO",(P127/(SUM(P:P))),(Q127/(SUM(Q:Q)))))</f>
        <v>#DIV/0!</v>
      </c>
      <c r="Z127" s="179" t="e">
        <f>'Entrada e Saida'!$H$28*(IF('Entrada e Saida'!$H$15="PESO",(P127/(SUM(P:P))),(Q127/(SUM(Q:Q)))))</f>
        <v>#DIV/0!</v>
      </c>
      <c r="AA127" s="10" t="e">
        <f t="shared" si="62"/>
        <v>#DIV/0!</v>
      </c>
      <c r="AB127" s="3" t="e">
        <f t="shared" si="63"/>
        <v>#DIV/0!</v>
      </c>
      <c r="AC127" s="3" t="e">
        <f t="shared" si="64"/>
        <v>#DIV/0!</v>
      </c>
      <c r="AD127" s="3" t="e">
        <f t="shared" si="65"/>
        <v>#DIV/0!</v>
      </c>
      <c r="AE127" s="9" t="e">
        <f t="shared" si="66"/>
        <v>#DIV/0!</v>
      </c>
      <c r="AF127" s="126">
        <f>IFERROR(D127*F127*L127*'Entrada e Saida'!$K$8,0)</f>
        <v>0</v>
      </c>
      <c r="AG127" s="3" t="e">
        <f>((W127+AA127+AB127+AC127+AD127+AE127+AF127)/(1-'Entrada e Saida'!$G$65))*'Entrada e Saida'!$I$66</f>
        <v>#DIV/0!</v>
      </c>
      <c r="AH127" s="8" t="e">
        <f t="shared" si="67"/>
        <v>#DIV/0!</v>
      </c>
      <c r="AI127" s="183" t="e">
        <f>'Entrada e Saida'!$K$51*(IF('Entrada e Saida'!$H$15="PESO",(P127/(SUM(P:P))),(Q127/(SUM(Q:Q)))))</f>
        <v>#DIV/0!</v>
      </c>
      <c r="AJ127" s="7">
        <f>(('Entrada e Saida'!$K$10-'Entrada e Saida'!$K$8)*E127*D127)</f>
        <v>0</v>
      </c>
      <c r="AK127" s="184" t="e">
        <f>IF('Entrada e Saida'!$H$15="PESO",W127+AA127+AH127+AI127+AJ127,W127+AA127+AH127+AI127+AJ127-S127+T127-U127+V127)</f>
        <v>#DIV/0!</v>
      </c>
      <c r="AL127" s="6" t="e">
        <f>IF('Entrada e Saida'!$H$12="REAL",AC127,0)</f>
        <v>#DIV/0!</v>
      </c>
      <c r="AM127" s="6" t="e">
        <f>IF('Entrada e Saida'!$H$12="REAL",AD127,0)</f>
        <v>#DIV/0!</v>
      </c>
      <c r="AN127" s="5" t="e">
        <f>IF('Entrada e Saida'!$H$13= "NÃO",AE127,0)</f>
        <v>#DIV/0!</v>
      </c>
      <c r="AO127" s="5" t="e">
        <f t="shared" si="68"/>
        <v>#DIV/0!</v>
      </c>
      <c r="AP127" s="4" t="e">
        <f t="shared" si="69"/>
        <v>#DIV/0!</v>
      </c>
      <c r="AQ127" s="3" t="e">
        <f>IF('Entrada e Saida'!$H$11="TRADING",AU127*'Custo Resumido'!D127,0)</f>
        <v>#DIV/0!</v>
      </c>
      <c r="AR127" s="3" t="e">
        <f>IF('Entrada e Saida'!$H$11="TRADING",AU127*'Entrada e Saida'!$G$63,0)</f>
        <v>#DIV/0!</v>
      </c>
      <c r="AS127" s="3" t="e">
        <f>IF('Entrada e Saida'!$H$11="TRADING",AU127*'Entrada e Saida'!$G$64,0)</f>
        <v>#DIV/0!</v>
      </c>
      <c r="AT127" s="3" t="e">
        <f>IF('Entrada e Saida'!$H$11="TRADING",AU127*'Entrada e Saida'!$G$65,0)</f>
        <v>#DIV/0!</v>
      </c>
      <c r="AU127" s="4" t="e">
        <f>IF('Entrada e Saida'!$H$11="TRADING",AP127/(1-(SUM('Entrada e Saida'!$G$63:$G$65)+'Custo Resumido'!D127)),0)</f>
        <v>#DIV/0!</v>
      </c>
      <c r="AV127" s="3" t="e">
        <f>IF('Entrada e Saida'!$H$13="NÃO",AU127*M127,0)</f>
        <v>#DIV/0!</v>
      </c>
      <c r="AW127" s="4" t="e">
        <f t="shared" si="70"/>
        <v>#DIV/0!</v>
      </c>
      <c r="AX127" s="3" t="e">
        <f>'Entrada e Saida'!$G$74*AU127</f>
        <v>#DIV/0!</v>
      </c>
      <c r="AY127" s="4" t="e">
        <f t="shared" si="71"/>
        <v>#DIV/0!</v>
      </c>
      <c r="AZ127" s="4" t="e">
        <f>AQ127+('Entrada e Saida'!$G$65-'Entrada e Saida'!$I$65)*AU127-AX127</f>
        <v>#DIV/0!</v>
      </c>
      <c r="BA127" s="3" t="e">
        <f>IF('Entrada e Saida'!$H$12="REAL",AZ127*'Entrada e Saida'!$G$81,AU127*'Entrada e Saida'!$G$81)</f>
        <v>#DIV/0!</v>
      </c>
      <c r="BB127" s="3" t="e">
        <f>IF('Entrada e Saida'!$H$12="REAL",AZ127*'Entrada e Saida'!$G$82,AU127*'Entrada e Saida'!$G$82)</f>
        <v>#DIV/0!</v>
      </c>
      <c r="BC127" s="4" t="e">
        <f t="shared" si="72"/>
        <v>#DIV/0!</v>
      </c>
      <c r="BD127" s="3" t="e">
        <f>IF('Entrada e Saida'!$H$11="TRADING",AW127/D127,AK127/D127)</f>
        <v>#DIV/0!</v>
      </c>
      <c r="BE127" s="3" t="e">
        <f t="shared" si="73"/>
        <v>#DIV/0!</v>
      </c>
      <c r="BF127" s="2" t="e">
        <f t="shared" si="74"/>
        <v>#DIV/0!</v>
      </c>
      <c r="BG127" s="3" t="e">
        <f>IF('Entrada e Saida'!$H$11="TRADING",AV127/D127,AN127/D127)</f>
        <v>#DIV/0!</v>
      </c>
      <c r="BH127" s="3" t="e">
        <f>IF('Entrada e Saida'!$H$11="TRADING",IF('Entrada e Saida'!$H$12="REAL",AR127/D127,0),AL127/D127)</f>
        <v>#DIV/0!</v>
      </c>
      <c r="BI127" s="3" t="e">
        <f>IF('Entrada e Saida'!$H$11="TRADING",IF('Entrada e Saida'!$H$12="REAL",AS127/D127,0),AM127/D127)</f>
        <v>#DIV/0!</v>
      </c>
      <c r="BJ127" s="3" t="e">
        <f>IF('Entrada e Saida'!$H$11="TRADING",AT127/D127,AO127/D127)</f>
        <v>#DIV/0!</v>
      </c>
      <c r="BK127" s="2" t="e">
        <f t="shared" si="75"/>
        <v>#DIV/0!</v>
      </c>
      <c r="BL127" s="2">
        <f>IF(O127&gt;0,IFERROR(IF('Entrada e Saida'!$H$11="DIRETA",0,(IF('Entrada e Saida'!$H$14="P.JURIDICA",(BD127*(1+O127)*N127)-((BD127/(1+M127))*'Entrada e Saida'!$G$65),((Produtos!N127-'Entrada e Saida'!$G$65)*Produtos!BD127)))),0),0)</f>
        <v>0</v>
      </c>
      <c r="BM127" s="2" t="e">
        <f t="shared" si="76"/>
        <v>#DIV/0!</v>
      </c>
    </row>
    <row r="128" spans="1:65" s="1" customFormat="1">
      <c r="A128" s="127"/>
      <c r="B128" s="114"/>
      <c r="C128" s="116"/>
      <c r="D128" s="146"/>
      <c r="E128" s="115">
        <f>IFERROR(VLOOKUP(A128,'Master Modelo'!A:I,9,FALSE),0)</f>
        <v>0</v>
      </c>
      <c r="F128" s="189">
        <f>IFERROR(VLOOKUP(A128,'Master Modelo'!A:I,8,FALSE),0)</f>
        <v>0</v>
      </c>
      <c r="G128" s="189">
        <f>IFERROR(VLOOKUP(A128,'Master Modelo'!A:K,11,FALSE),0)</f>
        <v>0</v>
      </c>
      <c r="H128" s="114" t="e">
        <f t="shared" si="59"/>
        <v>#DIV/0!</v>
      </c>
      <c r="I128" s="150">
        <f>IFERROR(VLOOKUP(A128,'Master Modelo'!A:I,3,FALSE),0)</f>
        <v>0</v>
      </c>
      <c r="J128" s="151">
        <f>IFERROR(VLOOKUP(A128,'Master Modelo'!A:I,5,FALSE),0)</f>
        <v>0</v>
      </c>
      <c r="K128" s="151">
        <f>IFERROR(VLOOKUP(A128,'Master Modelo'!A:I,6,FALSE),0)</f>
        <v>0</v>
      </c>
      <c r="L128" s="152" t="e">
        <f>VLOOKUP(A128,'Master Modelo'!A:J,10,FALSE)</f>
        <v>#N/A</v>
      </c>
      <c r="M128" s="150">
        <f>IFERROR(VLOOKUP(A128,'Master Modelo'!A:I,4,FALSE),0)</f>
        <v>0</v>
      </c>
      <c r="N128" s="128"/>
      <c r="O128" s="129"/>
      <c r="P128" s="9">
        <f t="shared" si="60"/>
        <v>0</v>
      </c>
      <c r="Q128" s="177">
        <f t="shared" si="58"/>
        <v>0</v>
      </c>
      <c r="R128" s="3">
        <f>D128*E128*'Entrada e Saida'!$K$8</f>
        <v>0</v>
      </c>
      <c r="S128" s="179" t="e">
        <f>'Entrada e Saida'!$H$21*'Entrada e Saida'!$K$8*(P128/(SUM(P:P)))</f>
        <v>#DIV/0!</v>
      </c>
      <c r="T128" s="179" t="e">
        <f>'Entrada e Saida'!$H$21*'Entrada e Saida'!$K$8*(Q128/(SUM(Q:Q)))</f>
        <v>#DIV/0!</v>
      </c>
      <c r="U128" s="179" t="e">
        <f>'Entrada e Saida'!$H$22*(P128/(SUM(P:P)))</f>
        <v>#DIV/0!</v>
      </c>
      <c r="V128" s="179" t="e">
        <f>'Entrada e Saida'!$H$22*(Q128/(SUM(Q:Q)))</f>
        <v>#DIV/0!</v>
      </c>
      <c r="W128" s="8" t="e">
        <f t="shared" si="61"/>
        <v>#DIV/0!</v>
      </c>
      <c r="X128" s="179" t="e">
        <f>'Entrada e Saida'!$H$26*(IF('Entrada e Saida'!$H$15="PESO",(P128/(SUM(P:P))),(Q128/(SUM(Q:Q)))))</f>
        <v>#DIV/0!</v>
      </c>
      <c r="Y128" s="179" t="e">
        <f>'Entrada e Saida'!$H$27*(IF('Entrada e Saida'!$H$15="PESO",(P128/(SUM(P:P))),(Q128/(SUM(Q:Q)))))</f>
        <v>#DIV/0!</v>
      </c>
      <c r="Z128" s="179" t="e">
        <f>'Entrada e Saida'!$H$28*(IF('Entrada e Saida'!$H$15="PESO",(P128/(SUM(P:P))),(Q128/(SUM(Q:Q)))))</f>
        <v>#DIV/0!</v>
      </c>
      <c r="AA128" s="10" t="e">
        <f t="shared" si="62"/>
        <v>#DIV/0!</v>
      </c>
      <c r="AB128" s="3" t="e">
        <f t="shared" si="63"/>
        <v>#DIV/0!</v>
      </c>
      <c r="AC128" s="3" t="e">
        <f t="shared" si="64"/>
        <v>#DIV/0!</v>
      </c>
      <c r="AD128" s="3" t="e">
        <f t="shared" si="65"/>
        <v>#DIV/0!</v>
      </c>
      <c r="AE128" s="9" t="e">
        <f t="shared" si="66"/>
        <v>#DIV/0!</v>
      </c>
      <c r="AF128" s="126">
        <f>IFERROR(D128*F128*L128*'Entrada e Saida'!$K$8,0)</f>
        <v>0</v>
      </c>
      <c r="AG128" s="3" t="e">
        <f>((W128+AA128+AB128+AC128+AD128+AE128+AF128)/(1-'Entrada e Saida'!$G$65))*'Entrada e Saida'!$I$66</f>
        <v>#DIV/0!</v>
      </c>
      <c r="AH128" s="8" t="e">
        <f t="shared" si="67"/>
        <v>#DIV/0!</v>
      </c>
      <c r="AI128" s="183" t="e">
        <f>'Entrada e Saida'!$K$51*(IF('Entrada e Saida'!$H$15="PESO",(P128/(SUM(P:P))),(Q128/(SUM(Q:Q)))))</f>
        <v>#DIV/0!</v>
      </c>
      <c r="AJ128" s="7">
        <f>(('Entrada e Saida'!$K$10-'Entrada e Saida'!$K$8)*E128*D128)</f>
        <v>0</v>
      </c>
      <c r="AK128" s="184" t="e">
        <f>IF('Entrada e Saida'!$H$15="PESO",W128+AA128+AH128+AI128+AJ128,W128+AA128+AH128+AI128+AJ128-S128+T128-U128+V128)</f>
        <v>#DIV/0!</v>
      </c>
      <c r="AL128" s="6" t="e">
        <f>IF('Entrada e Saida'!$H$12="REAL",AC128,0)</f>
        <v>#DIV/0!</v>
      </c>
      <c r="AM128" s="6" t="e">
        <f>IF('Entrada e Saida'!$H$12="REAL",AD128,0)</f>
        <v>#DIV/0!</v>
      </c>
      <c r="AN128" s="5" t="e">
        <f>IF('Entrada e Saida'!$H$13= "NÃO",AE128,0)</f>
        <v>#DIV/0!</v>
      </c>
      <c r="AO128" s="5" t="e">
        <f t="shared" si="68"/>
        <v>#DIV/0!</v>
      </c>
      <c r="AP128" s="4" t="e">
        <f t="shared" si="69"/>
        <v>#DIV/0!</v>
      </c>
      <c r="AQ128" s="3" t="e">
        <f>IF('Entrada e Saida'!$H$11="TRADING",AU128*'Custo Resumido'!D128,0)</f>
        <v>#DIV/0!</v>
      </c>
      <c r="AR128" s="3" t="e">
        <f>IF('Entrada e Saida'!$H$11="TRADING",AU128*'Entrada e Saida'!$G$63,0)</f>
        <v>#DIV/0!</v>
      </c>
      <c r="AS128" s="3" t="e">
        <f>IF('Entrada e Saida'!$H$11="TRADING",AU128*'Entrada e Saida'!$G$64,0)</f>
        <v>#DIV/0!</v>
      </c>
      <c r="AT128" s="3" t="e">
        <f>IF('Entrada e Saida'!$H$11="TRADING",AU128*'Entrada e Saida'!$G$65,0)</f>
        <v>#DIV/0!</v>
      </c>
      <c r="AU128" s="4" t="e">
        <f>IF('Entrada e Saida'!$H$11="TRADING",AP128/(1-(SUM('Entrada e Saida'!$G$63:$G$65)+'Custo Resumido'!D128)),0)</f>
        <v>#DIV/0!</v>
      </c>
      <c r="AV128" s="3" t="e">
        <f>IF('Entrada e Saida'!$H$13="NÃO",AU128*M128,0)</f>
        <v>#DIV/0!</v>
      </c>
      <c r="AW128" s="4" t="e">
        <f t="shared" si="70"/>
        <v>#DIV/0!</v>
      </c>
      <c r="AX128" s="3" t="e">
        <f>'Entrada e Saida'!$G$74*AU128</f>
        <v>#DIV/0!</v>
      </c>
      <c r="AY128" s="4" t="e">
        <f t="shared" si="71"/>
        <v>#DIV/0!</v>
      </c>
      <c r="AZ128" s="4" t="e">
        <f>AQ128+('Entrada e Saida'!$G$65-'Entrada e Saida'!$I$65)*AU128-AX128</f>
        <v>#DIV/0!</v>
      </c>
      <c r="BA128" s="3" t="e">
        <f>IF('Entrada e Saida'!$H$12="REAL",AZ128*'Entrada e Saida'!$G$81,AU128*'Entrada e Saida'!$G$81)</f>
        <v>#DIV/0!</v>
      </c>
      <c r="BB128" s="3" t="e">
        <f>IF('Entrada e Saida'!$H$12="REAL",AZ128*'Entrada e Saida'!$G$82,AU128*'Entrada e Saida'!$G$82)</f>
        <v>#DIV/0!</v>
      </c>
      <c r="BC128" s="4" t="e">
        <f t="shared" si="72"/>
        <v>#DIV/0!</v>
      </c>
      <c r="BD128" s="3" t="e">
        <f>IF('Entrada e Saida'!$H$11="TRADING",AW128/D128,AK128/D128)</f>
        <v>#DIV/0!</v>
      </c>
      <c r="BE128" s="3" t="e">
        <f t="shared" si="73"/>
        <v>#DIV/0!</v>
      </c>
      <c r="BF128" s="2" t="e">
        <f t="shared" si="74"/>
        <v>#DIV/0!</v>
      </c>
      <c r="BG128" s="3" t="e">
        <f>IF('Entrada e Saida'!$H$11="TRADING",AV128/D128,AN128/D128)</f>
        <v>#DIV/0!</v>
      </c>
      <c r="BH128" s="3" t="e">
        <f>IF('Entrada e Saida'!$H$11="TRADING",IF('Entrada e Saida'!$H$12="REAL",AR128/D128,0),AL128/D128)</f>
        <v>#DIV/0!</v>
      </c>
      <c r="BI128" s="3" t="e">
        <f>IF('Entrada e Saida'!$H$11="TRADING",IF('Entrada e Saida'!$H$12="REAL",AS128/D128,0),AM128/D128)</f>
        <v>#DIV/0!</v>
      </c>
      <c r="BJ128" s="3" t="e">
        <f>IF('Entrada e Saida'!$H$11="TRADING",AT128/D128,AO128/D128)</f>
        <v>#DIV/0!</v>
      </c>
      <c r="BK128" s="2" t="e">
        <f t="shared" si="75"/>
        <v>#DIV/0!</v>
      </c>
      <c r="BL128" s="2">
        <f>IF(O128&gt;0,IFERROR(IF('Entrada e Saida'!$H$11="DIRETA",0,(IF('Entrada e Saida'!$H$14="P.JURIDICA",(BD128*(1+O128)*N128)-((BD128/(1+M128))*'Entrada e Saida'!$G$65),((Produtos!N128-'Entrada e Saida'!$G$65)*Produtos!BD128)))),0),0)</f>
        <v>0</v>
      </c>
      <c r="BM128" s="2" t="e">
        <f t="shared" si="76"/>
        <v>#DIV/0!</v>
      </c>
    </row>
    <row r="129" spans="1:65" s="1" customFormat="1">
      <c r="A129" s="127"/>
      <c r="B129" s="114"/>
      <c r="C129" s="116"/>
      <c r="D129" s="146"/>
      <c r="E129" s="115">
        <f>IFERROR(VLOOKUP(A129,'Master Modelo'!A:I,9,FALSE),0)</f>
        <v>0</v>
      </c>
      <c r="F129" s="189">
        <f>IFERROR(VLOOKUP(A129,'Master Modelo'!A:I,8,FALSE),0)</f>
        <v>0</v>
      </c>
      <c r="G129" s="189">
        <f>IFERROR(VLOOKUP(A129,'Master Modelo'!A:K,11,FALSE),0)</f>
        <v>0</v>
      </c>
      <c r="H129" s="114" t="e">
        <f t="shared" si="59"/>
        <v>#DIV/0!</v>
      </c>
      <c r="I129" s="150">
        <f>IFERROR(VLOOKUP(A129,'Master Modelo'!A:I,3,FALSE),0)</f>
        <v>0</v>
      </c>
      <c r="J129" s="151">
        <f>IFERROR(VLOOKUP(A129,'Master Modelo'!A:I,5,FALSE),0)</f>
        <v>0</v>
      </c>
      <c r="K129" s="151">
        <f>IFERROR(VLOOKUP(A129,'Master Modelo'!A:I,6,FALSE),0)</f>
        <v>0</v>
      </c>
      <c r="L129" s="152" t="e">
        <f>VLOOKUP(A129,'Master Modelo'!A:J,10,FALSE)</f>
        <v>#N/A</v>
      </c>
      <c r="M129" s="150">
        <f>IFERROR(VLOOKUP(A129,'Master Modelo'!A:I,4,FALSE),0)</f>
        <v>0</v>
      </c>
      <c r="N129" s="128"/>
      <c r="O129" s="129"/>
      <c r="P129" s="9">
        <f t="shared" si="60"/>
        <v>0</v>
      </c>
      <c r="Q129" s="177">
        <f t="shared" ref="Q129:Q192" si="77">D129*G129</f>
        <v>0</v>
      </c>
      <c r="R129" s="3">
        <f>D129*E129*'Entrada e Saida'!$K$8</f>
        <v>0</v>
      </c>
      <c r="S129" s="179" t="e">
        <f>'Entrada e Saida'!$H$21*'Entrada e Saida'!$K$8*(P129/(SUM(P:P)))</f>
        <v>#DIV/0!</v>
      </c>
      <c r="T129" s="179" t="e">
        <f>'Entrada e Saida'!$H$21*'Entrada e Saida'!$K$8*(Q129/(SUM(Q:Q)))</f>
        <v>#DIV/0!</v>
      </c>
      <c r="U129" s="179" t="e">
        <f>'Entrada e Saida'!$H$22*(P129/(SUM(P:P)))</f>
        <v>#DIV/0!</v>
      </c>
      <c r="V129" s="179" t="e">
        <f>'Entrada e Saida'!$H$22*(Q129/(SUM(Q:Q)))</f>
        <v>#DIV/0!</v>
      </c>
      <c r="W129" s="8" t="e">
        <f t="shared" si="61"/>
        <v>#DIV/0!</v>
      </c>
      <c r="X129" s="179" t="e">
        <f>'Entrada e Saida'!$H$26*(IF('Entrada e Saida'!$H$15="PESO",(P129/(SUM(P:P))),(Q129/(SUM(Q:Q)))))</f>
        <v>#DIV/0!</v>
      </c>
      <c r="Y129" s="179" t="e">
        <f>'Entrada e Saida'!$H$27*(IF('Entrada e Saida'!$H$15="PESO",(P129/(SUM(P:P))),(Q129/(SUM(Q:Q)))))</f>
        <v>#DIV/0!</v>
      </c>
      <c r="Z129" s="179" t="e">
        <f>'Entrada e Saida'!$H$28*(IF('Entrada e Saida'!$H$15="PESO",(P129/(SUM(P:P))),(Q129/(SUM(Q:Q)))))</f>
        <v>#DIV/0!</v>
      </c>
      <c r="AA129" s="10" t="e">
        <f t="shared" si="62"/>
        <v>#DIV/0!</v>
      </c>
      <c r="AB129" s="3" t="e">
        <f t="shared" si="63"/>
        <v>#DIV/0!</v>
      </c>
      <c r="AC129" s="3" t="e">
        <f t="shared" si="64"/>
        <v>#DIV/0!</v>
      </c>
      <c r="AD129" s="3" t="e">
        <f t="shared" si="65"/>
        <v>#DIV/0!</v>
      </c>
      <c r="AE129" s="9" t="e">
        <f t="shared" si="66"/>
        <v>#DIV/0!</v>
      </c>
      <c r="AF129" s="126">
        <f>IFERROR(D129*F129*L129*'Entrada e Saida'!$K$8,0)</f>
        <v>0</v>
      </c>
      <c r="AG129" s="3" t="e">
        <f>((W129+AA129+AB129+AC129+AD129+AE129+AF129)/(1-'Entrada e Saida'!$G$65))*'Entrada e Saida'!$I$66</f>
        <v>#DIV/0!</v>
      </c>
      <c r="AH129" s="8" t="e">
        <f t="shared" si="67"/>
        <v>#DIV/0!</v>
      </c>
      <c r="AI129" s="183" t="e">
        <f>'Entrada e Saida'!$K$51*(IF('Entrada e Saida'!$H$15="PESO",(P129/(SUM(P:P))),(Q129/(SUM(Q:Q)))))</f>
        <v>#DIV/0!</v>
      </c>
      <c r="AJ129" s="7">
        <f>(('Entrada e Saida'!$K$10-'Entrada e Saida'!$K$8)*E129*D129)</f>
        <v>0</v>
      </c>
      <c r="AK129" s="184" t="e">
        <f>IF('Entrada e Saida'!$H$15="PESO",W129+AA129+AH129+AI129+AJ129,W129+AA129+AH129+AI129+AJ129-S129+T129-U129+V129)</f>
        <v>#DIV/0!</v>
      </c>
      <c r="AL129" s="6" t="e">
        <f>IF('Entrada e Saida'!$H$12="REAL",AC129,0)</f>
        <v>#DIV/0!</v>
      </c>
      <c r="AM129" s="6" t="e">
        <f>IF('Entrada e Saida'!$H$12="REAL",AD129,0)</f>
        <v>#DIV/0!</v>
      </c>
      <c r="AN129" s="5" t="e">
        <f>IF('Entrada e Saida'!$H$13= "NÃO",AE129,0)</f>
        <v>#DIV/0!</v>
      </c>
      <c r="AO129" s="5" t="e">
        <f t="shared" si="68"/>
        <v>#DIV/0!</v>
      </c>
      <c r="AP129" s="4" t="e">
        <f t="shared" si="69"/>
        <v>#DIV/0!</v>
      </c>
      <c r="AQ129" s="3" t="e">
        <f>IF('Entrada e Saida'!$H$11="TRADING",AU129*'Custo Resumido'!D129,0)</f>
        <v>#DIV/0!</v>
      </c>
      <c r="AR129" s="3" t="e">
        <f>IF('Entrada e Saida'!$H$11="TRADING",AU129*'Entrada e Saida'!$G$63,0)</f>
        <v>#DIV/0!</v>
      </c>
      <c r="AS129" s="3" t="e">
        <f>IF('Entrada e Saida'!$H$11="TRADING",AU129*'Entrada e Saida'!$G$64,0)</f>
        <v>#DIV/0!</v>
      </c>
      <c r="AT129" s="3" t="e">
        <f>IF('Entrada e Saida'!$H$11="TRADING",AU129*'Entrada e Saida'!$G$65,0)</f>
        <v>#DIV/0!</v>
      </c>
      <c r="AU129" s="4" t="e">
        <f>IF('Entrada e Saida'!$H$11="TRADING",AP129/(1-(SUM('Entrada e Saida'!$G$63:$G$65)+'Custo Resumido'!D129)),0)</f>
        <v>#DIV/0!</v>
      </c>
      <c r="AV129" s="3" t="e">
        <f>IF('Entrada e Saida'!$H$13="NÃO",AU129*M129,0)</f>
        <v>#DIV/0!</v>
      </c>
      <c r="AW129" s="4" t="e">
        <f t="shared" si="70"/>
        <v>#DIV/0!</v>
      </c>
      <c r="AX129" s="3" t="e">
        <f>'Entrada e Saida'!$G$74*AU129</f>
        <v>#DIV/0!</v>
      </c>
      <c r="AY129" s="4" t="e">
        <f t="shared" si="71"/>
        <v>#DIV/0!</v>
      </c>
      <c r="AZ129" s="4" t="e">
        <f>AQ129+('Entrada e Saida'!$G$65-'Entrada e Saida'!$I$65)*AU129-AX129</f>
        <v>#DIV/0!</v>
      </c>
      <c r="BA129" s="3" t="e">
        <f>IF('Entrada e Saida'!$H$12="REAL",AZ129*'Entrada e Saida'!$G$81,AU129*'Entrada e Saida'!$G$81)</f>
        <v>#DIV/0!</v>
      </c>
      <c r="BB129" s="3" t="e">
        <f>IF('Entrada e Saida'!$H$12="REAL",AZ129*'Entrada e Saida'!$G$82,AU129*'Entrada e Saida'!$G$82)</f>
        <v>#DIV/0!</v>
      </c>
      <c r="BC129" s="4" t="e">
        <f t="shared" si="72"/>
        <v>#DIV/0!</v>
      </c>
      <c r="BD129" s="3" t="e">
        <f>IF('Entrada e Saida'!$H$11="TRADING",AW129/D129,AK129/D129)</f>
        <v>#DIV/0!</v>
      </c>
      <c r="BE129" s="3" t="e">
        <f t="shared" si="73"/>
        <v>#DIV/0!</v>
      </c>
      <c r="BF129" s="2" t="e">
        <f t="shared" si="74"/>
        <v>#DIV/0!</v>
      </c>
      <c r="BG129" s="3" t="e">
        <f>IF('Entrada e Saida'!$H$11="TRADING",AV129/D129,AN129/D129)</f>
        <v>#DIV/0!</v>
      </c>
      <c r="BH129" s="3" t="e">
        <f>IF('Entrada e Saida'!$H$11="TRADING",IF('Entrada e Saida'!$H$12="REAL",AR129/D129,0),AL129/D129)</f>
        <v>#DIV/0!</v>
      </c>
      <c r="BI129" s="3" t="e">
        <f>IF('Entrada e Saida'!$H$11="TRADING",IF('Entrada e Saida'!$H$12="REAL",AS129/D129,0),AM129/D129)</f>
        <v>#DIV/0!</v>
      </c>
      <c r="BJ129" s="3" t="e">
        <f>IF('Entrada e Saida'!$H$11="TRADING",AT129/D129,AO129/D129)</f>
        <v>#DIV/0!</v>
      </c>
      <c r="BK129" s="2" t="e">
        <f t="shared" si="75"/>
        <v>#DIV/0!</v>
      </c>
      <c r="BL129" s="2">
        <f>IF(O129&gt;0,IFERROR(IF('Entrada e Saida'!$H$11="DIRETA",0,(IF('Entrada e Saida'!$H$14="P.JURIDICA",(BD129*(1+O129)*N129)-((BD129/(1+M129))*'Entrada e Saida'!$G$65),((Produtos!N129-'Entrada e Saida'!$G$65)*Produtos!BD129)))),0),0)</f>
        <v>0</v>
      </c>
      <c r="BM129" s="2" t="e">
        <f t="shared" si="76"/>
        <v>#DIV/0!</v>
      </c>
    </row>
    <row r="130" spans="1:65" s="1" customFormat="1">
      <c r="A130" s="127"/>
      <c r="B130" s="114"/>
      <c r="C130" s="116"/>
      <c r="D130" s="146"/>
      <c r="E130" s="115">
        <f>IFERROR(VLOOKUP(A130,'Master Modelo'!A:I,9,FALSE),0)</f>
        <v>0</v>
      </c>
      <c r="F130" s="189">
        <f>IFERROR(VLOOKUP(A130,'Master Modelo'!A:I,8,FALSE),0)</f>
        <v>0</v>
      </c>
      <c r="G130" s="189">
        <f>IFERROR(VLOOKUP(A130,'Master Modelo'!A:K,11,FALSE),0)</f>
        <v>0</v>
      </c>
      <c r="H130" s="114" t="e">
        <f t="shared" si="59"/>
        <v>#DIV/0!</v>
      </c>
      <c r="I130" s="150">
        <f>IFERROR(VLOOKUP(A130,'Master Modelo'!A:I,3,FALSE),0)</f>
        <v>0</v>
      </c>
      <c r="J130" s="151">
        <f>IFERROR(VLOOKUP(A130,'Master Modelo'!A:I,5,FALSE),0)</f>
        <v>0</v>
      </c>
      <c r="K130" s="151">
        <f>IFERROR(VLOOKUP(A130,'Master Modelo'!A:I,6,FALSE),0)</f>
        <v>0</v>
      </c>
      <c r="L130" s="152" t="e">
        <f>VLOOKUP(A130,'Master Modelo'!A:J,10,FALSE)</f>
        <v>#N/A</v>
      </c>
      <c r="M130" s="150">
        <f>IFERROR(VLOOKUP(A130,'Master Modelo'!A:I,4,FALSE),0)</f>
        <v>0</v>
      </c>
      <c r="N130" s="128"/>
      <c r="O130" s="129"/>
      <c r="P130" s="9">
        <f t="shared" si="60"/>
        <v>0</v>
      </c>
      <c r="Q130" s="177">
        <f t="shared" si="77"/>
        <v>0</v>
      </c>
      <c r="R130" s="3">
        <f>D130*E130*'Entrada e Saida'!$K$8</f>
        <v>0</v>
      </c>
      <c r="S130" s="179" t="e">
        <f>'Entrada e Saida'!$H$21*'Entrada e Saida'!$K$8*(P130/(SUM(P:P)))</f>
        <v>#DIV/0!</v>
      </c>
      <c r="T130" s="179" t="e">
        <f>'Entrada e Saida'!$H$21*'Entrada e Saida'!$K$8*(Q130/(SUM(Q:Q)))</f>
        <v>#DIV/0!</v>
      </c>
      <c r="U130" s="179" t="e">
        <f>'Entrada e Saida'!$H$22*(P130/(SUM(P:P)))</f>
        <v>#DIV/0!</v>
      </c>
      <c r="V130" s="179" t="e">
        <f>'Entrada e Saida'!$H$22*(Q130/(SUM(Q:Q)))</f>
        <v>#DIV/0!</v>
      </c>
      <c r="W130" s="8" t="e">
        <f t="shared" si="61"/>
        <v>#DIV/0!</v>
      </c>
      <c r="X130" s="179" t="e">
        <f>'Entrada e Saida'!$H$26*(IF('Entrada e Saida'!$H$15="PESO",(P130/(SUM(P:P))),(Q130/(SUM(Q:Q)))))</f>
        <v>#DIV/0!</v>
      </c>
      <c r="Y130" s="179" t="e">
        <f>'Entrada e Saida'!$H$27*(IF('Entrada e Saida'!$H$15="PESO",(P130/(SUM(P:P))),(Q130/(SUM(Q:Q)))))</f>
        <v>#DIV/0!</v>
      </c>
      <c r="Z130" s="179" t="e">
        <f>'Entrada e Saida'!$H$28*(IF('Entrada e Saida'!$H$15="PESO",(P130/(SUM(P:P))),(Q130/(SUM(Q:Q)))))</f>
        <v>#DIV/0!</v>
      </c>
      <c r="AA130" s="10" t="e">
        <f t="shared" si="62"/>
        <v>#DIV/0!</v>
      </c>
      <c r="AB130" s="3" t="e">
        <f t="shared" si="63"/>
        <v>#DIV/0!</v>
      </c>
      <c r="AC130" s="3" t="e">
        <f t="shared" si="64"/>
        <v>#DIV/0!</v>
      </c>
      <c r="AD130" s="3" t="e">
        <f t="shared" si="65"/>
        <v>#DIV/0!</v>
      </c>
      <c r="AE130" s="9" t="e">
        <f t="shared" si="66"/>
        <v>#DIV/0!</v>
      </c>
      <c r="AF130" s="126">
        <f>IFERROR(D130*F130*L130*'Entrada e Saida'!$K$8,0)</f>
        <v>0</v>
      </c>
      <c r="AG130" s="3" t="e">
        <f>((W130+AA130+AB130+AC130+AD130+AE130+AF130)/(1-'Entrada e Saida'!$G$65))*'Entrada e Saida'!$I$66</f>
        <v>#DIV/0!</v>
      </c>
      <c r="AH130" s="8" t="e">
        <f t="shared" si="67"/>
        <v>#DIV/0!</v>
      </c>
      <c r="AI130" s="183" t="e">
        <f>'Entrada e Saida'!$K$51*(IF('Entrada e Saida'!$H$15="PESO",(P130/(SUM(P:P))),(Q130/(SUM(Q:Q)))))</f>
        <v>#DIV/0!</v>
      </c>
      <c r="AJ130" s="7">
        <f>(('Entrada e Saida'!$K$10-'Entrada e Saida'!$K$8)*E130*D130)</f>
        <v>0</v>
      </c>
      <c r="AK130" s="184" t="e">
        <f>IF('Entrada e Saida'!$H$15="PESO",W130+AA130+AH130+AI130+AJ130,W130+AA130+AH130+AI130+AJ130-S130+T130-U130+V130)</f>
        <v>#DIV/0!</v>
      </c>
      <c r="AL130" s="6" t="e">
        <f>IF('Entrada e Saida'!$H$12="REAL",AC130,0)</f>
        <v>#DIV/0!</v>
      </c>
      <c r="AM130" s="6" t="e">
        <f>IF('Entrada e Saida'!$H$12="REAL",AD130,0)</f>
        <v>#DIV/0!</v>
      </c>
      <c r="AN130" s="5" t="e">
        <f>IF('Entrada e Saida'!$H$13= "NÃO",AE130,0)</f>
        <v>#DIV/0!</v>
      </c>
      <c r="AO130" s="5" t="e">
        <f t="shared" si="68"/>
        <v>#DIV/0!</v>
      </c>
      <c r="AP130" s="4" t="e">
        <f t="shared" si="69"/>
        <v>#DIV/0!</v>
      </c>
      <c r="AQ130" s="3" t="e">
        <f>IF('Entrada e Saida'!$H$11="TRADING",AU130*'Custo Resumido'!D130,0)</f>
        <v>#DIV/0!</v>
      </c>
      <c r="AR130" s="3" t="e">
        <f>IF('Entrada e Saida'!$H$11="TRADING",AU130*'Entrada e Saida'!$G$63,0)</f>
        <v>#DIV/0!</v>
      </c>
      <c r="AS130" s="3" t="e">
        <f>IF('Entrada e Saida'!$H$11="TRADING",AU130*'Entrada e Saida'!$G$64,0)</f>
        <v>#DIV/0!</v>
      </c>
      <c r="AT130" s="3" t="e">
        <f>IF('Entrada e Saida'!$H$11="TRADING",AU130*'Entrada e Saida'!$G$65,0)</f>
        <v>#DIV/0!</v>
      </c>
      <c r="AU130" s="4" t="e">
        <f>IF('Entrada e Saida'!$H$11="TRADING",AP130/(1-(SUM('Entrada e Saida'!$G$63:$G$65)+'Custo Resumido'!D130)),0)</f>
        <v>#DIV/0!</v>
      </c>
      <c r="AV130" s="3" t="e">
        <f>IF('Entrada e Saida'!$H$13="NÃO",AU130*M130,0)</f>
        <v>#DIV/0!</v>
      </c>
      <c r="AW130" s="4" t="e">
        <f t="shared" si="70"/>
        <v>#DIV/0!</v>
      </c>
      <c r="AX130" s="3" t="e">
        <f>'Entrada e Saida'!$G$74*AU130</f>
        <v>#DIV/0!</v>
      </c>
      <c r="AY130" s="4" t="e">
        <f t="shared" si="71"/>
        <v>#DIV/0!</v>
      </c>
      <c r="AZ130" s="4" t="e">
        <f>AQ130+('Entrada e Saida'!$G$65-'Entrada e Saida'!$I$65)*AU130-AX130</f>
        <v>#DIV/0!</v>
      </c>
      <c r="BA130" s="3" t="e">
        <f>IF('Entrada e Saida'!$H$12="REAL",AZ130*'Entrada e Saida'!$G$81,AU130*'Entrada e Saida'!$G$81)</f>
        <v>#DIV/0!</v>
      </c>
      <c r="BB130" s="3" t="e">
        <f>IF('Entrada e Saida'!$H$12="REAL",AZ130*'Entrada e Saida'!$G$82,AU130*'Entrada e Saida'!$G$82)</f>
        <v>#DIV/0!</v>
      </c>
      <c r="BC130" s="4" t="e">
        <f t="shared" si="72"/>
        <v>#DIV/0!</v>
      </c>
      <c r="BD130" s="3" t="e">
        <f>IF('Entrada e Saida'!$H$11="TRADING",AW130/D130,AK130/D130)</f>
        <v>#DIV/0!</v>
      </c>
      <c r="BE130" s="3" t="e">
        <f t="shared" si="73"/>
        <v>#DIV/0!</v>
      </c>
      <c r="BF130" s="2" t="e">
        <f t="shared" si="74"/>
        <v>#DIV/0!</v>
      </c>
      <c r="BG130" s="3" t="e">
        <f>IF('Entrada e Saida'!$H$11="TRADING",AV130/D130,AN130/D130)</f>
        <v>#DIV/0!</v>
      </c>
      <c r="BH130" s="3" t="e">
        <f>IF('Entrada e Saida'!$H$11="TRADING",IF('Entrada e Saida'!$H$12="REAL",AR130/D130,0),AL130/D130)</f>
        <v>#DIV/0!</v>
      </c>
      <c r="BI130" s="3" t="e">
        <f>IF('Entrada e Saida'!$H$11="TRADING",IF('Entrada e Saida'!$H$12="REAL",AS130/D130,0),AM130/D130)</f>
        <v>#DIV/0!</v>
      </c>
      <c r="BJ130" s="3" t="e">
        <f>IF('Entrada e Saida'!$H$11="TRADING",AT130/D130,AO130/D130)</f>
        <v>#DIV/0!</v>
      </c>
      <c r="BK130" s="2" t="e">
        <f t="shared" si="75"/>
        <v>#DIV/0!</v>
      </c>
      <c r="BL130" s="2">
        <f>IF(O130&gt;0,IFERROR(IF('Entrada e Saida'!$H$11="DIRETA",0,(IF('Entrada e Saida'!$H$14="P.JURIDICA",(BD130*(1+O130)*N130)-((BD130/(1+M130))*'Entrada e Saida'!$G$65),((Produtos!N130-'Entrada e Saida'!$G$65)*Produtos!BD130)))),0),0)</f>
        <v>0</v>
      </c>
      <c r="BM130" s="2" t="e">
        <f t="shared" si="76"/>
        <v>#DIV/0!</v>
      </c>
    </row>
    <row r="131" spans="1:65" s="1" customFormat="1">
      <c r="A131" s="127"/>
      <c r="B131" s="114"/>
      <c r="C131" s="116"/>
      <c r="D131" s="146"/>
      <c r="E131" s="115">
        <f>IFERROR(VLOOKUP(A131,'Master Modelo'!A:I,9,FALSE),0)</f>
        <v>0</v>
      </c>
      <c r="F131" s="189">
        <f>IFERROR(VLOOKUP(A131,'Master Modelo'!A:I,8,FALSE),0)</f>
        <v>0</v>
      </c>
      <c r="G131" s="189">
        <f>IFERROR(VLOOKUP(A131,'Master Modelo'!A:K,11,FALSE),0)</f>
        <v>0</v>
      </c>
      <c r="H131" s="114" t="e">
        <f t="shared" si="59"/>
        <v>#DIV/0!</v>
      </c>
      <c r="I131" s="150">
        <f>IFERROR(VLOOKUP(A131,'Master Modelo'!A:I,3,FALSE),0)</f>
        <v>0</v>
      </c>
      <c r="J131" s="151">
        <f>IFERROR(VLOOKUP(A131,'Master Modelo'!A:I,5,FALSE),0)</f>
        <v>0</v>
      </c>
      <c r="K131" s="151">
        <f>IFERROR(VLOOKUP(A131,'Master Modelo'!A:I,6,FALSE),0)</f>
        <v>0</v>
      </c>
      <c r="L131" s="152" t="e">
        <f>VLOOKUP(A131,'Master Modelo'!A:J,10,FALSE)</f>
        <v>#N/A</v>
      </c>
      <c r="M131" s="150">
        <f>IFERROR(VLOOKUP(A131,'Master Modelo'!A:I,4,FALSE),0)</f>
        <v>0</v>
      </c>
      <c r="N131" s="128"/>
      <c r="O131" s="129"/>
      <c r="P131" s="9">
        <f t="shared" si="60"/>
        <v>0</v>
      </c>
      <c r="Q131" s="177">
        <f t="shared" si="77"/>
        <v>0</v>
      </c>
      <c r="R131" s="3">
        <f>D131*E131*'Entrada e Saida'!$K$8</f>
        <v>0</v>
      </c>
      <c r="S131" s="179" t="e">
        <f>'Entrada e Saida'!$H$21*'Entrada e Saida'!$K$8*(P131/(SUM(P:P)))</f>
        <v>#DIV/0!</v>
      </c>
      <c r="T131" s="179" t="e">
        <f>'Entrada e Saida'!$H$21*'Entrada e Saida'!$K$8*(Q131/(SUM(Q:Q)))</f>
        <v>#DIV/0!</v>
      </c>
      <c r="U131" s="179" t="e">
        <f>'Entrada e Saida'!$H$22*(P131/(SUM(P:P)))</f>
        <v>#DIV/0!</v>
      </c>
      <c r="V131" s="179" t="e">
        <f>'Entrada e Saida'!$H$22*(Q131/(SUM(Q:Q)))</f>
        <v>#DIV/0!</v>
      </c>
      <c r="W131" s="8" t="e">
        <f t="shared" si="61"/>
        <v>#DIV/0!</v>
      </c>
      <c r="X131" s="179" t="e">
        <f>'Entrada e Saida'!$H$26*(IF('Entrada e Saida'!$H$15="PESO",(P131/(SUM(P:P))),(Q131/(SUM(Q:Q)))))</f>
        <v>#DIV/0!</v>
      </c>
      <c r="Y131" s="179" t="e">
        <f>'Entrada e Saida'!$H$27*(IF('Entrada e Saida'!$H$15="PESO",(P131/(SUM(P:P))),(Q131/(SUM(Q:Q)))))</f>
        <v>#DIV/0!</v>
      </c>
      <c r="Z131" s="179" t="e">
        <f>'Entrada e Saida'!$H$28*(IF('Entrada e Saida'!$H$15="PESO",(P131/(SUM(P:P))),(Q131/(SUM(Q:Q)))))</f>
        <v>#DIV/0!</v>
      </c>
      <c r="AA131" s="10" t="e">
        <f t="shared" si="62"/>
        <v>#DIV/0!</v>
      </c>
      <c r="AB131" s="3" t="e">
        <f t="shared" si="63"/>
        <v>#DIV/0!</v>
      </c>
      <c r="AC131" s="3" t="e">
        <f t="shared" si="64"/>
        <v>#DIV/0!</v>
      </c>
      <c r="AD131" s="3" t="e">
        <f t="shared" si="65"/>
        <v>#DIV/0!</v>
      </c>
      <c r="AE131" s="9" t="e">
        <f t="shared" si="66"/>
        <v>#DIV/0!</v>
      </c>
      <c r="AF131" s="126">
        <f>IFERROR(D131*F131*L131*'Entrada e Saida'!$K$8,0)</f>
        <v>0</v>
      </c>
      <c r="AG131" s="3" t="e">
        <f>((W131+AA131+AB131+AC131+AD131+AE131+AF131)/(1-'Entrada e Saida'!$G$65))*'Entrada e Saida'!$I$66</f>
        <v>#DIV/0!</v>
      </c>
      <c r="AH131" s="8" t="e">
        <f t="shared" si="67"/>
        <v>#DIV/0!</v>
      </c>
      <c r="AI131" s="183" t="e">
        <f>'Entrada e Saida'!$K$51*(IF('Entrada e Saida'!$H$15="PESO",(P131/(SUM(P:P))),(Q131/(SUM(Q:Q)))))</f>
        <v>#DIV/0!</v>
      </c>
      <c r="AJ131" s="7">
        <f>(('Entrada e Saida'!$K$10-'Entrada e Saida'!$K$8)*E131*D131)</f>
        <v>0</v>
      </c>
      <c r="AK131" s="184" t="e">
        <f>IF('Entrada e Saida'!$H$15="PESO",W131+AA131+AH131+AI131+AJ131,W131+AA131+AH131+AI131+AJ131-S131+T131-U131+V131)</f>
        <v>#DIV/0!</v>
      </c>
      <c r="AL131" s="6" t="e">
        <f>IF('Entrada e Saida'!$H$12="REAL",AC131,0)</f>
        <v>#DIV/0!</v>
      </c>
      <c r="AM131" s="6" t="e">
        <f>IF('Entrada e Saida'!$H$12="REAL",AD131,0)</f>
        <v>#DIV/0!</v>
      </c>
      <c r="AN131" s="5" t="e">
        <f>IF('Entrada e Saida'!$H$13= "NÃO",AE131,0)</f>
        <v>#DIV/0!</v>
      </c>
      <c r="AO131" s="5" t="e">
        <f t="shared" si="68"/>
        <v>#DIV/0!</v>
      </c>
      <c r="AP131" s="4" t="e">
        <f t="shared" si="69"/>
        <v>#DIV/0!</v>
      </c>
      <c r="AQ131" s="3" t="e">
        <f>IF('Entrada e Saida'!$H$11="TRADING",AU131*'Custo Resumido'!D131,0)</f>
        <v>#DIV/0!</v>
      </c>
      <c r="AR131" s="3" t="e">
        <f>IF('Entrada e Saida'!$H$11="TRADING",AU131*'Entrada e Saida'!$G$63,0)</f>
        <v>#DIV/0!</v>
      </c>
      <c r="AS131" s="3" t="e">
        <f>IF('Entrada e Saida'!$H$11="TRADING",AU131*'Entrada e Saida'!$G$64,0)</f>
        <v>#DIV/0!</v>
      </c>
      <c r="AT131" s="3" t="e">
        <f>IF('Entrada e Saida'!$H$11="TRADING",AU131*'Entrada e Saida'!$G$65,0)</f>
        <v>#DIV/0!</v>
      </c>
      <c r="AU131" s="4" t="e">
        <f>IF('Entrada e Saida'!$H$11="TRADING",AP131/(1-(SUM('Entrada e Saida'!$G$63:$G$65)+'Custo Resumido'!D131)),0)</f>
        <v>#DIV/0!</v>
      </c>
      <c r="AV131" s="3" t="e">
        <f>IF('Entrada e Saida'!$H$13="NÃO",AU131*M131,0)</f>
        <v>#DIV/0!</v>
      </c>
      <c r="AW131" s="4" t="e">
        <f t="shared" si="70"/>
        <v>#DIV/0!</v>
      </c>
      <c r="AX131" s="3" t="e">
        <f>'Entrada e Saida'!$G$74*AU131</f>
        <v>#DIV/0!</v>
      </c>
      <c r="AY131" s="4" t="e">
        <f t="shared" si="71"/>
        <v>#DIV/0!</v>
      </c>
      <c r="AZ131" s="4" t="e">
        <f>AQ131+('Entrada e Saida'!$G$65-'Entrada e Saida'!$I$65)*AU131-AX131</f>
        <v>#DIV/0!</v>
      </c>
      <c r="BA131" s="3" t="e">
        <f>IF('Entrada e Saida'!$H$12="REAL",AZ131*'Entrada e Saida'!$G$81,AU131*'Entrada e Saida'!$G$81)</f>
        <v>#DIV/0!</v>
      </c>
      <c r="BB131" s="3" t="e">
        <f>IF('Entrada e Saida'!$H$12="REAL",AZ131*'Entrada e Saida'!$G$82,AU131*'Entrada e Saida'!$G$82)</f>
        <v>#DIV/0!</v>
      </c>
      <c r="BC131" s="4" t="e">
        <f t="shared" si="72"/>
        <v>#DIV/0!</v>
      </c>
      <c r="BD131" s="3" t="e">
        <f>IF('Entrada e Saida'!$H$11="TRADING",AW131/D131,AK131/D131)</f>
        <v>#DIV/0!</v>
      </c>
      <c r="BE131" s="3" t="e">
        <f t="shared" si="73"/>
        <v>#DIV/0!</v>
      </c>
      <c r="BF131" s="2" t="e">
        <f t="shared" si="74"/>
        <v>#DIV/0!</v>
      </c>
      <c r="BG131" s="3" t="e">
        <f>IF('Entrada e Saida'!$H$11="TRADING",AV131/D131,AN131/D131)</f>
        <v>#DIV/0!</v>
      </c>
      <c r="BH131" s="3" t="e">
        <f>IF('Entrada e Saida'!$H$11="TRADING",IF('Entrada e Saida'!$H$12="REAL",AR131/D131,0),AL131/D131)</f>
        <v>#DIV/0!</v>
      </c>
      <c r="BI131" s="3" t="e">
        <f>IF('Entrada e Saida'!$H$11="TRADING",IF('Entrada e Saida'!$H$12="REAL",AS131/D131,0),AM131/D131)</f>
        <v>#DIV/0!</v>
      </c>
      <c r="BJ131" s="3" t="e">
        <f>IF('Entrada e Saida'!$H$11="TRADING",AT131/D131,AO131/D131)</f>
        <v>#DIV/0!</v>
      </c>
      <c r="BK131" s="2" t="e">
        <f t="shared" si="75"/>
        <v>#DIV/0!</v>
      </c>
      <c r="BL131" s="2">
        <f>IF(O131&gt;0,IFERROR(IF('Entrada e Saida'!$H$11="DIRETA",0,(IF('Entrada e Saida'!$H$14="P.JURIDICA",(BD131*(1+O131)*N131)-((BD131/(1+M131))*'Entrada e Saida'!$G$65),((Produtos!N131-'Entrada e Saida'!$G$65)*Produtos!BD131)))),0),0)</f>
        <v>0</v>
      </c>
      <c r="BM131" s="2" t="e">
        <f t="shared" si="76"/>
        <v>#DIV/0!</v>
      </c>
    </row>
    <row r="132" spans="1:65" s="1" customFormat="1">
      <c r="A132" s="127"/>
      <c r="B132" s="114"/>
      <c r="C132" s="116"/>
      <c r="D132" s="146"/>
      <c r="E132" s="115">
        <f>IFERROR(VLOOKUP(A132,'Master Modelo'!A:I,9,FALSE),0)</f>
        <v>0</v>
      </c>
      <c r="F132" s="189">
        <f>IFERROR(VLOOKUP(A132,'Master Modelo'!A:I,8,FALSE),0)</f>
        <v>0</v>
      </c>
      <c r="G132" s="189">
        <f>IFERROR(VLOOKUP(A132,'Master Modelo'!A:K,11,FALSE),0)</f>
        <v>0</v>
      </c>
      <c r="H132" s="114" t="e">
        <f t="shared" si="59"/>
        <v>#DIV/0!</v>
      </c>
      <c r="I132" s="150">
        <f>IFERROR(VLOOKUP(A132,'Master Modelo'!A:I,3,FALSE),0)</f>
        <v>0</v>
      </c>
      <c r="J132" s="151">
        <f>IFERROR(VLOOKUP(A132,'Master Modelo'!A:I,5,FALSE),0)</f>
        <v>0</v>
      </c>
      <c r="K132" s="151">
        <f>IFERROR(VLOOKUP(A132,'Master Modelo'!A:I,6,FALSE),0)</f>
        <v>0</v>
      </c>
      <c r="L132" s="152" t="e">
        <f>VLOOKUP(A132,'Master Modelo'!A:J,10,FALSE)</f>
        <v>#N/A</v>
      </c>
      <c r="M132" s="150">
        <f>IFERROR(VLOOKUP(A132,'Master Modelo'!A:I,4,FALSE),0)</f>
        <v>0</v>
      </c>
      <c r="N132" s="128"/>
      <c r="O132" s="129"/>
      <c r="P132" s="9">
        <f t="shared" si="60"/>
        <v>0</v>
      </c>
      <c r="Q132" s="177">
        <f t="shared" si="77"/>
        <v>0</v>
      </c>
      <c r="R132" s="3">
        <f>D132*E132*'Entrada e Saida'!$K$8</f>
        <v>0</v>
      </c>
      <c r="S132" s="179" t="e">
        <f>'Entrada e Saida'!$H$21*'Entrada e Saida'!$K$8*(P132/(SUM(P:P)))</f>
        <v>#DIV/0!</v>
      </c>
      <c r="T132" s="179" t="e">
        <f>'Entrada e Saida'!$H$21*'Entrada e Saida'!$K$8*(Q132/(SUM(Q:Q)))</f>
        <v>#DIV/0!</v>
      </c>
      <c r="U132" s="179" t="e">
        <f>'Entrada e Saida'!$H$22*(P132/(SUM(P:P)))</f>
        <v>#DIV/0!</v>
      </c>
      <c r="V132" s="179" t="e">
        <f>'Entrada e Saida'!$H$22*(Q132/(SUM(Q:Q)))</f>
        <v>#DIV/0!</v>
      </c>
      <c r="W132" s="8" t="e">
        <f t="shared" si="61"/>
        <v>#DIV/0!</v>
      </c>
      <c r="X132" s="179" t="e">
        <f>'Entrada e Saida'!$H$26*(IF('Entrada e Saida'!$H$15="PESO",(P132/(SUM(P:P))),(Q132/(SUM(Q:Q)))))</f>
        <v>#DIV/0!</v>
      </c>
      <c r="Y132" s="179" t="e">
        <f>'Entrada e Saida'!$H$27*(IF('Entrada e Saida'!$H$15="PESO",(P132/(SUM(P:P))),(Q132/(SUM(Q:Q)))))</f>
        <v>#DIV/0!</v>
      </c>
      <c r="Z132" s="179" t="e">
        <f>'Entrada e Saida'!$H$28*(IF('Entrada e Saida'!$H$15="PESO",(P132/(SUM(P:P))),(Q132/(SUM(Q:Q)))))</f>
        <v>#DIV/0!</v>
      </c>
      <c r="AA132" s="10" t="e">
        <f t="shared" si="62"/>
        <v>#DIV/0!</v>
      </c>
      <c r="AB132" s="3" t="e">
        <f t="shared" si="63"/>
        <v>#DIV/0!</v>
      </c>
      <c r="AC132" s="3" t="e">
        <f t="shared" si="64"/>
        <v>#DIV/0!</v>
      </c>
      <c r="AD132" s="3" t="e">
        <f t="shared" si="65"/>
        <v>#DIV/0!</v>
      </c>
      <c r="AE132" s="9" t="e">
        <f t="shared" si="66"/>
        <v>#DIV/0!</v>
      </c>
      <c r="AF132" s="126">
        <f>IFERROR(D132*F132*L132*'Entrada e Saida'!$K$8,0)</f>
        <v>0</v>
      </c>
      <c r="AG132" s="3" t="e">
        <f>((W132+AA132+AB132+AC132+AD132+AE132+AF132)/(1-'Entrada e Saida'!$G$65))*'Entrada e Saida'!$I$66</f>
        <v>#DIV/0!</v>
      </c>
      <c r="AH132" s="8" t="e">
        <f t="shared" si="67"/>
        <v>#DIV/0!</v>
      </c>
      <c r="AI132" s="183" t="e">
        <f>'Entrada e Saida'!$K$51*(IF('Entrada e Saida'!$H$15="PESO",(P132/(SUM(P:P))),(Q132/(SUM(Q:Q)))))</f>
        <v>#DIV/0!</v>
      </c>
      <c r="AJ132" s="7">
        <f>(('Entrada e Saida'!$K$10-'Entrada e Saida'!$K$8)*E132*D132)</f>
        <v>0</v>
      </c>
      <c r="AK132" s="184" t="e">
        <f>IF('Entrada e Saida'!$H$15="PESO",W132+AA132+AH132+AI132+AJ132,W132+AA132+AH132+AI132+AJ132-S132+T132-U132+V132)</f>
        <v>#DIV/0!</v>
      </c>
      <c r="AL132" s="6" t="e">
        <f>IF('Entrada e Saida'!$H$12="REAL",AC132,0)</f>
        <v>#DIV/0!</v>
      </c>
      <c r="AM132" s="6" t="e">
        <f>IF('Entrada e Saida'!$H$12="REAL",AD132,0)</f>
        <v>#DIV/0!</v>
      </c>
      <c r="AN132" s="5" t="e">
        <f>IF('Entrada e Saida'!$H$13= "NÃO",AE132,0)</f>
        <v>#DIV/0!</v>
      </c>
      <c r="AO132" s="5" t="e">
        <f t="shared" si="68"/>
        <v>#DIV/0!</v>
      </c>
      <c r="AP132" s="4" t="e">
        <f t="shared" si="69"/>
        <v>#DIV/0!</v>
      </c>
      <c r="AQ132" s="3" t="e">
        <f>IF('Entrada e Saida'!$H$11="TRADING",AU132*'Custo Resumido'!D132,0)</f>
        <v>#DIV/0!</v>
      </c>
      <c r="AR132" s="3" t="e">
        <f>IF('Entrada e Saida'!$H$11="TRADING",AU132*'Entrada e Saida'!$G$63,0)</f>
        <v>#DIV/0!</v>
      </c>
      <c r="AS132" s="3" t="e">
        <f>IF('Entrada e Saida'!$H$11="TRADING",AU132*'Entrada e Saida'!$G$64,0)</f>
        <v>#DIV/0!</v>
      </c>
      <c r="AT132" s="3" t="e">
        <f>IF('Entrada e Saida'!$H$11="TRADING",AU132*'Entrada e Saida'!$G$65,0)</f>
        <v>#DIV/0!</v>
      </c>
      <c r="AU132" s="4" t="e">
        <f>IF('Entrada e Saida'!$H$11="TRADING",AP132/(1-(SUM('Entrada e Saida'!$G$63:$G$65)+'Custo Resumido'!D132)),0)</f>
        <v>#DIV/0!</v>
      </c>
      <c r="AV132" s="3" t="e">
        <f>IF('Entrada e Saida'!$H$13="NÃO",AU132*M132,0)</f>
        <v>#DIV/0!</v>
      </c>
      <c r="AW132" s="4" t="e">
        <f t="shared" si="70"/>
        <v>#DIV/0!</v>
      </c>
      <c r="AX132" s="3" t="e">
        <f>'Entrada e Saida'!$G$74*AU132</f>
        <v>#DIV/0!</v>
      </c>
      <c r="AY132" s="4" t="e">
        <f t="shared" si="71"/>
        <v>#DIV/0!</v>
      </c>
      <c r="AZ132" s="4" t="e">
        <f>AQ132+('Entrada e Saida'!$G$65-'Entrada e Saida'!$I$65)*AU132-AX132</f>
        <v>#DIV/0!</v>
      </c>
      <c r="BA132" s="3" t="e">
        <f>IF('Entrada e Saida'!$H$12="REAL",AZ132*'Entrada e Saida'!$G$81,AU132*'Entrada e Saida'!$G$81)</f>
        <v>#DIV/0!</v>
      </c>
      <c r="BB132" s="3" t="e">
        <f>IF('Entrada e Saida'!$H$12="REAL",AZ132*'Entrada e Saida'!$G$82,AU132*'Entrada e Saida'!$G$82)</f>
        <v>#DIV/0!</v>
      </c>
      <c r="BC132" s="4" t="e">
        <f t="shared" si="72"/>
        <v>#DIV/0!</v>
      </c>
      <c r="BD132" s="3" t="e">
        <f>IF('Entrada e Saida'!$H$11="TRADING",AW132/D132,AK132/D132)</f>
        <v>#DIV/0!</v>
      </c>
      <c r="BE132" s="3" t="e">
        <f t="shared" si="73"/>
        <v>#DIV/0!</v>
      </c>
      <c r="BF132" s="2" t="e">
        <f t="shared" si="74"/>
        <v>#DIV/0!</v>
      </c>
      <c r="BG132" s="3" t="e">
        <f>IF('Entrada e Saida'!$H$11="TRADING",AV132/D132,AN132/D132)</f>
        <v>#DIV/0!</v>
      </c>
      <c r="BH132" s="3" t="e">
        <f>IF('Entrada e Saida'!$H$11="TRADING",IF('Entrada e Saida'!$H$12="REAL",AR132/D132,0),AL132/D132)</f>
        <v>#DIV/0!</v>
      </c>
      <c r="BI132" s="3" t="e">
        <f>IF('Entrada e Saida'!$H$11="TRADING",IF('Entrada e Saida'!$H$12="REAL",AS132/D132,0),AM132/D132)</f>
        <v>#DIV/0!</v>
      </c>
      <c r="BJ132" s="3" t="e">
        <f>IF('Entrada e Saida'!$H$11="TRADING",AT132/D132,AO132/D132)</f>
        <v>#DIV/0!</v>
      </c>
      <c r="BK132" s="2" t="e">
        <f t="shared" si="75"/>
        <v>#DIV/0!</v>
      </c>
      <c r="BL132" s="2">
        <f>IF(O132&gt;0,IFERROR(IF('Entrada e Saida'!$H$11="DIRETA",0,(IF('Entrada e Saida'!$H$14="P.JURIDICA",(BD132*(1+O132)*N132)-((BD132/(1+M132))*'Entrada e Saida'!$G$65),((Produtos!N132-'Entrada e Saida'!$G$65)*Produtos!BD132)))),0),0)</f>
        <v>0</v>
      </c>
      <c r="BM132" s="2" t="e">
        <f t="shared" si="76"/>
        <v>#DIV/0!</v>
      </c>
    </row>
    <row r="133" spans="1:65" s="1" customFormat="1">
      <c r="A133" s="127"/>
      <c r="B133" s="114"/>
      <c r="C133" s="116"/>
      <c r="D133" s="146"/>
      <c r="E133" s="115">
        <f>IFERROR(VLOOKUP(A133,'Master Modelo'!A:I,9,FALSE),0)</f>
        <v>0</v>
      </c>
      <c r="F133" s="189">
        <f>IFERROR(VLOOKUP(A133,'Master Modelo'!A:I,8,FALSE),0)</f>
        <v>0</v>
      </c>
      <c r="G133" s="189">
        <f>IFERROR(VLOOKUP(A133,'Master Modelo'!A:K,11,FALSE),0)</f>
        <v>0</v>
      </c>
      <c r="H133" s="114" t="e">
        <f t="shared" si="59"/>
        <v>#DIV/0!</v>
      </c>
      <c r="I133" s="150">
        <f>IFERROR(VLOOKUP(A133,'Master Modelo'!A:I,3,FALSE),0)</f>
        <v>0</v>
      </c>
      <c r="J133" s="151">
        <f>IFERROR(VLOOKUP(A133,'Master Modelo'!A:I,5,FALSE),0)</f>
        <v>0</v>
      </c>
      <c r="K133" s="151">
        <f>IFERROR(VLOOKUP(A133,'Master Modelo'!A:I,6,FALSE),0)</f>
        <v>0</v>
      </c>
      <c r="L133" s="152" t="e">
        <f>VLOOKUP(A133,'Master Modelo'!A:J,10,FALSE)</f>
        <v>#N/A</v>
      </c>
      <c r="M133" s="150">
        <f>IFERROR(VLOOKUP(A133,'Master Modelo'!A:I,4,FALSE),0)</f>
        <v>0</v>
      </c>
      <c r="N133" s="128"/>
      <c r="O133" s="129"/>
      <c r="P133" s="9">
        <f t="shared" si="60"/>
        <v>0</v>
      </c>
      <c r="Q133" s="177">
        <f t="shared" si="77"/>
        <v>0</v>
      </c>
      <c r="R133" s="3">
        <f>D133*E133*'Entrada e Saida'!$K$8</f>
        <v>0</v>
      </c>
      <c r="S133" s="179" t="e">
        <f>'Entrada e Saida'!$H$21*'Entrada e Saida'!$K$8*(P133/(SUM(P:P)))</f>
        <v>#DIV/0!</v>
      </c>
      <c r="T133" s="179" t="e">
        <f>'Entrada e Saida'!$H$21*'Entrada e Saida'!$K$8*(Q133/(SUM(Q:Q)))</f>
        <v>#DIV/0!</v>
      </c>
      <c r="U133" s="179" t="e">
        <f>'Entrada e Saida'!$H$22*(P133/(SUM(P:P)))</f>
        <v>#DIV/0!</v>
      </c>
      <c r="V133" s="179" t="e">
        <f>'Entrada e Saida'!$H$22*(Q133/(SUM(Q:Q)))</f>
        <v>#DIV/0!</v>
      </c>
      <c r="W133" s="8" t="e">
        <f t="shared" si="61"/>
        <v>#DIV/0!</v>
      </c>
      <c r="X133" s="179" t="e">
        <f>'Entrada e Saida'!$H$26*(IF('Entrada e Saida'!$H$15="PESO",(P133/(SUM(P:P))),(Q133/(SUM(Q:Q)))))</f>
        <v>#DIV/0!</v>
      </c>
      <c r="Y133" s="179" t="e">
        <f>'Entrada e Saida'!$H$27*(IF('Entrada e Saida'!$H$15="PESO",(P133/(SUM(P:P))),(Q133/(SUM(Q:Q)))))</f>
        <v>#DIV/0!</v>
      </c>
      <c r="Z133" s="179" t="e">
        <f>'Entrada e Saida'!$H$28*(IF('Entrada e Saida'!$H$15="PESO",(P133/(SUM(P:P))),(Q133/(SUM(Q:Q)))))</f>
        <v>#DIV/0!</v>
      </c>
      <c r="AA133" s="10" t="e">
        <f t="shared" si="62"/>
        <v>#DIV/0!</v>
      </c>
      <c r="AB133" s="3" t="e">
        <f t="shared" si="63"/>
        <v>#DIV/0!</v>
      </c>
      <c r="AC133" s="3" t="e">
        <f t="shared" si="64"/>
        <v>#DIV/0!</v>
      </c>
      <c r="AD133" s="3" t="e">
        <f t="shared" si="65"/>
        <v>#DIV/0!</v>
      </c>
      <c r="AE133" s="9" t="e">
        <f t="shared" si="66"/>
        <v>#DIV/0!</v>
      </c>
      <c r="AF133" s="126">
        <f>IFERROR(D133*F133*L133*'Entrada e Saida'!$K$8,0)</f>
        <v>0</v>
      </c>
      <c r="AG133" s="3" t="e">
        <f>((W133+AA133+AB133+AC133+AD133+AE133+AF133)/(1-'Entrada e Saida'!$G$65))*'Entrada e Saida'!$I$66</f>
        <v>#DIV/0!</v>
      </c>
      <c r="AH133" s="8" t="e">
        <f t="shared" si="67"/>
        <v>#DIV/0!</v>
      </c>
      <c r="AI133" s="183" t="e">
        <f>'Entrada e Saida'!$K$51*(IF('Entrada e Saida'!$H$15="PESO",(P133/(SUM(P:P))),(Q133/(SUM(Q:Q)))))</f>
        <v>#DIV/0!</v>
      </c>
      <c r="AJ133" s="7">
        <f>(('Entrada e Saida'!$K$10-'Entrada e Saida'!$K$8)*E133*D133)</f>
        <v>0</v>
      </c>
      <c r="AK133" s="184" t="e">
        <f>IF('Entrada e Saida'!$H$15="PESO",W133+AA133+AH133+AI133+AJ133,W133+AA133+AH133+AI133+AJ133-S133+T133-U133+V133)</f>
        <v>#DIV/0!</v>
      </c>
      <c r="AL133" s="6" t="e">
        <f>IF('Entrada e Saida'!$H$12="REAL",AC133,0)</f>
        <v>#DIV/0!</v>
      </c>
      <c r="AM133" s="6" t="e">
        <f>IF('Entrada e Saida'!$H$12="REAL",AD133,0)</f>
        <v>#DIV/0!</v>
      </c>
      <c r="AN133" s="5" t="e">
        <f>IF('Entrada e Saida'!$H$13= "NÃO",AE133,0)</f>
        <v>#DIV/0!</v>
      </c>
      <c r="AO133" s="5" t="e">
        <f t="shared" si="68"/>
        <v>#DIV/0!</v>
      </c>
      <c r="AP133" s="4" t="e">
        <f t="shared" si="69"/>
        <v>#DIV/0!</v>
      </c>
      <c r="AQ133" s="3" t="e">
        <f>IF('Entrada e Saida'!$H$11="TRADING",AU133*'Custo Resumido'!D133,0)</f>
        <v>#DIV/0!</v>
      </c>
      <c r="AR133" s="3" t="e">
        <f>IF('Entrada e Saida'!$H$11="TRADING",AU133*'Entrada e Saida'!$G$63,0)</f>
        <v>#DIV/0!</v>
      </c>
      <c r="AS133" s="3" t="e">
        <f>IF('Entrada e Saida'!$H$11="TRADING",AU133*'Entrada e Saida'!$G$64,0)</f>
        <v>#DIV/0!</v>
      </c>
      <c r="AT133" s="3" t="e">
        <f>IF('Entrada e Saida'!$H$11="TRADING",AU133*'Entrada e Saida'!$G$65,0)</f>
        <v>#DIV/0!</v>
      </c>
      <c r="AU133" s="4" t="e">
        <f>IF('Entrada e Saida'!$H$11="TRADING",AP133/(1-(SUM('Entrada e Saida'!$G$63:$G$65)+'Custo Resumido'!D133)),0)</f>
        <v>#DIV/0!</v>
      </c>
      <c r="AV133" s="3" t="e">
        <f>IF('Entrada e Saida'!$H$13="NÃO",AU133*M133,0)</f>
        <v>#DIV/0!</v>
      </c>
      <c r="AW133" s="4" t="e">
        <f t="shared" si="70"/>
        <v>#DIV/0!</v>
      </c>
      <c r="AX133" s="3" t="e">
        <f>'Entrada e Saida'!$G$74*AU133</f>
        <v>#DIV/0!</v>
      </c>
      <c r="AY133" s="4" t="e">
        <f t="shared" si="71"/>
        <v>#DIV/0!</v>
      </c>
      <c r="AZ133" s="4" t="e">
        <f>AQ133+('Entrada e Saida'!$G$65-'Entrada e Saida'!$I$65)*AU133-AX133</f>
        <v>#DIV/0!</v>
      </c>
      <c r="BA133" s="3" t="e">
        <f>IF('Entrada e Saida'!$H$12="REAL",AZ133*'Entrada e Saida'!$G$81,AU133*'Entrada e Saida'!$G$81)</f>
        <v>#DIV/0!</v>
      </c>
      <c r="BB133" s="3" t="e">
        <f>IF('Entrada e Saida'!$H$12="REAL",AZ133*'Entrada e Saida'!$G$82,AU133*'Entrada e Saida'!$G$82)</f>
        <v>#DIV/0!</v>
      </c>
      <c r="BC133" s="4" t="e">
        <f t="shared" si="72"/>
        <v>#DIV/0!</v>
      </c>
      <c r="BD133" s="3" t="e">
        <f>IF('Entrada e Saida'!$H$11="TRADING",AW133/D133,AK133/D133)</f>
        <v>#DIV/0!</v>
      </c>
      <c r="BE133" s="3" t="e">
        <f t="shared" si="73"/>
        <v>#DIV/0!</v>
      </c>
      <c r="BF133" s="2" t="e">
        <f t="shared" si="74"/>
        <v>#DIV/0!</v>
      </c>
      <c r="BG133" s="3" t="e">
        <f>IF('Entrada e Saida'!$H$11="TRADING",AV133/D133,AN133/D133)</f>
        <v>#DIV/0!</v>
      </c>
      <c r="BH133" s="3" t="e">
        <f>IF('Entrada e Saida'!$H$11="TRADING",IF('Entrada e Saida'!$H$12="REAL",AR133/D133,0),AL133/D133)</f>
        <v>#DIV/0!</v>
      </c>
      <c r="BI133" s="3" t="e">
        <f>IF('Entrada e Saida'!$H$11="TRADING",IF('Entrada e Saida'!$H$12="REAL",AS133/D133,0),AM133/D133)</f>
        <v>#DIV/0!</v>
      </c>
      <c r="BJ133" s="3" t="e">
        <f>IF('Entrada e Saida'!$H$11="TRADING",AT133/D133,AO133/D133)</f>
        <v>#DIV/0!</v>
      </c>
      <c r="BK133" s="2" t="e">
        <f t="shared" si="75"/>
        <v>#DIV/0!</v>
      </c>
      <c r="BL133" s="2">
        <f>IF(O133&gt;0,IFERROR(IF('Entrada e Saida'!$H$11="DIRETA",0,(IF('Entrada e Saida'!$H$14="P.JURIDICA",(BD133*(1+O133)*N133)-((BD133/(1+M133))*'Entrada e Saida'!$G$65),((Produtos!N133-'Entrada e Saida'!$G$65)*Produtos!BD133)))),0),0)</f>
        <v>0</v>
      </c>
      <c r="BM133" s="2" t="e">
        <f t="shared" si="76"/>
        <v>#DIV/0!</v>
      </c>
    </row>
    <row r="134" spans="1:65" s="1" customFormat="1">
      <c r="A134" s="127"/>
      <c r="B134" s="114"/>
      <c r="C134" s="116"/>
      <c r="D134" s="146"/>
      <c r="E134" s="115">
        <f>IFERROR(VLOOKUP(A134,'Master Modelo'!A:I,9,FALSE),0)</f>
        <v>0</v>
      </c>
      <c r="F134" s="189">
        <f>IFERROR(VLOOKUP(A134,'Master Modelo'!A:I,8,FALSE),0)</f>
        <v>0</v>
      </c>
      <c r="G134" s="189">
        <f>IFERROR(VLOOKUP(A134,'Master Modelo'!A:K,11,FALSE),0)</f>
        <v>0</v>
      </c>
      <c r="H134" s="114" t="e">
        <f t="shared" si="59"/>
        <v>#DIV/0!</v>
      </c>
      <c r="I134" s="150">
        <f>IFERROR(VLOOKUP(A134,'Master Modelo'!A:I,3,FALSE),0)</f>
        <v>0</v>
      </c>
      <c r="J134" s="151">
        <f>IFERROR(VLOOKUP(A134,'Master Modelo'!A:I,5,FALSE),0)</f>
        <v>0</v>
      </c>
      <c r="K134" s="151">
        <f>IFERROR(VLOOKUP(A134,'Master Modelo'!A:I,6,FALSE),0)</f>
        <v>0</v>
      </c>
      <c r="L134" s="152" t="e">
        <f>VLOOKUP(A134,'Master Modelo'!A:J,10,FALSE)</f>
        <v>#N/A</v>
      </c>
      <c r="M134" s="150">
        <f>IFERROR(VLOOKUP(A134,'Master Modelo'!A:I,4,FALSE),0)</f>
        <v>0</v>
      </c>
      <c r="N134" s="128"/>
      <c r="O134" s="129"/>
      <c r="P134" s="9">
        <f t="shared" si="60"/>
        <v>0</v>
      </c>
      <c r="Q134" s="177">
        <f t="shared" si="77"/>
        <v>0</v>
      </c>
      <c r="R134" s="3">
        <f>D134*E134*'Entrada e Saida'!$K$8</f>
        <v>0</v>
      </c>
      <c r="S134" s="179" t="e">
        <f>'Entrada e Saida'!$H$21*'Entrada e Saida'!$K$8*(P134/(SUM(P:P)))</f>
        <v>#DIV/0!</v>
      </c>
      <c r="T134" s="179" t="e">
        <f>'Entrada e Saida'!$H$21*'Entrada e Saida'!$K$8*(Q134/(SUM(Q:Q)))</f>
        <v>#DIV/0!</v>
      </c>
      <c r="U134" s="179" t="e">
        <f>'Entrada e Saida'!$H$22*(P134/(SUM(P:P)))</f>
        <v>#DIV/0!</v>
      </c>
      <c r="V134" s="179" t="e">
        <f>'Entrada e Saida'!$H$22*(Q134/(SUM(Q:Q)))</f>
        <v>#DIV/0!</v>
      </c>
      <c r="W134" s="8" t="e">
        <f t="shared" si="61"/>
        <v>#DIV/0!</v>
      </c>
      <c r="X134" s="179" t="e">
        <f>'Entrada e Saida'!$H$26*(IF('Entrada e Saida'!$H$15="PESO",(P134/(SUM(P:P))),(Q134/(SUM(Q:Q)))))</f>
        <v>#DIV/0!</v>
      </c>
      <c r="Y134" s="179" t="e">
        <f>'Entrada e Saida'!$H$27*(IF('Entrada e Saida'!$H$15="PESO",(P134/(SUM(P:P))),(Q134/(SUM(Q:Q)))))</f>
        <v>#DIV/0!</v>
      </c>
      <c r="Z134" s="179" t="e">
        <f>'Entrada e Saida'!$H$28*(IF('Entrada e Saida'!$H$15="PESO",(P134/(SUM(P:P))),(Q134/(SUM(Q:Q)))))</f>
        <v>#DIV/0!</v>
      </c>
      <c r="AA134" s="10" t="e">
        <f t="shared" si="62"/>
        <v>#DIV/0!</v>
      </c>
      <c r="AB134" s="3" t="e">
        <f t="shared" si="63"/>
        <v>#DIV/0!</v>
      </c>
      <c r="AC134" s="3" t="e">
        <f t="shared" si="64"/>
        <v>#DIV/0!</v>
      </c>
      <c r="AD134" s="3" t="e">
        <f t="shared" si="65"/>
        <v>#DIV/0!</v>
      </c>
      <c r="AE134" s="9" t="e">
        <f t="shared" si="66"/>
        <v>#DIV/0!</v>
      </c>
      <c r="AF134" s="126">
        <f>IFERROR(D134*F134*L134*'Entrada e Saida'!$K$8,0)</f>
        <v>0</v>
      </c>
      <c r="AG134" s="3" t="e">
        <f>((W134+AA134+AB134+AC134+AD134+AE134+AF134)/(1-'Entrada e Saida'!$G$65))*'Entrada e Saida'!$I$66</f>
        <v>#DIV/0!</v>
      </c>
      <c r="AH134" s="8" t="e">
        <f t="shared" si="67"/>
        <v>#DIV/0!</v>
      </c>
      <c r="AI134" s="183" t="e">
        <f>'Entrada e Saida'!$K$51*(IF('Entrada e Saida'!$H$15="PESO",(P134/(SUM(P:P))),(Q134/(SUM(Q:Q)))))</f>
        <v>#DIV/0!</v>
      </c>
      <c r="AJ134" s="7">
        <f>(('Entrada e Saida'!$K$10-'Entrada e Saida'!$K$8)*E134*D134)</f>
        <v>0</v>
      </c>
      <c r="AK134" s="184" t="e">
        <f>IF('Entrada e Saida'!$H$15="PESO",W134+AA134+AH134+AI134+AJ134,W134+AA134+AH134+AI134+AJ134-S134+T134-U134+V134)</f>
        <v>#DIV/0!</v>
      </c>
      <c r="AL134" s="6" t="e">
        <f>IF('Entrada e Saida'!$H$12="REAL",AC134,0)</f>
        <v>#DIV/0!</v>
      </c>
      <c r="AM134" s="6" t="e">
        <f>IF('Entrada e Saida'!$H$12="REAL",AD134,0)</f>
        <v>#DIV/0!</v>
      </c>
      <c r="AN134" s="5" t="e">
        <f>IF('Entrada e Saida'!$H$13= "NÃO",AE134,0)</f>
        <v>#DIV/0!</v>
      </c>
      <c r="AO134" s="5" t="e">
        <f t="shared" si="68"/>
        <v>#DIV/0!</v>
      </c>
      <c r="AP134" s="4" t="e">
        <f t="shared" si="69"/>
        <v>#DIV/0!</v>
      </c>
      <c r="AQ134" s="3" t="e">
        <f>IF('Entrada e Saida'!$H$11="TRADING",AU134*'Custo Resumido'!D134,0)</f>
        <v>#DIV/0!</v>
      </c>
      <c r="AR134" s="3" t="e">
        <f>IF('Entrada e Saida'!$H$11="TRADING",AU134*'Entrada e Saida'!$G$63,0)</f>
        <v>#DIV/0!</v>
      </c>
      <c r="AS134" s="3" t="e">
        <f>IF('Entrada e Saida'!$H$11="TRADING",AU134*'Entrada e Saida'!$G$64,0)</f>
        <v>#DIV/0!</v>
      </c>
      <c r="AT134" s="3" t="e">
        <f>IF('Entrada e Saida'!$H$11="TRADING",AU134*'Entrada e Saida'!$G$65,0)</f>
        <v>#DIV/0!</v>
      </c>
      <c r="AU134" s="4" t="e">
        <f>IF('Entrada e Saida'!$H$11="TRADING",AP134/(1-(SUM('Entrada e Saida'!$G$63:$G$65)+'Custo Resumido'!D134)),0)</f>
        <v>#DIV/0!</v>
      </c>
      <c r="AV134" s="3" t="e">
        <f>IF('Entrada e Saida'!$H$13="NÃO",AU134*M134,0)</f>
        <v>#DIV/0!</v>
      </c>
      <c r="AW134" s="4" t="e">
        <f t="shared" si="70"/>
        <v>#DIV/0!</v>
      </c>
      <c r="AX134" s="3" t="e">
        <f>'Entrada e Saida'!$G$74*AU134</f>
        <v>#DIV/0!</v>
      </c>
      <c r="AY134" s="4" t="e">
        <f t="shared" si="71"/>
        <v>#DIV/0!</v>
      </c>
      <c r="AZ134" s="4" t="e">
        <f>AQ134+('Entrada e Saida'!$G$65-'Entrada e Saida'!$I$65)*AU134-AX134</f>
        <v>#DIV/0!</v>
      </c>
      <c r="BA134" s="3" t="e">
        <f>IF('Entrada e Saida'!$H$12="REAL",AZ134*'Entrada e Saida'!$G$81,AU134*'Entrada e Saida'!$G$81)</f>
        <v>#DIV/0!</v>
      </c>
      <c r="BB134" s="3" t="e">
        <f>IF('Entrada e Saida'!$H$12="REAL",AZ134*'Entrada e Saida'!$G$82,AU134*'Entrada e Saida'!$G$82)</f>
        <v>#DIV/0!</v>
      </c>
      <c r="BC134" s="4" t="e">
        <f t="shared" si="72"/>
        <v>#DIV/0!</v>
      </c>
      <c r="BD134" s="3" t="e">
        <f>IF('Entrada e Saida'!$H$11="TRADING",AW134/D134,AK134/D134)</f>
        <v>#DIV/0!</v>
      </c>
      <c r="BE134" s="3" t="e">
        <f t="shared" si="73"/>
        <v>#DIV/0!</v>
      </c>
      <c r="BF134" s="2" t="e">
        <f t="shared" si="74"/>
        <v>#DIV/0!</v>
      </c>
      <c r="BG134" s="3" t="e">
        <f>IF('Entrada e Saida'!$H$11="TRADING",AV134/D134,AN134/D134)</f>
        <v>#DIV/0!</v>
      </c>
      <c r="BH134" s="3" t="e">
        <f>IF('Entrada e Saida'!$H$11="TRADING",IF('Entrada e Saida'!$H$12="REAL",AR134/D134,0),AL134/D134)</f>
        <v>#DIV/0!</v>
      </c>
      <c r="BI134" s="3" t="e">
        <f>IF('Entrada e Saida'!$H$11="TRADING",IF('Entrada e Saida'!$H$12="REAL",AS134/D134,0),AM134/D134)</f>
        <v>#DIV/0!</v>
      </c>
      <c r="BJ134" s="3" t="e">
        <f>IF('Entrada e Saida'!$H$11="TRADING",AT134/D134,AO134/D134)</f>
        <v>#DIV/0!</v>
      </c>
      <c r="BK134" s="2" t="e">
        <f t="shared" si="75"/>
        <v>#DIV/0!</v>
      </c>
      <c r="BL134" s="2">
        <f>IF(O134&gt;0,IFERROR(IF('Entrada e Saida'!$H$11="DIRETA",0,(IF('Entrada e Saida'!$H$14="P.JURIDICA",(BD134*(1+O134)*N134)-((BD134/(1+M134))*'Entrada e Saida'!$G$65),((Produtos!N134-'Entrada e Saida'!$G$65)*Produtos!BD134)))),0),0)</f>
        <v>0</v>
      </c>
      <c r="BM134" s="2" t="e">
        <f t="shared" si="76"/>
        <v>#DIV/0!</v>
      </c>
    </row>
    <row r="135" spans="1:65" s="1" customFormat="1">
      <c r="A135" s="127"/>
      <c r="B135" s="114"/>
      <c r="C135" s="116"/>
      <c r="D135" s="146"/>
      <c r="E135" s="115">
        <f>IFERROR(VLOOKUP(A135,'Master Modelo'!A:I,9,FALSE),0)</f>
        <v>0</v>
      </c>
      <c r="F135" s="189">
        <f>IFERROR(VLOOKUP(A135,'Master Modelo'!A:I,8,FALSE),0)</f>
        <v>0</v>
      </c>
      <c r="G135" s="189">
        <f>IFERROR(VLOOKUP(A135,'Master Modelo'!A:K,11,FALSE),0)</f>
        <v>0</v>
      </c>
      <c r="H135" s="114" t="e">
        <f t="shared" si="59"/>
        <v>#DIV/0!</v>
      </c>
      <c r="I135" s="150">
        <f>IFERROR(VLOOKUP(A135,'Master Modelo'!A:I,3,FALSE),0)</f>
        <v>0</v>
      </c>
      <c r="J135" s="151">
        <f>IFERROR(VLOOKUP(A135,'Master Modelo'!A:I,5,FALSE),0)</f>
        <v>0</v>
      </c>
      <c r="K135" s="151">
        <f>IFERROR(VLOOKUP(A135,'Master Modelo'!A:I,6,FALSE),0)</f>
        <v>0</v>
      </c>
      <c r="L135" s="152" t="e">
        <f>VLOOKUP(A135,'Master Modelo'!A:J,10,FALSE)</f>
        <v>#N/A</v>
      </c>
      <c r="M135" s="150">
        <f>IFERROR(VLOOKUP(A135,'Master Modelo'!A:I,4,FALSE),0)</f>
        <v>0</v>
      </c>
      <c r="N135" s="128"/>
      <c r="O135" s="129"/>
      <c r="P135" s="9">
        <f t="shared" si="60"/>
        <v>0</v>
      </c>
      <c r="Q135" s="177">
        <f t="shared" si="77"/>
        <v>0</v>
      </c>
      <c r="R135" s="3">
        <f>D135*E135*'Entrada e Saida'!$K$8</f>
        <v>0</v>
      </c>
      <c r="S135" s="179" t="e">
        <f>'Entrada e Saida'!$H$21*'Entrada e Saida'!$K$8*(P135/(SUM(P:P)))</f>
        <v>#DIV/0!</v>
      </c>
      <c r="T135" s="179" t="e">
        <f>'Entrada e Saida'!$H$21*'Entrada e Saida'!$K$8*(Q135/(SUM(Q:Q)))</f>
        <v>#DIV/0!</v>
      </c>
      <c r="U135" s="179" t="e">
        <f>'Entrada e Saida'!$H$22*(P135/(SUM(P:P)))</f>
        <v>#DIV/0!</v>
      </c>
      <c r="V135" s="179" t="e">
        <f>'Entrada e Saida'!$H$22*(Q135/(SUM(Q:Q)))</f>
        <v>#DIV/0!</v>
      </c>
      <c r="W135" s="8" t="e">
        <f t="shared" si="61"/>
        <v>#DIV/0!</v>
      </c>
      <c r="X135" s="179" t="e">
        <f>'Entrada e Saida'!$H$26*(IF('Entrada e Saida'!$H$15="PESO",(P135/(SUM(P:P))),(Q135/(SUM(Q:Q)))))</f>
        <v>#DIV/0!</v>
      </c>
      <c r="Y135" s="179" t="e">
        <f>'Entrada e Saida'!$H$27*(IF('Entrada e Saida'!$H$15="PESO",(P135/(SUM(P:P))),(Q135/(SUM(Q:Q)))))</f>
        <v>#DIV/0!</v>
      </c>
      <c r="Z135" s="179" t="e">
        <f>'Entrada e Saida'!$H$28*(IF('Entrada e Saida'!$H$15="PESO",(P135/(SUM(P:P))),(Q135/(SUM(Q:Q)))))</f>
        <v>#DIV/0!</v>
      </c>
      <c r="AA135" s="10" t="e">
        <f t="shared" si="62"/>
        <v>#DIV/0!</v>
      </c>
      <c r="AB135" s="3" t="e">
        <f t="shared" si="63"/>
        <v>#DIV/0!</v>
      </c>
      <c r="AC135" s="3" t="e">
        <f t="shared" si="64"/>
        <v>#DIV/0!</v>
      </c>
      <c r="AD135" s="3" t="e">
        <f t="shared" si="65"/>
        <v>#DIV/0!</v>
      </c>
      <c r="AE135" s="9" t="e">
        <f t="shared" si="66"/>
        <v>#DIV/0!</v>
      </c>
      <c r="AF135" s="126">
        <f>IFERROR(D135*F135*L135*'Entrada e Saida'!$K$8,0)</f>
        <v>0</v>
      </c>
      <c r="AG135" s="3" t="e">
        <f>((W135+AA135+AB135+AC135+AD135+AE135+AF135)/(1-'Entrada e Saida'!$G$65))*'Entrada e Saida'!$I$66</f>
        <v>#DIV/0!</v>
      </c>
      <c r="AH135" s="8" t="e">
        <f t="shared" si="67"/>
        <v>#DIV/0!</v>
      </c>
      <c r="AI135" s="183" t="e">
        <f>'Entrada e Saida'!$K$51*(IF('Entrada e Saida'!$H$15="PESO",(P135/(SUM(P:P))),(Q135/(SUM(Q:Q)))))</f>
        <v>#DIV/0!</v>
      </c>
      <c r="AJ135" s="7">
        <f>(('Entrada e Saida'!$K$10-'Entrada e Saida'!$K$8)*E135*D135)</f>
        <v>0</v>
      </c>
      <c r="AK135" s="184" t="e">
        <f>IF('Entrada e Saida'!$H$15="PESO",W135+AA135+AH135+AI135+AJ135,W135+AA135+AH135+AI135+AJ135-S135+T135-U135+V135)</f>
        <v>#DIV/0!</v>
      </c>
      <c r="AL135" s="6" t="e">
        <f>IF('Entrada e Saida'!$H$12="REAL",AC135,0)</f>
        <v>#DIV/0!</v>
      </c>
      <c r="AM135" s="6" t="e">
        <f>IF('Entrada e Saida'!$H$12="REAL",AD135,0)</f>
        <v>#DIV/0!</v>
      </c>
      <c r="AN135" s="5" t="e">
        <f>IF('Entrada e Saida'!$H$13= "NÃO",AE135,0)</f>
        <v>#DIV/0!</v>
      </c>
      <c r="AO135" s="5" t="e">
        <f t="shared" si="68"/>
        <v>#DIV/0!</v>
      </c>
      <c r="AP135" s="4" t="e">
        <f t="shared" si="69"/>
        <v>#DIV/0!</v>
      </c>
      <c r="AQ135" s="3" t="e">
        <f>IF('Entrada e Saida'!$H$11="TRADING",AU135*'Custo Resumido'!D135,0)</f>
        <v>#DIV/0!</v>
      </c>
      <c r="AR135" s="3" t="e">
        <f>IF('Entrada e Saida'!$H$11="TRADING",AU135*'Entrada e Saida'!$G$63,0)</f>
        <v>#DIV/0!</v>
      </c>
      <c r="AS135" s="3" t="e">
        <f>IF('Entrada e Saida'!$H$11="TRADING",AU135*'Entrada e Saida'!$G$64,0)</f>
        <v>#DIV/0!</v>
      </c>
      <c r="AT135" s="3" t="e">
        <f>IF('Entrada e Saida'!$H$11="TRADING",AU135*'Entrada e Saida'!$G$65,0)</f>
        <v>#DIV/0!</v>
      </c>
      <c r="AU135" s="4" t="e">
        <f>IF('Entrada e Saida'!$H$11="TRADING",AP135/(1-(SUM('Entrada e Saida'!$G$63:$G$65)+'Custo Resumido'!D135)),0)</f>
        <v>#DIV/0!</v>
      </c>
      <c r="AV135" s="3" t="e">
        <f>IF('Entrada e Saida'!$H$13="NÃO",AU135*M135,0)</f>
        <v>#DIV/0!</v>
      </c>
      <c r="AW135" s="4" t="e">
        <f t="shared" si="70"/>
        <v>#DIV/0!</v>
      </c>
      <c r="AX135" s="3" t="e">
        <f>'Entrada e Saida'!$G$74*AU135</f>
        <v>#DIV/0!</v>
      </c>
      <c r="AY135" s="4" t="e">
        <f t="shared" si="71"/>
        <v>#DIV/0!</v>
      </c>
      <c r="AZ135" s="4" t="e">
        <f>AQ135+('Entrada e Saida'!$G$65-'Entrada e Saida'!$I$65)*AU135-AX135</f>
        <v>#DIV/0!</v>
      </c>
      <c r="BA135" s="3" t="e">
        <f>IF('Entrada e Saida'!$H$12="REAL",AZ135*'Entrada e Saida'!$G$81,AU135*'Entrada e Saida'!$G$81)</f>
        <v>#DIV/0!</v>
      </c>
      <c r="BB135" s="3" t="e">
        <f>IF('Entrada e Saida'!$H$12="REAL",AZ135*'Entrada e Saida'!$G$82,AU135*'Entrada e Saida'!$G$82)</f>
        <v>#DIV/0!</v>
      </c>
      <c r="BC135" s="4" t="e">
        <f t="shared" si="72"/>
        <v>#DIV/0!</v>
      </c>
      <c r="BD135" s="3" t="e">
        <f>IF('Entrada e Saida'!$H$11="TRADING",AW135/D135,AK135/D135)</f>
        <v>#DIV/0!</v>
      </c>
      <c r="BE135" s="3" t="e">
        <f t="shared" si="73"/>
        <v>#DIV/0!</v>
      </c>
      <c r="BF135" s="2" t="e">
        <f t="shared" si="74"/>
        <v>#DIV/0!</v>
      </c>
      <c r="BG135" s="3" t="e">
        <f>IF('Entrada e Saida'!$H$11="TRADING",AV135/D135,AN135/D135)</f>
        <v>#DIV/0!</v>
      </c>
      <c r="BH135" s="3" t="e">
        <f>IF('Entrada e Saida'!$H$11="TRADING",IF('Entrada e Saida'!$H$12="REAL",AR135/D135,0),AL135/D135)</f>
        <v>#DIV/0!</v>
      </c>
      <c r="BI135" s="3" t="e">
        <f>IF('Entrada e Saida'!$H$11="TRADING",IF('Entrada e Saida'!$H$12="REAL",AS135/D135,0),AM135/D135)</f>
        <v>#DIV/0!</v>
      </c>
      <c r="BJ135" s="3" t="e">
        <f>IF('Entrada e Saida'!$H$11="TRADING",AT135/D135,AO135/D135)</f>
        <v>#DIV/0!</v>
      </c>
      <c r="BK135" s="2" t="e">
        <f t="shared" si="75"/>
        <v>#DIV/0!</v>
      </c>
      <c r="BL135" s="2">
        <f>IF(O135&gt;0,IFERROR(IF('Entrada e Saida'!$H$11="DIRETA",0,(IF('Entrada e Saida'!$H$14="P.JURIDICA",(BD135*(1+O135)*N135)-((BD135/(1+M135))*'Entrada e Saida'!$G$65),((Produtos!N135-'Entrada e Saida'!$G$65)*Produtos!BD135)))),0),0)</f>
        <v>0</v>
      </c>
      <c r="BM135" s="2" t="e">
        <f t="shared" si="76"/>
        <v>#DIV/0!</v>
      </c>
    </row>
    <row r="136" spans="1:65" s="1" customFormat="1">
      <c r="A136" s="127"/>
      <c r="B136" s="114"/>
      <c r="C136" s="116"/>
      <c r="D136" s="146"/>
      <c r="E136" s="115">
        <f>IFERROR(VLOOKUP(A136,'Master Modelo'!A:I,9,FALSE),0)</f>
        <v>0</v>
      </c>
      <c r="F136" s="189">
        <f>IFERROR(VLOOKUP(A136,'Master Modelo'!A:I,8,FALSE),0)</f>
        <v>0</v>
      </c>
      <c r="G136" s="189">
        <f>IFERROR(VLOOKUP(A136,'Master Modelo'!A:K,11,FALSE),0)</f>
        <v>0</v>
      </c>
      <c r="H136" s="114" t="e">
        <f t="shared" si="59"/>
        <v>#DIV/0!</v>
      </c>
      <c r="I136" s="150">
        <f>IFERROR(VLOOKUP(A136,'Master Modelo'!A:I,3,FALSE),0)</f>
        <v>0</v>
      </c>
      <c r="J136" s="151">
        <f>IFERROR(VLOOKUP(A136,'Master Modelo'!A:I,5,FALSE),0)</f>
        <v>0</v>
      </c>
      <c r="K136" s="151">
        <f>IFERROR(VLOOKUP(A136,'Master Modelo'!A:I,6,FALSE),0)</f>
        <v>0</v>
      </c>
      <c r="L136" s="152" t="e">
        <f>VLOOKUP(A136,'Master Modelo'!A:J,10,FALSE)</f>
        <v>#N/A</v>
      </c>
      <c r="M136" s="150">
        <f>IFERROR(VLOOKUP(A136,'Master Modelo'!A:I,4,FALSE),0)</f>
        <v>0</v>
      </c>
      <c r="N136" s="128"/>
      <c r="O136" s="129"/>
      <c r="P136" s="9">
        <f t="shared" si="60"/>
        <v>0</v>
      </c>
      <c r="Q136" s="177">
        <f t="shared" si="77"/>
        <v>0</v>
      </c>
      <c r="R136" s="3">
        <f>D136*E136*'Entrada e Saida'!$K$8</f>
        <v>0</v>
      </c>
      <c r="S136" s="179" t="e">
        <f>'Entrada e Saida'!$H$21*'Entrada e Saida'!$K$8*(P136/(SUM(P:P)))</f>
        <v>#DIV/0!</v>
      </c>
      <c r="T136" s="179" t="e">
        <f>'Entrada e Saida'!$H$21*'Entrada e Saida'!$K$8*(Q136/(SUM(Q:Q)))</f>
        <v>#DIV/0!</v>
      </c>
      <c r="U136" s="179" t="e">
        <f>'Entrada e Saida'!$H$22*(P136/(SUM(P:P)))</f>
        <v>#DIV/0!</v>
      </c>
      <c r="V136" s="179" t="e">
        <f>'Entrada e Saida'!$H$22*(Q136/(SUM(Q:Q)))</f>
        <v>#DIV/0!</v>
      </c>
      <c r="W136" s="8" t="e">
        <f t="shared" si="61"/>
        <v>#DIV/0!</v>
      </c>
      <c r="X136" s="179" t="e">
        <f>'Entrada e Saida'!$H$26*(IF('Entrada e Saida'!$H$15="PESO",(P136/(SUM(P:P))),(Q136/(SUM(Q:Q)))))</f>
        <v>#DIV/0!</v>
      </c>
      <c r="Y136" s="179" t="e">
        <f>'Entrada e Saida'!$H$27*(IF('Entrada e Saida'!$H$15="PESO",(P136/(SUM(P:P))),(Q136/(SUM(Q:Q)))))</f>
        <v>#DIV/0!</v>
      </c>
      <c r="Z136" s="179" t="e">
        <f>'Entrada e Saida'!$H$28*(IF('Entrada e Saida'!$H$15="PESO",(P136/(SUM(P:P))),(Q136/(SUM(Q:Q)))))</f>
        <v>#DIV/0!</v>
      </c>
      <c r="AA136" s="10" t="e">
        <f t="shared" si="62"/>
        <v>#DIV/0!</v>
      </c>
      <c r="AB136" s="3" t="e">
        <f t="shared" si="63"/>
        <v>#DIV/0!</v>
      </c>
      <c r="AC136" s="3" t="e">
        <f t="shared" si="64"/>
        <v>#DIV/0!</v>
      </c>
      <c r="AD136" s="3" t="e">
        <f t="shared" si="65"/>
        <v>#DIV/0!</v>
      </c>
      <c r="AE136" s="9" t="e">
        <f t="shared" si="66"/>
        <v>#DIV/0!</v>
      </c>
      <c r="AF136" s="126">
        <f>IFERROR(D136*F136*L136*'Entrada e Saida'!$K$8,0)</f>
        <v>0</v>
      </c>
      <c r="AG136" s="3" t="e">
        <f>((W136+AA136+AB136+AC136+AD136+AE136+AF136)/(1-'Entrada e Saida'!$G$65))*'Entrada e Saida'!$I$66</f>
        <v>#DIV/0!</v>
      </c>
      <c r="AH136" s="8" t="e">
        <f t="shared" si="67"/>
        <v>#DIV/0!</v>
      </c>
      <c r="AI136" s="183" t="e">
        <f>'Entrada e Saida'!$K$51*(IF('Entrada e Saida'!$H$15="PESO",(P136/(SUM(P:P))),(Q136/(SUM(Q:Q)))))</f>
        <v>#DIV/0!</v>
      </c>
      <c r="AJ136" s="7">
        <f>(('Entrada e Saida'!$K$10-'Entrada e Saida'!$K$8)*E136*D136)</f>
        <v>0</v>
      </c>
      <c r="AK136" s="184" t="e">
        <f>IF('Entrada e Saida'!$H$15="PESO",W136+AA136+AH136+AI136+AJ136,W136+AA136+AH136+AI136+AJ136-S136+T136-U136+V136)</f>
        <v>#DIV/0!</v>
      </c>
      <c r="AL136" s="6" t="e">
        <f>IF('Entrada e Saida'!$H$12="REAL",AC136,0)</f>
        <v>#DIV/0!</v>
      </c>
      <c r="AM136" s="6" t="e">
        <f>IF('Entrada e Saida'!$H$12="REAL",AD136,0)</f>
        <v>#DIV/0!</v>
      </c>
      <c r="AN136" s="5" t="e">
        <f>IF('Entrada e Saida'!$H$13= "NÃO",AE136,0)</f>
        <v>#DIV/0!</v>
      </c>
      <c r="AO136" s="5" t="e">
        <f t="shared" si="68"/>
        <v>#DIV/0!</v>
      </c>
      <c r="AP136" s="4" t="e">
        <f t="shared" si="69"/>
        <v>#DIV/0!</v>
      </c>
      <c r="AQ136" s="3" t="e">
        <f>IF('Entrada e Saida'!$H$11="TRADING",AU136*'Custo Resumido'!D136,0)</f>
        <v>#DIV/0!</v>
      </c>
      <c r="AR136" s="3" t="e">
        <f>IF('Entrada e Saida'!$H$11="TRADING",AU136*'Entrada e Saida'!$G$63,0)</f>
        <v>#DIV/0!</v>
      </c>
      <c r="AS136" s="3" t="e">
        <f>IF('Entrada e Saida'!$H$11="TRADING",AU136*'Entrada e Saida'!$G$64,0)</f>
        <v>#DIV/0!</v>
      </c>
      <c r="AT136" s="3" t="e">
        <f>IF('Entrada e Saida'!$H$11="TRADING",AU136*'Entrada e Saida'!$G$65,0)</f>
        <v>#DIV/0!</v>
      </c>
      <c r="AU136" s="4" t="e">
        <f>IF('Entrada e Saida'!$H$11="TRADING",AP136/(1-(SUM('Entrada e Saida'!$G$63:$G$65)+'Custo Resumido'!D136)),0)</f>
        <v>#DIV/0!</v>
      </c>
      <c r="AV136" s="3" t="e">
        <f>IF('Entrada e Saida'!$H$13="NÃO",AU136*M136,0)</f>
        <v>#DIV/0!</v>
      </c>
      <c r="AW136" s="4" t="e">
        <f t="shared" si="70"/>
        <v>#DIV/0!</v>
      </c>
      <c r="AX136" s="3" t="e">
        <f>'Entrada e Saida'!$G$74*AU136</f>
        <v>#DIV/0!</v>
      </c>
      <c r="AY136" s="4" t="e">
        <f t="shared" si="71"/>
        <v>#DIV/0!</v>
      </c>
      <c r="AZ136" s="4" t="e">
        <f>AQ136+('Entrada e Saida'!$G$65-'Entrada e Saida'!$I$65)*AU136-AX136</f>
        <v>#DIV/0!</v>
      </c>
      <c r="BA136" s="3" t="e">
        <f>IF('Entrada e Saida'!$H$12="REAL",AZ136*'Entrada e Saida'!$G$81,AU136*'Entrada e Saida'!$G$81)</f>
        <v>#DIV/0!</v>
      </c>
      <c r="BB136" s="3" t="e">
        <f>IF('Entrada e Saida'!$H$12="REAL",AZ136*'Entrada e Saida'!$G$82,AU136*'Entrada e Saida'!$G$82)</f>
        <v>#DIV/0!</v>
      </c>
      <c r="BC136" s="4" t="e">
        <f t="shared" si="72"/>
        <v>#DIV/0!</v>
      </c>
      <c r="BD136" s="3" t="e">
        <f>IF('Entrada e Saida'!$H$11="TRADING",AW136/D136,AK136/D136)</f>
        <v>#DIV/0!</v>
      </c>
      <c r="BE136" s="3" t="e">
        <f t="shared" si="73"/>
        <v>#DIV/0!</v>
      </c>
      <c r="BF136" s="2" t="e">
        <f t="shared" si="74"/>
        <v>#DIV/0!</v>
      </c>
      <c r="BG136" s="3" t="e">
        <f>IF('Entrada e Saida'!$H$11="TRADING",AV136/D136,AN136/D136)</f>
        <v>#DIV/0!</v>
      </c>
      <c r="BH136" s="3" t="e">
        <f>IF('Entrada e Saida'!$H$11="TRADING",IF('Entrada e Saida'!$H$12="REAL",AR136/D136,0),AL136/D136)</f>
        <v>#DIV/0!</v>
      </c>
      <c r="BI136" s="3" t="e">
        <f>IF('Entrada e Saida'!$H$11="TRADING",IF('Entrada e Saida'!$H$12="REAL",AS136/D136,0),AM136/D136)</f>
        <v>#DIV/0!</v>
      </c>
      <c r="BJ136" s="3" t="e">
        <f>IF('Entrada e Saida'!$H$11="TRADING",AT136/D136,AO136/D136)</f>
        <v>#DIV/0!</v>
      </c>
      <c r="BK136" s="2" t="e">
        <f t="shared" si="75"/>
        <v>#DIV/0!</v>
      </c>
      <c r="BL136" s="2">
        <f>IF(O136&gt;0,IFERROR(IF('Entrada e Saida'!$H$11="DIRETA",0,(IF('Entrada e Saida'!$H$14="P.JURIDICA",(BD136*(1+O136)*N136)-((BD136/(1+M136))*'Entrada e Saida'!$G$65),((Produtos!N136-'Entrada e Saida'!$G$65)*Produtos!BD136)))),0),0)</f>
        <v>0</v>
      </c>
      <c r="BM136" s="2" t="e">
        <f t="shared" si="76"/>
        <v>#DIV/0!</v>
      </c>
    </row>
    <row r="137" spans="1:65" s="1" customFormat="1">
      <c r="A137" s="127"/>
      <c r="B137" s="114"/>
      <c r="C137" s="116"/>
      <c r="D137" s="146"/>
      <c r="E137" s="115">
        <f>IFERROR(VLOOKUP(A137,'Master Modelo'!A:I,9,FALSE),0)</f>
        <v>0</v>
      </c>
      <c r="F137" s="189">
        <f>IFERROR(VLOOKUP(A137,'Master Modelo'!A:I,8,FALSE),0)</f>
        <v>0</v>
      </c>
      <c r="G137" s="189">
        <f>IFERROR(VLOOKUP(A137,'Master Modelo'!A:K,11,FALSE),0)</f>
        <v>0</v>
      </c>
      <c r="H137" s="114" t="e">
        <f t="shared" si="59"/>
        <v>#DIV/0!</v>
      </c>
      <c r="I137" s="150">
        <f>IFERROR(VLOOKUP(A137,'Master Modelo'!A:I,3,FALSE),0)</f>
        <v>0</v>
      </c>
      <c r="J137" s="151">
        <f>IFERROR(VLOOKUP(A137,'Master Modelo'!A:I,5,FALSE),0)</f>
        <v>0</v>
      </c>
      <c r="K137" s="151">
        <f>IFERROR(VLOOKUP(A137,'Master Modelo'!A:I,6,FALSE),0)</f>
        <v>0</v>
      </c>
      <c r="L137" s="152" t="e">
        <f>VLOOKUP(A137,'Master Modelo'!A:J,10,FALSE)</f>
        <v>#N/A</v>
      </c>
      <c r="M137" s="150">
        <f>IFERROR(VLOOKUP(A137,'Master Modelo'!A:I,4,FALSE),0)</f>
        <v>0</v>
      </c>
      <c r="N137" s="128"/>
      <c r="O137" s="129"/>
      <c r="P137" s="9">
        <f t="shared" si="60"/>
        <v>0</v>
      </c>
      <c r="Q137" s="177">
        <f t="shared" si="77"/>
        <v>0</v>
      </c>
      <c r="R137" s="3">
        <f>D137*E137*'Entrada e Saida'!$K$8</f>
        <v>0</v>
      </c>
      <c r="S137" s="179" t="e">
        <f>'Entrada e Saida'!$H$21*'Entrada e Saida'!$K$8*(P137/(SUM(P:P)))</f>
        <v>#DIV/0!</v>
      </c>
      <c r="T137" s="179" t="e">
        <f>'Entrada e Saida'!$H$21*'Entrada e Saida'!$K$8*(Q137/(SUM(Q:Q)))</f>
        <v>#DIV/0!</v>
      </c>
      <c r="U137" s="179" t="e">
        <f>'Entrada e Saida'!$H$22*(P137/(SUM(P:P)))</f>
        <v>#DIV/0!</v>
      </c>
      <c r="V137" s="179" t="e">
        <f>'Entrada e Saida'!$H$22*(Q137/(SUM(Q:Q)))</f>
        <v>#DIV/0!</v>
      </c>
      <c r="W137" s="8" t="e">
        <f t="shared" si="61"/>
        <v>#DIV/0!</v>
      </c>
      <c r="X137" s="179" t="e">
        <f>'Entrada e Saida'!$H$26*(IF('Entrada e Saida'!$H$15="PESO",(P137/(SUM(P:P))),(Q137/(SUM(Q:Q)))))</f>
        <v>#DIV/0!</v>
      </c>
      <c r="Y137" s="179" t="e">
        <f>'Entrada e Saida'!$H$27*(IF('Entrada e Saida'!$H$15="PESO",(P137/(SUM(P:P))),(Q137/(SUM(Q:Q)))))</f>
        <v>#DIV/0!</v>
      </c>
      <c r="Z137" s="179" t="e">
        <f>'Entrada e Saida'!$H$28*(IF('Entrada e Saida'!$H$15="PESO",(P137/(SUM(P:P))),(Q137/(SUM(Q:Q)))))</f>
        <v>#DIV/0!</v>
      </c>
      <c r="AA137" s="10" t="e">
        <f t="shared" si="62"/>
        <v>#DIV/0!</v>
      </c>
      <c r="AB137" s="3" t="e">
        <f t="shared" si="63"/>
        <v>#DIV/0!</v>
      </c>
      <c r="AC137" s="3" t="e">
        <f t="shared" si="64"/>
        <v>#DIV/0!</v>
      </c>
      <c r="AD137" s="3" t="e">
        <f t="shared" si="65"/>
        <v>#DIV/0!</v>
      </c>
      <c r="AE137" s="9" t="e">
        <f t="shared" si="66"/>
        <v>#DIV/0!</v>
      </c>
      <c r="AF137" s="126">
        <f>IFERROR(D137*F137*L137*'Entrada e Saida'!$K$8,0)</f>
        <v>0</v>
      </c>
      <c r="AG137" s="3" t="e">
        <f>((W137+AA137+AB137+AC137+AD137+AE137+AF137)/(1-'Entrada e Saida'!$G$65))*'Entrada e Saida'!$I$66</f>
        <v>#DIV/0!</v>
      </c>
      <c r="AH137" s="8" t="e">
        <f t="shared" si="67"/>
        <v>#DIV/0!</v>
      </c>
      <c r="AI137" s="183" t="e">
        <f>'Entrada e Saida'!$K$51*(IF('Entrada e Saida'!$H$15="PESO",(P137/(SUM(P:P))),(Q137/(SUM(Q:Q)))))</f>
        <v>#DIV/0!</v>
      </c>
      <c r="AJ137" s="7">
        <f>(('Entrada e Saida'!$K$10-'Entrada e Saida'!$K$8)*E137*D137)</f>
        <v>0</v>
      </c>
      <c r="AK137" s="184" t="e">
        <f>IF('Entrada e Saida'!$H$15="PESO",W137+AA137+AH137+AI137+AJ137,W137+AA137+AH137+AI137+AJ137-S137+T137-U137+V137)</f>
        <v>#DIV/0!</v>
      </c>
      <c r="AL137" s="6" t="e">
        <f>IF('Entrada e Saida'!$H$12="REAL",AC137,0)</f>
        <v>#DIV/0!</v>
      </c>
      <c r="AM137" s="6" t="e">
        <f>IF('Entrada e Saida'!$H$12="REAL",AD137,0)</f>
        <v>#DIV/0!</v>
      </c>
      <c r="AN137" s="5" t="e">
        <f>IF('Entrada e Saida'!$H$13= "NÃO",AE137,0)</f>
        <v>#DIV/0!</v>
      </c>
      <c r="AO137" s="5" t="e">
        <f t="shared" si="68"/>
        <v>#DIV/0!</v>
      </c>
      <c r="AP137" s="4" t="e">
        <f t="shared" si="69"/>
        <v>#DIV/0!</v>
      </c>
      <c r="AQ137" s="3" t="e">
        <f>IF('Entrada e Saida'!$H$11="TRADING",AU137*'Custo Resumido'!D137,0)</f>
        <v>#DIV/0!</v>
      </c>
      <c r="AR137" s="3" t="e">
        <f>IF('Entrada e Saida'!$H$11="TRADING",AU137*'Entrada e Saida'!$G$63,0)</f>
        <v>#DIV/0!</v>
      </c>
      <c r="AS137" s="3" t="e">
        <f>IF('Entrada e Saida'!$H$11="TRADING",AU137*'Entrada e Saida'!$G$64,0)</f>
        <v>#DIV/0!</v>
      </c>
      <c r="AT137" s="3" t="e">
        <f>IF('Entrada e Saida'!$H$11="TRADING",AU137*'Entrada e Saida'!$G$65,0)</f>
        <v>#DIV/0!</v>
      </c>
      <c r="AU137" s="4" t="e">
        <f>IF('Entrada e Saida'!$H$11="TRADING",AP137/(1-(SUM('Entrada e Saida'!$G$63:$G$65)+'Custo Resumido'!D137)),0)</f>
        <v>#DIV/0!</v>
      </c>
      <c r="AV137" s="3" t="e">
        <f>IF('Entrada e Saida'!$H$13="NÃO",AU137*M137,0)</f>
        <v>#DIV/0!</v>
      </c>
      <c r="AW137" s="4" t="e">
        <f t="shared" si="70"/>
        <v>#DIV/0!</v>
      </c>
      <c r="AX137" s="3" t="e">
        <f>'Entrada e Saida'!$G$74*AU137</f>
        <v>#DIV/0!</v>
      </c>
      <c r="AY137" s="4" t="e">
        <f t="shared" si="71"/>
        <v>#DIV/0!</v>
      </c>
      <c r="AZ137" s="4" t="e">
        <f>AQ137+('Entrada e Saida'!$G$65-'Entrada e Saida'!$I$65)*AU137-AX137</f>
        <v>#DIV/0!</v>
      </c>
      <c r="BA137" s="3" t="e">
        <f>IF('Entrada e Saida'!$H$12="REAL",AZ137*'Entrada e Saida'!$G$81,AU137*'Entrada e Saida'!$G$81)</f>
        <v>#DIV/0!</v>
      </c>
      <c r="BB137" s="3" t="e">
        <f>IF('Entrada e Saida'!$H$12="REAL",AZ137*'Entrada e Saida'!$G$82,AU137*'Entrada e Saida'!$G$82)</f>
        <v>#DIV/0!</v>
      </c>
      <c r="BC137" s="4" t="e">
        <f t="shared" si="72"/>
        <v>#DIV/0!</v>
      </c>
      <c r="BD137" s="3" t="e">
        <f>IF('Entrada e Saida'!$H$11="TRADING",AW137/D137,AK137/D137)</f>
        <v>#DIV/0!</v>
      </c>
      <c r="BE137" s="3" t="e">
        <f t="shared" si="73"/>
        <v>#DIV/0!</v>
      </c>
      <c r="BF137" s="2" t="e">
        <f t="shared" si="74"/>
        <v>#DIV/0!</v>
      </c>
      <c r="BG137" s="3" t="e">
        <f>IF('Entrada e Saida'!$H$11="TRADING",AV137/D137,AN137/D137)</f>
        <v>#DIV/0!</v>
      </c>
      <c r="BH137" s="3" t="e">
        <f>IF('Entrada e Saida'!$H$11="TRADING",IF('Entrada e Saida'!$H$12="REAL",AR137/D137,0),AL137/D137)</f>
        <v>#DIV/0!</v>
      </c>
      <c r="BI137" s="3" t="e">
        <f>IF('Entrada e Saida'!$H$11="TRADING",IF('Entrada e Saida'!$H$12="REAL",AS137/D137,0),AM137/D137)</f>
        <v>#DIV/0!</v>
      </c>
      <c r="BJ137" s="3" t="e">
        <f>IF('Entrada e Saida'!$H$11="TRADING",AT137/D137,AO137/D137)</f>
        <v>#DIV/0!</v>
      </c>
      <c r="BK137" s="2" t="e">
        <f t="shared" si="75"/>
        <v>#DIV/0!</v>
      </c>
      <c r="BL137" s="2">
        <f>IF(O137&gt;0,IFERROR(IF('Entrada e Saida'!$H$11="DIRETA",0,(IF('Entrada e Saida'!$H$14="P.JURIDICA",(BD137*(1+O137)*N137)-((BD137/(1+M137))*'Entrada e Saida'!$G$65),((Produtos!N137-'Entrada e Saida'!$G$65)*Produtos!BD137)))),0),0)</f>
        <v>0</v>
      </c>
      <c r="BM137" s="2" t="e">
        <f t="shared" si="76"/>
        <v>#DIV/0!</v>
      </c>
    </row>
    <row r="138" spans="1:65" s="1" customFormat="1">
      <c r="A138" s="127"/>
      <c r="B138" s="114"/>
      <c r="C138" s="116"/>
      <c r="D138" s="146"/>
      <c r="E138" s="115">
        <f>IFERROR(VLOOKUP(A138,'Master Modelo'!A:I,9,FALSE),0)</f>
        <v>0</v>
      </c>
      <c r="F138" s="189">
        <f>IFERROR(VLOOKUP(A138,'Master Modelo'!A:I,8,FALSE),0)</f>
        <v>0</v>
      </c>
      <c r="G138" s="189">
        <f>IFERROR(VLOOKUP(A138,'Master Modelo'!A:K,11,FALSE),0)</f>
        <v>0</v>
      </c>
      <c r="H138" s="114" t="e">
        <f t="shared" si="59"/>
        <v>#DIV/0!</v>
      </c>
      <c r="I138" s="150">
        <f>IFERROR(VLOOKUP(A138,'Master Modelo'!A:I,3,FALSE),0)</f>
        <v>0</v>
      </c>
      <c r="J138" s="151">
        <f>IFERROR(VLOOKUP(A138,'Master Modelo'!A:I,5,FALSE),0)</f>
        <v>0</v>
      </c>
      <c r="K138" s="151">
        <f>IFERROR(VLOOKUP(A138,'Master Modelo'!A:I,6,FALSE),0)</f>
        <v>0</v>
      </c>
      <c r="L138" s="152" t="e">
        <f>VLOOKUP(A138,'Master Modelo'!A:J,10,FALSE)</f>
        <v>#N/A</v>
      </c>
      <c r="M138" s="150">
        <f>IFERROR(VLOOKUP(A138,'Master Modelo'!A:I,4,FALSE),0)</f>
        <v>0</v>
      </c>
      <c r="N138" s="128"/>
      <c r="O138" s="129"/>
      <c r="P138" s="9">
        <f t="shared" si="60"/>
        <v>0</v>
      </c>
      <c r="Q138" s="177">
        <f t="shared" si="77"/>
        <v>0</v>
      </c>
      <c r="R138" s="3">
        <f>D138*E138*'Entrada e Saida'!$K$8</f>
        <v>0</v>
      </c>
      <c r="S138" s="179" t="e">
        <f>'Entrada e Saida'!$H$21*'Entrada e Saida'!$K$8*(P138/(SUM(P:P)))</f>
        <v>#DIV/0!</v>
      </c>
      <c r="T138" s="179" t="e">
        <f>'Entrada e Saida'!$H$21*'Entrada e Saida'!$K$8*(Q138/(SUM(Q:Q)))</f>
        <v>#DIV/0!</v>
      </c>
      <c r="U138" s="179" t="e">
        <f>'Entrada e Saida'!$H$22*(P138/(SUM(P:P)))</f>
        <v>#DIV/0!</v>
      </c>
      <c r="V138" s="179" t="e">
        <f>'Entrada e Saida'!$H$22*(Q138/(SUM(Q:Q)))</f>
        <v>#DIV/0!</v>
      </c>
      <c r="W138" s="8" t="e">
        <f t="shared" si="61"/>
        <v>#DIV/0!</v>
      </c>
      <c r="X138" s="179" t="e">
        <f>'Entrada e Saida'!$H$26*(IF('Entrada e Saida'!$H$15="PESO",(P138/(SUM(P:P))),(Q138/(SUM(Q:Q)))))</f>
        <v>#DIV/0!</v>
      </c>
      <c r="Y138" s="179" t="e">
        <f>'Entrada e Saida'!$H$27*(IF('Entrada e Saida'!$H$15="PESO",(P138/(SUM(P:P))),(Q138/(SUM(Q:Q)))))</f>
        <v>#DIV/0!</v>
      </c>
      <c r="Z138" s="179" t="e">
        <f>'Entrada e Saida'!$H$28*(IF('Entrada e Saida'!$H$15="PESO",(P138/(SUM(P:P))),(Q138/(SUM(Q:Q)))))</f>
        <v>#DIV/0!</v>
      </c>
      <c r="AA138" s="10" t="e">
        <f t="shared" si="62"/>
        <v>#DIV/0!</v>
      </c>
      <c r="AB138" s="3" t="e">
        <f t="shared" si="63"/>
        <v>#DIV/0!</v>
      </c>
      <c r="AC138" s="3" t="e">
        <f t="shared" si="64"/>
        <v>#DIV/0!</v>
      </c>
      <c r="AD138" s="3" t="e">
        <f t="shared" si="65"/>
        <v>#DIV/0!</v>
      </c>
      <c r="AE138" s="9" t="e">
        <f t="shared" si="66"/>
        <v>#DIV/0!</v>
      </c>
      <c r="AF138" s="126">
        <f>IFERROR(D138*F138*L138*'Entrada e Saida'!$K$8,0)</f>
        <v>0</v>
      </c>
      <c r="AG138" s="3" t="e">
        <f>((W138+AA138+AB138+AC138+AD138+AE138+AF138)/(1-'Entrada e Saida'!$G$65))*'Entrada e Saida'!$I$66</f>
        <v>#DIV/0!</v>
      </c>
      <c r="AH138" s="8" t="e">
        <f t="shared" si="67"/>
        <v>#DIV/0!</v>
      </c>
      <c r="AI138" s="183" t="e">
        <f>'Entrada e Saida'!$K$51*(IF('Entrada e Saida'!$H$15="PESO",(P138/(SUM(P:P))),(Q138/(SUM(Q:Q)))))</f>
        <v>#DIV/0!</v>
      </c>
      <c r="AJ138" s="7">
        <f>(('Entrada e Saida'!$K$10-'Entrada e Saida'!$K$8)*E138*D138)</f>
        <v>0</v>
      </c>
      <c r="AK138" s="184" t="e">
        <f>IF('Entrada e Saida'!$H$15="PESO",W138+AA138+AH138+AI138+AJ138,W138+AA138+AH138+AI138+AJ138-S138+T138-U138+V138)</f>
        <v>#DIV/0!</v>
      </c>
      <c r="AL138" s="6" t="e">
        <f>IF('Entrada e Saida'!$H$12="REAL",AC138,0)</f>
        <v>#DIV/0!</v>
      </c>
      <c r="AM138" s="6" t="e">
        <f>IF('Entrada e Saida'!$H$12="REAL",AD138,0)</f>
        <v>#DIV/0!</v>
      </c>
      <c r="AN138" s="5" t="e">
        <f>IF('Entrada e Saida'!$H$13= "NÃO",AE138,0)</f>
        <v>#DIV/0!</v>
      </c>
      <c r="AO138" s="5" t="e">
        <f t="shared" si="68"/>
        <v>#DIV/0!</v>
      </c>
      <c r="AP138" s="4" t="e">
        <f t="shared" si="69"/>
        <v>#DIV/0!</v>
      </c>
      <c r="AQ138" s="3" t="e">
        <f>IF('Entrada e Saida'!$H$11="TRADING",AU138*'Custo Resumido'!D138,0)</f>
        <v>#DIV/0!</v>
      </c>
      <c r="AR138" s="3" t="e">
        <f>IF('Entrada e Saida'!$H$11="TRADING",AU138*'Entrada e Saida'!$G$63,0)</f>
        <v>#DIV/0!</v>
      </c>
      <c r="AS138" s="3" t="e">
        <f>IF('Entrada e Saida'!$H$11="TRADING",AU138*'Entrada e Saida'!$G$64,0)</f>
        <v>#DIV/0!</v>
      </c>
      <c r="AT138" s="3" t="e">
        <f>IF('Entrada e Saida'!$H$11="TRADING",AU138*'Entrada e Saida'!$G$65,0)</f>
        <v>#DIV/0!</v>
      </c>
      <c r="AU138" s="4" t="e">
        <f>IF('Entrada e Saida'!$H$11="TRADING",AP138/(1-(SUM('Entrada e Saida'!$G$63:$G$65)+'Custo Resumido'!D138)),0)</f>
        <v>#DIV/0!</v>
      </c>
      <c r="AV138" s="3" t="e">
        <f>IF('Entrada e Saida'!$H$13="NÃO",AU138*M138,0)</f>
        <v>#DIV/0!</v>
      </c>
      <c r="AW138" s="4" t="e">
        <f t="shared" si="70"/>
        <v>#DIV/0!</v>
      </c>
      <c r="AX138" s="3" t="e">
        <f>'Entrada e Saida'!$G$74*AU138</f>
        <v>#DIV/0!</v>
      </c>
      <c r="AY138" s="4" t="e">
        <f t="shared" si="71"/>
        <v>#DIV/0!</v>
      </c>
      <c r="AZ138" s="4" t="e">
        <f>AQ138+('Entrada e Saida'!$G$65-'Entrada e Saida'!$I$65)*AU138-AX138</f>
        <v>#DIV/0!</v>
      </c>
      <c r="BA138" s="3" t="e">
        <f>IF('Entrada e Saida'!$H$12="REAL",AZ138*'Entrada e Saida'!$G$81,AU138*'Entrada e Saida'!$G$81)</f>
        <v>#DIV/0!</v>
      </c>
      <c r="BB138" s="3" t="e">
        <f>IF('Entrada e Saida'!$H$12="REAL",AZ138*'Entrada e Saida'!$G$82,AU138*'Entrada e Saida'!$G$82)</f>
        <v>#DIV/0!</v>
      </c>
      <c r="BC138" s="4" t="e">
        <f t="shared" si="72"/>
        <v>#DIV/0!</v>
      </c>
      <c r="BD138" s="3" t="e">
        <f>IF('Entrada e Saida'!$H$11="TRADING",AW138/D138,AK138/D138)</f>
        <v>#DIV/0!</v>
      </c>
      <c r="BE138" s="3" t="e">
        <f t="shared" si="73"/>
        <v>#DIV/0!</v>
      </c>
      <c r="BF138" s="2" t="e">
        <f t="shared" si="74"/>
        <v>#DIV/0!</v>
      </c>
      <c r="BG138" s="3" t="e">
        <f>IF('Entrada e Saida'!$H$11="TRADING",AV138/D138,AN138/D138)</f>
        <v>#DIV/0!</v>
      </c>
      <c r="BH138" s="3" t="e">
        <f>IF('Entrada e Saida'!$H$11="TRADING",IF('Entrada e Saida'!$H$12="REAL",AR138/D138,0),AL138/D138)</f>
        <v>#DIV/0!</v>
      </c>
      <c r="BI138" s="3" t="e">
        <f>IF('Entrada e Saida'!$H$11="TRADING",IF('Entrada e Saida'!$H$12="REAL",AS138/D138,0),AM138/D138)</f>
        <v>#DIV/0!</v>
      </c>
      <c r="BJ138" s="3" t="e">
        <f>IF('Entrada e Saida'!$H$11="TRADING",AT138/D138,AO138/D138)</f>
        <v>#DIV/0!</v>
      </c>
      <c r="BK138" s="2" t="e">
        <f t="shared" si="75"/>
        <v>#DIV/0!</v>
      </c>
      <c r="BL138" s="2">
        <f>IF(O138&gt;0,IFERROR(IF('Entrada e Saida'!$H$11="DIRETA",0,(IF('Entrada e Saida'!$H$14="P.JURIDICA",(BD138*(1+O138)*N138)-((BD138/(1+M138))*'Entrada e Saida'!$G$65),((Produtos!N138-'Entrada e Saida'!$G$65)*Produtos!BD138)))),0),0)</f>
        <v>0</v>
      </c>
      <c r="BM138" s="2" t="e">
        <f t="shared" si="76"/>
        <v>#DIV/0!</v>
      </c>
    </row>
    <row r="139" spans="1:65" s="1" customFormat="1">
      <c r="A139" s="127"/>
      <c r="B139" s="114"/>
      <c r="C139" s="116"/>
      <c r="D139" s="146"/>
      <c r="E139" s="115">
        <f>IFERROR(VLOOKUP(A139,'Master Modelo'!A:I,9,FALSE),0)</f>
        <v>0</v>
      </c>
      <c r="F139" s="189">
        <f>IFERROR(VLOOKUP(A139,'Master Modelo'!A:I,8,FALSE),0)</f>
        <v>0</v>
      </c>
      <c r="G139" s="189">
        <f>IFERROR(VLOOKUP(A139,'Master Modelo'!A:K,11,FALSE),0)</f>
        <v>0</v>
      </c>
      <c r="H139" s="114" t="e">
        <f t="shared" si="59"/>
        <v>#DIV/0!</v>
      </c>
      <c r="I139" s="150">
        <f>IFERROR(VLOOKUP(A139,'Master Modelo'!A:I,3,FALSE),0)</f>
        <v>0</v>
      </c>
      <c r="J139" s="151">
        <f>IFERROR(VLOOKUP(A139,'Master Modelo'!A:I,5,FALSE),0)</f>
        <v>0</v>
      </c>
      <c r="K139" s="151">
        <f>IFERROR(VLOOKUP(A139,'Master Modelo'!A:I,6,FALSE),0)</f>
        <v>0</v>
      </c>
      <c r="L139" s="152" t="e">
        <f>VLOOKUP(A139,'Master Modelo'!A:J,10,FALSE)</f>
        <v>#N/A</v>
      </c>
      <c r="M139" s="150">
        <f>IFERROR(VLOOKUP(A139,'Master Modelo'!A:I,4,FALSE),0)</f>
        <v>0</v>
      </c>
      <c r="N139" s="128"/>
      <c r="O139" s="129"/>
      <c r="P139" s="9">
        <f t="shared" si="60"/>
        <v>0</v>
      </c>
      <c r="Q139" s="177">
        <f t="shared" si="77"/>
        <v>0</v>
      </c>
      <c r="R139" s="3">
        <f>D139*E139*'Entrada e Saida'!$K$8</f>
        <v>0</v>
      </c>
      <c r="S139" s="179" t="e">
        <f>'Entrada e Saida'!$H$21*'Entrada e Saida'!$K$8*(P139/(SUM(P:P)))</f>
        <v>#DIV/0!</v>
      </c>
      <c r="T139" s="179" t="e">
        <f>'Entrada e Saida'!$H$21*'Entrada e Saida'!$K$8*(Q139/(SUM(Q:Q)))</f>
        <v>#DIV/0!</v>
      </c>
      <c r="U139" s="179" t="e">
        <f>'Entrada e Saida'!$H$22*(P139/(SUM(P:P)))</f>
        <v>#DIV/0!</v>
      </c>
      <c r="V139" s="179" t="e">
        <f>'Entrada e Saida'!$H$22*(Q139/(SUM(Q:Q)))</f>
        <v>#DIV/0!</v>
      </c>
      <c r="W139" s="8" t="e">
        <f t="shared" si="61"/>
        <v>#DIV/0!</v>
      </c>
      <c r="X139" s="179" t="e">
        <f>'Entrada e Saida'!$H$26*(IF('Entrada e Saida'!$H$15="PESO",(P139/(SUM(P:P))),(Q139/(SUM(Q:Q)))))</f>
        <v>#DIV/0!</v>
      </c>
      <c r="Y139" s="179" t="e">
        <f>'Entrada e Saida'!$H$27*(IF('Entrada e Saida'!$H$15="PESO",(P139/(SUM(P:P))),(Q139/(SUM(Q:Q)))))</f>
        <v>#DIV/0!</v>
      </c>
      <c r="Z139" s="179" t="e">
        <f>'Entrada e Saida'!$H$28*(IF('Entrada e Saida'!$H$15="PESO",(P139/(SUM(P:P))),(Q139/(SUM(Q:Q)))))</f>
        <v>#DIV/0!</v>
      </c>
      <c r="AA139" s="10" t="e">
        <f t="shared" si="62"/>
        <v>#DIV/0!</v>
      </c>
      <c r="AB139" s="3" t="e">
        <f t="shared" si="63"/>
        <v>#DIV/0!</v>
      </c>
      <c r="AC139" s="3" t="e">
        <f t="shared" si="64"/>
        <v>#DIV/0!</v>
      </c>
      <c r="AD139" s="3" t="e">
        <f t="shared" si="65"/>
        <v>#DIV/0!</v>
      </c>
      <c r="AE139" s="9" t="e">
        <f t="shared" si="66"/>
        <v>#DIV/0!</v>
      </c>
      <c r="AF139" s="126">
        <f>IFERROR(D139*F139*L139*'Entrada e Saida'!$K$8,0)</f>
        <v>0</v>
      </c>
      <c r="AG139" s="3" t="e">
        <f>((W139+AA139+AB139+AC139+AD139+AE139+AF139)/(1-'Entrada e Saida'!$G$65))*'Entrada e Saida'!$I$66</f>
        <v>#DIV/0!</v>
      </c>
      <c r="AH139" s="8" t="e">
        <f t="shared" si="67"/>
        <v>#DIV/0!</v>
      </c>
      <c r="AI139" s="183" t="e">
        <f>'Entrada e Saida'!$K$51*(IF('Entrada e Saida'!$H$15="PESO",(P139/(SUM(P:P))),(Q139/(SUM(Q:Q)))))</f>
        <v>#DIV/0!</v>
      </c>
      <c r="AJ139" s="7">
        <f>(('Entrada e Saida'!$K$10-'Entrada e Saida'!$K$8)*E139*D139)</f>
        <v>0</v>
      </c>
      <c r="AK139" s="184" t="e">
        <f>IF('Entrada e Saida'!$H$15="PESO",W139+AA139+AH139+AI139+AJ139,W139+AA139+AH139+AI139+AJ139-S139+T139-U139+V139)</f>
        <v>#DIV/0!</v>
      </c>
      <c r="AL139" s="6" t="e">
        <f>IF('Entrada e Saida'!$H$12="REAL",AC139,0)</f>
        <v>#DIV/0!</v>
      </c>
      <c r="AM139" s="6" t="e">
        <f>IF('Entrada e Saida'!$H$12="REAL",AD139,0)</f>
        <v>#DIV/0!</v>
      </c>
      <c r="AN139" s="5" t="e">
        <f>IF('Entrada e Saida'!$H$13= "NÃO",AE139,0)</f>
        <v>#DIV/0!</v>
      </c>
      <c r="AO139" s="5" t="e">
        <f t="shared" si="68"/>
        <v>#DIV/0!</v>
      </c>
      <c r="AP139" s="4" t="e">
        <f t="shared" si="69"/>
        <v>#DIV/0!</v>
      </c>
      <c r="AQ139" s="3" t="e">
        <f>IF('Entrada e Saida'!$H$11="TRADING",AU139*'Custo Resumido'!D139,0)</f>
        <v>#DIV/0!</v>
      </c>
      <c r="AR139" s="3" t="e">
        <f>IF('Entrada e Saida'!$H$11="TRADING",AU139*'Entrada e Saida'!$G$63,0)</f>
        <v>#DIV/0!</v>
      </c>
      <c r="AS139" s="3" t="e">
        <f>IF('Entrada e Saida'!$H$11="TRADING",AU139*'Entrada e Saida'!$G$64,0)</f>
        <v>#DIV/0!</v>
      </c>
      <c r="AT139" s="3" t="e">
        <f>IF('Entrada e Saida'!$H$11="TRADING",AU139*'Entrada e Saida'!$G$65,0)</f>
        <v>#DIV/0!</v>
      </c>
      <c r="AU139" s="4" t="e">
        <f>IF('Entrada e Saida'!$H$11="TRADING",AP139/(1-(SUM('Entrada e Saida'!$G$63:$G$65)+'Custo Resumido'!D139)),0)</f>
        <v>#DIV/0!</v>
      </c>
      <c r="AV139" s="3" t="e">
        <f>IF('Entrada e Saida'!$H$13="NÃO",AU139*M139,0)</f>
        <v>#DIV/0!</v>
      </c>
      <c r="AW139" s="4" t="e">
        <f t="shared" si="70"/>
        <v>#DIV/0!</v>
      </c>
      <c r="AX139" s="3" t="e">
        <f>'Entrada e Saida'!$G$74*AU139</f>
        <v>#DIV/0!</v>
      </c>
      <c r="AY139" s="4" t="e">
        <f t="shared" si="71"/>
        <v>#DIV/0!</v>
      </c>
      <c r="AZ139" s="4" t="e">
        <f>AQ139+('Entrada e Saida'!$G$65-'Entrada e Saida'!$I$65)*AU139-AX139</f>
        <v>#DIV/0!</v>
      </c>
      <c r="BA139" s="3" t="e">
        <f>IF('Entrada e Saida'!$H$12="REAL",AZ139*'Entrada e Saida'!$G$81,AU139*'Entrada e Saida'!$G$81)</f>
        <v>#DIV/0!</v>
      </c>
      <c r="BB139" s="3" t="e">
        <f>IF('Entrada e Saida'!$H$12="REAL",AZ139*'Entrada e Saida'!$G$82,AU139*'Entrada e Saida'!$G$82)</f>
        <v>#DIV/0!</v>
      </c>
      <c r="BC139" s="4" t="e">
        <f t="shared" si="72"/>
        <v>#DIV/0!</v>
      </c>
      <c r="BD139" s="3" t="e">
        <f>IF('Entrada e Saida'!$H$11="TRADING",AW139/D139,AK139/D139)</f>
        <v>#DIV/0!</v>
      </c>
      <c r="BE139" s="3" t="e">
        <f t="shared" si="73"/>
        <v>#DIV/0!</v>
      </c>
      <c r="BF139" s="2" t="e">
        <f t="shared" si="74"/>
        <v>#DIV/0!</v>
      </c>
      <c r="BG139" s="3" t="e">
        <f>IF('Entrada e Saida'!$H$11="TRADING",AV139/D139,AN139/D139)</f>
        <v>#DIV/0!</v>
      </c>
      <c r="BH139" s="3" t="e">
        <f>IF('Entrada e Saida'!$H$11="TRADING",IF('Entrada e Saida'!$H$12="REAL",AR139/D139,0),AL139/D139)</f>
        <v>#DIV/0!</v>
      </c>
      <c r="BI139" s="3" t="e">
        <f>IF('Entrada e Saida'!$H$11="TRADING",IF('Entrada e Saida'!$H$12="REAL",AS139/D139,0),AM139/D139)</f>
        <v>#DIV/0!</v>
      </c>
      <c r="BJ139" s="3" t="e">
        <f>IF('Entrada e Saida'!$H$11="TRADING",AT139/D139,AO139/D139)</f>
        <v>#DIV/0!</v>
      </c>
      <c r="BK139" s="2" t="e">
        <f t="shared" si="75"/>
        <v>#DIV/0!</v>
      </c>
      <c r="BL139" s="2">
        <f>IF(O139&gt;0,IFERROR(IF('Entrada e Saida'!$H$11="DIRETA",0,(IF('Entrada e Saida'!$H$14="P.JURIDICA",(BD139*(1+O139)*N139)-((BD139/(1+M139))*'Entrada e Saida'!$G$65),((Produtos!N139-'Entrada e Saida'!$G$65)*Produtos!BD139)))),0),0)</f>
        <v>0</v>
      </c>
      <c r="BM139" s="2" t="e">
        <f t="shared" si="76"/>
        <v>#DIV/0!</v>
      </c>
    </row>
    <row r="140" spans="1:65" s="1" customFormat="1">
      <c r="A140" s="127"/>
      <c r="B140" s="114"/>
      <c r="C140" s="116"/>
      <c r="D140" s="146"/>
      <c r="E140" s="115">
        <f>IFERROR(VLOOKUP(A140,'Master Modelo'!A:I,9,FALSE),0)</f>
        <v>0</v>
      </c>
      <c r="F140" s="189">
        <f>IFERROR(VLOOKUP(A140,'Master Modelo'!A:I,8,FALSE),0)</f>
        <v>0</v>
      </c>
      <c r="G140" s="189">
        <f>IFERROR(VLOOKUP(A140,'Master Modelo'!A:K,11,FALSE),0)</f>
        <v>0</v>
      </c>
      <c r="H140" s="114" t="e">
        <f t="shared" si="59"/>
        <v>#DIV/0!</v>
      </c>
      <c r="I140" s="150">
        <f>IFERROR(VLOOKUP(A140,'Master Modelo'!A:I,3,FALSE),0)</f>
        <v>0</v>
      </c>
      <c r="J140" s="151">
        <f>IFERROR(VLOOKUP(A140,'Master Modelo'!A:I,5,FALSE),0)</f>
        <v>0</v>
      </c>
      <c r="K140" s="151">
        <f>IFERROR(VLOOKUP(A140,'Master Modelo'!A:I,6,FALSE),0)</f>
        <v>0</v>
      </c>
      <c r="L140" s="152" t="e">
        <f>VLOOKUP(A140,'Master Modelo'!A:J,10,FALSE)</f>
        <v>#N/A</v>
      </c>
      <c r="M140" s="150">
        <f>IFERROR(VLOOKUP(A140,'Master Modelo'!A:I,4,FALSE),0)</f>
        <v>0</v>
      </c>
      <c r="N140" s="128"/>
      <c r="O140" s="129"/>
      <c r="P140" s="9">
        <f t="shared" si="60"/>
        <v>0</v>
      </c>
      <c r="Q140" s="177">
        <f t="shared" si="77"/>
        <v>0</v>
      </c>
      <c r="R140" s="3">
        <f>D140*E140*'Entrada e Saida'!$K$8</f>
        <v>0</v>
      </c>
      <c r="S140" s="179" t="e">
        <f>'Entrada e Saida'!$H$21*'Entrada e Saida'!$K$8*(P140/(SUM(P:P)))</f>
        <v>#DIV/0!</v>
      </c>
      <c r="T140" s="179" t="e">
        <f>'Entrada e Saida'!$H$21*'Entrada e Saida'!$K$8*(Q140/(SUM(Q:Q)))</f>
        <v>#DIV/0!</v>
      </c>
      <c r="U140" s="179" t="e">
        <f>'Entrada e Saida'!$H$22*(P140/(SUM(P:P)))</f>
        <v>#DIV/0!</v>
      </c>
      <c r="V140" s="179" t="e">
        <f>'Entrada e Saida'!$H$22*(Q140/(SUM(Q:Q)))</f>
        <v>#DIV/0!</v>
      </c>
      <c r="W140" s="8" t="e">
        <f t="shared" si="61"/>
        <v>#DIV/0!</v>
      </c>
      <c r="X140" s="179" t="e">
        <f>'Entrada e Saida'!$H$26*(IF('Entrada e Saida'!$H$15="PESO",(P140/(SUM(P:P))),(Q140/(SUM(Q:Q)))))</f>
        <v>#DIV/0!</v>
      </c>
      <c r="Y140" s="179" t="e">
        <f>'Entrada e Saida'!$H$27*(IF('Entrada e Saida'!$H$15="PESO",(P140/(SUM(P:P))),(Q140/(SUM(Q:Q)))))</f>
        <v>#DIV/0!</v>
      </c>
      <c r="Z140" s="179" t="e">
        <f>'Entrada e Saida'!$H$28*(IF('Entrada e Saida'!$H$15="PESO",(P140/(SUM(P:P))),(Q140/(SUM(Q:Q)))))</f>
        <v>#DIV/0!</v>
      </c>
      <c r="AA140" s="10" t="e">
        <f t="shared" si="62"/>
        <v>#DIV/0!</v>
      </c>
      <c r="AB140" s="3" t="e">
        <f t="shared" si="63"/>
        <v>#DIV/0!</v>
      </c>
      <c r="AC140" s="3" t="e">
        <f t="shared" si="64"/>
        <v>#DIV/0!</v>
      </c>
      <c r="AD140" s="3" t="e">
        <f t="shared" si="65"/>
        <v>#DIV/0!</v>
      </c>
      <c r="AE140" s="9" t="e">
        <f t="shared" si="66"/>
        <v>#DIV/0!</v>
      </c>
      <c r="AF140" s="126">
        <f>IFERROR(D140*F140*L140*'Entrada e Saida'!$K$8,0)</f>
        <v>0</v>
      </c>
      <c r="AG140" s="3" t="e">
        <f>((W140+AA140+AB140+AC140+AD140+AE140+AF140)/(1-'Entrada e Saida'!$G$65))*'Entrada e Saida'!$I$66</f>
        <v>#DIV/0!</v>
      </c>
      <c r="AH140" s="8" t="e">
        <f t="shared" si="67"/>
        <v>#DIV/0!</v>
      </c>
      <c r="AI140" s="183" t="e">
        <f>'Entrada e Saida'!$K$51*(IF('Entrada e Saida'!$H$15="PESO",(P140/(SUM(P:P))),(Q140/(SUM(Q:Q)))))</f>
        <v>#DIV/0!</v>
      </c>
      <c r="AJ140" s="7">
        <f>(('Entrada e Saida'!$K$10-'Entrada e Saida'!$K$8)*E140*D140)</f>
        <v>0</v>
      </c>
      <c r="AK140" s="184" t="e">
        <f>IF('Entrada e Saida'!$H$15="PESO",W140+AA140+AH140+AI140+AJ140,W140+AA140+AH140+AI140+AJ140-S140+T140-U140+V140)</f>
        <v>#DIV/0!</v>
      </c>
      <c r="AL140" s="6" t="e">
        <f>IF('Entrada e Saida'!$H$12="REAL",AC140,0)</f>
        <v>#DIV/0!</v>
      </c>
      <c r="AM140" s="6" t="e">
        <f>IF('Entrada e Saida'!$H$12="REAL",AD140,0)</f>
        <v>#DIV/0!</v>
      </c>
      <c r="AN140" s="5" t="e">
        <f>IF('Entrada e Saida'!$H$13= "NÃO",AE140,0)</f>
        <v>#DIV/0!</v>
      </c>
      <c r="AO140" s="5" t="e">
        <f t="shared" si="68"/>
        <v>#DIV/0!</v>
      </c>
      <c r="AP140" s="4" t="e">
        <f t="shared" si="69"/>
        <v>#DIV/0!</v>
      </c>
      <c r="AQ140" s="3" t="e">
        <f>IF('Entrada e Saida'!$H$11="TRADING",AU140*'Custo Resumido'!D140,0)</f>
        <v>#DIV/0!</v>
      </c>
      <c r="AR140" s="3" t="e">
        <f>IF('Entrada e Saida'!$H$11="TRADING",AU140*'Entrada e Saida'!$G$63,0)</f>
        <v>#DIV/0!</v>
      </c>
      <c r="AS140" s="3" t="e">
        <f>IF('Entrada e Saida'!$H$11="TRADING",AU140*'Entrada e Saida'!$G$64,0)</f>
        <v>#DIV/0!</v>
      </c>
      <c r="AT140" s="3" t="e">
        <f>IF('Entrada e Saida'!$H$11="TRADING",AU140*'Entrada e Saida'!$G$65,0)</f>
        <v>#DIV/0!</v>
      </c>
      <c r="AU140" s="4" t="e">
        <f>IF('Entrada e Saida'!$H$11="TRADING",AP140/(1-(SUM('Entrada e Saida'!$G$63:$G$65)+'Custo Resumido'!D140)),0)</f>
        <v>#DIV/0!</v>
      </c>
      <c r="AV140" s="3" t="e">
        <f>IF('Entrada e Saida'!$H$13="NÃO",AU140*M140,0)</f>
        <v>#DIV/0!</v>
      </c>
      <c r="AW140" s="4" t="e">
        <f t="shared" si="70"/>
        <v>#DIV/0!</v>
      </c>
      <c r="AX140" s="3" t="e">
        <f>'Entrada e Saida'!$G$74*AU140</f>
        <v>#DIV/0!</v>
      </c>
      <c r="AY140" s="4" t="e">
        <f t="shared" si="71"/>
        <v>#DIV/0!</v>
      </c>
      <c r="AZ140" s="4" t="e">
        <f>AQ140+('Entrada e Saida'!$G$65-'Entrada e Saida'!$I$65)*AU140-AX140</f>
        <v>#DIV/0!</v>
      </c>
      <c r="BA140" s="3" t="e">
        <f>IF('Entrada e Saida'!$H$12="REAL",AZ140*'Entrada e Saida'!$G$81,AU140*'Entrada e Saida'!$G$81)</f>
        <v>#DIV/0!</v>
      </c>
      <c r="BB140" s="3" t="e">
        <f>IF('Entrada e Saida'!$H$12="REAL",AZ140*'Entrada e Saida'!$G$82,AU140*'Entrada e Saida'!$G$82)</f>
        <v>#DIV/0!</v>
      </c>
      <c r="BC140" s="4" t="e">
        <f t="shared" si="72"/>
        <v>#DIV/0!</v>
      </c>
      <c r="BD140" s="3" t="e">
        <f>IF('Entrada e Saida'!$H$11="TRADING",AW140/D140,AK140/D140)</f>
        <v>#DIV/0!</v>
      </c>
      <c r="BE140" s="3" t="e">
        <f t="shared" si="73"/>
        <v>#DIV/0!</v>
      </c>
      <c r="BF140" s="2" t="e">
        <f t="shared" si="74"/>
        <v>#DIV/0!</v>
      </c>
      <c r="BG140" s="3" t="e">
        <f>IF('Entrada e Saida'!$H$11="TRADING",AV140/D140,AN140/D140)</f>
        <v>#DIV/0!</v>
      </c>
      <c r="BH140" s="3" t="e">
        <f>IF('Entrada e Saida'!$H$11="TRADING",IF('Entrada e Saida'!$H$12="REAL",AR140/D140,0),AL140/D140)</f>
        <v>#DIV/0!</v>
      </c>
      <c r="BI140" s="3" t="e">
        <f>IF('Entrada e Saida'!$H$11="TRADING",IF('Entrada e Saida'!$H$12="REAL",AS140/D140,0),AM140/D140)</f>
        <v>#DIV/0!</v>
      </c>
      <c r="BJ140" s="3" t="e">
        <f>IF('Entrada e Saida'!$H$11="TRADING",AT140/D140,AO140/D140)</f>
        <v>#DIV/0!</v>
      </c>
      <c r="BK140" s="2" t="e">
        <f t="shared" si="75"/>
        <v>#DIV/0!</v>
      </c>
      <c r="BL140" s="2">
        <f>IF(O140&gt;0,IFERROR(IF('Entrada e Saida'!$H$11="DIRETA",0,(IF('Entrada e Saida'!$H$14="P.JURIDICA",(BD140*(1+O140)*N140)-((BD140/(1+M140))*'Entrada e Saida'!$G$65),((Produtos!N140-'Entrada e Saida'!$G$65)*Produtos!BD140)))),0),0)</f>
        <v>0</v>
      </c>
      <c r="BM140" s="2" t="e">
        <f t="shared" si="76"/>
        <v>#DIV/0!</v>
      </c>
    </row>
    <row r="141" spans="1:65" s="1" customFormat="1">
      <c r="A141" s="127"/>
      <c r="B141" s="114"/>
      <c r="C141" s="116"/>
      <c r="D141" s="146"/>
      <c r="E141" s="115">
        <f>IFERROR(VLOOKUP(A141,'Master Modelo'!A:I,9,FALSE),0)</f>
        <v>0</v>
      </c>
      <c r="F141" s="189">
        <f>IFERROR(VLOOKUP(A141,'Master Modelo'!A:I,8,FALSE),0)</f>
        <v>0</v>
      </c>
      <c r="G141" s="189">
        <f>IFERROR(VLOOKUP(A141,'Master Modelo'!A:K,11,FALSE),0)</f>
        <v>0</v>
      </c>
      <c r="H141" s="114" t="e">
        <f t="shared" si="59"/>
        <v>#DIV/0!</v>
      </c>
      <c r="I141" s="150">
        <f>IFERROR(VLOOKUP(A141,'Master Modelo'!A:I,3,FALSE),0)</f>
        <v>0</v>
      </c>
      <c r="J141" s="151">
        <f>IFERROR(VLOOKUP(A141,'Master Modelo'!A:I,5,FALSE),0)</f>
        <v>0</v>
      </c>
      <c r="K141" s="151">
        <f>IFERROR(VLOOKUP(A141,'Master Modelo'!A:I,6,FALSE),0)</f>
        <v>0</v>
      </c>
      <c r="L141" s="152" t="e">
        <f>VLOOKUP(A141,'Master Modelo'!A:J,10,FALSE)</f>
        <v>#N/A</v>
      </c>
      <c r="M141" s="150">
        <f>IFERROR(VLOOKUP(A141,'Master Modelo'!A:I,4,FALSE),0)</f>
        <v>0</v>
      </c>
      <c r="N141" s="128"/>
      <c r="O141" s="129"/>
      <c r="P141" s="9">
        <f t="shared" si="60"/>
        <v>0</v>
      </c>
      <c r="Q141" s="177">
        <f t="shared" si="77"/>
        <v>0</v>
      </c>
      <c r="R141" s="3">
        <f>D141*E141*'Entrada e Saida'!$K$8</f>
        <v>0</v>
      </c>
      <c r="S141" s="179" t="e">
        <f>'Entrada e Saida'!$H$21*'Entrada e Saida'!$K$8*(P141/(SUM(P:P)))</f>
        <v>#DIV/0!</v>
      </c>
      <c r="T141" s="179" t="e">
        <f>'Entrada e Saida'!$H$21*'Entrada e Saida'!$K$8*(Q141/(SUM(Q:Q)))</f>
        <v>#DIV/0!</v>
      </c>
      <c r="U141" s="179" t="e">
        <f>'Entrada e Saida'!$H$22*(P141/(SUM(P:P)))</f>
        <v>#DIV/0!</v>
      </c>
      <c r="V141" s="179" t="e">
        <f>'Entrada e Saida'!$H$22*(Q141/(SUM(Q:Q)))</f>
        <v>#DIV/0!</v>
      </c>
      <c r="W141" s="8" t="e">
        <f t="shared" si="61"/>
        <v>#DIV/0!</v>
      </c>
      <c r="X141" s="179" t="e">
        <f>'Entrada e Saida'!$H$26*(IF('Entrada e Saida'!$H$15="PESO",(P141/(SUM(P:P))),(Q141/(SUM(Q:Q)))))</f>
        <v>#DIV/0!</v>
      </c>
      <c r="Y141" s="179" t="e">
        <f>'Entrada e Saida'!$H$27*(IF('Entrada e Saida'!$H$15="PESO",(P141/(SUM(P:P))),(Q141/(SUM(Q:Q)))))</f>
        <v>#DIV/0!</v>
      </c>
      <c r="Z141" s="179" t="e">
        <f>'Entrada e Saida'!$H$28*(IF('Entrada e Saida'!$H$15="PESO",(P141/(SUM(P:P))),(Q141/(SUM(Q:Q)))))</f>
        <v>#DIV/0!</v>
      </c>
      <c r="AA141" s="10" t="e">
        <f t="shared" si="62"/>
        <v>#DIV/0!</v>
      </c>
      <c r="AB141" s="3" t="e">
        <f t="shared" si="63"/>
        <v>#DIV/0!</v>
      </c>
      <c r="AC141" s="3" t="e">
        <f t="shared" si="64"/>
        <v>#DIV/0!</v>
      </c>
      <c r="AD141" s="3" t="e">
        <f t="shared" si="65"/>
        <v>#DIV/0!</v>
      </c>
      <c r="AE141" s="9" t="e">
        <f t="shared" si="66"/>
        <v>#DIV/0!</v>
      </c>
      <c r="AF141" s="126">
        <f>IFERROR(D141*F141*L141*'Entrada e Saida'!$K$8,0)</f>
        <v>0</v>
      </c>
      <c r="AG141" s="3" t="e">
        <f>((W141+AA141+AB141+AC141+AD141+AE141+AF141)/(1-'Entrada e Saida'!$G$65))*'Entrada e Saida'!$I$66</f>
        <v>#DIV/0!</v>
      </c>
      <c r="AH141" s="8" t="e">
        <f t="shared" si="67"/>
        <v>#DIV/0!</v>
      </c>
      <c r="AI141" s="183" t="e">
        <f>'Entrada e Saida'!$K$51*(IF('Entrada e Saida'!$H$15="PESO",(P141/(SUM(P:P))),(Q141/(SUM(Q:Q)))))</f>
        <v>#DIV/0!</v>
      </c>
      <c r="AJ141" s="7">
        <f>(('Entrada e Saida'!$K$10-'Entrada e Saida'!$K$8)*E141*D141)</f>
        <v>0</v>
      </c>
      <c r="AK141" s="184" t="e">
        <f>IF('Entrada e Saida'!$H$15="PESO",W141+AA141+AH141+AI141+AJ141,W141+AA141+AH141+AI141+AJ141-S141+T141-U141+V141)</f>
        <v>#DIV/0!</v>
      </c>
      <c r="AL141" s="6" t="e">
        <f>IF('Entrada e Saida'!$H$12="REAL",AC141,0)</f>
        <v>#DIV/0!</v>
      </c>
      <c r="AM141" s="6" t="e">
        <f>IF('Entrada e Saida'!$H$12="REAL",AD141,0)</f>
        <v>#DIV/0!</v>
      </c>
      <c r="AN141" s="5" t="e">
        <f>IF('Entrada e Saida'!$H$13= "NÃO",AE141,0)</f>
        <v>#DIV/0!</v>
      </c>
      <c r="AO141" s="5" t="e">
        <f t="shared" si="68"/>
        <v>#DIV/0!</v>
      </c>
      <c r="AP141" s="4" t="e">
        <f t="shared" si="69"/>
        <v>#DIV/0!</v>
      </c>
      <c r="AQ141" s="3" t="e">
        <f>IF('Entrada e Saida'!$H$11="TRADING",AU141*'Custo Resumido'!D141,0)</f>
        <v>#DIV/0!</v>
      </c>
      <c r="AR141" s="3" t="e">
        <f>IF('Entrada e Saida'!$H$11="TRADING",AU141*'Entrada e Saida'!$G$63,0)</f>
        <v>#DIV/0!</v>
      </c>
      <c r="AS141" s="3" t="e">
        <f>IF('Entrada e Saida'!$H$11="TRADING",AU141*'Entrada e Saida'!$G$64,0)</f>
        <v>#DIV/0!</v>
      </c>
      <c r="AT141" s="3" t="e">
        <f>IF('Entrada e Saida'!$H$11="TRADING",AU141*'Entrada e Saida'!$G$65,0)</f>
        <v>#DIV/0!</v>
      </c>
      <c r="AU141" s="4" t="e">
        <f>IF('Entrada e Saida'!$H$11="TRADING",AP141/(1-(SUM('Entrada e Saida'!$G$63:$G$65)+'Custo Resumido'!D141)),0)</f>
        <v>#DIV/0!</v>
      </c>
      <c r="AV141" s="3" t="e">
        <f>IF('Entrada e Saida'!$H$13="NÃO",AU141*M141,0)</f>
        <v>#DIV/0!</v>
      </c>
      <c r="AW141" s="4" t="e">
        <f t="shared" si="70"/>
        <v>#DIV/0!</v>
      </c>
      <c r="AX141" s="3" t="e">
        <f>'Entrada e Saida'!$G$74*AU141</f>
        <v>#DIV/0!</v>
      </c>
      <c r="AY141" s="4" t="e">
        <f t="shared" si="71"/>
        <v>#DIV/0!</v>
      </c>
      <c r="AZ141" s="4" t="e">
        <f>AQ141+('Entrada e Saida'!$G$65-'Entrada e Saida'!$I$65)*AU141-AX141</f>
        <v>#DIV/0!</v>
      </c>
      <c r="BA141" s="3" t="e">
        <f>IF('Entrada e Saida'!$H$12="REAL",AZ141*'Entrada e Saida'!$G$81,AU141*'Entrada e Saida'!$G$81)</f>
        <v>#DIV/0!</v>
      </c>
      <c r="BB141" s="3" t="e">
        <f>IF('Entrada e Saida'!$H$12="REAL",AZ141*'Entrada e Saida'!$G$82,AU141*'Entrada e Saida'!$G$82)</f>
        <v>#DIV/0!</v>
      </c>
      <c r="BC141" s="4" t="e">
        <f t="shared" si="72"/>
        <v>#DIV/0!</v>
      </c>
      <c r="BD141" s="3" t="e">
        <f>IF('Entrada e Saida'!$H$11="TRADING",AW141/D141,AK141/D141)</f>
        <v>#DIV/0!</v>
      </c>
      <c r="BE141" s="3" t="e">
        <f t="shared" si="73"/>
        <v>#DIV/0!</v>
      </c>
      <c r="BF141" s="2" t="e">
        <f t="shared" si="74"/>
        <v>#DIV/0!</v>
      </c>
      <c r="BG141" s="3" t="e">
        <f>IF('Entrada e Saida'!$H$11="TRADING",AV141/D141,AN141/D141)</f>
        <v>#DIV/0!</v>
      </c>
      <c r="BH141" s="3" t="e">
        <f>IF('Entrada e Saida'!$H$11="TRADING",IF('Entrada e Saida'!$H$12="REAL",AR141/D141,0),AL141/D141)</f>
        <v>#DIV/0!</v>
      </c>
      <c r="BI141" s="3" t="e">
        <f>IF('Entrada e Saida'!$H$11="TRADING",IF('Entrada e Saida'!$H$12="REAL",AS141/D141,0),AM141/D141)</f>
        <v>#DIV/0!</v>
      </c>
      <c r="BJ141" s="3" t="e">
        <f>IF('Entrada e Saida'!$H$11="TRADING",AT141/D141,AO141/D141)</f>
        <v>#DIV/0!</v>
      </c>
      <c r="BK141" s="2" t="e">
        <f t="shared" si="75"/>
        <v>#DIV/0!</v>
      </c>
      <c r="BL141" s="2">
        <f>IF(O141&gt;0,IFERROR(IF('Entrada e Saida'!$H$11="DIRETA",0,(IF('Entrada e Saida'!$H$14="P.JURIDICA",(BD141*(1+O141)*N141)-((BD141/(1+M141))*'Entrada e Saida'!$G$65),((Produtos!N141-'Entrada e Saida'!$G$65)*Produtos!BD141)))),0),0)</f>
        <v>0</v>
      </c>
      <c r="BM141" s="2" t="e">
        <f t="shared" si="76"/>
        <v>#DIV/0!</v>
      </c>
    </row>
    <row r="142" spans="1:65" s="1" customFormat="1">
      <c r="A142" s="127"/>
      <c r="B142" s="114"/>
      <c r="C142" s="116"/>
      <c r="D142" s="146"/>
      <c r="E142" s="115">
        <f>IFERROR(VLOOKUP(A142,'Master Modelo'!A:I,9,FALSE),0)</f>
        <v>0</v>
      </c>
      <c r="F142" s="189">
        <f>IFERROR(VLOOKUP(A142,'Master Modelo'!A:I,8,FALSE),0)</f>
        <v>0</v>
      </c>
      <c r="G142" s="189">
        <f>IFERROR(VLOOKUP(A142,'Master Modelo'!A:K,11,FALSE),0)</f>
        <v>0</v>
      </c>
      <c r="H142" s="114" t="e">
        <f t="shared" si="59"/>
        <v>#DIV/0!</v>
      </c>
      <c r="I142" s="150">
        <f>IFERROR(VLOOKUP(A142,'Master Modelo'!A:I,3,FALSE),0)</f>
        <v>0</v>
      </c>
      <c r="J142" s="151">
        <f>IFERROR(VLOOKUP(A142,'Master Modelo'!A:I,5,FALSE),0)</f>
        <v>0</v>
      </c>
      <c r="K142" s="151">
        <f>IFERROR(VLOOKUP(A142,'Master Modelo'!A:I,6,FALSE),0)</f>
        <v>0</v>
      </c>
      <c r="L142" s="152" t="e">
        <f>VLOOKUP(A142,'Master Modelo'!A:J,10,FALSE)</f>
        <v>#N/A</v>
      </c>
      <c r="M142" s="150">
        <f>IFERROR(VLOOKUP(A142,'Master Modelo'!A:I,4,FALSE),0)</f>
        <v>0</v>
      </c>
      <c r="N142" s="128"/>
      <c r="O142" s="129"/>
      <c r="P142" s="9">
        <f t="shared" si="60"/>
        <v>0</v>
      </c>
      <c r="Q142" s="177">
        <f t="shared" si="77"/>
        <v>0</v>
      </c>
      <c r="R142" s="3">
        <f>D142*E142*'Entrada e Saida'!$K$8</f>
        <v>0</v>
      </c>
      <c r="S142" s="179" t="e">
        <f>'Entrada e Saida'!$H$21*'Entrada e Saida'!$K$8*(P142/(SUM(P:P)))</f>
        <v>#DIV/0!</v>
      </c>
      <c r="T142" s="179" t="e">
        <f>'Entrada e Saida'!$H$21*'Entrada e Saida'!$K$8*(Q142/(SUM(Q:Q)))</f>
        <v>#DIV/0!</v>
      </c>
      <c r="U142" s="179" t="e">
        <f>'Entrada e Saida'!$H$22*(P142/(SUM(P:P)))</f>
        <v>#DIV/0!</v>
      </c>
      <c r="V142" s="179" t="e">
        <f>'Entrada e Saida'!$H$22*(Q142/(SUM(Q:Q)))</f>
        <v>#DIV/0!</v>
      </c>
      <c r="W142" s="8" t="e">
        <f t="shared" si="61"/>
        <v>#DIV/0!</v>
      </c>
      <c r="X142" s="179" t="e">
        <f>'Entrada e Saida'!$H$26*(IF('Entrada e Saida'!$H$15="PESO",(P142/(SUM(P:P))),(Q142/(SUM(Q:Q)))))</f>
        <v>#DIV/0!</v>
      </c>
      <c r="Y142" s="179" t="e">
        <f>'Entrada e Saida'!$H$27*(IF('Entrada e Saida'!$H$15="PESO",(P142/(SUM(P:P))),(Q142/(SUM(Q:Q)))))</f>
        <v>#DIV/0!</v>
      </c>
      <c r="Z142" s="179" t="e">
        <f>'Entrada e Saida'!$H$28*(IF('Entrada e Saida'!$H$15="PESO",(P142/(SUM(P:P))),(Q142/(SUM(Q:Q)))))</f>
        <v>#DIV/0!</v>
      </c>
      <c r="AA142" s="10" t="e">
        <f t="shared" si="62"/>
        <v>#DIV/0!</v>
      </c>
      <c r="AB142" s="3" t="e">
        <f t="shared" si="63"/>
        <v>#DIV/0!</v>
      </c>
      <c r="AC142" s="3" t="e">
        <f t="shared" si="64"/>
        <v>#DIV/0!</v>
      </c>
      <c r="AD142" s="3" t="e">
        <f t="shared" si="65"/>
        <v>#DIV/0!</v>
      </c>
      <c r="AE142" s="9" t="e">
        <f t="shared" si="66"/>
        <v>#DIV/0!</v>
      </c>
      <c r="AF142" s="126">
        <f>IFERROR(D142*F142*L142*'Entrada e Saida'!$K$8,0)</f>
        <v>0</v>
      </c>
      <c r="AG142" s="3" t="e">
        <f>((W142+AA142+AB142+AC142+AD142+AE142+AF142)/(1-'Entrada e Saida'!$G$65))*'Entrada e Saida'!$I$66</f>
        <v>#DIV/0!</v>
      </c>
      <c r="AH142" s="8" t="e">
        <f t="shared" si="67"/>
        <v>#DIV/0!</v>
      </c>
      <c r="AI142" s="183" t="e">
        <f>'Entrada e Saida'!$K$51*(IF('Entrada e Saida'!$H$15="PESO",(P142/(SUM(P:P))),(Q142/(SUM(Q:Q)))))</f>
        <v>#DIV/0!</v>
      </c>
      <c r="AJ142" s="7">
        <f>(('Entrada e Saida'!$K$10-'Entrada e Saida'!$K$8)*E142*D142)</f>
        <v>0</v>
      </c>
      <c r="AK142" s="184" t="e">
        <f>IF('Entrada e Saida'!$H$15="PESO",W142+AA142+AH142+AI142+AJ142,W142+AA142+AH142+AI142+AJ142-S142+T142-U142+V142)</f>
        <v>#DIV/0!</v>
      </c>
      <c r="AL142" s="6" t="e">
        <f>IF('Entrada e Saida'!$H$12="REAL",AC142,0)</f>
        <v>#DIV/0!</v>
      </c>
      <c r="AM142" s="6" t="e">
        <f>IF('Entrada e Saida'!$H$12="REAL",AD142,0)</f>
        <v>#DIV/0!</v>
      </c>
      <c r="AN142" s="5" t="e">
        <f>IF('Entrada e Saida'!$H$13= "NÃO",AE142,0)</f>
        <v>#DIV/0!</v>
      </c>
      <c r="AO142" s="5" t="e">
        <f t="shared" si="68"/>
        <v>#DIV/0!</v>
      </c>
      <c r="AP142" s="4" t="e">
        <f t="shared" si="69"/>
        <v>#DIV/0!</v>
      </c>
      <c r="AQ142" s="3" t="e">
        <f>IF('Entrada e Saida'!$H$11="TRADING",AU142*'Custo Resumido'!D142,0)</f>
        <v>#DIV/0!</v>
      </c>
      <c r="AR142" s="3" t="e">
        <f>IF('Entrada e Saida'!$H$11="TRADING",AU142*'Entrada e Saida'!$G$63,0)</f>
        <v>#DIV/0!</v>
      </c>
      <c r="AS142" s="3" t="e">
        <f>IF('Entrada e Saida'!$H$11="TRADING",AU142*'Entrada e Saida'!$G$64,0)</f>
        <v>#DIV/0!</v>
      </c>
      <c r="AT142" s="3" t="e">
        <f>IF('Entrada e Saida'!$H$11="TRADING",AU142*'Entrada e Saida'!$G$65,0)</f>
        <v>#DIV/0!</v>
      </c>
      <c r="AU142" s="4" t="e">
        <f>IF('Entrada e Saida'!$H$11="TRADING",AP142/(1-(SUM('Entrada e Saida'!$G$63:$G$65)+'Custo Resumido'!D142)),0)</f>
        <v>#DIV/0!</v>
      </c>
      <c r="AV142" s="3" t="e">
        <f>IF('Entrada e Saida'!$H$13="NÃO",AU142*M142,0)</f>
        <v>#DIV/0!</v>
      </c>
      <c r="AW142" s="4" t="e">
        <f t="shared" si="70"/>
        <v>#DIV/0!</v>
      </c>
      <c r="AX142" s="3" t="e">
        <f>'Entrada e Saida'!$G$74*AU142</f>
        <v>#DIV/0!</v>
      </c>
      <c r="AY142" s="4" t="e">
        <f t="shared" si="71"/>
        <v>#DIV/0!</v>
      </c>
      <c r="AZ142" s="4" t="e">
        <f>AQ142+('Entrada e Saida'!$G$65-'Entrada e Saida'!$I$65)*AU142-AX142</f>
        <v>#DIV/0!</v>
      </c>
      <c r="BA142" s="3" t="e">
        <f>IF('Entrada e Saida'!$H$12="REAL",AZ142*'Entrada e Saida'!$G$81,AU142*'Entrada e Saida'!$G$81)</f>
        <v>#DIV/0!</v>
      </c>
      <c r="BB142" s="3" t="e">
        <f>IF('Entrada e Saida'!$H$12="REAL",AZ142*'Entrada e Saida'!$G$82,AU142*'Entrada e Saida'!$G$82)</f>
        <v>#DIV/0!</v>
      </c>
      <c r="BC142" s="4" t="e">
        <f t="shared" si="72"/>
        <v>#DIV/0!</v>
      </c>
      <c r="BD142" s="3" t="e">
        <f>IF('Entrada e Saida'!$H$11="TRADING",AW142/D142,AK142/D142)</f>
        <v>#DIV/0!</v>
      </c>
      <c r="BE142" s="3" t="e">
        <f t="shared" si="73"/>
        <v>#DIV/0!</v>
      </c>
      <c r="BF142" s="2" t="e">
        <f t="shared" si="74"/>
        <v>#DIV/0!</v>
      </c>
      <c r="BG142" s="3" t="e">
        <f>IF('Entrada e Saida'!$H$11="TRADING",AV142/D142,AN142/D142)</f>
        <v>#DIV/0!</v>
      </c>
      <c r="BH142" s="3" t="e">
        <f>IF('Entrada e Saida'!$H$11="TRADING",IF('Entrada e Saida'!$H$12="REAL",AR142/D142,0),AL142/D142)</f>
        <v>#DIV/0!</v>
      </c>
      <c r="BI142" s="3" t="e">
        <f>IF('Entrada e Saida'!$H$11="TRADING",IF('Entrada e Saida'!$H$12="REAL",AS142/D142,0),AM142/D142)</f>
        <v>#DIV/0!</v>
      </c>
      <c r="BJ142" s="3" t="e">
        <f>IF('Entrada e Saida'!$H$11="TRADING",AT142/D142,AO142/D142)</f>
        <v>#DIV/0!</v>
      </c>
      <c r="BK142" s="2" t="e">
        <f t="shared" si="75"/>
        <v>#DIV/0!</v>
      </c>
      <c r="BL142" s="2">
        <f>IF(O142&gt;0,IFERROR(IF('Entrada e Saida'!$H$11="DIRETA",0,(IF('Entrada e Saida'!$H$14="P.JURIDICA",(BD142*(1+O142)*N142)-((BD142/(1+M142))*'Entrada e Saida'!$G$65),((Produtos!N142-'Entrada e Saida'!$G$65)*Produtos!BD142)))),0),0)</f>
        <v>0</v>
      </c>
      <c r="BM142" s="2" t="e">
        <f t="shared" si="76"/>
        <v>#DIV/0!</v>
      </c>
    </row>
    <row r="143" spans="1:65" s="1" customFormat="1">
      <c r="A143" s="127"/>
      <c r="B143" s="114"/>
      <c r="C143" s="116"/>
      <c r="D143" s="146"/>
      <c r="E143" s="115">
        <f>IFERROR(VLOOKUP(A143,'Master Modelo'!A:I,9,FALSE),0)</f>
        <v>0</v>
      </c>
      <c r="F143" s="189">
        <f>IFERROR(VLOOKUP(A143,'Master Modelo'!A:I,8,FALSE),0)</f>
        <v>0</v>
      </c>
      <c r="G143" s="189">
        <f>IFERROR(VLOOKUP(A143,'Master Modelo'!A:K,11,FALSE),0)</f>
        <v>0</v>
      </c>
      <c r="H143" s="114" t="e">
        <f t="shared" si="59"/>
        <v>#DIV/0!</v>
      </c>
      <c r="I143" s="150">
        <f>IFERROR(VLOOKUP(A143,'Master Modelo'!A:I,3,FALSE),0)</f>
        <v>0</v>
      </c>
      <c r="J143" s="151">
        <f>IFERROR(VLOOKUP(A143,'Master Modelo'!A:I,5,FALSE),0)</f>
        <v>0</v>
      </c>
      <c r="K143" s="151">
        <f>IFERROR(VLOOKUP(A143,'Master Modelo'!A:I,6,FALSE),0)</f>
        <v>0</v>
      </c>
      <c r="L143" s="152" t="e">
        <f>VLOOKUP(A143,'Master Modelo'!A:J,10,FALSE)</f>
        <v>#N/A</v>
      </c>
      <c r="M143" s="150">
        <f>IFERROR(VLOOKUP(A143,'Master Modelo'!A:I,4,FALSE),0)</f>
        <v>0</v>
      </c>
      <c r="N143" s="128"/>
      <c r="O143" s="129"/>
      <c r="P143" s="9">
        <f t="shared" si="60"/>
        <v>0</v>
      </c>
      <c r="Q143" s="177">
        <f t="shared" si="77"/>
        <v>0</v>
      </c>
      <c r="R143" s="3">
        <f>D143*E143*'Entrada e Saida'!$K$8</f>
        <v>0</v>
      </c>
      <c r="S143" s="179" t="e">
        <f>'Entrada e Saida'!$H$21*'Entrada e Saida'!$K$8*(P143/(SUM(P:P)))</f>
        <v>#DIV/0!</v>
      </c>
      <c r="T143" s="179" t="e">
        <f>'Entrada e Saida'!$H$21*'Entrada e Saida'!$K$8*(Q143/(SUM(Q:Q)))</f>
        <v>#DIV/0!</v>
      </c>
      <c r="U143" s="179" t="e">
        <f>'Entrada e Saida'!$H$22*(P143/(SUM(P:P)))</f>
        <v>#DIV/0!</v>
      </c>
      <c r="V143" s="179" t="e">
        <f>'Entrada e Saida'!$H$22*(Q143/(SUM(Q:Q)))</f>
        <v>#DIV/0!</v>
      </c>
      <c r="W143" s="8" t="e">
        <f t="shared" si="61"/>
        <v>#DIV/0!</v>
      </c>
      <c r="X143" s="179" t="e">
        <f>'Entrada e Saida'!$H$26*(IF('Entrada e Saida'!$H$15="PESO",(P143/(SUM(P:P))),(Q143/(SUM(Q:Q)))))</f>
        <v>#DIV/0!</v>
      </c>
      <c r="Y143" s="179" t="e">
        <f>'Entrada e Saida'!$H$27*(IF('Entrada e Saida'!$H$15="PESO",(P143/(SUM(P:P))),(Q143/(SUM(Q:Q)))))</f>
        <v>#DIV/0!</v>
      </c>
      <c r="Z143" s="179" t="e">
        <f>'Entrada e Saida'!$H$28*(IF('Entrada e Saida'!$H$15="PESO",(P143/(SUM(P:P))),(Q143/(SUM(Q:Q)))))</f>
        <v>#DIV/0!</v>
      </c>
      <c r="AA143" s="10" t="e">
        <f t="shared" si="62"/>
        <v>#DIV/0!</v>
      </c>
      <c r="AB143" s="3" t="e">
        <f t="shared" si="63"/>
        <v>#DIV/0!</v>
      </c>
      <c r="AC143" s="3" t="e">
        <f t="shared" si="64"/>
        <v>#DIV/0!</v>
      </c>
      <c r="AD143" s="3" t="e">
        <f t="shared" si="65"/>
        <v>#DIV/0!</v>
      </c>
      <c r="AE143" s="9" t="e">
        <f t="shared" si="66"/>
        <v>#DIV/0!</v>
      </c>
      <c r="AF143" s="126">
        <f>IFERROR(D143*F143*L143*'Entrada e Saida'!$K$8,0)</f>
        <v>0</v>
      </c>
      <c r="AG143" s="3" t="e">
        <f>((W143+AA143+AB143+AC143+AD143+AE143+AF143)/(1-'Entrada e Saida'!$G$65))*'Entrada e Saida'!$I$66</f>
        <v>#DIV/0!</v>
      </c>
      <c r="AH143" s="8" t="e">
        <f t="shared" si="67"/>
        <v>#DIV/0!</v>
      </c>
      <c r="AI143" s="183" t="e">
        <f>'Entrada e Saida'!$K$51*(IF('Entrada e Saida'!$H$15="PESO",(P143/(SUM(P:P))),(Q143/(SUM(Q:Q)))))</f>
        <v>#DIV/0!</v>
      </c>
      <c r="AJ143" s="7">
        <f>(('Entrada e Saida'!$K$10-'Entrada e Saida'!$K$8)*E143*D143)</f>
        <v>0</v>
      </c>
      <c r="AK143" s="184" t="e">
        <f>IF('Entrada e Saida'!$H$15="PESO",W143+AA143+AH143+AI143+AJ143,W143+AA143+AH143+AI143+AJ143-S143+T143-U143+V143)</f>
        <v>#DIV/0!</v>
      </c>
      <c r="AL143" s="6" t="e">
        <f>IF('Entrada e Saida'!$H$12="REAL",AC143,0)</f>
        <v>#DIV/0!</v>
      </c>
      <c r="AM143" s="6" t="e">
        <f>IF('Entrada e Saida'!$H$12="REAL",AD143,0)</f>
        <v>#DIV/0!</v>
      </c>
      <c r="AN143" s="5" t="e">
        <f>IF('Entrada e Saida'!$H$13= "NÃO",AE143,0)</f>
        <v>#DIV/0!</v>
      </c>
      <c r="AO143" s="5" t="e">
        <f t="shared" si="68"/>
        <v>#DIV/0!</v>
      </c>
      <c r="AP143" s="4" t="e">
        <f t="shared" si="69"/>
        <v>#DIV/0!</v>
      </c>
      <c r="AQ143" s="3" t="e">
        <f>IF('Entrada e Saida'!$H$11="TRADING",AU143*'Custo Resumido'!D143,0)</f>
        <v>#DIV/0!</v>
      </c>
      <c r="AR143" s="3" t="e">
        <f>IF('Entrada e Saida'!$H$11="TRADING",AU143*'Entrada e Saida'!$G$63,0)</f>
        <v>#DIV/0!</v>
      </c>
      <c r="AS143" s="3" t="e">
        <f>IF('Entrada e Saida'!$H$11="TRADING",AU143*'Entrada e Saida'!$G$64,0)</f>
        <v>#DIV/0!</v>
      </c>
      <c r="AT143" s="3" t="e">
        <f>IF('Entrada e Saida'!$H$11="TRADING",AU143*'Entrada e Saida'!$G$65,0)</f>
        <v>#DIV/0!</v>
      </c>
      <c r="AU143" s="4" t="e">
        <f>IF('Entrada e Saida'!$H$11="TRADING",AP143/(1-(SUM('Entrada e Saida'!$G$63:$G$65)+'Custo Resumido'!D143)),0)</f>
        <v>#DIV/0!</v>
      </c>
      <c r="AV143" s="3" t="e">
        <f>IF('Entrada e Saida'!$H$13="NÃO",AU143*M143,0)</f>
        <v>#DIV/0!</v>
      </c>
      <c r="AW143" s="4" t="e">
        <f t="shared" si="70"/>
        <v>#DIV/0!</v>
      </c>
      <c r="AX143" s="3" t="e">
        <f>'Entrada e Saida'!$G$74*AU143</f>
        <v>#DIV/0!</v>
      </c>
      <c r="AY143" s="4" t="e">
        <f t="shared" si="71"/>
        <v>#DIV/0!</v>
      </c>
      <c r="AZ143" s="4" t="e">
        <f>AQ143+('Entrada e Saida'!$G$65-'Entrada e Saida'!$I$65)*AU143-AX143</f>
        <v>#DIV/0!</v>
      </c>
      <c r="BA143" s="3" t="e">
        <f>IF('Entrada e Saida'!$H$12="REAL",AZ143*'Entrada e Saida'!$G$81,AU143*'Entrada e Saida'!$G$81)</f>
        <v>#DIV/0!</v>
      </c>
      <c r="BB143" s="3" t="e">
        <f>IF('Entrada e Saida'!$H$12="REAL",AZ143*'Entrada e Saida'!$G$82,AU143*'Entrada e Saida'!$G$82)</f>
        <v>#DIV/0!</v>
      </c>
      <c r="BC143" s="4" t="e">
        <f t="shared" si="72"/>
        <v>#DIV/0!</v>
      </c>
      <c r="BD143" s="3" t="e">
        <f>IF('Entrada e Saida'!$H$11="TRADING",AW143/D143,AK143/D143)</f>
        <v>#DIV/0!</v>
      </c>
      <c r="BE143" s="3" t="e">
        <f t="shared" si="73"/>
        <v>#DIV/0!</v>
      </c>
      <c r="BF143" s="2" t="e">
        <f t="shared" si="74"/>
        <v>#DIV/0!</v>
      </c>
      <c r="BG143" s="3" t="e">
        <f>IF('Entrada e Saida'!$H$11="TRADING",AV143/D143,AN143/D143)</f>
        <v>#DIV/0!</v>
      </c>
      <c r="BH143" s="3" t="e">
        <f>IF('Entrada e Saida'!$H$11="TRADING",IF('Entrada e Saida'!$H$12="REAL",AR143/D143,0),AL143/D143)</f>
        <v>#DIV/0!</v>
      </c>
      <c r="BI143" s="3" t="e">
        <f>IF('Entrada e Saida'!$H$11="TRADING",IF('Entrada e Saida'!$H$12="REAL",AS143/D143,0),AM143/D143)</f>
        <v>#DIV/0!</v>
      </c>
      <c r="BJ143" s="3" t="e">
        <f>IF('Entrada e Saida'!$H$11="TRADING",AT143/D143,AO143/D143)</f>
        <v>#DIV/0!</v>
      </c>
      <c r="BK143" s="2" t="e">
        <f t="shared" si="75"/>
        <v>#DIV/0!</v>
      </c>
      <c r="BL143" s="2">
        <f>IF(O143&gt;0,IFERROR(IF('Entrada e Saida'!$H$11="DIRETA",0,(IF('Entrada e Saida'!$H$14="P.JURIDICA",(BD143*(1+O143)*N143)-((BD143/(1+M143))*'Entrada e Saida'!$G$65),((Produtos!N143-'Entrada e Saida'!$G$65)*Produtos!BD143)))),0),0)</f>
        <v>0</v>
      </c>
      <c r="BM143" s="2" t="e">
        <f t="shared" si="76"/>
        <v>#DIV/0!</v>
      </c>
    </row>
    <row r="144" spans="1:65" s="1" customFormat="1">
      <c r="A144" s="127"/>
      <c r="B144" s="114"/>
      <c r="C144" s="116"/>
      <c r="D144" s="146"/>
      <c r="E144" s="115">
        <f>IFERROR(VLOOKUP(A144,'Master Modelo'!A:I,9,FALSE),0)</f>
        <v>0</v>
      </c>
      <c r="F144" s="189">
        <f>IFERROR(VLOOKUP(A144,'Master Modelo'!A:I,8,FALSE),0)</f>
        <v>0</v>
      </c>
      <c r="G144" s="189">
        <f>IFERROR(VLOOKUP(A144,'Master Modelo'!A:K,11,FALSE),0)</f>
        <v>0</v>
      </c>
      <c r="H144" s="114" t="e">
        <f t="shared" si="59"/>
        <v>#DIV/0!</v>
      </c>
      <c r="I144" s="150">
        <f>IFERROR(VLOOKUP(A144,'Master Modelo'!A:I,3,FALSE),0)</f>
        <v>0</v>
      </c>
      <c r="J144" s="151">
        <f>IFERROR(VLOOKUP(A144,'Master Modelo'!A:I,5,FALSE),0)</f>
        <v>0</v>
      </c>
      <c r="K144" s="151">
        <f>IFERROR(VLOOKUP(A144,'Master Modelo'!A:I,6,FALSE),0)</f>
        <v>0</v>
      </c>
      <c r="L144" s="152" t="e">
        <f>VLOOKUP(A144,'Master Modelo'!A:J,10,FALSE)</f>
        <v>#N/A</v>
      </c>
      <c r="M144" s="150">
        <f>IFERROR(VLOOKUP(A144,'Master Modelo'!A:I,4,FALSE),0)</f>
        <v>0</v>
      </c>
      <c r="N144" s="128"/>
      <c r="O144" s="129"/>
      <c r="P144" s="9">
        <f t="shared" si="60"/>
        <v>0</v>
      </c>
      <c r="Q144" s="177">
        <f t="shared" si="77"/>
        <v>0</v>
      </c>
      <c r="R144" s="3">
        <f>D144*E144*'Entrada e Saida'!$K$8</f>
        <v>0</v>
      </c>
      <c r="S144" s="179" t="e">
        <f>'Entrada e Saida'!$H$21*'Entrada e Saida'!$K$8*(P144/(SUM(P:P)))</f>
        <v>#DIV/0!</v>
      </c>
      <c r="T144" s="179" t="e">
        <f>'Entrada e Saida'!$H$21*'Entrada e Saida'!$K$8*(Q144/(SUM(Q:Q)))</f>
        <v>#DIV/0!</v>
      </c>
      <c r="U144" s="179" t="e">
        <f>'Entrada e Saida'!$H$22*(P144/(SUM(P:P)))</f>
        <v>#DIV/0!</v>
      </c>
      <c r="V144" s="179" t="e">
        <f>'Entrada e Saida'!$H$22*(Q144/(SUM(Q:Q)))</f>
        <v>#DIV/0!</v>
      </c>
      <c r="W144" s="8" t="e">
        <f t="shared" si="61"/>
        <v>#DIV/0!</v>
      </c>
      <c r="X144" s="179" t="e">
        <f>'Entrada e Saida'!$H$26*(IF('Entrada e Saida'!$H$15="PESO",(P144/(SUM(P:P))),(Q144/(SUM(Q:Q)))))</f>
        <v>#DIV/0!</v>
      </c>
      <c r="Y144" s="179" t="e">
        <f>'Entrada e Saida'!$H$27*(IF('Entrada e Saida'!$H$15="PESO",(P144/(SUM(P:P))),(Q144/(SUM(Q:Q)))))</f>
        <v>#DIV/0!</v>
      </c>
      <c r="Z144" s="179" t="e">
        <f>'Entrada e Saida'!$H$28*(IF('Entrada e Saida'!$H$15="PESO",(P144/(SUM(P:P))),(Q144/(SUM(Q:Q)))))</f>
        <v>#DIV/0!</v>
      </c>
      <c r="AA144" s="10" t="e">
        <f t="shared" si="62"/>
        <v>#DIV/0!</v>
      </c>
      <c r="AB144" s="3" t="e">
        <f t="shared" si="63"/>
        <v>#DIV/0!</v>
      </c>
      <c r="AC144" s="3" t="e">
        <f t="shared" si="64"/>
        <v>#DIV/0!</v>
      </c>
      <c r="AD144" s="3" t="e">
        <f t="shared" si="65"/>
        <v>#DIV/0!</v>
      </c>
      <c r="AE144" s="9" t="e">
        <f t="shared" si="66"/>
        <v>#DIV/0!</v>
      </c>
      <c r="AF144" s="126">
        <f>IFERROR(D144*F144*L144*'Entrada e Saida'!$K$8,0)</f>
        <v>0</v>
      </c>
      <c r="AG144" s="3" t="e">
        <f>((W144+AA144+AB144+AC144+AD144+AE144+AF144)/(1-'Entrada e Saida'!$G$65))*'Entrada e Saida'!$I$66</f>
        <v>#DIV/0!</v>
      </c>
      <c r="AH144" s="8" t="e">
        <f t="shared" si="67"/>
        <v>#DIV/0!</v>
      </c>
      <c r="AI144" s="183" t="e">
        <f>'Entrada e Saida'!$K$51*(IF('Entrada e Saida'!$H$15="PESO",(P144/(SUM(P:P))),(Q144/(SUM(Q:Q)))))</f>
        <v>#DIV/0!</v>
      </c>
      <c r="AJ144" s="7">
        <f>(('Entrada e Saida'!$K$10-'Entrada e Saida'!$K$8)*E144*D144)</f>
        <v>0</v>
      </c>
      <c r="AK144" s="184" t="e">
        <f>IF('Entrada e Saida'!$H$15="PESO",W144+AA144+AH144+AI144+AJ144,W144+AA144+AH144+AI144+AJ144-S144+T144-U144+V144)</f>
        <v>#DIV/0!</v>
      </c>
      <c r="AL144" s="6" t="e">
        <f>IF('Entrada e Saida'!$H$12="REAL",AC144,0)</f>
        <v>#DIV/0!</v>
      </c>
      <c r="AM144" s="6" t="e">
        <f>IF('Entrada e Saida'!$H$12="REAL",AD144,0)</f>
        <v>#DIV/0!</v>
      </c>
      <c r="AN144" s="5" t="e">
        <f>IF('Entrada e Saida'!$H$13= "NÃO",AE144,0)</f>
        <v>#DIV/0!</v>
      </c>
      <c r="AO144" s="5" t="e">
        <f t="shared" si="68"/>
        <v>#DIV/0!</v>
      </c>
      <c r="AP144" s="4" t="e">
        <f t="shared" si="69"/>
        <v>#DIV/0!</v>
      </c>
      <c r="AQ144" s="3" t="e">
        <f>IF('Entrada e Saida'!$H$11="TRADING",AU144*'Custo Resumido'!D144,0)</f>
        <v>#DIV/0!</v>
      </c>
      <c r="AR144" s="3" t="e">
        <f>IF('Entrada e Saida'!$H$11="TRADING",AU144*'Entrada e Saida'!$G$63,0)</f>
        <v>#DIV/0!</v>
      </c>
      <c r="AS144" s="3" t="e">
        <f>IF('Entrada e Saida'!$H$11="TRADING",AU144*'Entrada e Saida'!$G$64,0)</f>
        <v>#DIV/0!</v>
      </c>
      <c r="AT144" s="3" t="e">
        <f>IF('Entrada e Saida'!$H$11="TRADING",AU144*'Entrada e Saida'!$G$65,0)</f>
        <v>#DIV/0!</v>
      </c>
      <c r="AU144" s="4" t="e">
        <f>IF('Entrada e Saida'!$H$11="TRADING",AP144/(1-(SUM('Entrada e Saida'!$G$63:$G$65)+'Custo Resumido'!D144)),0)</f>
        <v>#DIV/0!</v>
      </c>
      <c r="AV144" s="3" t="e">
        <f>IF('Entrada e Saida'!$H$13="NÃO",AU144*M144,0)</f>
        <v>#DIV/0!</v>
      </c>
      <c r="AW144" s="4" t="e">
        <f t="shared" si="70"/>
        <v>#DIV/0!</v>
      </c>
      <c r="AX144" s="3" t="e">
        <f>'Entrada e Saida'!$G$74*AU144</f>
        <v>#DIV/0!</v>
      </c>
      <c r="AY144" s="4" t="e">
        <f t="shared" si="71"/>
        <v>#DIV/0!</v>
      </c>
      <c r="AZ144" s="4" t="e">
        <f>AQ144+('Entrada e Saida'!$G$65-'Entrada e Saida'!$I$65)*AU144-AX144</f>
        <v>#DIV/0!</v>
      </c>
      <c r="BA144" s="3" t="e">
        <f>IF('Entrada e Saida'!$H$12="REAL",AZ144*'Entrada e Saida'!$G$81,AU144*'Entrada e Saida'!$G$81)</f>
        <v>#DIV/0!</v>
      </c>
      <c r="BB144" s="3" t="e">
        <f>IF('Entrada e Saida'!$H$12="REAL",AZ144*'Entrada e Saida'!$G$82,AU144*'Entrada e Saida'!$G$82)</f>
        <v>#DIV/0!</v>
      </c>
      <c r="BC144" s="4" t="e">
        <f t="shared" si="72"/>
        <v>#DIV/0!</v>
      </c>
      <c r="BD144" s="3" t="e">
        <f>IF('Entrada e Saida'!$H$11="TRADING",AW144/D144,AK144/D144)</f>
        <v>#DIV/0!</v>
      </c>
      <c r="BE144" s="3" t="e">
        <f t="shared" si="73"/>
        <v>#DIV/0!</v>
      </c>
      <c r="BF144" s="2" t="e">
        <f t="shared" si="74"/>
        <v>#DIV/0!</v>
      </c>
      <c r="BG144" s="3" t="e">
        <f>IF('Entrada e Saida'!$H$11="TRADING",AV144/D144,AN144/D144)</f>
        <v>#DIV/0!</v>
      </c>
      <c r="BH144" s="3" t="e">
        <f>IF('Entrada e Saida'!$H$11="TRADING",IF('Entrada e Saida'!$H$12="REAL",AR144/D144,0),AL144/D144)</f>
        <v>#DIV/0!</v>
      </c>
      <c r="BI144" s="3" t="e">
        <f>IF('Entrada e Saida'!$H$11="TRADING",IF('Entrada e Saida'!$H$12="REAL",AS144/D144,0),AM144/D144)</f>
        <v>#DIV/0!</v>
      </c>
      <c r="BJ144" s="3" t="e">
        <f>IF('Entrada e Saida'!$H$11="TRADING",AT144/D144,AO144/D144)</f>
        <v>#DIV/0!</v>
      </c>
      <c r="BK144" s="2" t="e">
        <f t="shared" si="75"/>
        <v>#DIV/0!</v>
      </c>
      <c r="BL144" s="2">
        <f>IF(O144&gt;0,IFERROR(IF('Entrada e Saida'!$H$11="DIRETA",0,(IF('Entrada e Saida'!$H$14="P.JURIDICA",(BD144*(1+O144)*N144)-((BD144/(1+M144))*'Entrada e Saida'!$G$65),((Produtos!N144-'Entrada e Saida'!$G$65)*Produtos!BD144)))),0),0)</f>
        <v>0</v>
      </c>
      <c r="BM144" s="2" t="e">
        <f t="shared" si="76"/>
        <v>#DIV/0!</v>
      </c>
    </row>
    <row r="145" spans="1:65" s="1" customFormat="1">
      <c r="A145" s="127"/>
      <c r="B145" s="114"/>
      <c r="C145" s="116"/>
      <c r="D145" s="146"/>
      <c r="E145" s="115">
        <f>IFERROR(VLOOKUP(A145,'Master Modelo'!A:I,9,FALSE),0)</f>
        <v>0</v>
      </c>
      <c r="F145" s="189">
        <f>IFERROR(VLOOKUP(A145,'Master Modelo'!A:I,8,FALSE),0)</f>
        <v>0</v>
      </c>
      <c r="G145" s="189">
        <f>IFERROR(VLOOKUP(A145,'Master Modelo'!A:K,11,FALSE),0)</f>
        <v>0</v>
      </c>
      <c r="H145" s="114" t="e">
        <f t="shared" si="59"/>
        <v>#DIV/0!</v>
      </c>
      <c r="I145" s="150">
        <f>IFERROR(VLOOKUP(A145,'Master Modelo'!A:I,3,FALSE),0)</f>
        <v>0</v>
      </c>
      <c r="J145" s="151">
        <f>IFERROR(VLOOKUP(A145,'Master Modelo'!A:I,5,FALSE),0)</f>
        <v>0</v>
      </c>
      <c r="K145" s="151">
        <f>IFERROR(VLOOKUP(A145,'Master Modelo'!A:I,6,FALSE),0)</f>
        <v>0</v>
      </c>
      <c r="L145" s="152" t="e">
        <f>VLOOKUP(A145,'Master Modelo'!A:J,10,FALSE)</f>
        <v>#N/A</v>
      </c>
      <c r="M145" s="150">
        <f>IFERROR(VLOOKUP(A145,'Master Modelo'!A:I,4,FALSE),0)</f>
        <v>0</v>
      </c>
      <c r="N145" s="128"/>
      <c r="O145" s="129"/>
      <c r="P145" s="9">
        <f t="shared" si="60"/>
        <v>0</v>
      </c>
      <c r="Q145" s="177">
        <f t="shared" si="77"/>
        <v>0</v>
      </c>
      <c r="R145" s="3">
        <f>D145*E145*'Entrada e Saida'!$K$8</f>
        <v>0</v>
      </c>
      <c r="S145" s="179" t="e">
        <f>'Entrada e Saida'!$H$21*'Entrada e Saida'!$K$8*(P145/(SUM(P:P)))</f>
        <v>#DIV/0!</v>
      </c>
      <c r="T145" s="179" t="e">
        <f>'Entrada e Saida'!$H$21*'Entrada e Saida'!$K$8*(Q145/(SUM(Q:Q)))</f>
        <v>#DIV/0!</v>
      </c>
      <c r="U145" s="179" t="e">
        <f>'Entrada e Saida'!$H$22*(P145/(SUM(P:P)))</f>
        <v>#DIV/0!</v>
      </c>
      <c r="V145" s="179" t="e">
        <f>'Entrada e Saida'!$H$22*(Q145/(SUM(Q:Q)))</f>
        <v>#DIV/0!</v>
      </c>
      <c r="W145" s="8" t="e">
        <f t="shared" si="61"/>
        <v>#DIV/0!</v>
      </c>
      <c r="X145" s="179" t="e">
        <f>'Entrada e Saida'!$H$26*(IF('Entrada e Saida'!$H$15="PESO",(P145/(SUM(P:P))),(Q145/(SUM(Q:Q)))))</f>
        <v>#DIV/0!</v>
      </c>
      <c r="Y145" s="179" t="e">
        <f>'Entrada e Saida'!$H$27*(IF('Entrada e Saida'!$H$15="PESO",(P145/(SUM(P:P))),(Q145/(SUM(Q:Q)))))</f>
        <v>#DIV/0!</v>
      </c>
      <c r="Z145" s="179" t="e">
        <f>'Entrada e Saida'!$H$28*(IF('Entrada e Saida'!$H$15="PESO",(P145/(SUM(P:P))),(Q145/(SUM(Q:Q)))))</f>
        <v>#DIV/0!</v>
      </c>
      <c r="AA145" s="10" t="e">
        <f t="shared" si="62"/>
        <v>#DIV/0!</v>
      </c>
      <c r="AB145" s="3" t="e">
        <f t="shared" si="63"/>
        <v>#DIV/0!</v>
      </c>
      <c r="AC145" s="3" t="e">
        <f t="shared" si="64"/>
        <v>#DIV/0!</v>
      </c>
      <c r="AD145" s="3" t="e">
        <f t="shared" si="65"/>
        <v>#DIV/0!</v>
      </c>
      <c r="AE145" s="9" t="e">
        <f t="shared" si="66"/>
        <v>#DIV/0!</v>
      </c>
      <c r="AF145" s="126">
        <f>IFERROR(D145*F145*L145*'Entrada e Saida'!$K$8,0)</f>
        <v>0</v>
      </c>
      <c r="AG145" s="3" t="e">
        <f>((W145+AA145+AB145+AC145+AD145+AE145+AF145)/(1-'Entrada e Saida'!$G$65))*'Entrada e Saida'!$I$66</f>
        <v>#DIV/0!</v>
      </c>
      <c r="AH145" s="8" t="e">
        <f t="shared" si="67"/>
        <v>#DIV/0!</v>
      </c>
      <c r="AI145" s="183" t="e">
        <f>'Entrada e Saida'!$K$51*(IF('Entrada e Saida'!$H$15="PESO",(P145/(SUM(P:P))),(Q145/(SUM(Q:Q)))))</f>
        <v>#DIV/0!</v>
      </c>
      <c r="AJ145" s="7">
        <f>(('Entrada e Saida'!$K$10-'Entrada e Saida'!$K$8)*E145*D145)</f>
        <v>0</v>
      </c>
      <c r="AK145" s="184" t="e">
        <f>IF('Entrada e Saida'!$H$15="PESO",W145+AA145+AH145+AI145+AJ145,W145+AA145+AH145+AI145+AJ145-S145+T145-U145+V145)</f>
        <v>#DIV/0!</v>
      </c>
      <c r="AL145" s="6" t="e">
        <f>IF('Entrada e Saida'!$H$12="REAL",AC145,0)</f>
        <v>#DIV/0!</v>
      </c>
      <c r="AM145" s="6" t="e">
        <f>IF('Entrada e Saida'!$H$12="REAL",AD145,0)</f>
        <v>#DIV/0!</v>
      </c>
      <c r="AN145" s="5" t="e">
        <f>IF('Entrada e Saida'!$H$13= "NÃO",AE145,0)</f>
        <v>#DIV/0!</v>
      </c>
      <c r="AO145" s="5" t="e">
        <f t="shared" si="68"/>
        <v>#DIV/0!</v>
      </c>
      <c r="AP145" s="4" t="e">
        <f t="shared" si="69"/>
        <v>#DIV/0!</v>
      </c>
      <c r="AQ145" s="3" t="e">
        <f>IF('Entrada e Saida'!$H$11="TRADING",AU145*'Custo Resumido'!D145,0)</f>
        <v>#DIV/0!</v>
      </c>
      <c r="AR145" s="3" t="e">
        <f>IF('Entrada e Saida'!$H$11="TRADING",AU145*'Entrada e Saida'!$G$63,0)</f>
        <v>#DIV/0!</v>
      </c>
      <c r="AS145" s="3" t="e">
        <f>IF('Entrada e Saida'!$H$11="TRADING",AU145*'Entrada e Saida'!$G$64,0)</f>
        <v>#DIV/0!</v>
      </c>
      <c r="AT145" s="3" t="e">
        <f>IF('Entrada e Saida'!$H$11="TRADING",AU145*'Entrada e Saida'!$G$65,0)</f>
        <v>#DIV/0!</v>
      </c>
      <c r="AU145" s="4" t="e">
        <f>IF('Entrada e Saida'!$H$11="TRADING",AP145/(1-(SUM('Entrada e Saida'!$G$63:$G$65)+'Custo Resumido'!D145)),0)</f>
        <v>#DIV/0!</v>
      </c>
      <c r="AV145" s="3" t="e">
        <f>IF('Entrada e Saida'!$H$13="NÃO",AU145*M145,0)</f>
        <v>#DIV/0!</v>
      </c>
      <c r="AW145" s="4" t="e">
        <f t="shared" si="70"/>
        <v>#DIV/0!</v>
      </c>
      <c r="AX145" s="3" t="e">
        <f>'Entrada e Saida'!$G$74*AU145</f>
        <v>#DIV/0!</v>
      </c>
      <c r="AY145" s="4" t="e">
        <f t="shared" si="71"/>
        <v>#DIV/0!</v>
      </c>
      <c r="AZ145" s="4" t="e">
        <f>AQ145+('Entrada e Saida'!$G$65-'Entrada e Saida'!$I$65)*AU145-AX145</f>
        <v>#DIV/0!</v>
      </c>
      <c r="BA145" s="3" t="e">
        <f>IF('Entrada e Saida'!$H$12="REAL",AZ145*'Entrada e Saida'!$G$81,AU145*'Entrada e Saida'!$G$81)</f>
        <v>#DIV/0!</v>
      </c>
      <c r="BB145" s="3" t="e">
        <f>IF('Entrada e Saida'!$H$12="REAL",AZ145*'Entrada e Saida'!$G$82,AU145*'Entrada e Saida'!$G$82)</f>
        <v>#DIV/0!</v>
      </c>
      <c r="BC145" s="4" t="e">
        <f t="shared" si="72"/>
        <v>#DIV/0!</v>
      </c>
      <c r="BD145" s="3" t="e">
        <f>IF('Entrada e Saida'!$H$11="TRADING",AW145/D145,AK145/D145)</f>
        <v>#DIV/0!</v>
      </c>
      <c r="BE145" s="3" t="e">
        <f t="shared" si="73"/>
        <v>#DIV/0!</v>
      </c>
      <c r="BF145" s="2" t="e">
        <f t="shared" si="74"/>
        <v>#DIV/0!</v>
      </c>
      <c r="BG145" s="3" t="e">
        <f>IF('Entrada e Saida'!$H$11="TRADING",AV145/D145,AN145/D145)</f>
        <v>#DIV/0!</v>
      </c>
      <c r="BH145" s="3" t="e">
        <f>IF('Entrada e Saida'!$H$11="TRADING",IF('Entrada e Saida'!$H$12="REAL",AR145/D145,0),AL145/D145)</f>
        <v>#DIV/0!</v>
      </c>
      <c r="BI145" s="3" t="e">
        <f>IF('Entrada e Saida'!$H$11="TRADING",IF('Entrada e Saida'!$H$12="REAL",AS145/D145,0),AM145/D145)</f>
        <v>#DIV/0!</v>
      </c>
      <c r="BJ145" s="3" t="e">
        <f>IF('Entrada e Saida'!$H$11="TRADING",AT145/D145,AO145/D145)</f>
        <v>#DIV/0!</v>
      </c>
      <c r="BK145" s="2" t="e">
        <f t="shared" si="75"/>
        <v>#DIV/0!</v>
      </c>
      <c r="BL145" s="2">
        <f>IF(O145&gt;0,IFERROR(IF('Entrada e Saida'!$H$11="DIRETA",0,(IF('Entrada e Saida'!$H$14="P.JURIDICA",(BD145*(1+O145)*N145)-((BD145/(1+M145))*'Entrada e Saida'!$G$65),((Produtos!N145-'Entrada e Saida'!$G$65)*Produtos!BD145)))),0),0)</f>
        <v>0</v>
      </c>
      <c r="BM145" s="2" t="e">
        <f t="shared" si="76"/>
        <v>#DIV/0!</v>
      </c>
    </row>
    <row r="146" spans="1:65" s="1" customFormat="1">
      <c r="A146" s="127"/>
      <c r="B146" s="114"/>
      <c r="C146" s="116"/>
      <c r="D146" s="146"/>
      <c r="E146" s="115">
        <f>IFERROR(VLOOKUP(A146,'Master Modelo'!A:I,9,FALSE),0)</f>
        <v>0</v>
      </c>
      <c r="F146" s="189">
        <f>IFERROR(VLOOKUP(A146,'Master Modelo'!A:I,8,FALSE),0)</f>
        <v>0</v>
      </c>
      <c r="G146" s="189">
        <f>IFERROR(VLOOKUP(A146,'Master Modelo'!A:K,11,FALSE),0)</f>
        <v>0</v>
      </c>
      <c r="H146" s="114" t="e">
        <f t="shared" si="59"/>
        <v>#DIV/0!</v>
      </c>
      <c r="I146" s="150">
        <f>IFERROR(VLOOKUP(A146,'Master Modelo'!A:I,3,FALSE),0)</f>
        <v>0</v>
      </c>
      <c r="J146" s="151">
        <f>IFERROR(VLOOKUP(A146,'Master Modelo'!A:I,5,FALSE),0)</f>
        <v>0</v>
      </c>
      <c r="K146" s="151">
        <f>IFERROR(VLOOKUP(A146,'Master Modelo'!A:I,6,FALSE),0)</f>
        <v>0</v>
      </c>
      <c r="L146" s="152" t="e">
        <f>VLOOKUP(A146,'Master Modelo'!A:J,10,FALSE)</f>
        <v>#N/A</v>
      </c>
      <c r="M146" s="150">
        <f>IFERROR(VLOOKUP(A146,'Master Modelo'!A:I,4,FALSE),0)</f>
        <v>0</v>
      </c>
      <c r="N146" s="128"/>
      <c r="O146" s="129"/>
      <c r="P146" s="9">
        <f t="shared" si="60"/>
        <v>0</v>
      </c>
      <c r="Q146" s="177">
        <f t="shared" si="77"/>
        <v>0</v>
      </c>
      <c r="R146" s="3">
        <f>D146*E146*'Entrada e Saida'!$K$8</f>
        <v>0</v>
      </c>
      <c r="S146" s="179" t="e">
        <f>'Entrada e Saida'!$H$21*'Entrada e Saida'!$K$8*(P146/(SUM(P:P)))</f>
        <v>#DIV/0!</v>
      </c>
      <c r="T146" s="179" t="e">
        <f>'Entrada e Saida'!$H$21*'Entrada e Saida'!$K$8*(Q146/(SUM(Q:Q)))</f>
        <v>#DIV/0!</v>
      </c>
      <c r="U146" s="179" t="e">
        <f>'Entrada e Saida'!$H$22*(P146/(SUM(P:P)))</f>
        <v>#DIV/0!</v>
      </c>
      <c r="V146" s="179" t="e">
        <f>'Entrada e Saida'!$H$22*(Q146/(SUM(Q:Q)))</f>
        <v>#DIV/0!</v>
      </c>
      <c r="W146" s="8" t="e">
        <f t="shared" si="61"/>
        <v>#DIV/0!</v>
      </c>
      <c r="X146" s="179" t="e">
        <f>'Entrada e Saida'!$H$26*(IF('Entrada e Saida'!$H$15="PESO",(P146/(SUM(P:P))),(Q146/(SUM(Q:Q)))))</f>
        <v>#DIV/0!</v>
      </c>
      <c r="Y146" s="179" t="e">
        <f>'Entrada e Saida'!$H$27*(IF('Entrada e Saida'!$H$15="PESO",(P146/(SUM(P:P))),(Q146/(SUM(Q:Q)))))</f>
        <v>#DIV/0!</v>
      </c>
      <c r="Z146" s="179" t="e">
        <f>'Entrada e Saida'!$H$28*(IF('Entrada e Saida'!$H$15="PESO",(P146/(SUM(P:P))),(Q146/(SUM(Q:Q)))))</f>
        <v>#DIV/0!</v>
      </c>
      <c r="AA146" s="10" t="e">
        <f t="shared" si="62"/>
        <v>#DIV/0!</v>
      </c>
      <c r="AB146" s="3" t="e">
        <f t="shared" si="63"/>
        <v>#DIV/0!</v>
      </c>
      <c r="AC146" s="3" t="e">
        <f t="shared" si="64"/>
        <v>#DIV/0!</v>
      </c>
      <c r="AD146" s="3" t="e">
        <f t="shared" si="65"/>
        <v>#DIV/0!</v>
      </c>
      <c r="AE146" s="9" t="e">
        <f t="shared" si="66"/>
        <v>#DIV/0!</v>
      </c>
      <c r="AF146" s="126">
        <f>IFERROR(D146*F146*L146*'Entrada e Saida'!$K$8,0)</f>
        <v>0</v>
      </c>
      <c r="AG146" s="3" t="e">
        <f>((W146+AA146+AB146+AC146+AD146+AE146+AF146)/(1-'Entrada e Saida'!$G$65))*'Entrada e Saida'!$I$66</f>
        <v>#DIV/0!</v>
      </c>
      <c r="AH146" s="8" t="e">
        <f t="shared" si="67"/>
        <v>#DIV/0!</v>
      </c>
      <c r="AI146" s="183" t="e">
        <f>'Entrada e Saida'!$K$51*(IF('Entrada e Saida'!$H$15="PESO",(P146/(SUM(P:P))),(Q146/(SUM(Q:Q)))))</f>
        <v>#DIV/0!</v>
      </c>
      <c r="AJ146" s="7">
        <f>(('Entrada e Saida'!$K$10-'Entrada e Saida'!$K$8)*E146*D146)</f>
        <v>0</v>
      </c>
      <c r="AK146" s="184" t="e">
        <f>IF('Entrada e Saida'!$H$15="PESO",W146+AA146+AH146+AI146+AJ146,W146+AA146+AH146+AI146+AJ146-S146+T146-U146+V146)</f>
        <v>#DIV/0!</v>
      </c>
      <c r="AL146" s="6" t="e">
        <f>IF('Entrada e Saida'!$H$12="REAL",AC146,0)</f>
        <v>#DIV/0!</v>
      </c>
      <c r="AM146" s="6" t="e">
        <f>IF('Entrada e Saida'!$H$12="REAL",AD146,0)</f>
        <v>#DIV/0!</v>
      </c>
      <c r="AN146" s="5" t="e">
        <f>IF('Entrada e Saida'!$H$13= "NÃO",AE146,0)</f>
        <v>#DIV/0!</v>
      </c>
      <c r="AO146" s="5" t="e">
        <f t="shared" si="68"/>
        <v>#DIV/0!</v>
      </c>
      <c r="AP146" s="4" t="e">
        <f t="shared" si="69"/>
        <v>#DIV/0!</v>
      </c>
      <c r="AQ146" s="3" t="e">
        <f>IF('Entrada e Saida'!$H$11="TRADING",AU146*'Custo Resumido'!D146,0)</f>
        <v>#DIV/0!</v>
      </c>
      <c r="AR146" s="3" t="e">
        <f>IF('Entrada e Saida'!$H$11="TRADING",AU146*'Entrada e Saida'!$G$63,0)</f>
        <v>#DIV/0!</v>
      </c>
      <c r="AS146" s="3" t="e">
        <f>IF('Entrada e Saida'!$H$11="TRADING",AU146*'Entrada e Saida'!$G$64,0)</f>
        <v>#DIV/0!</v>
      </c>
      <c r="AT146" s="3" t="e">
        <f>IF('Entrada e Saida'!$H$11="TRADING",AU146*'Entrada e Saida'!$G$65,0)</f>
        <v>#DIV/0!</v>
      </c>
      <c r="AU146" s="4" t="e">
        <f>IF('Entrada e Saida'!$H$11="TRADING",AP146/(1-(SUM('Entrada e Saida'!$G$63:$G$65)+'Custo Resumido'!D146)),0)</f>
        <v>#DIV/0!</v>
      </c>
      <c r="AV146" s="3" t="e">
        <f>IF('Entrada e Saida'!$H$13="NÃO",AU146*M146,0)</f>
        <v>#DIV/0!</v>
      </c>
      <c r="AW146" s="4" t="e">
        <f t="shared" si="70"/>
        <v>#DIV/0!</v>
      </c>
      <c r="AX146" s="3" t="e">
        <f>'Entrada e Saida'!$G$74*AU146</f>
        <v>#DIV/0!</v>
      </c>
      <c r="AY146" s="4" t="e">
        <f t="shared" si="71"/>
        <v>#DIV/0!</v>
      </c>
      <c r="AZ146" s="4" t="e">
        <f>AQ146+('Entrada e Saida'!$G$65-'Entrada e Saida'!$I$65)*AU146-AX146</f>
        <v>#DIV/0!</v>
      </c>
      <c r="BA146" s="3" t="e">
        <f>IF('Entrada e Saida'!$H$12="REAL",AZ146*'Entrada e Saida'!$G$81,AU146*'Entrada e Saida'!$G$81)</f>
        <v>#DIV/0!</v>
      </c>
      <c r="BB146" s="3" t="e">
        <f>IF('Entrada e Saida'!$H$12="REAL",AZ146*'Entrada e Saida'!$G$82,AU146*'Entrada e Saida'!$G$82)</f>
        <v>#DIV/0!</v>
      </c>
      <c r="BC146" s="4" t="e">
        <f t="shared" si="72"/>
        <v>#DIV/0!</v>
      </c>
      <c r="BD146" s="3" t="e">
        <f>IF('Entrada e Saida'!$H$11="TRADING",AW146/D146,AK146/D146)</f>
        <v>#DIV/0!</v>
      </c>
      <c r="BE146" s="3" t="e">
        <f t="shared" si="73"/>
        <v>#DIV/0!</v>
      </c>
      <c r="BF146" s="2" t="e">
        <f t="shared" si="74"/>
        <v>#DIV/0!</v>
      </c>
      <c r="BG146" s="3" t="e">
        <f>IF('Entrada e Saida'!$H$11="TRADING",AV146/D146,AN146/D146)</f>
        <v>#DIV/0!</v>
      </c>
      <c r="BH146" s="3" t="e">
        <f>IF('Entrada e Saida'!$H$11="TRADING",IF('Entrada e Saida'!$H$12="REAL",AR146/D146,0),AL146/D146)</f>
        <v>#DIV/0!</v>
      </c>
      <c r="BI146" s="3" t="e">
        <f>IF('Entrada e Saida'!$H$11="TRADING",IF('Entrada e Saida'!$H$12="REAL",AS146/D146,0),AM146/D146)</f>
        <v>#DIV/0!</v>
      </c>
      <c r="BJ146" s="3" t="e">
        <f>IF('Entrada e Saida'!$H$11="TRADING",AT146/D146,AO146/D146)</f>
        <v>#DIV/0!</v>
      </c>
      <c r="BK146" s="2" t="e">
        <f t="shared" si="75"/>
        <v>#DIV/0!</v>
      </c>
      <c r="BL146" s="2">
        <f>IF(O146&gt;0,IFERROR(IF('Entrada e Saida'!$H$11="DIRETA",0,(IF('Entrada e Saida'!$H$14="P.JURIDICA",(BD146*(1+O146)*N146)-((BD146/(1+M146))*'Entrada e Saida'!$G$65),((Produtos!N146-'Entrada e Saida'!$G$65)*Produtos!BD146)))),0),0)</f>
        <v>0</v>
      </c>
      <c r="BM146" s="2" t="e">
        <f t="shared" si="76"/>
        <v>#DIV/0!</v>
      </c>
    </row>
    <row r="147" spans="1:65" s="1" customFormat="1">
      <c r="A147" s="127"/>
      <c r="B147" s="114"/>
      <c r="C147" s="116"/>
      <c r="D147" s="146"/>
      <c r="E147" s="115">
        <f>IFERROR(VLOOKUP(A147,'Master Modelo'!A:I,9,FALSE),0)</f>
        <v>0</v>
      </c>
      <c r="F147" s="189">
        <f>IFERROR(VLOOKUP(A147,'Master Modelo'!A:I,8,FALSE),0)</f>
        <v>0</v>
      </c>
      <c r="G147" s="189">
        <f>IFERROR(VLOOKUP(A147,'Master Modelo'!A:K,11,FALSE),0)</f>
        <v>0</v>
      </c>
      <c r="H147" s="114" t="e">
        <f t="shared" si="59"/>
        <v>#DIV/0!</v>
      </c>
      <c r="I147" s="150">
        <f>IFERROR(VLOOKUP(A147,'Master Modelo'!A:I,3,FALSE),0)</f>
        <v>0</v>
      </c>
      <c r="J147" s="151">
        <f>IFERROR(VLOOKUP(A147,'Master Modelo'!A:I,5,FALSE),0)</f>
        <v>0</v>
      </c>
      <c r="K147" s="151">
        <f>IFERROR(VLOOKUP(A147,'Master Modelo'!A:I,6,FALSE),0)</f>
        <v>0</v>
      </c>
      <c r="L147" s="152" t="e">
        <f>VLOOKUP(A147,'Master Modelo'!A:J,10,FALSE)</f>
        <v>#N/A</v>
      </c>
      <c r="M147" s="150">
        <f>IFERROR(VLOOKUP(A147,'Master Modelo'!A:I,4,FALSE),0)</f>
        <v>0</v>
      </c>
      <c r="N147" s="128"/>
      <c r="O147" s="129"/>
      <c r="P147" s="9">
        <f t="shared" si="60"/>
        <v>0</v>
      </c>
      <c r="Q147" s="177">
        <f t="shared" si="77"/>
        <v>0</v>
      </c>
      <c r="R147" s="3">
        <f>D147*E147*'Entrada e Saida'!$K$8</f>
        <v>0</v>
      </c>
      <c r="S147" s="179" t="e">
        <f>'Entrada e Saida'!$H$21*'Entrada e Saida'!$K$8*(P147/(SUM(P:P)))</f>
        <v>#DIV/0!</v>
      </c>
      <c r="T147" s="179" t="e">
        <f>'Entrada e Saida'!$H$21*'Entrada e Saida'!$K$8*(Q147/(SUM(Q:Q)))</f>
        <v>#DIV/0!</v>
      </c>
      <c r="U147" s="179" t="e">
        <f>'Entrada e Saida'!$H$22*(P147/(SUM(P:P)))</f>
        <v>#DIV/0!</v>
      </c>
      <c r="V147" s="179" t="e">
        <f>'Entrada e Saida'!$H$22*(Q147/(SUM(Q:Q)))</f>
        <v>#DIV/0!</v>
      </c>
      <c r="W147" s="8" t="e">
        <f t="shared" si="61"/>
        <v>#DIV/0!</v>
      </c>
      <c r="X147" s="179" t="e">
        <f>'Entrada e Saida'!$H$26*(IF('Entrada e Saida'!$H$15="PESO",(P147/(SUM(P:P))),(Q147/(SUM(Q:Q)))))</f>
        <v>#DIV/0!</v>
      </c>
      <c r="Y147" s="179" t="e">
        <f>'Entrada e Saida'!$H$27*(IF('Entrada e Saida'!$H$15="PESO",(P147/(SUM(P:P))),(Q147/(SUM(Q:Q)))))</f>
        <v>#DIV/0!</v>
      </c>
      <c r="Z147" s="179" t="e">
        <f>'Entrada e Saida'!$H$28*(IF('Entrada e Saida'!$H$15="PESO",(P147/(SUM(P:P))),(Q147/(SUM(Q:Q)))))</f>
        <v>#DIV/0!</v>
      </c>
      <c r="AA147" s="10" t="e">
        <f t="shared" si="62"/>
        <v>#DIV/0!</v>
      </c>
      <c r="AB147" s="3" t="e">
        <f t="shared" si="63"/>
        <v>#DIV/0!</v>
      </c>
      <c r="AC147" s="3" t="e">
        <f t="shared" si="64"/>
        <v>#DIV/0!</v>
      </c>
      <c r="AD147" s="3" t="e">
        <f t="shared" si="65"/>
        <v>#DIV/0!</v>
      </c>
      <c r="AE147" s="9" t="e">
        <f t="shared" si="66"/>
        <v>#DIV/0!</v>
      </c>
      <c r="AF147" s="126">
        <f>IFERROR(D147*F147*L147*'Entrada e Saida'!$K$8,0)</f>
        <v>0</v>
      </c>
      <c r="AG147" s="3" t="e">
        <f>((W147+AA147+AB147+AC147+AD147+AE147+AF147)/(1-'Entrada e Saida'!$G$65))*'Entrada e Saida'!$I$66</f>
        <v>#DIV/0!</v>
      </c>
      <c r="AH147" s="8" t="e">
        <f t="shared" si="67"/>
        <v>#DIV/0!</v>
      </c>
      <c r="AI147" s="183" t="e">
        <f>'Entrada e Saida'!$K$51*(IF('Entrada e Saida'!$H$15="PESO",(P147/(SUM(P:P))),(Q147/(SUM(Q:Q)))))</f>
        <v>#DIV/0!</v>
      </c>
      <c r="AJ147" s="7">
        <f>(('Entrada e Saida'!$K$10-'Entrada e Saida'!$K$8)*E147*D147)</f>
        <v>0</v>
      </c>
      <c r="AK147" s="184" t="e">
        <f>IF('Entrada e Saida'!$H$15="PESO",W147+AA147+AH147+AI147+AJ147,W147+AA147+AH147+AI147+AJ147-S147+T147-U147+V147)</f>
        <v>#DIV/0!</v>
      </c>
      <c r="AL147" s="6" t="e">
        <f>IF('Entrada e Saida'!$H$12="REAL",AC147,0)</f>
        <v>#DIV/0!</v>
      </c>
      <c r="AM147" s="6" t="e">
        <f>IF('Entrada e Saida'!$H$12="REAL",AD147,0)</f>
        <v>#DIV/0!</v>
      </c>
      <c r="AN147" s="5" t="e">
        <f>IF('Entrada e Saida'!$H$13= "NÃO",AE147,0)</f>
        <v>#DIV/0!</v>
      </c>
      <c r="AO147" s="5" t="e">
        <f t="shared" si="68"/>
        <v>#DIV/0!</v>
      </c>
      <c r="AP147" s="4" t="e">
        <f t="shared" si="69"/>
        <v>#DIV/0!</v>
      </c>
      <c r="AQ147" s="3" t="e">
        <f>IF('Entrada e Saida'!$H$11="TRADING",AU147*'Custo Resumido'!D147,0)</f>
        <v>#DIV/0!</v>
      </c>
      <c r="AR147" s="3" t="e">
        <f>IF('Entrada e Saida'!$H$11="TRADING",AU147*'Entrada e Saida'!$G$63,0)</f>
        <v>#DIV/0!</v>
      </c>
      <c r="AS147" s="3" t="e">
        <f>IF('Entrada e Saida'!$H$11="TRADING",AU147*'Entrada e Saida'!$G$64,0)</f>
        <v>#DIV/0!</v>
      </c>
      <c r="AT147" s="3" t="e">
        <f>IF('Entrada e Saida'!$H$11="TRADING",AU147*'Entrada e Saida'!$G$65,0)</f>
        <v>#DIV/0!</v>
      </c>
      <c r="AU147" s="4" t="e">
        <f>IF('Entrada e Saida'!$H$11="TRADING",AP147/(1-(SUM('Entrada e Saida'!$G$63:$G$65)+'Custo Resumido'!D147)),0)</f>
        <v>#DIV/0!</v>
      </c>
      <c r="AV147" s="3" t="e">
        <f>IF('Entrada e Saida'!$H$13="NÃO",AU147*M147,0)</f>
        <v>#DIV/0!</v>
      </c>
      <c r="AW147" s="4" t="e">
        <f t="shared" si="70"/>
        <v>#DIV/0!</v>
      </c>
      <c r="AX147" s="3" t="e">
        <f>'Entrada e Saida'!$G$74*AU147</f>
        <v>#DIV/0!</v>
      </c>
      <c r="AY147" s="4" t="e">
        <f t="shared" si="71"/>
        <v>#DIV/0!</v>
      </c>
      <c r="AZ147" s="4" t="e">
        <f>AQ147+('Entrada e Saida'!$G$65-'Entrada e Saida'!$I$65)*AU147-AX147</f>
        <v>#DIV/0!</v>
      </c>
      <c r="BA147" s="3" t="e">
        <f>IF('Entrada e Saida'!$H$12="REAL",AZ147*'Entrada e Saida'!$G$81,AU147*'Entrada e Saida'!$G$81)</f>
        <v>#DIV/0!</v>
      </c>
      <c r="BB147" s="3" t="e">
        <f>IF('Entrada e Saida'!$H$12="REAL",AZ147*'Entrada e Saida'!$G$82,AU147*'Entrada e Saida'!$G$82)</f>
        <v>#DIV/0!</v>
      </c>
      <c r="BC147" s="4" t="e">
        <f t="shared" si="72"/>
        <v>#DIV/0!</v>
      </c>
      <c r="BD147" s="3" t="e">
        <f>IF('Entrada e Saida'!$H$11="TRADING",AW147/D147,AK147/D147)</f>
        <v>#DIV/0!</v>
      </c>
      <c r="BE147" s="3" t="e">
        <f t="shared" si="73"/>
        <v>#DIV/0!</v>
      </c>
      <c r="BF147" s="2" t="e">
        <f t="shared" si="74"/>
        <v>#DIV/0!</v>
      </c>
      <c r="BG147" s="3" t="e">
        <f>IF('Entrada e Saida'!$H$11="TRADING",AV147/D147,AN147/D147)</f>
        <v>#DIV/0!</v>
      </c>
      <c r="BH147" s="3" t="e">
        <f>IF('Entrada e Saida'!$H$11="TRADING",IF('Entrada e Saida'!$H$12="REAL",AR147/D147,0),AL147/D147)</f>
        <v>#DIV/0!</v>
      </c>
      <c r="BI147" s="3" t="e">
        <f>IF('Entrada e Saida'!$H$11="TRADING",IF('Entrada e Saida'!$H$12="REAL",AS147/D147,0),AM147/D147)</f>
        <v>#DIV/0!</v>
      </c>
      <c r="BJ147" s="3" t="e">
        <f>IF('Entrada e Saida'!$H$11="TRADING",AT147/D147,AO147/D147)</f>
        <v>#DIV/0!</v>
      </c>
      <c r="BK147" s="2" t="e">
        <f t="shared" si="75"/>
        <v>#DIV/0!</v>
      </c>
      <c r="BL147" s="2">
        <f>IF(O147&gt;0,IFERROR(IF('Entrada e Saida'!$H$11="DIRETA",0,(IF('Entrada e Saida'!$H$14="P.JURIDICA",(BD147*(1+O147)*N147)-((BD147/(1+M147))*'Entrada e Saida'!$G$65),((Produtos!N147-'Entrada e Saida'!$G$65)*Produtos!BD147)))),0),0)</f>
        <v>0</v>
      </c>
      <c r="BM147" s="2" t="e">
        <f t="shared" si="76"/>
        <v>#DIV/0!</v>
      </c>
    </row>
    <row r="148" spans="1:65" s="1" customFormat="1">
      <c r="A148" s="127"/>
      <c r="B148" s="114"/>
      <c r="C148" s="116"/>
      <c r="D148" s="146"/>
      <c r="E148" s="115">
        <f>IFERROR(VLOOKUP(A148,'Master Modelo'!A:I,9,FALSE),0)</f>
        <v>0</v>
      </c>
      <c r="F148" s="189">
        <f>IFERROR(VLOOKUP(A148,'Master Modelo'!A:I,8,FALSE),0)</f>
        <v>0</v>
      </c>
      <c r="G148" s="189">
        <f>IFERROR(VLOOKUP(A148,'Master Modelo'!A:K,11,FALSE),0)</f>
        <v>0</v>
      </c>
      <c r="H148" s="114" t="e">
        <f t="shared" si="59"/>
        <v>#DIV/0!</v>
      </c>
      <c r="I148" s="150">
        <f>IFERROR(VLOOKUP(A148,'Master Modelo'!A:I,3,FALSE),0)</f>
        <v>0</v>
      </c>
      <c r="J148" s="151">
        <f>IFERROR(VLOOKUP(A148,'Master Modelo'!A:I,5,FALSE),0)</f>
        <v>0</v>
      </c>
      <c r="K148" s="151">
        <f>IFERROR(VLOOKUP(A148,'Master Modelo'!A:I,6,FALSE),0)</f>
        <v>0</v>
      </c>
      <c r="L148" s="152" t="e">
        <f>VLOOKUP(A148,'Master Modelo'!A:J,10,FALSE)</f>
        <v>#N/A</v>
      </c>
      <c r="M148" s="150">
        <f>IFERROR(VLOOKUP(A148,'Master Modelo'!A:I,4,FALSE),0)</f>
        <v>0</v>
      </c>
      <c r="N148" s="128"/>
      <c r="O148" s="129"/>
      <c r="P148" s="9">
        <f t="shared" si="60"/>
        <v>0</v>
      </c>
      <c r="Q148" s="177">
        <f t="shared" si="77"/>
        <v>0</v>
      </c>
      <c r="R148" s="3">
        <f>D148*E148*'Entrada e Saida'!$K$8</f>
        <v>0</v>
      </c>
      <c r="S148" s="179" t="e">
        <f>'Entrada e Saida'!$H$21*'Entrada e Saida'!$K$8*(P148/(SUM(P:P)))</f>
        <v>#DIV/0!</v>
      </c>
      <c r="T148" s="179" t="e">
        <f>'Entrada e Saida'!$H$21*'Entrada e Saida'!$K$8*(Q148/(SUM(Q:Q)))</f>
        <v>#DIV/0!</v>
      </c>
      <c r="U148" s="179" t="e">
        <f>'Entrada e Saida'!$H$22*(P148/(SUM(P:P)))</f>
        <v>#DIV/0!</v>
      </c>
      <c r="V148" s="179" t="e">
        <f>'Entrada e Saida'!$H$22*(Q148/(SUM(Q:Q)))</f>
        <v>#DIV/0!</v>
      </c>
      <c r="W148" s="8" t="e">
        <f t="shared" si="61"/>
        <v>#DIV/0!</v>
      </c>
      <c r="X148" s="179" t="e">
        <f>'Entrada e Saida'!$H$26*(IF('Entrada e Saida'!$H$15="PESO",(P148/(SUM(P:P))),(Q148/(SUM(Q:Q)))))</f>
        <v>#DIV/0!</v>
      </c>
      <c r="Y148" s="179" t="e">
        <f>'Entrada e Saida'!$H$27*(IF('Entrada e Saida'!$H$15="PESO",(P148/(SUM(P:P))),(Q148/(SUM(Q:Q)))))</f>
        <v>#DIV/0!</v>
      </c>
      <c r="Z148" s="179" t="e">
        <f>'Entrada e Saida'!$H$28*(IF('Entrada e Saida'!$H$15="PESO",(P148/(SUM(P:P))),(Q148/(SUM(Q:Q)))))</f>
        <v>#DIV/0!</v>
      </c>
      <c r="AA148" s="10" t="e">
        <f t="shared" si="62"/>
        <v>#DIV/0!</v>
      </c>
      <c r="AB148" s="3" t="e">
        <f t="shared" si="63"/>
        <v>#DIV/0!</v>
      </c>
      <c r="AC148" s="3" t="e">
        <f t="shared" si="64"/>
        <v>#DIV/0!</v>
      </c>
      <c r="AD148" s="3" t="e">
        <f t="shared" si="65"/>
        <v>#DIV/0!</v>
      </c>
      <c r="AE148" s="9" t="e">
        <f t="shared" si="66"/>
        <v>#DIV/0!</v>
      </c>
      <c r="AF148" s="126">
        <f>IFERROR(D148*F148*L148*'Entrada e Saida'!$K$8,0)</f>
        <v>0</v>
      </c>
      <c r="AG148" s="3" t="e">
        <f>((W148+AA148+AB148+AC148+AD148+AE148+AF148)/(1-'Entrada e Saida'!$G$65))*'Entrada e Saida'!$I$66</f>
        <v>#DIV/0!</v>
      </c>
      <c r="AH148" s="8" t="e">
        <f t="shared" si="67"/>
        <v>#DIV/0!</v>
      </c>
      <c r="AI148" s="183" t="e">
        <f>'Entrada e Saida'!$K$51*(IF('Entrada e Saida'!$H$15="PESO",(P148/(SUM(P:P))),(Q148/(SUM(Q:Q)))))</f>
        <v>#DIV/0!</v>
      </c>
      <c r="AJ148" s="7">
        <f>(('Entrada e Saida'!$K$10-'Entrada e Saida'!$K$8)*E148*D148)</f>
        <v>0</v>
      </c>
      <c r="AK148" s="184" t="e">
        <f>IF('Entrada e Saida'!$H$15="PESO",W148+AA148+AH148+AI148+AJ148,W148+AA148+AH148+AI148+AJ148-S148+T148-U148+V148)</f>
        <v>#DIV/0!</v>
      </c>
      <c r="AL148" s="6" t="e">
        <f>IF('Entrada e Saida'!$H$12="REAL",AC148,0)</f>
        <v>#DIV/0!</v>
      </c>
      <c r="AM148" s="6" t="e">
        <f>IF('Entrada e Saida'!$H$12="REAL",AD148,0)</f>
        <v>#DIV/0!</v>
      </c>
      <c r="AN148" s="5" t="e">
        <f>IF('Entrada e Saida'!$H$13= "NÃO",AE148,0)</f>
        <v>#DIV/0!</v>
      </c>
      <c r="AO148" s="5" t="e">
        <f t="shared" si="68"/>
        <v>#DIV/0!</v>
      </c>
      <c r="AP148" s="4" t="e">
        <f t="shared" si="69"/>
        <v>#DIV/0!</v>
      </c>
      <c r="AQ148" s="3" t="e">
        <f>IF('Entrada e Saida'!$H$11="TRADING",AU148*'Custo Resumido'!D148,0)</f>
        <v>#DIV/0!</v>
      </c>
      <c r="AR148" s="3" t="e">
        <f>IF('Entrada e Saida'!$H$11="TRADING",AU148*'Entrada e Saida'!$G$63,0)</f>
        <v>#DIV/0!</v>
      </c>
      <c r="AS148" s="3" t="e">
        <f>IF('Entrada e Saida'!$H$11="TRADING",AU148*'Entrada e Saida'!$G$64,0)</f>
        <v>#DIV/0!</v>
      </c>
      <c r="AT148" s="3" t="e">
        <f>IF('Entrada e Saida'!$H$11="TRADING",AU148*'Entrada e Saida'!$G$65,0)</f>
        <v>#DIV/0!</v>
      </c>
      <c r="AU148" s="4" t="e">
        <f>IF('Entrada e Saida'!$H$11="TRADING",AP148/(1-(SUM('Entrada e Saida'!$G$63:$G$65)+'Custo Resumido'!D148)),0)</f>
        <v>#DIV/0!</v>
      </c>
      <c r="AV148" s="3" t="e">
        <f>IF('Entrada e Saida'!$H$13="NÃO",AU148*M148,0)</f>
        <v>#DIV/0!</v>
      </c>
      <c r="AW148" s="4" t="e">
        <f t="shared" si="70"/>
        <v>#DIV/0!</v>
      </c>
      <c r="AX148" s="3" t="e">
        <f>'Entrada e Saida'!$G$74*AU148</f>
        <v>#DIV/0!</v>
      </c>
      <c r="AY148" s="4" t="e">
        <f t="shared" si="71"/>
        <v>#DIV/0!</v>
      </c>
      <c r="AZ148" s="4" t="e">
        <f>AQ148+('Entrada e Saida'!$G$65-'Entrada e Saida'!$I$65)*AU148-AX148</f>
        <v>#DIV/0!</v>
      </c>
      <c r="BA148" s="3" t="e">
        <f>IF('Entrada e Saida'!$H$12="REAL",AZ148*'Entrada e Saida'!$G$81,AU148*'Entrada e Saida'!$G$81)</f>
        <v>#DIV/0!</v>
      </c>
      <c r="BB148" s="3" t="e">
        <f>IF('Entrada e Saida'!$H$12="REAL",AZ148*'Entrada e Saida'!$G$82,AU148*'Entrada e Saida'!$G$82)</f>
        <v>#DIV/0!</v>
      </c>
      <c r="BC148" s="4" t="e">
        <f t="shared" si="72"/>
        <v>#DIV/0!</v>
      </c>
      <c r="BD148" s="3" t="e">
        <f>IF('Entrada e Saida'!$H$11="TRADING",AW148/D148,AK148/D148)</f>
        <v>#DIV/0!</v>
      </c>
      <c r="BE148" s="3" t="e">
        <f t="shared" si="73"/>
        <v>#DIV/0!</v>
      </c>
      <c r="BF148" s="2" t="e">
        <f t="shared" si="74"/>
        <v>#DIV/0!</v>
      </c>
      <c r="BG148" s="3" t="e">
        <f>IF('Entrada e Saida'!$H$11="TRADING",AV148/D148,AN148/D148)</f>
        <v>#DIV/0!</v>
      </c>
      <c r="BH148" s="3" t="e">
        <f>IF('Entrada e Saida'!$H$11="TRADING",IF('Entrada e Saida'!$H$12="REAL",AR148/D148,0),AL148/D148)</f>
        <v>#DIV/0!</v>
      </c>
      <c r="BI148" s="3" t="e">
        <f>IF('Entrada e Saida'!$H$11="TRADING",IF('Entrada e Saida'!$H$12="REAL",AS148/D148,0),AM148/D148)</f>
        <v>#DIV/0!</v>
      </c>
      <c r="BJ148" s="3" t="e">
        <f>IF('Entrada e Saida'!$H$11="TRADING",AT148/D148,AO148/D148)</f>
        <v>#DIV/0!</v>
      </c>
      <c r="BK148" s="2" t="e">
        <f t="shared" si="75"/>
        <v>#DIV/0!</v>
      </c>
      <c r="BL148" s="2">
        <f>IF(O148&gt;0,IFERROR(IF('Entrada e Saida'!$H$11="DIRETA",0,(IF('Entrada e Saida'!$H$14="P.JURIDICA",(BD148*(1+O148)*N148)-((BD148/(1+M148))*'Entrada e Saida'!$G$65),((Produtos!N148-'Entrada e Saida'!$G$65)*Produtos!BD148)))),0),0)</f>
        <v>0</v>
      </c>
      <c r="BM148" s="2" t="e">
        <f t="shared" si="76"/>
        <v>#DIV/0!</v>
      </c>
    </row>
    <row r="149" spans="1:65" s="1" customFormat="1">
      <c r="A149" s="127"/>
      <c r="B149" s="114"/>
      <c r="C149" s="116"/>
      <c r="D149" s="146"/>
      <c r="E149" s="115">
        <f>IFERROR(VLOOKUP(A149,'Master Modelo'!A:I,9,FALSE),0)</f>
        <v>0</v>
      </c>
      <c r="F149" s="189">
        <f>IFERROR(VLOOKUP(A149,'Master Modelo'!A:I,8,FALSE),0)</f>
        <v>0</v>
      </c>
      <c r="G149" s="189">
        <f>IFERROR(VLOOKUP(A149,'Master Modelo'!A:K,11,FALSE),0)</f>
        <v>0</v>
      </c>
      <c r="H149" s="114" t="e">
        <f t="shared" si="59"/>
        <v>#DIV/0!</v>
      </c>
      <c r="I149" s="150">
        <f>IFERROR(VLOOKUP(A149,'Master Modelo'!A:I,3,FALSE),0)</f>
        <v>0</v>
      </c>
      <c r="J149" s="151">
        <f>IFERROR(VLOOKUP(A149,'Master Modelo'!A:I,5,FALSE),0)</f>
        <v>0</v>
      </c>
      <c r="K149" s="151">
        <f>IFERROR(VLOOKUP(A149,'Master Modelo'!A:I,6,FALSE),0)</f>
        <v>0</v>
      </c>
      <c r="L149" s="152" t="e">
        <f>VLOOKUP(A149,'Master Modelo'!A:J,10,FALSE)</f>
        <v>#N/A</v>
      </c>
      <c r="M149" s="150">
        <f>IFERROR(VLOOKUP(A149,'Master Modelo'!A:I,4,FALSE),0)</f>
        <v>0</v>
      </c>
      <c r="N149" s="128"/>
      <c r="O149" s="129"/>
      <c r="P149" s="9">
        <f t="shared" si="60"/>
        <v>0</v>
      </c>
      <c r="Q149" s="177">
        <f t="shared" si="77"/>
        <v>0</v>
      </c>
      <c r="R149" s="3">
        <f>D149*E149*'Entrada e Saida'!$K$8</f>
        <v>0</v>
      </c>
      <c r="S149" s="179" t="e">
        <f>'Entrada e Saida'!$H$21*'Entrada e Saida'!$K$8*(P149/(SUM(P:P)))</f>
        <v>#DIV/0!</v>
      </c>
      <c r="T149" s="179" t="e">
        <f>'Entrada e Saida'!$H$21*'Entrada e Saida'!$K$8*(Q149/(SUM(Q:Q)))</f>
        <v>#DIV/0!</v>
      </c>
      <c r="U149" s="179" t="e">
        <f>'Entrada e Saida'!$H$22*(P149/(SUM(P:P)))</f>
        <v>#DIV/0!</v>
      </c>
      <c r="V149" s="179" t="e">
        <f>'Entrada e Saida'!$H$22*(Q149/(SUM(Q:Q)))</f>
        <v>#DIV/0!</v>
      </c>
      <c r="W149" s="8" t="e">
        <f t="shared" si="61"/>
        <v>#DIV/0!</v>
      </c>
      <c r="X149" s="179" t="e">
        <f>'Entrada e Saida'!$H$26*(IF('Entrada e Saida'!$H$15="PESO",(P149/(SUM(P:P))),(Q149/(SUM(Q:Q)))))</f>
        <v>#DIV/0!</v>
      </c>
      <c r="Y149" s="179" t="e">
        <f>'Entrada e Saida'!$H$27*(IF('Entrada e Saida'!$H$15="PESO",(P149/(SUM(P:P))),(Q149/(SUM(Q:Q)))))</f>
        <v>#DIV/0!</v>
      </c>
      <c r="Z149" s="179" t="e">
        <f>'Entrada e Saida'!$H$28*(IF('Entrada e Saida'!$H$15="PESO",(P149/(SUM(P:P))),(Q149/(SUM(Q:Q)))))</f>
        <v>#DIV/0!</v>
      </c>
      <c r="AA149" s="10" t="e">
        <f t="shared" si="62"/>
        <v>#DIV/0!</v>
      </c>
      <c r="AB149" s="3" t="e">
        <f t="shared" si="63"/>
        <v>#DIV/0!</v>
      </c>
      <c r="AC149" s="3" t="e">
        <f t="shared" si="64"/>
        <v>#DIV/0!</v>
      </c>
      <c r="AD149" s="3" t="e">
        <f t="shared" si="65"/>
        <v>#DIV/0!</v>
      </c>
      <c r="AE149" s="9" t="e">
        <f t="shared" si="66"/>
        <v>#DIV/0!</v>
      </c>
      <c r="AF149" s="126">
        <f>IFERROR(D149*F149*L149*'Entrada e Saida'!$K$8,0)</f>
        <v>0</v>
      </c>
      <c r="AG149" s="3" t="e">
        <f>((W149+AA149+AB149+AC149+AD149+AE149+AF149)/(1-'Entrada e Saida'!$G$65))*'Entrada e Saida'!$I$66</f>
        <v>#DIV/0!</v>
      </c>
      <c r="AH149" s="8" t="e">
        <f t="shared" si="67"/>
        <v>#DIV/0!</v>
      </c>
      <c r="AI149" s="183" t="e">
        <f>'Entrada e Saida'!$K$51*(IF('Entrada e Saida'!$H$15="PESO",(P149/(SUM(P:P))),(Q149/(SUM(Q:Q)))))</f>
        <v>#DIV/0!</v>
      </c>
      <c r="AJ149" s="7">
        <f>(('Entrada e Saida'!$K$10-'Entrada e Saida'!$K$8)*E149*D149)</f>
        <v>0</v>
      </c>
      <c r="AK149" s="184" t="e">
        <f>IF('Entrada e Saida'!$H$15="PESO",W149+AA149+AH149+AI149+AJ149,W149+AA149+AH149+AI149+AJ149-S149+T149-U149+V149)</f>
        <v>#DIV/0!</v>
      </c>
      <c r="AL149" s="6" t="e">
        <f>IF('Entrada e Saida'!$H$12="REAL",AC149,0)</f>
        <v>#DIV/0!</v>
      </c>
      <c r="AM149" s="6" t="e">
        <f>IF('Entrada e Saida'!$H$12="REAL",AD149,0)</f>
        <v>#DIV/0!</v>
      </c>
      <c r="AN149" s="5" t="e">
        <f>IF('Entrada e Saida'!$H$13= "NÃO",AE149,0)</f>
        <v>#DIV/0!</v>
      </c>
      <c r="AO149" s="5" t="e">
        <f t="shared" si="68"/>
        <v>#DIV/0!</v>
      </c>
      <c r="AP149" s="4" t="e">
        <f t="shared" si="69"/>
        <v>#DIV/0!</v>
      </c>
      <c r="AQ149" s="3" t="e">
        <f>IF('Entrada e Saida'!$H$11="TRADING",AU149*'Custo Resumido'!D149,0)</f>
        <v>#DIV/0!</v>
      </c>
      <c r="AR149" s="3" t="e">
        <f>IF('Entrada e Saida'!$H$11="TRADING",AU149*'Entrada e Saida'!$G$63,0)</f>
        <v>#DIV/0!</v>
      </c>
      <c r="AS149" s="3" t="e">
        <f>IF('Entrada e Saida'!$H$11="TRADING",AU149*'Entrada e Saida'!$G$64,0)</f>
        <v>#DIV/0!</v>
      </c>
      <c r="AT149" s="3" t="e">
        <f>IF('Entrada e Saida'!$H$11="TRADING",AU149*'Entrada e Saida'!$G$65,0)</f>
        <v>#DIV/0!</v>
      </c>
      <c r="AU149" s="4" t="e">
        <f>IF('Entrada e Saida'!$H$11="TRADING",AP149/(1-(SUM('Entrada e Saida'!$G$63:$G$65)+'Custo Resumido'!D149)),0)</f>
        <v>#DIV/0!</v>
      </c>
      <c r="AV149" s="3" t="e">
        <f>IF('Entrada e Saida'!$H$13="NÃO",AU149*M149,0)</f>
        <v>#DIV/0!</v>
      </c>
      <c r="AW149" s="4" t="e">
        <f t="shared" si="70"/>
        <v>#DIV/0!</v>
      </c>
      <c r="AX149" s="3" t="e">
        <f>'Entrada e Saida'!$G$74*AU149</f>
        <v>#DIV/0!</v>
      </c>
      <c r="AY149" s="4" t="e">
        <f t="shared" si="71"/>
        <v>#DIV/0!</v>
      </c>
      <c r="AZ149" s="4" t="e">
        <f>AQ149+('Entrada e Saida'!$G$65-'Entrada e Saida'!$I$65)*AU149-AX149</f>
        <v>#DIV/0!</v>
      </c>
      <c r="BA149" s="3" t="e">
        <f>IF('Entrada e Saida'!$H$12="REAL",AZ149*'Entrada e Saida'!$G$81,AU149*'Entrada e Saida'!$G$81)</f>
        <v>#DIV/0!</v>
      </c>
      <c r="BB149" s="3" t="e">
        <f>IF('Entrada e Saida'!$H$12="REAL",AZ149*'Entrada e Saida'!$G$82,AU149*'Entrada e Saida'!$G$82)</f>
        <v>#DIV/0!</v>
      </c>
      <c r="BC149" s="4" t="e">
        <f t="shared" si="72"/>
        <v>#DIV/0!</v>
      </c>
      <c r="BD149" s="3" t="e">
        <f>IF('Entrada e Saida'!$H$11="TRADING",AW149/D149,AK149/D149)</f>
        <v>#DIV/0!</v>
      </c>
      <c r="BE149" s="3" t="e">
        <f t="shared" si="73"/>
        <v>#DIV/0!</v>
      </c>
      <c r="BF149" s="2" t="e">
        <f t="shared" si="74"/>
        <v>#DIV/0!</v>
      </c>
      <c r="BG149" s="3" t="e">
        <f>IF('Entrada e Saida'!$H$11="TRADING",AV149/D149,AN149/D149)</f>
        <v>#DIV/0!</v>
      </c>
      <c r="BH149" s="3" t="e">
        <f>IF('Entrada e Saida'!$H$11="TRADING",IF('Entrada e Saida'!$H$12="REAL",AR149/D149,0),AL149/D149)</f>
        <v>#DIV/0!</v>
      </c>
      <c r="BI149" s="3" t="e">
        <f>IF('Entrada e Saida'!$H$11="TRADING",IF('Entrada e Saida'!$H$12="REAL",AS149/D149,0),AM149/D149)</f>
        <v>#DIV/0!</v>
      </c>
      <c r="BJ149" s="3" t="e">
        <f>IF('Entrada e Saida'!$H$11="TRADING",AT149/D149,AO149/D149)</f>
        <v>#DIV/0!</v>
      </c>
      <c r="BK149" s="2" t="e">
        <f t="shared" si="75"/>
        <v>#DIV/0!</v>
      </c>
      <c r="BL149" s="2">
        <f>IF(O149&gt;0,IFERROR(IF('Entrada e Saida'!$H$11="DIRETA",0,(IF('Entrada e Saida'!$H$14="P.JURIDICA",(BD149*(1+O149)*N149)-((BD149/(1+M149))*'Entrada e Saida'!$G$65),((Produtos!N149-'Entrada e Saida'!$G$65)*Produtos!BD149)))),0),0)</f>
        <v>0</v>
      </c>
      <c r="BM149" s="2" t="e">
        <f t="shared" si="76"/>
        <v>#DIV/0!</v>
      </c>
    </row>
    <row r="150" spans="1:65" s="1" customFormat="1">
      <c r="A150" s="127"/>
      <c r="B150" s="114"/>
      <c r="C150" s="116"/>
      <c r="D150" s="146"/>
      <c r="E150" s="115">
        <f>IFERROR(VLOOKUP(A150,'Master Modelo'!A:I,9,FALSE),0)</f>
        <v>0</v>
      </c>
      <c r="F150" s="189">
        <f>IFERROR(VLOOKUP(A150,'Master Modelo'!A:I,8,FALSE),0)</f>
        <v>0</v>
      </c>
      <c r="G150" s="189">
        <f>IFERROR(VLOOKUP(A150,'Master Modelo'!A:K,11,FALSE),0)</f>
        <v>0</v>
      </c>
      <c r="H150" s="114" t="e">
        <f t="shared" si="59"/>
        <v>#DIV/0!</v>
      </c>
      <c r="I150" s="150">
        <f>IFERROR(VLOOKUP(A150,'Master Modelo'!A:I,3,FALSE),0)</f>
        <v>0</v>
      </c>
      <c r="J150" s="151">
        <f>IFERROR(VLOOKUP(A150,'Master Modelo'!A:I,5,FALSE),0)</f>
        <v>0</v>
      </c>
      <c r="K150" s="151">
        <f>IFERROR(VLOOKUP(A150,'Master Modelo'!A:I,6,FALSE),0)</f>
        <v>0</v>
      </c>
      <c r="L150" s="152" t="e">
        <f>VLOOKUP(A150,'Master Modelo'!A:J,10,FALSE)</f>
        <v>#N/A</v>
      </c>
      <c r="M150" s="150">
        <f>IFERROR(VLOOKUP(A150,'Master Modelo'!A:I,4,FALSE),0)</f>
        <v>0</v>
      </c>
      <c r="N150" s="128"/>
      <c r="O150" s="129"/>
      <c r="P150" s="9">
        <f t="shared" si="60"/>
        <v>0</v>
      </c>
      <c r="Q150" s="177">
        <f t="shared" si="77"/>
        <v>0</v>
      </c>
      <c r="R150" s="3">
        <f>D150*E150*'Entrada e Saida'!$K$8</f>
        <v>0</v>
      </c>
      <c r="S150" s="179" t="e">
        <f>'Entrada e Saida'!$H$21*'Entrada e Saida'!$K$8*(P150/(SUM(P:P)))</f>
        <v>#DIV/0!</v>
      </c>
      <c r="T150" s="179" t="e">
        <f>'Entrada e Saida'!$H$21*'Entrada e Saida'!$K$8*(Q150/(SUM(Q:Q)))</f>
        <v>#DIV/0!</v>
      </c>
      <c r="U150" s="179" t="e">
        <f>'Entrada e Saida'!$H$22*(P150/(SUM(P:P)))</f>
        <v>#DIV/0!</v>
      </c>
      <c r="V150" s="179" t="e">
        <f>'Entrada e Saida'!$H$22*(Q150/(SUM(Q:Q)))</f>
        <v>#DIV/0!</v>
      </c>
      <c r="W150" s="8" t="e">
        <f t="shared" si="61"/>
        <v>#DIV/0!</v>
      </c>
      <c r="X150" s="179" t="e">
        <f>'Entrada e Saida'!$H$26*(IF('Entrada e Saida'!$H$15="PESO",(P150/(SUM(P:P))),(Q150/(SUM(Q:Q)))))</f>
        <v>#DIV/0!</v>
      </c>
      <c r="Y150" s="179" t="e">
        <f>'Entrada e Saida'!$H$27*(IF('Entrada e Saida'!$H$15="PESO",(P150/(SUM(P:P))),(Q150/(SUM(Q:Q)))))</f>
        <v>#DIV/0!</v>
      </c>
      <c r="Z150" s="179" t="e">
        <f>'Entrada e Saida'!$H$28*(IF('Entrada e Saida'!$H$15="PESO",(P150/(SUM(P:P))),(Q150/(SUM(Q:Q)))))</f>
        <v>#DIV/0!</v>
      </c>
      <c r="AA150" s="10" t="e">
        <f t="shared" si="62"/>
        <v>#DIV/0!</v>
      </c>
      <c r="AB150" s="3" t="e">
        <f t="shared" si="63"/>
        <v>#DIV/0!</v>
      </c>
      <c r="AC150" s="3" t="e">
        <f t="shared" si="64"/>
        <v>#DIV/0!</v>
      </c>
      <c r="AD150" s="3" t="e">
        <f t="shared" si="65"/>
        <v>#DIV/0!</v>
      </c>
      <c r="AE150" s="9" t="e">
        <f t="shared" si="66"/>
        <v>#DIV/0!</v>
      </c>
      <c r="AF150" s="126">
        <f>IFERROR(D150*F150*L150*'Entrada e Saida'!$K$8,0)</f>
        <v>0</v>
      </c>
      <c r="AG150" s="3" t="e">
        <f>((W150+AA150+AB150+AC150+AD150+AE150+AF150)/(1-'Entrada e Saida'!$G$65))*'Entrada e Saida'!$I$66</f>
        <v>#DIV/0!</v>
      </c>
      <c r="AH150" s="8" t="e">
        <f t="shared" si="67"/>
        <v>#DIV/0!</v>
      </c>
      <c r="AI150" s="183" t="e">
        <f>'Entrada e Saida'!$K$51*(IF('Entrada e Saida'!$H$15="PESO",(P150/(SUM(P:P))),(Q150/(SUM(Q:Q)))))</f>
        <v>#DIV/0!</v>
      </c>
      <c r="AJ150" s="7">
        <f>(('Entrada e Saida'!$K$10-'Entrada e Saida'!$K$8)*E150*D150)</f>
        <v>0</v>
      </c>
      <c r="AK150" s="184" t="e">
        <f>IF('Entrada e Saida'!$H$15="PESO",W150+AA150+AH150+AI150+AJ150,W150+AA150+AH150+AI150+AJ150-S150+T150-U150+V150)</f>
        <v>#DIV/0!</v>
      </c>
      <c r="AL150" s="6" t="e">
        <f>IF('Entrada e Saida'!$H$12="REAL",AC150,0)</f>
        <v>#DIV/0!</v>
      </c>
      <c r="AM150" s="6" t="e">
        <f>IF('Entrada e Saida'!$H$12="REAL",AD150,0)</f>
        <v>#DIV/0!</v>
      </c>
      <c r="AN150" s="5" t="e">
        <f>IF('Entrada e Saida'!$H$13= "NÃO",AE150,0)</f>
        <v>#DIV/0!</v>
      </c>
      <c r="AO150" s="5" t="e">
        <f t="shared" si="68"/>
        <v>#DIV/0!</v>
      </c>
      <c r="AP150" s="4" t="e">
        <f t="shared" si="69"/>
        <v>#DIV/0!</v>
      </c>
      <c r="AQ150" s="3" t="e">
        <f>IF('Entrada e Saida'!$H$11="TRADING",AU150*'Custo Resumido'!D150,0)</f>
        <v>#DIV/0!</v>
      </c>
      <c r="AR150" s="3" t="e">
        <f>IF('Entrada e Saida'!$H$11="TRADING",AU150*'Entrada e Saida'!$G$63,0)</f>
        <v>#DIV/0!</v>
      </c>
      <c r="AS150" s="3" t="e">
        <f>IF('Entrada e Saida'!$H$11="TRADING",AU150*'Entrada e Saida'!$G$64,0)</f>
        <v>#DIV/0!</v>
      </c>
      <c r="AT150" s="3" t="e">
        <f>IF('Entrada e Saida'!$H$11="TRADING",AU150*'Entrada e Saida'!$G$65,0)</f>
        <v>#DIV/0!</v>
      </c>
      <c r="AU150" s="4" t="e">
        <f>IF('Entrada e Saida'!$H$11="TRADING",AP150/(1-(SUM('Entrada e Saida'!$G$63:$G$65)+'Custo Resumido'!D150)),0)</f>
        <v>#DIV/0!</v>
      </c>
      <c r="AV150" s="3" t="e">
        <f>IF('Entrada e Saida'!$H$13="NÃO",AU150*M150,0)</f>
        <v>#DIV/0!</v>
      </c>
      <c r="AW150" s="4" t="e">
        <f t="shared" si="70"/>
        <v>#DIV/0!</v>
      </c>
      <c r="AX150" s="3" t="e">
        <f>'Entrada e Saida'!$G$74*AU150</f>
        <v>#DIV/0!</v>
      </c>
      <c r="AY150" s="4" t="e">
        <f t="shared" si="71"/>
        <v>#DIV/0!</v>
      </c>
      <c r="AZ150" s="4" t="e">
        <f>AQ150+('Entrada e Saida'!$G$65-'Entrada e Saida'!$I$65)*AU150-AX150</f>
        <v>#DIV/0!</v>
      </c>
      <c r="BA150" s="3" t="e">
        <f>IF('Entrada e Saida'!$H$12="REAL",AZ150*'Entrada e Saida'!$G$81,AU150*'Entrada e Saida'!$G$81)</f>
        <v>#DIV/0!</v>
      </c>
      <c r="BB150" s="3" t="e">
        <f>IF('Entrada e Saida'!$H$12="REAL",AZ150*'Entrada e Saida'!$G$82,AU150*'Entrada e Saida'!$G$82)</f>
        <v>#DIV/0!</v>
      </c>
      <c r="BC150" s="4" t="e">
        <f t="shared" si="72"/>
        <v>#DIV/0!</v>
      </c>
      <c r="BD150" s="3" t="e">
        <f>IF('Entrada e Saida'!$H$11="TRADING",AW150/D150,AK150/D150)</f>
        <v>#DIV/0!</v>
      </c>
      <c r="BE150" s="3" t="e">
        <f t="shared" si="73"/>
        <v>#DIV/0!</v>
      </c>
      <c r="BF150" s="2" t="e">
        <f t="shared" si="74"/>
        <v>#DIV/0!</v>
      </c>
      <c r="BG150" s="3" t="e">
        <f>IF('Entrada e Saida'!$H$11="TRADING",AV150/D150,AN150/D150)</f>
        <v>#DIV/0!</v>
      </c>
      <c r="BH150" s="3" t="e">
        <f>IF('Entrada e Saida'!$H$11="TRADING",IF('Entrada e Saida'!$H$12="REAL",AR150/D150,0),AL150/D150)</f>
        <v>#DIV/0!</v>
      </c>
      <c r="BI150" s="3" t="e">
        <f>IF('Entrada e Saida'!$H$11="TRADING",IF('Entrada e Saida'!$H$12="REAL",AS150/D150,0),AM150/D150)</f>
        <v>#DIV/0!</v>
      </c>
      <c r="BJ150" s="3" t="e">
        <f>IF('Entrada e Saida'!$H$11="TRADING",AT150/D150,AO150/D150)</f>
        <v>#DIV/0!</v>
      </c>
      <c r="BK150" s="2" t="e">
        <f t="shared" si="75"/>
        <v>#DIV/0!</v>
      </c>
      <c r="BL150" s="2">
        <f>IF(O150&gt;0,IFERROR(IF('Entrada e Saida'!$H$11="DIRETA",0,(IF('Entrada e Saida'!$H$14="P.JURIDICA",(BD150*(1+O150)*N150)-((BD150/(1+M150))*'Entrada e Saida'!$G$65),((Produtos!N150-'Entrada e Saida'!$G$65)*Produtos!BD150)))),0),0)</f>
        <v>0</v>
      </c>
      <c r="BM150" s="2" t="e">
        <f t="shared" si="76"/>
        <v>#DIV/0!</v>
      </c>
    </row>
    <row r="151" spans="1:65" s="1" customFormat="1">
      <c r="A151" s="127"/>
      <c r="B151" s="114"/>
      <c r="C151" s="116"/>
      <c r="D151" s="146"/>
      <c r="E151" s="115">
        <f>IFERROR(VLOOKUP(A151,'Master Modelo'!A:I,9,FALSE),0)</f>
        <v>0</v>
      </c>
      <c r="F151" s="189">
        <f>IFERROR(VLOOKUP(A151,'Master Modelo'!A:I,8,FALSE),0)</f>
        <v>0</v>
      </c>
      <c r="G151" s="189">
        <f>IFERROR(VLOOKUP(A151,'Master Modelo'!A:K,11,FALSE),0)</f>
        <v>0</v>
      </c>
      <c r="H151" s="114" t="e">
        <f t="shared" si="59"/>
        <v>#DIV/0!</v>
      </c>
      <c r="I151" s="150">
        <f>IFERROR(VLOOKUP(A151,'Master Modelo'!A:I,3,FALSE),0)</f>
        <v>0</v>
      </c>
      <c r="J151" s="151">
        <f>IFERROR(VLOOKUP(A151,'Master Modelo'!A:I,5,FALSE),0)</f>
        <v>0</v>
      </c>
      <c r="K151" s="151">
        <f>IFERROR(VLOOKUP(A151,'Master Modelo'!A:I,6,FALSE),0)</f>
        <v>0</v>
      </c>
      <c r="L151" s="152" t="e">
        <f>VLOOKUP(A151,'Master Modelo'!A:J,10,FALSE)</f>
        <v>#N/A</v>
      </c>
      <c r="M151" s="150">
        <f>IFERROR(VLOOKUP(A151,'Master Modelo'!A:I,4,FALSE),0)</f>
        <v>0</v>
      </c>
      <c r="N151" s="128"/>
      <c r="O151" s="129"/>
      <c r="P151" s="9">
        <f t="shared" si="60"/>
        <v>0</v>
      </c>
      <c r="Q151" s="177">
        <f t="shared" si="77"/>
        <v>0</v>
      </c>
      <c r="R151" s="3">
        <f>D151*E151*'Entrada e Saida'!$K$8</f>
        <v>0</v>
      </c>
      <c r="S151" s="179" t="e">
        <f>'Entrada e Saida'!$H$21*'Entrada e Saida'!$K$8*(P151/(SUM(P:P)))</f>
        <v>#DIV/0!</v>
      </c>
      <c r="T151" s="179" t="e">
        <f>'Entrada e Saida'!$H$21*'Entrada e Saida'!$K$8*(Q151/(SUM(Q:Q)))</f>
        <v>#DIV/0!</v>
      </c>
      <c r="U151" s="179" t="e">
        <f>'Entrada e Saida'!$H$22*(P151/(SUM(P:P)))</f>
        <v>#DIV/0!</v>
      </c>
      <c r="V151" s="179" t="e">
        <f>'Entrada e Saida'!$H$22*(Q151/(SUM(Q:Q)))</f>
        <v>#DIV/0!</v>
      </c>
      <c r="W151" s="8" t="e">
        <f t="shared" si="61"/>
        <v>#DIV/0!</v>
      </c>
      <c r="X151" s="179" t="e">
        <f>'Entrada e Saida'!$H$26*(IF('Entrada e Saida'!$H$15="PESO",(P151/(SUM(P:P))),(Q151/(SUM(Q:Q)))))</f>
        <v>#DIV/0!</v>
      </c>
      <c r="Y151" s="179" t="e">
        <f>'Entrada e Saida'!$H$27*(IF('Entrada e Saida'!$H$15="PESO",(P151/(SUM(P:P))),(Q151/(SUM(Q:Q)))))</f>
        <v>#DIV/0!</v>
      </c>
      <c r="Z151" s="179" t="e">
        <f>'Entrada e Saida'!$H$28*(IF('Entrada e Saida'!$H$15="PESO",(P151/(SUM(P:P))),(Q151/(SUM(Q:Q)))))</f>
        <v>#DIV/0!</v>
      </c>
      <c r="AA151" s="10" t="e">
        <f t="shared" si="62"/>
        <v>#DIV/0!</v>
      </c>
      <c r="AB151" s="3" t="e">
        <f t="shared" si="63"/>
        <v>#DIV/0!</v>
      </c>
      <c r="AC151" s="3" t="e">
        <f t="shared" si="64"/>
        <v>#DIV/0!</v>
      </c>
      <c r="AD151" s="3" t="e">
        <f t="shared" si="65"/>
        <v>#DIV/0!</v>
      </c>
      <c r="AE151" s="9" t="e">
        <f t="shared" si="66"/>
        <v>#DIV/0!</v>
      </c>
      <c r="AF151" s="126">
        <f>IFERROR(D151*F151*L151*'Entrada e Saida'!$K$8,0)</f>
        <v>0</v>
      </c>
      <c r="AG151" s="3" t="e">
        <f>((W151+AA151+AB151+AC151+AD151+AE151+AF151)/(1-'Entrada e Saida'!$G$65))*'Entrada e Saida'!$I$66</f>
        <v>#DIV/0!</v>
      </c>
      <c r="AH151" s="8" t="e">
        <f t="shared" si="67"/>
        <v>#DIV/0!</v>
      </c>
      <c r="AI151" s="183" t="e">
        <f>'Entrada e Saida'!$K$51*(IF('Entrada e Saida'!$H$15="PESO",(P151/(SUM(P:P))),(Q151/(SUM(Q:Q)))))</f>
        <v>#DIV/0!</v>
      </c>
      <c r="AJ151" s="7">
        <f>(('Entrada e Saida'!$K$10-'Entrada e Saida'!$K$8)*E151*D151)</f>
        <v>0</v>
      </c>
      <c r="AK151" s="184" t="e">
        <f>IF('Entrada e Saida'!$H$15="PESO",W151+AA151+AH151+AI151+AJ151,W151+AA151+AH151+AI151+AJ151-S151+T151-U151+V151)</f>
        <v>#DIV/0!</v>
      </c>
      <c r="AL151" s="6" t="e">
        <f>IF('Entrada e Saida'!$H$12="REAL",AC151,0)</f>
        <v>#DIV/0!</v>
      </c>
      <c r="AM151" s="6" t="e">
        <f>IF('Entrada e Saida'!$H$12="REAL",AD151,0)</f>
        <v>#DIV/0!</v>
      </c>
      <c r="AN151" s="5" t="e">
        <f>IF('Entrada e Saida'!$H$13= "NÃO",AE151,0)</f>
        <v>#DIV/0!</v>
      </c>
      <c r="AO151" s="5" t="e">
        <f t="shared" si="68"/>
        <v>#DIV/0!</v>
      </c>
      <c r="AP151" s="4" t="e">
        <f t="shared" si="69"/>
        <v>#DIV/0!</v>
      </c>
      <c r="AQ151" s="3" t="e">
        <f>IF('Entrada e Saida'!$H$11="TRADING",AU151*'Custo Resumido'!D151,0)</f>
        <v>#DIV/0!</v>
      </c>
      <c r="AR151" s="3" t="e">
        <f>IF('Entrada e Saida'!$H$11="TRADING",AU151*'Entrada e Saida'!$G$63,0)</f>
        <v>#DIV/0!</v>
      </c>
      <c r="AS151" s="3" t="e">
        <f>IF('Entrada e Saida'!$H$11="TRADING",AU151*'Entrada e Saida'!$G$64,0)</f>
        <v>#DIV/0!</v>
      </c>
      <c r="AT151" s="3" t="e">
        <f>IF('Entrada e Saida'!$H$11="TRADING",AU151*'Entrada e Saida'!$G$65,0)</f>
        <v>#DIV/0!</v>
      </c>
      <c r="AU151" s="4" t="e">
        <f>IF('Entrada e Saida'!$H$11="TRADING",AP151/(1-(SUM('Entrada e Saida'!$G$63:$G$65)+'Custo Resumido'!D151)),0)</f>
        <v>#DIV/0!</v>
      </c>
      <c r="AV151" s="3" t="e">
        <f>IF('Entrada e Saida'!$H$13="NÃO",AU151*M151,0)</f>
        <v>#DIV/0!</v>
      </c>
      <c r="AW151" s="4" t="e">
        <f t="shared" si="70"/>
        <v>#DIV/0!</v>
      </c>
      <c r="AX151" s="3" t="e">
        <f>'Entrada e Saida'!$G$74*AU151</f>
        <v>#DIV/0!</v>
      </c>
      <c r="AY151" s="4" t="e">
        <f t="shared" si="71"/>
        <v>#DIV/0!</v>
      </c>
      <c r="AZ151" s="4" t="e">
        <f>AQ151+('Entrada e Saida'!$G$65-'Entrada e Saida'!$I$65)*AU151-AX151</f>
        <v>#DIV/0!</v>
      </c>
      <c r="BA151" s="3" t="e">
        <f>IF('Entrada e Saida'!$H$12="REAL",AZ151*'Entrada e Saida'!$G$81,AU151*'Entrada e Saida'!$G$81)</f>
        <v>#DIV/0!</v>
      </c>
      <c r="BB151" s="3" t="e">
        <f>IF('Entrada e Saida'!$H$12="REAL",AZ151*'Entrada e Saida'!$G$82,AU151*'Entrada e Saida'!$G$82)</f>
        <v>#DIV/0!</v>
      </c>
      <c r="BC151" s="4" t="e">
        <f t="shared" si="72"/>
        <v>#DIV/0!</v>
      </c>
      <c r="BD151" s="3" t="e">
        <f>IF('Entrada e Saida'!$H$11="TRADING",AW151/D151,AK151/D151)</f>
        <v>#DIV/0!</v>
      </c>
      <c r="BE151" s="3" t="e">
        <f t="shared" si="73"/>
        <v>#DIV/0!</v>
      </c>
      <c r="BF151" s="2" t="e">
        <f t="shared" si="74"/>
        <v>#DIV/0!</v>
      </c>
      <c r="BG151" s="3" t="e">
        <f>IF('Entrada e Saida'!$H$11="TRADING",AV151/D151,AN151/D151)</f>
        <v>#DIV/0!</v>
      </c>
      <c r="BH151" s="3" t="e">
        <f>IF('Entrada e Saida'!$H$11="TRADING",IF('Entrada e Saida'!$H$12="REAL",AR151/D151,0),AL151/D151)</f>
        <v>#DIV/0!</v>
      </c>
      <c r="BI151" s="3" t="e">
        <f>IF('Entrada e Saida'!$H$11="TRADING",IF('Entrada e Saida'!$H$12="REAL",AS151/D151,0),AM151/D151)</f>
        <v>#DIV/0!</v>
      </c>
      <c r="BJ151" s="3" t="e">
        <f>IF('Entrada e Saida'!$H$11="TRADING",AT151/D151,AO151/D151)</f>
        <v>#DIV/0!</v>
      </c>
      <c r="BK151" s="2" t="e">
        <f t="shared" si="75"/>
        <v>#DIV/0!</v>
      </c>
      <c r="BL151" s="2">
        <f>IF(O151&gt;0,IFERROR(IF('Entrada e Saida'!$H$11="DIRETA",0,(IF('Entrada e Saida'!$H$14="P.JURIDICA",(BD151*(1+O151)*N151)-((BD151/(1+M151))*'Entrada e Saida'!$G$65),((Produtos!N151-'Entrada e Saida'!$G$65)*Produtos!BD151)))),0),0)</f>
        <v>0</v>
      </c>
      <c r="BM151" s="2" t="e">
        <f t="shared" si="76"/>
        <v>#DIV/0!</v>
      </c>
    </row>
    <row r="152" spans="1:65" s="1" customFormat="1">
      <c r="A152" s="127"/>
      <c r="B152" s="114"/>
      <c r="C152" s="116"/>
      <c r="D152" s="146"/>
      <c r="E152" s="115">
        <f>IFERROR(VLOOKUP(A152,'Master Modelo'!A:I,9,FALSE),0)</f>
        <v>0</v>
      </c>
      <c r="F152" s="189">
        <f>IFERROR(VLOOKUP(A152,'Master Modelo'!A:I,8,FALSE),0)</f>
        <v>0</v>
      </c>
      <c r="G152" s="189">
        <f>IFERROR(VLOOKUP(A152,'Master Modelo'!A:K,11,FALSE),0)</f>
        <v>0</v>
      </c>
      <c r="H152" s="114" t="e">
        <f t="shared" si="59"/>
        <v>#DIV/0!</v>
      </c>
      <c r="I152" s="150">
        <f>IFERROR(VLOOKUP(A152,'Master Modelo'!A:I,3,FALSE),0)</f>
        <v>0</v>
      </c>
      <c r="J152" s="151">
        <f>IFERROR(VLOOKUP(A152,'Master Modelo'!A:I,5,FALSE),0)</f>
        <v>0</v>
      </c>
      <c r="K152" s="151">
        <f>IFERROR(VLOOKUP(A152,'Master Modelo'!A:I,6,FALSE),0)</f>
        <v>0</v>
      </c>
      <c r="L152" s="152" t="e">
        <f>VLOOKUP(A152,'Master Modelo'!A:J,10,FALSE)</f>
        <v>#N/A</v>
      </c>
      <c r="M152" s="150">
        <f>IFERROR(VLOOKUP(A152,'Master Modelo'!A:I,4,FALSE),0)</f>
        <v>0</v>
      </c>
      <c r="N152" s="128"/>
      <c r="O152" s="129"/>
      <c r="P152" s="9">
        <f t="shared" si="60"/>
        <v>0</v>
      </c>
      <c r="Q152" s="177">
        <f t="shared" si="77"/>
        <v>0</v>
      </c>
      <c r="R152" s="3">
        <f>D152*E152*'Entrada e Saida'!$K$8</f>
        <v>0</v>
      </c>
      <c r="S152" s="179" t="e">
        <f>'Entrada e Saida'!$H$21*'Entrada e Saida'!$K$8*(P152/(SUM(P:P)))</f>
        <v>#DIV/0!</v>
      </c>
      <c r="T152" s="179" t="e">
        <f>'Entrada e Saida'!$H$21*'Entrada e Saida'!$K$8*(Q152/(SUM(Q:Q)))</f>
        <v>#DIV/0!</v>
      </c>
      <c r="U152" s="179" t="e">
        <f>'Entrada e Saida'!$H$22*(P152/(SUM(P:P)))</f>
        <v>#DIV/0!</v>
      </c>
      <c r="V152" s="179" t="e">
        <f>'Entrada e Saida'!$H$22*(Q152/(SUM(Q:Q)))</f>
        <v>#DIV/0!</v>
      </c>
      <c r="W152" s="8" t="e">
        <f t="shared" si="61"/>
        <v>#DIV/0!</v>
      </c>
      <c r="X152" s="179" t="e">
        <f>'Entrada e Saida'!$H$26*(IF('Entrada e Saida'!$H$15="PESO",(P152/(SUM(P:P))),(Q152/(SUM(Q:Q)))))</f>
        <v>#DIV/0!</v>
      </c>
      <c r="Y152" s="179" t="e">
        <f>'Entrada e Saida'!$H$27*(IF('Entrada e Saida'!$H$15="PESO",(P152/(SUM(P:P))),(Q152/(SUM(Q:Q)))))</f>
        <v>#DIV/0!</v>
      </c>
      <c r="Z152" s="179" t="e">
        <f>'Entrada e Saida'!$H$28*(IF('Entrada e Saida'!$H$15="PESO",(P152/(SUM(P:P))),(Q152/(SUM(Q:Q)))))</f>
        <v>#DIV/0!</v>
      </c>
      <c r="AA152" s="10" t="e">
        <f t="shared" si="62"/>
        <v>#DIV/0!</v>
      </c>
      <c r="AB152" s="3" t="e">
        <f t="shared" si="63"/>
        <v>#DIV/0!</v>
      </c>
      <c r="AC152" s="3" t="e">
        <f t="shared" si="64"/>
        <v>#DIV/0!</v>
      </c>
      <c r="AD152" s="3" t="e">
        <f t="shared" si="65"/>
        <v>#DIV/0!</v>
      </c>
      <c r="AE152" s="9" t="e">
        <f t="shared" si="66"/>
        <v>#DIV/0!</v>
      </c>
      <c r="AF152" s="126">
        <f>IFERROR(D152*F152*L152*'Entrada e Saida'!$K$8,0)</f>
        <v>0</v>
      </c>
      <c r="AG152" s="3" t="e">
        <f>((W152+AA152+AB152+AC152+AD152+AE152+AF152)/(1-'Entrada e Saida'!$G$65))*'Entrada e Saida'!$I$66</f>
        <v>#DIV/0!</v>
      </c>
      <c r="AH152" s="8" t="e">
        <f t="shared" si="67"/>
        <v>#DIV/0!</v>
      </c>
      <c r="AI152" s="183" t="e">
        <f>'Entrada e Saida'!$K$51*(IF('Entrada e Saida'!$H$15="PESO",(P152/(SUM(P:P))),(Q152/(SUM(Q:Q)))))</f>
        <v>#DIV/0!</v>
      </c>
      <c r="AJ152" s="7">
        <f>(('Entrada e Saida'!$K$10-'Entrada e Saida'!$K$8)*E152*D152)</f>
        <v>0</v>
      </c>
      <c r="AK152" s="184" t="e">
        <f>IF('Entrada e Saida'!$H$15="PESO",W152+AA152+AH152+AI152+AJ152,W152+AA152+AH152+AI152+AJ152-S152+T152-U152+V152)</f>
        <v>#DIV/0!</v>
      </c>
      <c r="AL152" s="6" t="e">
        <f>IF('Entrada e Saida'!$H$12="REAL",AC152,0)</f>
        <v>#DIV/0!</v>
      </c>
      <c r="AM152" s="6" t="e">
        <f>IF('Entrada e Saida'!$H$12="REAL",AD152,0)</f>
        <v>#DIV/0!</v>
      </c>
      <c r="AN152" s="5" t="e">
        <f>IF('Entrada e Saida'!$H$13= "NÃO",AE152,0)</f>
        <v>#DIV/0!</v>
      </c>
      <c r="AO152" s="5" t="e">
        <f t="shared" si="68"/>
        <v>#DIV/0!</v>
      </c>
      <c r="AP152" s="4" t="e">
        <f t="shared" si="69"/>
        <v>#DIV/0!</v>
      </c>
      <c r="AQ152" s="3" t="e">
        <f>IF('Entrada e Saida'!$H$11="TRADING",AU152*'Custo Resumido'!D152,0)</f>
        <v>#DIV/0!</v>
      </c>
      <c r="AR152" s="3" t="e">
        <f>IF('Entrada e Saida'!$H$11="TRADING",AU152*'Entrada e Saida'!$G$63,0)</f>
        <v>#DIV/0!</v>
      </c>
      <c r="AS152" s="3" t="e">
        <f>IF('Entrada e Saida'!$H$11="TRADING",AU152*'Entrada e Saida'!$G$64,0)</f>
        <v>#DIV/0!</v>
      </c>
      <c r="AT152" s="3" t="e">
        <f>IF('Entrada e Saida'!$H$11="TRADING",AU152*'Entrada e Saida'!$G$65,0)</f>
        <v>#DIV/0!</v>
      </c>
      <c r="AU152" s="4" t="e">
        <f>IF('Entrada e Saida'!$H$11="TRADING",AP152/(1-(SUM('Entrada e Saida'!$G$63:$G$65)+'Custo Resumido'!D152)),0)</f>
        <v>#DIV/0!</v>
      </c>
      <c r="AV152" s="3" t="e">
        <f>IF('Entrada e Saida'!$H$13="NÃO",AU152*M152,0)</f>
        <v>#DIV/0!</v>
      </c>
      <c r="AW152" s="4" t="e">
        <f t="shared" si="70"/>
        <v>#DIV/0!</v>
      </c>
      <c r="AX152" s="3" t="e">
        <f>'Entrada e Saida'!$G$74*AU152</f>
        <v>#DIV/0!</v>
      </c>
      <c r="AY152" s="4" t="e">
        <f t="shared" si="71"/>
        <v>#DIV/0!</v>
      </c>
      <c r="AZ152" s="4" t="e">
        <f>AQ152+('Entrada e Saida'!$G$65-'Entrada e Saida'!$I$65)*AU152-AX152</f>
        <v>#DIV/0!</v>
      </c>
      <c r="BA152" s="3" t="e">
        <f>IF('Entrada e Saida'!$H$12="REAL",AZ152*'Entrada e Saida'!$G$81,AU152*'Entrada e Saida'!$G$81)</f>
        <v>#DIV/0!</v>
      </c>
      <c r="BB152" s="3" t="e">
        <f>IF('Entrada e Saida'!$H$12="REAL",AZ152*'Entrada e Saida'!$G$82,AU152*'Entrada e Saida'!$G$82)</f>
        <v>#DIV/0!</v>
      </c>
      <c r="BC152" s="4" t="e">
        <f t="shared" si="72"/>
        <v>#DIV/0!</v>
      </c>
      <c r="BD152" s="3" t="e">
        <f>IF('Entrada e Saida'!$H$11="TRADING",AW152/D152,AK152/D152)</f>
        <v>#DIV/0!</v>
      </c>
      <c r="BE152" s="3" t="e">
        <f t="shared" si="73"/>
        <v>#DIV/0!</v>
      </c>
      <c r="BF152" s="2" t="e">
        <f t="shared" si="74"/>
        <v>#DIV/0!</v>
      </c>
      <c r="BG152" s="3" t="e">
        <f>IF('Entrada e Saida'!$H$11="TRADING",AV152/D152,AN152/D152)</f>
        <v>#DIV/0!</v>
      </c>
      <c r="BH152" s="3" t="e">
        <f>IF('Entrada e Saida'!$H$11="TRADING",IF('Entrada e Saida'!$H$12="REAL",AR152/D152,0),AL152/D152)</f>
        <v>#DIV/0!</v>
      </c>
      <c r="BI152" s="3" t="e">
        <f>IF('Entrada e Saida'!$H$11="TRADING",IF('Entrada e Saida'!$H$12="REAL",AS152/D152,0),AM152/D152)</f>
        <v>#DIV/0!</v>
      </c>
      <c r="BJ152" s="3" t="e">
        <f>IF('Entrada e Saida'!$H$11="TRADING",AT152/D152,AO152/D152)</f>
        <v>#DIV/0!</v>
      </c>
      <c r="BK152" s="2" t="e">
        <f t="shared" si="75"/>
        <v>#DIV/0!</v>
      </c>
      <c r="BL152" s="2">
        <f>IF(O152&gt;0,IFERROR(IF('Entrada e Saida'!$H$11="DIRETA",0,(IF('Entrada e Saida'!$H$14="P.JURIDICA",(BD152*(1+O152)*N152)-((BD152/(1+M152))*'Entrada e Saida'!$G$65),((Produtos!N152-'Entrada e Saida'!$G$65)*Produtos!BD152)))),0),0)</f>
        <v>0</v>
      </c>
      <c r="BM152" s="2" t="e">
        <f t="shared" si="76"/>
        <v>#DIV/0!</v>
      </c>
    </row>
    <row r="153" spans="1:65" s="1" customFormat="1">
      <c r="A153" s="127"/>
      <c r="B153" s="114"/>
      <c r="C153" s="116"/>
      <c r="D153" s="146"/>
      <c r="E153" s="115">
        <f>IFERROR(VLOOKUP(A153,'Master Modelo'!A:I,9,FALSE),0)</f>
        <v>0</v>
      </c>
      <c r="F153" s="189">
        <f>IFERROR(VLOOKUP(A153,'Master Modelo'!A:I,8,FALSE),0)</f>
        <v>0</v>
      </c>
      <c r="G153" s="189">
        <f>IFERROR(VLOOKUP(A153,'Master Modelo'!A:K,11,FALSE),0)</f>
        <v>0</v>
      </c>
      <c r="H153" s="114" t="e">
        <f t="shared" si="59"/>
        <v>#DIV/0!</v>
      </c>
      <c r="I153" s="150">
        <f>IFERROR(VLOOKUP(A153,'Master Modelo'!A:I,3,FALSE),0)</f>
        <v>0</v>
      </c>
      <c r="J153" s="151">
        <f>IFERROR(VLOOKUP(A153,'Master Modelo'!A:I,5,FALSE),0)</f>
        <v>0</v>
      </c>
      <c r="K153" s="151">
        <f>IFERROR(VLOOKUP(A153,'Master Modelo'!A:I,6,FALSE),0)</f>
        <v>0</v>
      </c>
      <c r="L153" s="152" t="e">
        <f>VLOOKUP(A153,'Master Modelo'!A:J,10,FALSE)</f>
        <v>#N/A</v>
      </c>
      <c r="M153" s="150">
        <f>IFERROR(VLOOKUP(A153,'Master Modelo'!A:I,4,FALSE),0)</f>
        <v>0</v>
      </c>
      <c r="N153" s="128"/>
      <c r="O153" s="129"/>
      <c r="P153" s="9">
        <f t="shared" si="60"/>
        <v>0</v>
      </c>
      <c r="Q153" s="177">
        <f t="shared" si="77"/>
        <v>0</v>
      </c>
      <c r="R153" s="3">
        <f>D153*E153*'Entrada e Saida'!$K$8</f>
        <v>0</v>
      </c>
      <c r="S153" s="179" t="e">
        <f>'Entrada e Saida'!$H$21*'Entrada e Saida'!$K$8*(P153/(SUM(P:P)))</f>
        <v>#DIV/0!</v>
      </c>
      <c r="T153" s="179" t="e">
        <f>'Entrada e Saida'!$H$21*'Entrada e Saida'!$K$8*(Q153/(SUM(Q:Q)))</f>
        <v>#DIV/0!</v>
      </c>
      <c r="U153" s="179" t="e">
        <f>'Entrada e Saida'!$H$22*(P153/(SUM(P:P)))</f>
        <v>#DIV/0!</v>
      </c>
      <c r="V153" s="179" t="e">
        <f>'Entrada e Saida'!$H$22*(Q153/(SUM(Q:Q)))</f>
        <v>#DIV/0!</v>
      </c>
      <c r="W153" s="8" t="e">
        <f t="shared" si="61"/>
        <v>#DIV/0!</v>
      </c>
      <c r="X153" s="179" t="e">
        <f>'Entrada e Saida'!$H$26*(IF('Entrada e Saida'!$H$15="PESO",(P153/(SUM(P:P))),(Q153/(SUM(Q:Q)))))</f>
        <v>#DIV/0!</v>
      </c>
      <c r="Y153" s="179" t="e">
        <f>'Entrada e Saida'!$H$27*(IF('Entrada e Saida'!$H$15="PESO",(P153/(SUM(P:P))),(Q153/(SUM(Q:Q)))))</f>
        <v>#DIV/0!</v>
      </c>
      <c r="Z153" s="179" t="e">
        <f>'Entrada e Saida'!$H$28*(IF('Entrada e Saida'!$H$15="PESO",(P153/(SUM(P:P))),(Q153/(SUM(Q:Q)))))</f>
        <v>#DIV/0!</v>
      </c>
      <c r="AA153" s="10" t="e">
        <f t="shared" si="62"/>
        <v>#DIV/0!</v>
      </c>
      <c r="AB153" s="3" t="e">
        <f t="shared" si="63"/>
        <v>#DIV/0!</v>
      </c>
      <c r="AC153" s="3" t="e">
        <f t="shared" si="64"/>
        <v>#DIV/0!</v>
      </c>
      <c r="AD153" s="3" t="e">
        <f t="shared" si="65"/>
        <v>#DIV/0!</v>
      </c>
      <c r="AE153" s="9" t="e">
        <f t="shared" si="66"/>
        <v>#DIV/0!</v>
      </c>
      <c r="AF153" s="126">
        <f>IFERROR(D153*F153*L153*'Entrada e Saida'!$K$8,0)</f>
        <v>0</v>
      </c>
      <c r="AG153" s="3" t="e">
        <f>((W153+AA153+AB153+AC153+AD153+AE153+AF153)/(1-'Entrada e Saida'!$G$65))*'Entrada e Saida'!$I$66</f>
        <v>#DIV/0!</v>
      </c>
      <c r="AH153" s="8" t="e">
        <f t="shared" si="67"/>
        <v>#DIV/0!</v>
      </c>
      <c r="AI153" s="183" t="e">
        <f>'Entrada e Saida'!$K$51*(IF('Entrada e Saida'!$H$15="PESO",(P153/(SUM(P:P))),(Q153/(SUM(Q:Q)))))</f>
        <v>#DIV/0!</v>
      </c>
      <c r="AJ153" s="7">
        <f>(('Entrada e Saida'!$K$10-'Entrada e Saida'!$K$8)*E153*D153)</f>
        <v>0</v>
      </c>
      <c r="AK153" s="184" t="e">
        <f>IF('Entrada e Saida'!$H$15="PESO",W153+AA153+AH153+AI153+AJ153,W153+AA153+AH153+AI153+AJ153-S153+T153-U153+V153)</f>
        <v>#DIV/0!</v>
      </c>
      <c r="AL153" s="6" t="e">
        <f>IF('Entrada e Saida'!$H$12="REAL",AC153,0)</f>
        <v>#DIV/0!</v>
      </c>
      <c r="AM153" s="6" t="e">
        <f>IF('Entrada e Saida'!$H$12="REAL",AD153,0)</f>
        <v>#DIV/0!</v>
      </c>
      <c r="AN153" s="5" t="e">
        <f>IF('Entrada e Saida'!$H$13= "NÃO",AE153,0)</f>
        <v>#DIV/0!</v>
      </c>
      <c r="AO153" s="5" t="e">
        <f t="shared" si="68"/>
        <v>#DIV/0!</v>
      </c>
      <c r="AP153" s="4" t="e">
        <f t="shared" si="69"/>
        <v>#DIV/0!</v>
      </c>
      <c r="AQ153" s="3" t="e">
        <f>IF('Entrada e Saida'!$H$11="TRADING",AU153*'Custo Resumido'!D153,0)</f>
        <v>#DIV/0!</v>
      </c>
      <c r="AR153" s="3" t="e">
        <f>IF('Entrada e Saida'!$H$11="TRADING",AU153*'Entrada e Saida'!$G$63,0)</f>
        <v>#DIV/0!</v>
      </c>
      <c r="AS153" s="3" t="e">
        <f>IF('Entrada e Saida'!$H$11="TRADING",AU153*'Entrada e Saida'!$G$64,0)</f>
        <v>#DIV/0!</v>
      </c>
      <c r="AT153" s="3" t="e">
        <f>IF('Entrada e Saida'!$H$11="TRADING",AU153*'Entrada e Saida'!$G$65,0)</f>
        <v>#DIV/0!</v>
      </c>
      <c r="AU153" s="4" t="e">
        <f>IF('Entrada e Saida'!$H$11="TRADING",AP153/(1-(SUM('Entrada e Saida'!$G$63:$G$65)+'Custo Resumido'!D153)),0)</f>
        <v>#DIV/0!</v>
      </c>
      <c r="AV153" s="3" t="e">
        <f>IF('Entrada e Saida'!$H$13="NÃO",AU153*M153,0)</f>
        <v>#DIV/0!</v>
      </c>
      <c r="AW153" s="4" t="e">
        <f t="shared" si="70"/>
        <v>#DIV/0!</v>
      </c>
      <c r="AX153" s="3" t="e">
        <f>'Entrada e Saida'!$G$74*AU153</f>
        <v>#DIV/0!</v>
      </c>
      <c r="AY153" s="4" t="e">
        <f t="shared" si="71"/>
        <v>#DIV/0!</v>
      </c>
      <c r="AZ153" s="4" t="e">
        <f>AQ153+('Entrada e Saida'!$G$65-'Entrada e Saida'!$I$65)*AU153-AX153</f>
        <v>#DIV/0!</v>
      </c>
      <c r="BA153" s="3" t="e">
        <f>IF('Entrada e Saida'!$H$12="REAL",AZ153*'Entrada e Saida'!$G$81,AU153*'Entrada e Saida'!$G$81)</f>
        <v>#DIV/0!</v>
      </c>
      <c r="BB153" s="3" t="e">
        <f>IF('Entrada e Saida'!$H$12="REAL",AZ153*'Entrada e Saida'!$G$82,AU153*'Entrada e Saida'!$G$82)</f>
        <v>#DIV/0!</v>
      </c>
      <c r="BC153" s="4" t="e">
        <f t="shared" si="72"/>
        <v>#DIV/0!</v>
      </c>
      <c r="BD153" s="3" t="e">
        <f>IF('Entrada e Saida'!$H$11="TRADING",AW153/D153,AK153/D153)</f>
        <v>#DIV/0!</v>
      </c>
      <c r="BE153" s="3" t="e">
        <f t="shared" si="73"/>
        <v>#DIV/0!</v>
      </c>
      <c r="BF153" s="2" t="e">
        <f t="shared" si="74"/>
        <v>#DIV/0!</v>
      </c>
      <c r="BG153" s="3" t="e">
        <f>IF('Entrada e Saida'!$H$11="TRADING",AV153/D153,AN153/D153)</f>
        <v>#DIV/0!</v>
      </c>
      <c r="BH153" s="3" t="e">
        <f>IF('Entrada e Saida'!$H$11="TRADING",IF('Entrada e Saida'!$H$12="REAL",AR153/D153,0),AL153/D153)</f>
        <v>#DIV/0!</v>
      </c>
      <c r="BI153" s="3" t="e">
        <f>IF('Entrada e Saida'!$H$11="TRADING",IF('Entrada e Saida'!$H$12="REAL",AS153/D153,0),AM153/D153)</f>
        <v>#DIV/0!</v>
      </c>
      <c r="BJ153" s="3" t="e">
        <f>IF('Entrada e Saida'!$H$11="TRADING",AT153/D153,AO153/D153)</f>
        <v>#DIV/0!</v>
      </c>
      <c r="BK153" s="2" t="e">
        <f t="shared" si="75"/>
        <v>#DIV/0!</v>
      </c>
      <c r="BL153" s="2">
        <f>IF(O153&gt;0,IFERROR(IF('Entrada e Saida'!$H$11="DIRETA",0,(IF('Entrada e Saida'!$H$14="P.JURIDICA",(BD153*(1+O153)*N153)-((BD153/(1+M153))*'Entrada e Saida'!$G$65),((Produtos!N153-'Entrada e Saida'!$G$65)*Produtos!BD153)))),0),0)</f>
        <v>0</v>
      </c>
      <c r="BM153" s="2" t="e">
        <f t="shared" si="76"/>
        <v>#DIV/0!</v>
      </c>
    </row>
    <row r="154" spans="1:65" s="1" customFormat="1">
      <c r="A154" s="127"/>
      <c r="B154" s="114"/>
      <c r="C154" s="116"/>
      <c r="D154" s="146"/>
      <c r="E154" s="115">
        <f>IFERROR(VLOOKUP(A154,'Master Modelo'!A:I,9,FALSE),0)</f>
        <v>0</v>
      </c>
      <c r="F154" s="189">
        <f>IFERROR(VLOOKUP(A154,'Master Modelo'!A:I,8,FALSE),0)</f>
        <v>0</v>
      </c>
      <c r="G154" s="189">
        <f>IFERROR(VLOOKUP(A154,'Master Modelo'!A:K,11,FALSE),0)</f>
        <v>0</v>
      </c>
      <c r="H154" s="114" t="e">
        <f t="shared" ref="H154:H198" si="78">(D154*E154)/(D154*F154)</f>
        <v>#DIV/0!</v>
      </c>
      <c r="I154" s="150">
        <f>IFERROR(VLOOKUP(A154,'Master Modelo'!A:I,3,FALSE),0)</f>
        <v>0</v>
      </c>
      <c r="J154" s="151">
        <f>IFERROR(VLOOKUP(A154,'Master Modelo'!A:I,5,FALSE),0)</f>
        <v>0</v>
      </c>
      <c r="K154" s="151">
        <f>IFERROR(VLOOKUP(A154,'Master Modelo'!A:I,6,FALSE),0)</f>
        <v>0</v>
      </c>
      <c r="L154" s="152" t="e">
        <f>VLOOKUP(A154,'Master Modelo'!A:J,10,FALSE)</f>
        <v>#N/A</v>
      </c>
      <c r="M154" s="150">
        <f>IFERROR(VLOOKUP(A154,'Master Modelo'!A:I,4,FALSE),0)</f>
        <v>0</v>
      </c>
      <c r="N154" s="128"/>
      <c r="O154" s="129"/>
      <c r="P154" s="9">
        <f t="shared" ref="P154:P198" si="79">D154*F154</f>
        <v>0</v>
      </c>
      <c r="Q154" s="177">
        <f t="shared" si="77"/>
        <v>0</v>
      </c>
      <c r="R154" s="3">
        <f>D154*E154*'Entrada e Saida'!$K$8</f>
        <v>0</v>
      </c>
      <c r="S154" s="179" t="e">
        <f>'Entrada e Saida'!$H$21*'Entrada e Saida'!$K$8*(P154/(SUM(P:P)))</f>
        <v>#DIV/0!</v>
      </c>
      <c r="T154" s="179" t="e">
        <f>'Entrada e Saida'!$H$21*'Entrada e Saida'!$K$8*(Q154/(SUM(Q:Q)))</f>
        <v>#DIV/0!</v>
      </c>
      <c r="U154" s="179" t="e">
        <f>'Entrada e Saida'!$H$22*(P154/(SUM(P:P)))</f>
        <v>#DIV/0!</v>
      </c>
      <c r="V154" s="179" t="e">
        <f>'Entrada e Saida'!$H$22*(Q154/(SUM(Q:Q)))</f>
        <v>#DIV/0!</v>
      </c>
      <c r="W154" s="8" t="e">
        <f t="shared" ref="W154:W198" si="80">R154+S154+U154</f>
        <v>#DIV/0!</v>
      </c>
      <c r="X154" s="179" t="e">
        <f>'Entrada e Saida'!$H$26*(IF('Entrada e Saida'!$H$15="PESO",(P154/(SUM(P:P))),(Q154/(SUM(Q:Q)))))</f>
        <v>#DIV/0!</v>
      </c>
      <c r="Y154" s="179" t="e">
        <f>'Entrada e Saida'!$H$27*(IF('Entrada e Saida'!$H$15="PESO",(P154/(SUM(P:P))),(Q154/(SUM(Q:Q)))))</f>
        <v>#DIV/0!</v>
      </c>
      <c r="Z154" s="179" t="e">
        <f>'Entrada e Saida'!$H$28*(IF('Entrada e Saida'!$H$15="PESO",(P154/(SUM(P:P))),(Q154/(SUM(Q:Q)))))</f>
        <v>#DIV/0!</v>
      </c>
      <c r="AA154" s="10" t="e">
        <f t="shared" ref="AA154:AA198" si="81">X154+Y154+Z154</f>
        <v>#DIV/0!</v>
      </c>
      <c r="AB154" s="3" t="e">
        <f t="shared" ref="AB154:AB198" si="82">W154*I154</f>
        <v>#DIV/0!</v>
      </c>
      <c r="AC154" s="3" t="e">
        <f t="shared" ref="AC154:AC198" si="83">W154*J154</f>
        <v>#DIV/0!</v>
      </c>
      <c r="AD154" s="3" t="e">
        <f t="shared" ref="AD154:AD198" si="84">W154*K154</f>
        <v>#DIV/0!</v>
      </c>
      <c r="AE154" s="9" t="e">
        <f t="shared" ref="AE154:AE198" si="85">(W154+AB154)*M154</f>
        <v>#DIV/0!</v>
      </c>
      <c r="AF154" s="126">
        <f>IFERROR(D154*F154*L154*'Entrada e Saida'!$K$8,0)</f>
        <v>0</v>
      </c>
      <c r="AG154" s="3" t="e">
        <f>((W154+AA154+AB154+AC154+AD154+AE154+AF154)/(1-'Entrada e Saida'!$G$65))*'Entrada e Saida'!$I$66</f>
        <v>#DIV/0!</v>
      </c>
      <c r="AH154" s="8" t="e">
        <f t="shared" ref="AH154:AH198" si="86">SUM(AB154:AG154)</f>
        <v>#DIV/0!</v>
      </c>
      <c r="AI154" s="183" t="e">
        <f>'Entrada e Saida'!$K$51*(IF('Entrada e Saida'!$H$15="PESO",(P154/(SUM(P:P))),(Q154/(SUM(Q:Q)))))</f>
        <v>#DIV/0!</v>
      </c>
      <c r="AJ154" s="7">
        <f>(('Entrada e Saida'!$K$10-'Entrada e Saida'!$K$8)*E154*D154)</f>
        <v>0</v>
      </c>
      <c r="AK154" s="184" t="e">
        <f>IF('Entrada e Saida'!$H$15="PESO",W154+AA154+AH154+AI154+AJ154,W154+AA154+AH154+AI154+AJ154-S154+T154-U154+V154)</f>
        <v>#DIV/0!</v>
      </c>
      <c r="AL154" s="6" t="e">
        <f>IF('Entrada e Saida'!$H$12="REAL",AC154,0)</f>
        <v>#DIV/0!</v>
      </c>
      <c r="AM154" s="6" t="e">
        <f>IF('Entrada e Saida'!$H$12="REAL",AD154,0)</f>
        <v>#DIV/0!</v>
      </c>
      <c r="AN154" s="5" t="e">
        <f>IF('Entrada e Saida'!$H$13= "NÃO",AE154,0)</f>
        <v>#DIV/0!</v>
      </c>
      <c r="AO154" s="5" t="e">
        <f t="shared" ref="AO154:AO198" si="87">AG154</f>
        <v>#DIV/0!</v>
      </c>
      <c r="AP154" s="4" t="e">
        <f t="shared" ref="AP154:AP198" si="88">AK154-SUM(AL154:AO154)</f>
        <v>#DIV/0!</v>
      </c>
      <c r="AQ154" s="3" t="e">
        <f>IF('Entrada e Saida'!$H$11="TRADING",AU154*'Custo Resumido'!D154,0)</f>
        <v>#DIV/0!</v>
      </c>
      <c r="AR154" s="3" t="e">
        <f>IF('Entrada e Saida'!$H$11="TRADING",AU154*'Entrada e Saida'!$G$63,0)</f>
        <v>#DIV/0!</v>
      </c>
      <c r="AS154" s="3" t="e">
        <f>IF('Entrada e Saida'!$H$11="TRADING",AU154*'Entrada e Saida'!$G$64,0)</f>
        <v>#DIV/0!</v>
      </c>
      <c r="AT154" s="3" t="e">
        <f>IF('Entrada e Saida'!$H$11="TRADING",AU154*'Entrada e Saida'!$G$65,0)</f>
        <v>#DIV/0!</v>
      </c>
      <c r="AU154" s="4" t="e">
        <f>IF('Entrada e Saida'!$H$11="TRADING",AP154/(1-(SUM('Entrada e Saida'!$G$63:$G$65)+'Custo Resumido'!D154)),0)</f>
        <v>#DIV/0!</v>
      </c>
      <c r="AV154" s="3" t="e">
        <f>IF('Entrada e Saida'!$H$13="NÃO",AU154*M154,0)</f>
        <v>#DIV/0!</v>
      </c>
      <c r="AW154" s="4" t="e">
        <f t="shared" ref="AW154:AW198" si="89">AU154+AV154</f>
        <v>#DIV/0!</v>
      </c>
      <c r="AX154" s="3" t="e">
        <f>'Entrada e Saida'!$G$74*AU154</f>
        <v>#DIV/0!</v>
      </c>
      <c r="AY154" s="4" t="e">
        <f t="shared" ref="AY154:AY198" si="90">AW154-AX154</f>
        <v>#DIV/0!</v>
      </c>
      <c r="AZ154" s="4" t="e">
        <f>AQ154+('Entrada e Saida'!$G$65-'Entrada e Saida'!$I$65)*AU154-AX154</f>
        <v>#DIV/0!</v>
      </c>
      <c r="BA154" s="3" t="e">
        <f>IF('Entrada e Saida'!$H$12="REAL",AZ154*'Entrada e Saida'!$G$81,AU154*'Entrada e Saida'!$G$81)</f>
        <v>#DIV/0!</v>
      </c>
      <c r="BB154" s="3" t="e">
        <f>IF('Entrada e Saida'!$H$12="REAL",AZ154*'Entrada e Saida'!$G$82,AU154*'Entrada e Saida'!$G$82)</f>
        <v>#DIV/0!</v>
      </c>
      <c r="BC154" s="4" t="e">
        <f t="shared" ref="BC154:BC198" si="91">AZ154-BA154-BB154</f>
        <v>#DIV/0!</v>
      </c>
      <c r="BD154" s="3" t="e">
        <f>IF('Entrada e Saida'!$H$11="TRADING",AW154/D154,AK154/D154)</f>
        <v>#DIV/0!</v>
      </c>
      <c r="BE154" s="3" t="e">
        <f t="shared" ref="BE154:BE198" si="92">AX154/D154</f>
        <v>#DIV/0!</v>
      </c>
      <c r="BF154" s="2" t="e">
        <f t="shared" ref="BF154:BF198" si="93">BD154-BE154</f>
        <v>#DIV/0!</v>
      </c>
      <c r="BG154" s="3" t="e">
        <f>IF('Entrada e Saida'!$H$11="TRADING",AV154/D154,AN154/D154)</f>
        <v>#DIV/0!</v>
      </c>
      <c r="BH154" s="3" t="e">
        <f>IF('Entrada e Saida'!$H$11="TRADING",IF('Entrada e Saida'!$H$12="REAL",AR154/D154,0),AL154/D154)</f>
        <v>#DIV/0!</v>
      </c>
      <c r="BI154" s="3" t="e">
        <f>IF('Entrada e Saida'!$H$11="TRADING",IF('Entrada e Saida'!$H$12="REAL",AS154/D154,0),AM154/D154)</f>
        <v>#DIV/0!</v>
      </c>
      <c r="BJ154" s="3" t="e">
        <f>IF('Entrada e Saida'!$H$11="TRADING",AT154/D154,AO154/D154)</f>
        <v>#DIV/0!</v>
      </c>
      <c r="BK154" s="2" t="e">
        <f t="shared" ref="BK154:BK198" si="94">BF154-SUM(BG154:BJ154)</f>
        <v>#DIV/0!</v>
      </c>
      <c r="BL154" s="2">
        <f>IF(O154&gt;0,IFERROR(IF('Entrada e Saida'!$H$11="DIRETA",0,(IF('Entrada e Saida'!$H$14="P.JURIDICA",(BD154*(1+O154)*N154)-((BD154/(1+M154))*'Entrada e Saida'!$G$65),((Produtos!N154-'Entrada e Saida'!$G$65)*Produtos!BD154)))),0),0)</f>
        <v>0</v>
      </c>
      <c r="BM154" s="2" t="e">
        <f t="shared" ref="BM154:BM198" si="95">BF154+BL154</f>
        <v>#DIV/0!</v>
      </c>
    </row>
    <row r="155" spans="1:65" s="1" customFormat="1">
      <c r="A155" s="127"/>
      <c r="B155" s="114"/>
      <c r="C155" s="116"/>
      <c r="D155" s="146"/>
      <c r="E155" s="115">
        <f>IFERROR(VLOOKUP(A155,'Master Modelo'!A:I,9,FALSE),0)</f>
        <v>0</v>
      </c>
      <c r="F155" s="189">
        <f>IFERROR(VLOOKUP(A155,'Master Modelo'!A:I,8,FALSE),0)</f>
        <v>0</v>
      </c>
      <c r="G155" s="189">
        <f>IFERROR(VLOOKUP(A155,'Master Modelo'!A:K,11,FALSE),0)</f>
        <v>0</v>
      </c>
      <c r="H155" s="114" t="e">
        <f t="shared" si="78"/>
        <v>#DIV/0!</v>
      </c>
      <c r="I155" s="150">
        <f>IFERROR(VLOOKUP(A155,'Master Modelo'!A:I,3,FALSE),0)</f>
        <v>0</v>
      </c>
      <c r="J155" s="151">
        <f>IFERROR(VLOOKUP(A155,'Master Modelo'!A:I,5,FALSE),0)</f>
        <v>0</v>
      </c>
      <c r="K155" s="151">
        <f>IFERROR(VLOOKUP(A155,'Master Modelo'!A:I,6,FALSE),0)</f>
        <v>0</v>
      </c>
      <c r="L155" s="152" t="e">
        <f>VLOOKUP(A155,'Master Modelo'!A:J,10,FALSE)</f>
        <v>#N/A</v>
      </c>
      <c r="M155" s="150">
        <f>IFERROR(VLOOKUP(A155,'Master Modelo'!A:I,4,FALSE),0)</f>
        <v>0</v>
      </c>
      <c r="N155" s="128"/>
      <c r="O155" s="129"/>
      <c r="P155" s="9">
        <f t="shared" si="79"/>
        <v>0</v>
      </c>
      <c r="Q155" s="177">
        <f t="shared" si="77"/>
        <v>0</v>
      </c>
      <c r="R155" s="3">
        <f>D155*E155*'Entrada e Saida'!$K$8</f>
        <v>0</v>
      </c>
      <c r="S155" s="179" t="e">
        <f>'Entrada e Saida'!$H$21*'Entrada e Saida'!$K$8*(P155/(SUM(P:P)))</f>
        <v>#DIV/0!</v>
      </c>
      <c r="T155" s="179" t="e">
        <f>'Entrada e Saida'!$H$21*'Entrada e Saida'!$K$8*(Q155/(SUM(Q:Q)))</f>
        <v>#DIV/0!</v>
      </c>
      <c r="U155" s="179" t="e">
        <f>'Entrada e Saida'!$H$22*(P155/(SUM(P:P)))</f>
        <v>#DIV/0!</v>
      </c>
      <c r="V155" s="179" t="e">
        <f>'Entrada e Saida'!$H$22*(Q155/(SUM(Q:Q)))</f>
        <v>#DIV/0!</v>
      </c>
      <c r="W155" s="8" t="e">
        <f t="shared" si="80"/>
        <v>#DIV/0!</v>
      </c>
      <c r="X155" s="179" t="e">
        <f>'Entrada e Saida'!$H$26*(IF('Entrada e Saida'!$H$15="PESO",(P155/(SUM(P:P))),(Q155/(SUM(Q:Q)))))</f>
        <v>#DIV/0!</v>
      </c>
      <c r="Y155" s="179" t="e">
        <f>'Entrada e Saida'!$H$27*(IF('Entrada e Saida'!$H$15="PESO",(P155/(SUM(P:P))),(Q155/(SUM(Q:Q)))))</f>
        <v>#DIV/0!</v>
      </c>
      <c r="Z155" s="179" t="e">
        <f>'Entrada e Saida'!$H$28*(IF('Entrada e Saida'!$H$15="PESO",(P155/(SUM(P:P))),(Q155/(SUM(Q:Q)))))</f>
        <v>#DIV/0!</v>
      </c>
      <c r="AA155" s="10" t="e">
        <f t="shared" si="81"/>
        <v>#DIV/0!</v>
      </c>
      <c r="AB155" s="3" t="e">
        <f t="shared" si="82"/>
        <v>#DIV/0!</v>
      </c>
      <c r="AC155" s="3" t="e">
        <f t="shared" si="83"/>
        <v>#DIV/0!</v>
      </c>
      <c r="AD155" s="3" t="e">
        <f t="shared" si="84"/>
        <v>#DIV/0!</v>
      </c>
      <c r="AE155" s="9" t="e">
        <f t="shared" si="85"/>
        <v>#DIV/0!</v>
      </c>
      <c r="AF155" s="126">
        <f>IFERROR(D155*F155*L155*'Entrada e Saida'!$K$8,0)</f>
        <v>0</v>
      </c>
      <c r="AG155" s="3" t="e">
        <f>((W155+AA155+AB155+AC155+AD155+AE155+AF155)/(1-'Entrada e Saida'!$G$65))*'Entrada e Saida'!$I$66</f>
        <v>#DIV/0!</v>
      </c>
      <c r="AH155" s="8" t="e">
        <f t="shared" si="86"/>
        <v>#DIV/0!</v>
      </c>
      <c r="AI155" s="183" t="e">
        <f>'Entrada e Saida'!$K$51*(IF('Entrada e Saida'!$H$15="PESO",(P155/(SUM(P:P))),(Q155/(SUM(Q:Q)))))</f>
        <v>#DIV/0!</v>
      </c>
      <c r="AJ155" s="7">
        <f>(('Entrada e Saida'!$K$10-'Entrada e Saida'!$K$8)*E155*D155)</f>
        <v>0</v>
      </c>
      <c r="AK155" s="184" t="e">
        <f>IF('Entrada e Saida'!$H$15="PESO",W155+AA155+AH155+AI155+AJ155,W155+AA155+AH155+AI155+AJ155-S155+T155-U155+V155)</f>
        <v>#DIV/0!</v>
      </c>
      <c r="AL155" s="6" t="e">
        <f>IF('Entrada e Saida'!$H$12="REAL",AC155,0)</f>
        <v>#DIV/0!</v>
      </c>
      <c r="AM155" s="6" t="e">
        <f>IF('Entrada e Saida'!$H$12="REAL",AD155,0)</f>
        <v>#DIV/0!</v>
      </c>
      <c r="AN155" s="5" t="e">
        <f>IF('Entrada e Saida'!$H$13= "NÃO",AE155,0)</f>
        <v>#DIV/0!</v>
      </c>
      <c r="AO155" s="5" t="e">
        <f t="shared" si="87"/>
        <v>#DIV/0!</v>
      </c>
      <c r="AP155" s="4" t="e">
        <f t="shared" si="88"/>
        <v>#DIV/0!</v>
      </c>
      <c r="AQ155" s="3" t="e">
        <f>IF('Entrada e Saida'!$H$11="TRADING",AU155*'Custo Resumido'!D155,0)</f>
        <v>#DIV/0!</v>
      </c>
      <c r="AR155" s="3" t="e">
        <f>IF('Entrada e Saida'!$H$11="TRADING",AU155*'Entrada e Saida'!$G$63,0)</f>
        <v>#DIV/0!</v>
      </c>
      <c r="AS155" s="3" t="e">
        <f>IF('Entrada e Saida'!$H$11="TRADING",AU155*'Entrada e Saida'!$G$64,0)</f>
        <v>#DIV/0!</v>
      </c>
      <c r="AT155" s="3" t="e">
        <f>IF('Entrada e Saida'!$H$11="TRADING",AU155*'Entrada e Saida'!$G$65,0)</f>
        <v>#DIV/0!</v>
      </c>
      <c r="AU155" s="4" t="e">
        <f>IF('Entrada e Saida'!$H$11="TRADING",AP155/(1-(SUM('Entrada e Saida'!$G$63:$G$65)+'Custo Resumido'!D155)),0)</f>
        <v>#DIV/0!</v>
      </c>
      <c r="AV155" s="3" t="e">
        <f>IF('Entrada e Saida'!$H$13="NÃO",AU155*M155,0)</f>
        <v>#DIV/0!</v>
      </c>
      <c r="AW155" s="4" t="e">
        <f t="shared" si="89"/>
        <v>#DIV/0!</v>
      </c>
      <c r="AX155" s="3" t="e">
        <f>'Entrada e Saida'!$G$74*AU155</f>
        <v>#DIV/0!</v>
      </c>
      <c r="AY155" s="4" t="e">
        <f t="shared" si="90"/>
        <v>#DIV/0!</v>
      </c>
      <c r="AZ155" s="4" t="e">
        <f>AQ155+('Entrada e Saida'!$G$65-'Entrada e Saida'!$I$65)*AU155-AX155</f>
        <v>#DIV/0!</v>
      </c>
      <c r="BA155" s="3" t="e">
        <f>IF('Entrada e Saida'!$H$12="REAL",AZ155*'Entrada e Saida'!$G$81,AU155*'Entrada e Saida'!$G$81)</f>
        <v>#DIV/0!</v>
      </c>
      <c r="BB155" s="3" t="e">
        <f>IF('Entrada e Saida'!$H$12="REAL",AZ155*'Entrada e Saida'!$G$82,AU155*'Entrada e Saida'!$G$82)</f>
        <v>#DIV/0!</v>
      </c>
      <c r="BC155" s="4" t="e">
        <f t="shared" si="91"/>
        <v>#DIV/0!</v>
      </c>
      <c r="BD155" s="3" t="e">
        <f>IF('Entrada e Saida'!$H$11="TRADING",AW155/D155,AK155/D155)</f>
        <v>#DIV/0!</v>
      </c>
      <c r="BE155" s="3" t="e">
        <f t="shared" si="92"/>
        <v>#DIV/0!</v>
      </c>
      <c r="BF155" s="2" t="e">
        <f t="shared" si="93"/>
        <v>#DIV/0!</v>
      </c>
      <c r="BG155" s="3" t="e">
        <f>IF('Entrada e Saida'!$H$11="TRADING",AV155/D155,AN155/D155)</f>
        <v>#DIV/0!</v>
      </c>
      <c r="BH155" s="3" t="e">
        <f>IF('Entrada e Saida'!$H$11="TRADING",IF('Entrada e Saida'!$H$12="REAL",AR155/D155,0),AL155/D155)</f>
        <v>#DIV/0!</v>
      </c>
      <c r="BI155" s="3" t="e">
        <f>IF('Entrada e Saida'!$H$11="TRADING",IF('Entrada e Saida'!$H$12="REAL",AS155/D155,0),AM155/D155)</f>
        <v>#DIV/0!</v>
      </c>
      <c r="BJ155" s="3" t="e">
        <f>IF('Entrada e Saida'!$H$11="TRADING",AT155/D155,AO155/D155)</f>
        <v>#DIV/0!</v>
      </c>
      <c r="BK155" s="2" t="e">
        <f t="shared" si="94"/>
        <v>#DIV/0!</v>
      </c>
      <c r="BL155" s="2">
        <f>IF(O155&gt;0,IFERROR(IF('Entrada e Saida'!$H$11="DIRETA",0,(IF('Entrada e Saida'!$H$14="P.JURIDICA",(BD155*(1+O155)*N155)-((BD155/(1+M155))*'Entrada e Saida'!$G$65),((Produtos!N155-'Entrada e Saida'!$G$65)*Produtos!BD155)))),0),0)</f>
        <v>0</v>
      </c>
      <c r="BM155" s="2" t="e">
        <f t="shared" si="95"/>
        <v>#DIV/0!</v>
      </c>
    </row>
    <row r="156" spans="1:65" s="1" customFormat="1">
      <c r="A156" s="127"/>
      <c r="B156" s="114"/>
      <c r="C156" s="116"/>
      <c r="D156" s="146"/>
      <c r="E156" s="115">
        <f>IFERROR(VLOOKUP(A156,'Master Modelo'!A:I,9,FALSE),0)</f>
        <v>0</v>
      </c>
      <c r="F156" s="189">
        <f>IFERROR(VLOOKUP(A156,'Master Modelo'!A:I,8,FALSE),0)</f>
        <v>0</v>
      </c>
      <c r="G156" s="189">
        <f>IFERROR(VLOOKUP(A156,'Master Modelo'!A:K,11,FALSE),0)</f>
        <v>0</v>
      </c>
      <c r="H156" s="114" t="e">
        <f t="shared" si="78"/>
        <v>#DIV/0!</v>
      </c>
      <c r="I156" s="150">
        <f>IFERROR(VLOOKUP(A156,'Master Modelo'!A:I,3,FALSE),0)</f>
        <v>0</v>
      </c>
      <c r="J156" s="151">
        <f>IFERROR(VLOOKUP(A156,'Master Modelo'!A:I,5,FALSE),0)</f>
        <v>0</v>
      </c>
      <c r="K156" s="151">
        <f>IFERROR(VLOOKUP(A156,'Master Modelo'!A:I,6,FALSE),0)</f>
        <v>0</v>
      </c>
      <c r="L156" s="152" t="e">
        <f>VLOOKUP(A156,'Master Modelo'!A:J,10,FALSE)</f>
        <v>#N/A</v>
      </c>
      <c r="M156" s="150">
        <f>IFERROR(VLOOKUP(A156,'Master Modelo'!A:I,4,FALSE),0)</f>
        <v>0</v>
      </c>
      <c r="N156" s="128"/>
      <c r="O156" s="129"/>
      <c r="P156" s="9">
        <f t="shared" si="79"/>
        <v>0</v>
      </c>
      <c r="Q156" s="177">
        <f t="shared" si="77"/>
        <v>0</v>
      </c>
      <c r="R156" s="3">
        <f>D156*E156*'Entrada e Saida'!$K$8</f>
        <v>0</v>
      </c>
      <c r="S156" s="179" t="e">
        <f>'Entrada e Saida'!$H$21*'Entrada e Saida'!$K$8*(P156/(SUM(P:P)))</f>
        <v>#DIV/0!</v>
      </c>
      <c r="T156" s="179" t="e">
        <f>'Entrada e Saida'!$H$21*'Entrada e Saida'!$K$8*(Q156/(SUM(Q:Q)))</f>
        <v>#DIV/0!</v>
      </c>
      <c r="U156" s="179" t="e">
        <f>'Entrada e Saida'!$H$22*(P156/(SUM(P:P)))</f>
        <v>#DIV/0!</v>
      </c>
      <c r="V156" s="179" t="e">
        <f>'Entrada e Saida'!$H$22*(Q156/(SUM(Q:Q)))</f>
        <v>#DIV/0!</v>
      </c>
      <c r="W156" s="8" t="e">
        <f t="shared" si="80"/>
        <v>#DIV/0!</v>
      </c>
      <c r="X156" s="179" t="e">
        <f>'Entrada e Saida'!$H$26*(IF('Entrada e Saida'!$H$15="PESO",(P156/(SUM(P:P))),(Q156/(SUM(Q:Q)))))</f>
        <v>#DIV/0!</v>
      </c>
      <c r="Y156" s="179" t="e">
        <f>'Entrada e Saida'!$H$27*(IF('Entrada e Saida'!$H$15="PESO",(P156/(SUM(P:P))),(Q156/(SUM(Q:Q)))))</f>
        <v>#DIV/0!</v>
      </c>
      <c r="Z156" s="179" t="e">
        <f>'Entrada e Saida'!$H$28*(IF('Entrada e Saida'!$H$15="PESO",(P156/(SUM(P:P))),(Q156/(SUM(Q:Q)))))</f>
        <v>#DIV/0!</v>
      </c>
      <c r="AA156" s="10" t="e">
        <f t="shared" si="81"/>
        <v>#DIV/0!</v>
      </c>
      <c r="AB156" s="3" t="e">
        <f t="shared" si="82"/>
        <v>#DIV/0!</v>
      </c>
      <c r="AC156" s="3" t="e">
        <f t="shared" si="83"/>
        <v>#DIV/0!</v>
      </c>
      <c r="AD156" s="3" t="e">
        <f t="shared" si="84"/>
        <v>#DIV/0!</v>
      </c>
      <c r="AE156" s="9" t="e">
        <f t="shared" si="85"/>
        <v>#DIV/0!</v>
      </c>
      <c r="AF156" s="126">
        <f>IFERROR(D156*F156*L156*'Entrada e Saida'!$K$8,0)</f>
        <v>0</v>
      </c>
      <c r="AG156" s="3" t="e">
        <f>((W156+AA156+AB156+AC156+AD156+AE156+AF156)/(1-'Entrada e Saida'!$G$65))*'Entrada e Saida'!$I$66</f>
        <v>#DIV/0!</v>
      </c>
      <c r="AH156" s="8" t="e">
        <f t="shared" si="86"/>
        <v>#DIV/0!</v>
      </c>
      <c r="AI156" s="183" t="e">
        <f>'Entrada e Saida'!$K$51*(IF('Entrada e Saida'!$H$15="PESO",(P156/(SUM(P:P))),(Q156/(SUM(Q:Q)))))</f>
        <v>#DIV/0!</v>
      </c>
      <c r="AJ156" s="7">
        <f>(('Entrada e Saida'!$K$10-'Entrada e Saida'!$K$8)*E156*D156)</f>
        <v>0</v>
      </c>
      <c r="AK156" s="184" t="e">
        <f>IF('Entrada e Saida'!$H$15="PESO",W156+AA156+AH156+AI156+AJ156,W156+AA156+AH156+AI156+AJ156-S156+T156-U156+V156)</f>
        <v>#DIV/0!</v>
      </c>
      <c r="AL156" s="6" t="e">
        <f>IF('Entrada e Saida'!$H$12="REAL",AC156,0)</f>
        <v>#DIV/0!</v>
      </c>
      <c r="AM156" s="6" t="e">
        <f>IF('Entrada e Saida'!$H$12="REAL",AD156,0)</f>
        <v>#DIV/0!</v>
      </c>
      <c r="AN156" s="5" t="e">
        <f>IF('Entrada e Saida'!$H$13= "NÃO",AE156,0)</f>
        <v>#DIV/0!</v>
      </c>
      <c r="AO156" s="5" t="e">
        <f t="shared" si="87"/>
        <v>#DIV/0!</v>
      </c>
      <c r="AP156" s="4" t="e">
        <f t="shared" si="88"/>
        <v>#DIV/0!</v>
      </c>
      <c r="AQ156" s="3" t="e">
        <f>IF('Entrada e Saida'!$H$11="TRADING",AU156*'Custo Resumido'!D156,0)</f>
        <v>#DIV/0!</v>
      </c>
      <c r="AR156" s="3" t="e">
        <f>IF('Entrada e Saida'!$H$11="TRADING",AU156*'Entrada e Saida'!$G$63,0)</f>
        <v>#DIV/0!</v>
      </c>
      <c r="AS156" s="3" t="e">
        <f>IF('Entrada e Saida'!$H$11="TRADING",AU156*'Entrada e Saida'!$G$64,0)</f>
        <v>#DIV/0!</v>
      </c>
      <c r="AT156" s="3" t="e">
        <f>IF('Entrada e Saida'!$H$11="TRADING",AU156*'Entrada e Saida'!$G$65,0)</f>
        <v>#DIV/0!</v>
      </c>
      <c r="AU156" s="4" t="e">
        <f>IF('Entrada e Saida'!$H$11="TRADING",AP156/(1-(SUM('Entrada e Saida'!$G$63:$G$65)+'Custo Resumido'!D156)),0)</f>
        <v>#DIV/0!</v>
      </c>
      <c r="AV156" s="3" t="e">
        <f>IF('Entrada e Saida'!$H$13="NÃO",AU156*M156,0)</f>
        <v>#DIV/0!</v>
      </c>
      <c r="AW156" s="4" t="e">
        <f t="shared" si="89"/>
        <v>#DIV/0!</v>
      </c>
      <c r="AX156" s="3" t="e">
        <f>'Entrada e Saida'!$G$74*AU156</f>
        <v>#DIV/0!</v>
      </c>
      <c r="AY156" s="4" t="e">
        <f t="shared" si="90"/>
        <v>#DIV/0!</v>
      </c>
      <c r="AZ156" s="4" t="e">
        <f>AQ156+('Entrada e Saida'!$G$65-'Entrada e Saida'!$I$65)*AU156-AX156</f>
        <v>#DIV/0!</v>
      </c>
      <c r="BA156" s="3" t="e">
        <f>IF('Entrada e Saida'!$H$12="REAL",AZ156*'Entrada e Saida'!$G$81,AU156*'Entrada e Saida'!$G$81)</f>
        <v>#DIV/0!</v>
      </c>
      <c r="BB156" s="3" t="e">
        <f>IF('Entrada e Saida'!$H$12="REAL",AZ156*'Entrada e Saida'!$G$82,AU156*'Entrada e Saida'!$G$82)</f>
        <v>#DIV/0!</v>
      </c>
      <c r="BC156" s="4" t="e">
        <f t="shared" si="91"/>
        <v>#DIV/0!</v>
      </c>
      <c r="BD156" s="3" t="e">
        <f>IF('Entrada e Saida'!$H$11="TRADING",AW156/D156,AK156/D156)</f>
        <v>#DIV/0!</v>
      </c>
      <c r="BE156" s="3" t="e">
        <f t="shared" si="92"/>
        <v>#DIV/0!</v>
      </c>
      <c r="BF156" s="2" t="e">
        <f t="shared" si="93"/>
        <v>#DIV/0!</v>
      </c>
      <c r="BG156" s="3" t="e">
        <f>IF('Entrada e Saida'!$H$11="TRADING",AV156/D156,AN156/D156)</f>
        <v>#DIV/0!</v>
      </c>
      <c r="BH156" s="3" t="e">
        <f>IF('Entrada e Saida'!$H$11="TRADING",IF('Entrada e Saida'!$H$12="REAL",AR156/D156,0),AL156/D156)</f>
        <v>#DIV/0!</v>
      </c>
      <c r="BI156" s="3" t="e">
        <f>IF('Entrada e Saida'!$H$11="TRADING",IF('Entrada e Saida'!$H$12="REAL",AS156/D156,0),AM156/D156)</f>
        <v>#DIV/0!</v>
      </c>
      <c r="BJ156" s="3" t="e">
        <f>IF('Entrada e Saida'!$H$11="TRADING",AT156/D156,AO156/D156)</f>
        <v>#DIV/0!</v>
      </c>
      <c r="BK156" s="2" t="e">
        <f t="shared" si="94"/>
        <v>#DIV/0!</v>
      </c>
      <c r="BL156" s="2">
        <f>IF(O156&gt;0,IFERROR(IF('Entrada e Saida'!$H$11="DIRETA",0,(IF('Entrada e Saida'!$H$14="P.JURIDICA",(BD156*(1+O156)*N156)-((BD156/(1+M156))*'Entrada e Saida'!$G$65),((Produtos!N156-'Entrada e Saida'!$G$65)*Produtos!BD156)))),0),0)</f>
        <v>0</v>
      </c>
      <c r="BM156" s="2" t="e">
        <f t="shared" si="95"/>
        <v>#DIV/0!</v>
      </c>
    </row>
    <row r="157" spans="1:65" s="1" customFormat="1">
      <c r="A157" s="127"/>
      <c r="B157" s="114"/>
      <c r="C157" s="116"/>
      <c r="D157" s="146"/>
      <c r="E157" s="115">
        <f>IFERROR(VLOOKUP(A157,'Master Modelo'!A:I,9,FALSE),0)</f>
        <v>0</v>
      </c>
      <c r="F157" s="189">
        <f>IFERROR(VLOOKUP(A157,'Master Modelo'!A:I,8,FALSE),0)</f>
        <v>0</v>
      </c>
      <c r="G157" s="189">
        <f>IFERROR(VLOOKUP(A157,'Master Modelo'!A:K,11,FALSE),0)</f>
        <v>0</v>
      </c>
      <c r="H157" s="114" t="e">
        <f t="shared" si="78"/>
        <v>#DIV/0!</v>
      </c>
      <c r="I157" s="150">
        <f>IFERROR(VLOOKUP(A157,'Master Modelo'!A:I,3,FALSE),0)</f>
        <v>0</v>
      </c>
      <c r="J157" s="151">
        <f>IFERROR(VLOOKUP(A157,'Master Modelo'!A:I,5,FALSE),0)</f>
        <v>0</v>
      </c>
      <c r="K157" s="151">
        <f>IFERROR(VLOOKUP(A157,'Master Modelo'!A:I,6,FALSE),0)</f>
        <v>0</v>
      </c>
      <c r="L157" s="152" t="e">
        <f>VLOOKUP(A157,'Master Modelo'!A:J,10,FALSE)</f>
        <v>#N/A</v>
      </c>
      <c r="M157" s="150">
        <f>IFERROR(VLOOKUP(A157,'Master Modelo'!A:I,4,FALSE),0)</f>
        <v>0</v>
      </c>
      <c r="N157" s="128"/>
      <c r="O157" s="129"/>
      <c r="P157" s="9">
        <f t="shared" si="79"/>
        <v>0</v>
      </c>
      <c r="Q157" s="177">
        <f t="shared" si="77"/>
        <v>0</v>
      </c>
      <c r="R157" s="3">
        <f>D157*E157*'Entrada e Saida'!$K$8</f>
        <v>0</v>
      </c>
      <c r="S157" s="179" t="e">
        <f>'Entrada e Saida'!$H$21*'Entrada e Saida'!$K$8*(P157/(SUM(P:P)))</f>
        <v>#DIV/0!</v>
      </c>
      <c r="T157" s="179" t="e">
        <f>'Entrada e Saida'!$H$21*'Entrada e Saida'!$K$8*(Q157/(SUM(Q:Q)))</f>
        <v>#DIV/0!</v>
      </c>
      <c r="U157" s="179" t="e">
        <f>'Entrada e Saida'!$H$22*(P157/(SUM(P:P)))</f>
        <v>#DIV/0!</v>
      </c>
      <c r="V157" s="179" t="e">
        <f>'Entrada e Saida'!$H$22*(Q157/(SUM(Q:Q)))</f>
        <v>#DIV/0!</v>
      </c>
      <c r="W157" s="8" t="e">
        <f t="shared" si="80"/>
        <v>#DIV/0!</v>
      </c>
      <c r="X157" s="179" t="e">
        <f>'Entrada e Saida'!$H$26*(IF('Entrada e Saida'!$H$15="PESO",(P157/(SUM(P:P))),(Q157/(SUM(Q:Q)))))</f>
        <v>#DIV/0!</v>
      </c>
      <c r="Y157" s="179" t="e">
        <f>'Entrada e Saida'!$H$27*(IF('Entrada e Saida'!$H$15="PESO",(P157/(SUM(P:P))),(Q157/(SUM(Q:Q)))))</f>
        <v>#DIV/0!</v>
      </c>
      <c r="Z157" s="179" t="e">
        <f>'Entrada e Saida'!$H$28*(IF('Entrada e Saida'!$H$15="PESO",(P157/(SUM(P:P))),(Q157/(SUM(Q:Q)))))</f>
        <v>#DIV/0!</v>
      </c>
      <c r="AA157" s="10" t="e">
        <f t="shared" si="81"/>
        <v>#DIV/0!</v>
      </c>
      <c r="AB157" s="3" t="e">
        <f t="shared" si="82"/>
        <v>#DIV/0!</v>
      </c>
      <c r="AC157" s="3" t="e">
        <f t="shared" si="83"/>
        <v>#DIV/0!</v>
      </c>
      <c r="AD157" s="3" t="e">
        <f t="shared" si="84"/>
        <v>#DIV/0!</v>
      </c>
      <c r="AE157" s="9" t="e">
        <f t="shared" si="85"/>
        <v>#DIV/0!</v>
      </c>
      <c r="AF157" s="126">
        <f>IFERROR(D157*F157*L157*'Entrada e Saida'!$K$8,0)</f>
        <v>0</v>
      </c>
      <c r="AG157" s="3" t="e">
        <f>((W157+AA157+AB157+AC157+AD157+AE157+AF157)/(1-'Entrada e Saida'!$G$65))*'Entrada e Saida'!$I$66</f>
        <v>#DIV/0!</v>
      </c>
      <c r="AH157" s="8" t="e">
        <f t="shared" si="86"/>
        <v>#DIV/0!</v>
      </c>
      <c r="AI157" s="183" t="e">
        <f>'Entrada e Saida'!$K$51*(IF('Entrada e Saida'!$H$15="PESO",(P157/(SUM(P:P))),(Q157/(SUM(Q:Q)))))</f>
        <v>#DIV/0!</v>
      </c>
      <c r="AJ157" s="7">
        <f>(('Entrada e Saida'!$K$10-'Entrada e Saida'!$K$8)*E157*D157)</f>
        <v>0</v>
      </c>
      <c r="AK157" s="184" t="e">
        <f>IF('Entrada e Saida'!$H$15="PESO",W157+AA157+AH157+AI157+AJ157,W157+AA157+AH157+AI157+AJ157-S157+T157-U157+V157)</f>
        <v>#DIV/0!</v>
      </c>
      <c r="AL157" s="6" t="e">
        <f>IF('Entrada e Saida'!$H$12="REAL",AC157,0)</f>
        <v>#DIV/0!</v>
      </c>
      <c r="AM157" s="6" t="e">
        <f>IF('Entrada e Saida'!$H$12="REAL",AD157,0)</f>
        <v>#DIV/0!</v>
      </c>
      <c r="AN157" s="5" t="e">
        <f>IF('Entrada e Saida'!$H$13= "NÃO",AE157,0)</f>
        <v>#DIV/0!</v>
      </c>
      <c r="AO157" s="5" t="e">
        <f t="shared" si="87"/>
        <v>#DIV/0!</v>
      </c>
      <c r="AP157" s="4" t="e">
        <f t="shared" si="88"/>
        <v>#DIV/0!</v>
      </c>
      <c r="AQ157" s="3" t="e">
        <f>IF('Entrada e Saida'!$H$11="TRADING",AU157*'Custo Resumido'!D157,0)</f>
        <v>#DIV/0!</v>
      </c>
      <c r="AR157" s="3" t="e">
        <f>IF('Entrada e Saida'!$H$11="TRADING",AU157*'Entrada e Saida'!$G$63,0)</f>
        <v>#DIV/0!</v>
      </c>
      <c r="AS157" s="3" t="e">
        <f>IF('Entrada e Saida'!$H$11="TRADING",AU157*'Entrada e Saida'!$G$64,0)</f>
        <v>#DIV/0!</v>
      </c>
      <c r="AT157" s="3" t="e">
        <f>IF('Entrada e Saida'!$H$11="TRADING",AU157*'Entrada e Saida'!$G$65,0)</f>
        <v>#DIV/0!</v>
      </c>
      <c r="AU157" s="4" t="e">
        <f>IF('Entrada e Saida'!$H$11="TRADING",AP157/(1-(SUM('Entrada e Saida'!$G$63:$G$65)+'Custo Resumido'!D157)),0)</f>
        <v>#DIV/0!</v>
      </c>
      <c r="AV157" s="3" t="e">
        <f>IF('Entrada e Saida'!$H$13="NÃO",AU157*M157,0)</f>
        <v>#DIV/0!</v>
      </c>
      <c r="AW157" s="4" t="e">
        <f t="shared" si="89"/>
        <v>#DIV/0!</v>
      </c>
      <c r="AX157" s="3" t="e">
        <f>'Entrada e Saida'!$G$74*AU157</f>
        <v>#DIV/0!</v>
      </c>
      <c r="AY157" s="4" t="e">
        <f t="shared" si="90"/>
        <v>#DIV/0!</v>
      </c>
      <c r="AZ157" s="4" t="e">
        <f>AQ157+('Entrada e Saida'!$G$65-'Entrada e Saida'!$I$65)*AU157-AX157</f>
        <v>#DIV/0!</v>
      </c>
      <c r="BA157" s="3" t="e">
        <f>IF('Entrada e Saida'!$H$12="REAL",AZ157*'Entrada e Saida'!$G$81,AU157*'Entrada e Saida'!$G$81)</f>
        <v>#DIV/0!</v>
      </c>
      <c r="BB157" s="3" t="e">
        <f>IF('Entrada e Saida'!$H$12="REAL",AZ157*'Entrada e Saida'!$G$82,AU157*'Entrada e Saida'!$G$82)</f>
        <v>#DIV/0!</v>
      </c>
      <c r="BC157" s="4" t="e">
        <f t="shared" si="91"/>
        <v>#DIV/0!</v>
      </c>
      <c r="BD157" s="3" t="e">
        <f>IF('Entrada e Saida'!$H$11="TRADING",AW157/D157,AK157/D157)</f>
        <v>#DIV/0!</v>
      </c>
      <c r="BE157" s="3" t="e">
        <f t="shared" si="92"/>
        <v>#DIV/0!</v>
      </c>
      <c r="BF157" s="2" t="e">
        <f t="shared" si="93"/>
        <v>#DIV/0!</v>
      </c>
      <c r="BG157" s="3" t="e">
        <f>IF('Entrada e Saida'!$H$11="TRADING",AV157/D157,AN157/D157)</f>
        <v>#DIV/0!</v>
      </c>
      <c r="BH157" s="3" t="e">
        <f>IF('Entrada e Saida'!$H$11="TRADING",IF('Entrada e Saida'!$H$12="REAL",AR157/D157,0),AL157/D157)</f>
        <v>#DIV/0!</v>
      </c>
      <c r="BI157" s="3" t="e">
        <f>IF('Entrada e Saida'!$H$11="TRADING",IF('Entrada e Saida'!$H$12="REAL",AS157/D157,0),AM157/D157)</f>
        <v>#DIV/0!</v>
      </c>
      <c r="BJ157" s="3" t="e">
        <f>IF('Entrada e Saida'!$H$11="TRADING",AT157/D157,AO157/D157)</f>
        <v>#DIV/0!</v>
      </c>
      <c r="BK157" s="2" t="e">
        <f t="shared" si="94"/>
        <v>#DIV/0!</v>
      </c>
      <c r="BL157" s="2">
        <f>IF(O157&gt;0,IFERROR(IF('Entrada e Saida'!$H$11="DIRETA",0,(IF('Entrada e Saida'!$H$14="P.JURIDICA",(BD157*(1+O157)*N157)-((BD157/(1+M157))*'Entrada e Saida'!$G$65),((Produtos!N157-'Entrada e Saida'!$G$65)*Produtos!BD157)))),0),0)</f>
        <v>0</v>
      </c>
      <c r="BM157" s="2" t="e">
        <f t="shared" si="95"/>
        <v>#DIV/0!</v>
      </c>
    </row>
    <row r="158" spans="1:65" s="1" customFormat="1">
      <c r="A158" s="127"/>
      <c r="B158" s="114"/>
      <c r="C158" s="116"/>
      <c r="D158" s="146"/>
      <c r="E158" s="115">
        <f>IFERROR(VLOOKUP(A158,'Master Modelo'!A:I,9,FALSE),0)</f>
        <v>0</v>
      </c>
      <c r="F158" s="189">
        <f>IFERROR(VLOOKUP(A158,'Master Modelo'!A:I,8,FALSE),0)</f>
        <v>0</v>
      </c>
      <c r="G158" s="189">
        <f>IFERROR(VLOOKUP(A158,'Master Modelo'!A:K,11,FALSE),0)</f>
        <v>0</v>
      </c>
      <c r="H158" s="114" t="e">
        <f t="shared" si="78"/>
        <v>#DIV/0!</v>
      </c>
      <c r="I158" s="150">
        <f>IFERROR(VLOOKUP(A158,'Master Modelo'!A:I,3,FALSE),0)</f>
        <v>0</v>
      </c>
      <c r="J158" s="151">
        <f>IFERROR(VLOOKUP(A158,'Master Modelo'!A:I,5,FALSE),0)</f>
        <v>0</v>
      </c>
      <c r="K158" s="151">
        <f>IFERROR(VLOOKUP(A158,'Master Modelo'!A:I,6,FALSE),0)</f>
        <v>0</v>
      </c>
      <c r="L158" s="152" t="e">
        <f>VLOOKUP(A158,'Master Modelo'!A:J,10,FALSE)</f>
        <v>#N/A</v>
      </c>
      <c r="M158" s="150">
        <f>IFERROR(VLOOKUP(A158,'Master Modelo'!A:I,4,FALSE),0)</f>
        <v>0</v>
      </c>
      <c r="N158" s="128"/>
      <c r="O158" s="129"/>
      <c r="P158" s="9">
        <f t="shared" si="79"/>
        <v>0</v>
      </c>
      <c r="Q158" s="177">
        <f t="shared" si="77"/>
        <v>0</v>
      </c>
      <c r="R158" s="3">
        <f>D158*E158*'Entrada e Saida'!$K$8</f>
        <v>0</v>
      </c>
      <c r="S158" s="179" t="e">
        <f>'Entrada e Saida'!$H$21*'Entrada e Saida'!$K$8*(P158/(SUM(P:P)))</f>
        <v>#DIV/0!</v>
      </c>
      <c r="T158" s="179" t="e">
        <f>'Entrada e Saida'!$H$21*'Entrada e Saida'!$K$8*(Q158/(SUM(Q:Q)))</f>
        <v>#DIV/0!</v>
      </c>
      <c r="U158" s="179" t="e">
        <f>'Entrada e Saida'!$H$22*(P158/(SUM(P:P)))</f>
        <v>#DIV/0!</v>
      </c>
      <c r="V158" s="179" t="e">
        <f>'Entrada e Saida'!$H$22*(Q158/(SUM(Q:Q)))</f>
        <v>#DIV/0!</v>
      </c>
      <c r="W158" s="8" t="e">
        <f t="shared" si="80"/>
        <v>#DIV/0!</v>
      </c>
      <c r="X158" s="179" t="e">
        <f>'Entrada e Saida'!$H$26*(IF('Entrada e Saida'!$H$15="PESO",(P158/(SUM(P:P))),(Q158/(SUM(Q:Q)))))</f>
        <v>#DIV/0!</v>
      </c>
      <c r="Y158" s="179" t="e">
        <f>'Entrada e Saida'!$H$27*(IF('Entrada e Saida'!$H$15="PESO",(P158/(SUM(P:P))),(Q158/(SUM(Q:Q)))))</f>
        <v>#DIV/0!</v>
      </c>
      <c r="Z158" s="179" t="e">
        <f>'Entrada e Saida'!$H$28*(IF('Entrada e Saida'!$H$15="PESO",(P158/(SUM(P:P))),(Q158/(SUM(Q:Q)))))</f>
        <v>#DIV/0!</v>
      </c>
      <c r="AA158" s="10" t="e">
        <f t="shared" si="81"/>
        <v>#DIV/0!</v>
      </c>
      <c r="AB158" s="3" t="e">
        <f t="shared" si="82"/>
        <v>#DIV/0!</v>
      </c>
      <c r="AC158" s="3" t="e">
        <f t="shared" si="83"/>
        <v>#DIV/0!</v>
      </c>
      <c r="AD158" s="3" t="e">
        <f t="shared" si="84"/>
        <v>#DIV/0!</v>
      </c>
      <c r="AE158" s="9" t="e">
        <f t="shared" si="85"/>
        <v>#DIV/0!</v>
      </c>
      <c r="AF158" s="126">
        <f>IFERROR(D158*F158*L158*'Entrada e Saida'!$K$8,0)</f>
        <v>0</v>
      </c>
      <c r="AG158" s="3" t="e">
        <f>((W158+AA158+AB158+AC158+AD158+AE158+AF158)/(1-'Entrada e Saida'!$G$65))*'Entrada e Saida'!$I$66</f>
        <v>#DIV/0!</v>
      </c>
      <c r="AH158" s="8" t="e">
        <f t="shared" si="86"/>
        <v>#DIV/0!</v>
      </c>
      <c r="AI158" s="183" t="e">
        <f>'Entrada e Saida'!$K$51*(IF('Entrada e Saida'!$H$15="PESO",(P158/(SUM(P:P))),(Q158/(SUM(Q:Q)))))</f>
        <v>#DIV/0!</v>
      </c>
      <c r="AJ158" s="7">
        <f>(('Entrada e Saida'!$K$10-'Entrada e Saida'!$K$8)*E158*D158)</f>
        <v>0</v>
      </c>
      <c r="AK158" s="184" t="e">
        <f>IF('Entrada e Saida'!$H$15="PESO",W158+AA158+AH158+AI158+AJ158,W158+AA158+AH158+AI158+AJ158-S158+T158-U158+V158)</f>
        <v>#DIV/0!</v>
      </c>
      <c r="AL158" s="6" t="e">
        <f>IF('Entrada e Saida'!$H$12="REAL",AC158,0)</f>
        <v>#DIV/0!</v>
      </c>
      <c r="AM158" s="6" t="e">
        <f>IF('Entrada e Saida'!$H$12="REAL",AD158,0)</f>
        <v>#DIV/0!</v>
      </c>
      <c r="AN158" s="5" t="e">
        <f>IF('Entrada e Saida'!$H$13= "NÃO",AE158,0)</f>
        <v>#DIV/0!</v>
      </c>
      <c r="AO158" s="5" t="e">
        <f t="shared" si="87"/>
        <v>#DIV/0!</v>
      </c>
      <c r="AP158" s="4" t="e">
        <f t="shared" si="88"/>
        <v>#DIV/0!</v>
      </c>
      <c r="AQ158" s="3" t="e">
        <f>IF('Entrada e Saida'!$H$11="TRADING",AU158*'Custo Resumido'!D158,0)</f>
        <v>#DIV/0!</v>
      </c>
      <c r="AR158" s="3" t="e">
        <f>IF('Entrada e Saida'!$H$11="TRADING",AU158*'Entrada e Saida'!$G$63,0)</f>
        <v>#DIV/0!</v>
      </c>
      <c r="AS158" s="3" t="e">
        <f>IF('Entrada e Saida'!$H$11="TRADING",AU158*'Entrada e Saida'!$G$64,0)</f>
        <v>#DIV/0!</v>
      </c>
      <c r="AT158" s="3" t="e">
        <f>IF('Entrada e Saida'!$H$11="TRADING",AU158*'Entrada e Saida'!$G$65,0)</f>
        <v>#DIV/0!</v>
      </c>
      <c r="AU158" s="4" t="e">
        <f>IF('Entrada e Saida'!$H$11="TRADING",AP158/(1-(SUM('Entrada e Saida'!$G$63:$G$65)+'Custo Resumido'!D158)),0)</f>
        <v>#DIV/0!</v>
      </c>
      <c r="AV158" s="3" t="e">
        <f>IF('Entrada e Saida'!$H$13="NÃO",AU158*M158,0)</f>
        <v>#DIV/0!</v>
      </c>
      <c r="AW158" s="4" t="e">
        <f t="shared" si="89"/>
        <v>#DIV/0!</v>
      </c>
      <c r="AX158" s="3" t="e">
        <f>'Entrada e Saida'!$G$74*AU158</f>
        <v>#DIV/0!</v>
      </c>
      <c r="AY158" s="4" t="e">
        <f t="shared" si="90"/>
        <v>#DIV/0!</v>
      </c>
      <c r="AZ158" s="4" t="e">
        <f>AQ158+('Entrada e Saida'!$G$65-'Entrada e Saida'!$I$65)*AU158-AX158</f>
        <v>#DIV/0!</v>
      </c>
      <c r="BA158" s="3" t="e">
        <f>IF('Entrada e Saida'!$H$12="REAL",AZ158*'Entrada e Saida'!$G$81,AU158*'Entrada e Saida'!$G$81)</f>
        <v>#DIV/0!</v>
      </c>
      <c r="BB158" s="3" t="e">
        <f>IF('Entrada e Saida'!$H$12="REAL",AZ158*'Entrada e Saida'!$G$82,AU158*'Entrada e Saida'!$G$82)</f>
        <v>#DIV/0!</v>
      </c>
      <c r="BC158" s="4" t="e">
        <f t="shared" si="91"/>
        <v>#DIV/0!</v>
      </c>
      <c r="BD158" s="3" t="e">
        <f>IF('Entrada e Saida'!$H$11="TRADING",AW158/D158,AK158/D158)</f>
        <v>#DIV/0!</v>
      </c>
      <c r="BE158" s="3" t="e">
        <f t="shared" si="92"/>
        <v>#DIV/0!</v>
      </c>
      <c r="BF158" s="2" t="e">
        <f t="shared" si="93"/>
        <v>#DIV/0!</v>
      </c>
      <c r="BG158" s="3" t="e">
        <f>IF('Entrada e Saida'!$H$11="TRADING",AV158/D158,AN158/D158)</f>
        <v>#DIV/0!</v>
      </c>
      <c r="BH158" s="3" t="e">
        <f>IF('Entrada e Saida'!$H$11="TRADING",IF('Entrada e Saida'!$H$12="REAL",AR158/D158,0),AL158/D158)</f>
        <v>#DIV/0!</v>
      </c>
      <c r="BI158" s="3" t="e">
        <f>IF('Entrada e Saida'!$H$11="TRADING",IF('Entrada e Saida'!$H$12="REAL",AS158/D158,0),AM158/D158)</f>
        <v>#DIV/0!</v>
      </c>
      <c r="BJ158" s="3" t="e">
        <f>IF('Entrada e Saida'!$H$11="TRADING",AT158/D158,AO158/D158)</f>
        <v>#DIV/0!</v>
      </c>
      <c r="BK158" s="2" t="e">
        <f t="shared" si="94"/>
        <v>#DIV/0!</v>
      </c>
      <c r="BL158" s="2">
        <f>IF(O158&gt;0,IFERROR(IF('Entrada e Saida'!$H$11="DIRETA",0,(IF('Entrada e Saida'!$H$14="P.JURIDICA",(BD158*(1+O158)*N158)-((BD158/(1+M158))*'Entrada e Saida'!$G$65),((Produtos!N158-'Entrada e Saida'!$G$65)*Produtos!BD158)))),0),0)</f>
        <v>0</v>
      </c>
      <c r="BM158" s="2" t="e">
        <f t="shared" si="95"/>
        <v>#DIV/0!</v>
      </c>
    </row>
    <row r="159" spans="1:65" s="1" customFormat="1">
      <c r="A159" s="127"/>
      <c r="B159" s="114"/>
      <c r="C159" s="116"/>
      <c r="D159" s="146"/>
      <c r="E159" s="115">
        <f>IFERROR(VLOOKUP(A159,'Master Modelo'!A:I,9,FALSE),0)</f>
        <v>0</v>
      </c>
      <c r="F159" s="189">
        <f>IFERROR(VLOOKUP(A159,'Master Modelo'!A:I,8,FALSE),0)</f>
        <v>0</v>
      </c>
      <c r="G159" s="189">
        <f>IFERROR(VLOOKUP(A159,'Master Modelo'!A:K,11,FALSE),0)</f>
        <v>0</v>
      </c>
      <c r="H159" s="114" t="e">
        <f t="shared" si="78"/>
        <v>#DIV/0!</v>
      </c>
      <c r="I159" s="150">
        <f>IFERROR(VLOOKUP(A159,'Master Modelo'!A:I,3,FALSE),0)</f>
        <v>0</v>
      </c>
      <c r="J159" s="151">
        <f>IFERROR(VLOOKUP(A159,'Master Modelo'!A:I,5,FALSE),0)</f>
        <v>0</v>
      </c>
      <c r="K159" s="151">
        <f>IFERROR(VLOOKUP(A159,'Master Modelo'!A:I,6,FALSE),0)</f>
        <v>0</v>
      </c>
      <c r="L159" s="152" t="e">
        <f>VLOOKUP(A159,'Master Modelo'!A:J,10,FALSE)</f>
        <v>#N/A</v>
      </c>
      <c r="M159" s="150">
        <f>IFERROR(VLOOKUP(A159,'Master Modelo'!A:I,4,FALSE),0)</f>
        <v>0</v>
      </c>
      <c r="N159" s="128"/>
      <c r="O159" s="129"/>
      <c r="P159" s="9">
        <f t="shared" si="79"/>
        <v>0</v>
      </c>
      <c r="Q159" s="177">
        <f t="shared" si="77"/>
        <v>0</v>
      </c>
      <c r="R159" s="3">
        <f>D159*E159*'Entrada e Saida'!$K$8</f>
        <v>0</v>
      </c>
      <c r="S159" s="179" t="e">
        <f>'Entrada e Saida'!$H$21*'Entrada e Saida'!$K$8*(P159/(SUM(P:P)))</f>
        <v>#DIV/0!</v>
      </c>
      <c r="T159" s="179" t="e">
        <f>'Entrada e Saida'!$H$21*'Entrada e Saida'!$K$8*(Q159/(SUM(Q:Q)))</f>
        <v>#DIV/0!</v>
      </c>
      <c r="U159" s="179" t="e">
        <f>'Entrada e Saida'!$H$22*(P159/(SUM(P:P)))</f>
        <v>#DIV/0!</v>
      </c>
      <c r="V159" s="179" t="e">
        <f>'Entrada e Saida'!$H$22*(Q159/(SUM(Q:Q)))</f>
        <v>#DIV/0!</v>
      </c>
      <c r="W159" s="8" t="e">
        <f t="shared" si="80"/>
        <v>#DIV/0!</v>
      </c>
      <c r="X159" s="179" t="e">
        <f>'Entrada e Saida'!$H$26*(IF('Entrada e Saida'!$H$15="PESO",(P159/(SUM(P:P))),(Q159/(SUM(Q:Q)))))</f>
        <v>#DIV/0!</v>
      </c>
      <c r="Y159" s="179" t="e">
        <f>'Entrada e Saida'!$H$27*(IF('Entrada e Saida'!$H$15="PESO",(P159/(SUM(P:P))),(Q159/(SUM(Q:Q)))))</f>
        <v>#DIV/0!</v>
      </c>
      <c r="Z159" s="179" t="e">
        <f>'Entrada e Saida'!$H$28*(IF('Entrada e Saida'!$H$15="PESO",(P159/(SUM(P:P))),(Q159/(SUM(Q:Q)))))</f>
        <v>#DIV/0!</v>
      </c>
      <c r="AA159" s="10" t="e">
        <f t="shared" si="81"/>
        <v>#DIV/0!</v>
      </c>
      <c r="AB159" s="3" t="e">
        <f t="shared" si="82"/>
        <v>#DIV/0!</v>
      </c>
      <c r="AC159" s="3" t="e">
        <f t="shared" si="83"/>
        <v>#DIV/0!</v>
      </c>
      <c r="AD159" s="3" t="e">
        <f t="shared" si="84"/>
        <v>#DIV/0!</v>
      </c>
      <c r="AE159" s="9" t="e">
        <f t="shared" si="85"/>
        <v>#DIV/0!</v>
      </c>
      <c r="AF159" s="126">
        <f>IFERROR(D159*F159*L159*'Entrada e Saida'!$K$8,0)</f>
        <v>0</v>
      </c>
      <c r="AG159" s="3" t="e">
        <f>((W159+AA159+AB159+AC159+AD159+AE159+AF159)/(1-'Entrada e Saida'!$G$65))*'Entrada e Saida'!$I$66</f>
        <v>#DIV/0!</v>
      </c>
      <c r="AH159" s="8" t="e">
        <f t="shared" si="86"/>
        <v>#DIV/0!</v>
      </c>
      <c r="AI159" s="183" t="e">
        <f>'Entrada e Saida'!$K$51*(IF('Entrada e Saida'!$H$15="PESO",(P159/(SUM(P:P))),(Q159/(SUM(Q:Q)))))</f>
        <v>#DIV/0!</v>
      </c>
      <c r="AJ159" s="7">
        <f>(('Entrada e Saida'!$K$10-'Entrada e Saida'!$K$8)*E159*D159)</f>
        <v>0</v>
      </c>
      <c r="AK159" s="184" t="e">
        <f>IF('Entrada e Saida'!$H$15="PESO",W159+AA159+AH159+AI159+AJ159,W159+AA159+AH159+AI159+AJ159-S159+T159-U159+V159)</f>
        <v>#DIV/0!</v>
      </c>
      <c r="AL159" s="6" t="e">
        <f>IF('Entrada e Saida'!$H$12="REAL",AC159,0)</f>
        <v>#DIV/0!</v>
      </c>
      <c r="AM159" s="6" t="e">
        <f>IF('Entrada e Saida'!$H$12="REAL",AD159,0)</f>
        <v>#DIV/0!</v>
      </c>
      <c r="AN159" s="5" t="e">
        <f>IF('Entrada e Saida'!$H$13= "NÃO",AE159,0)</f>
        <v>#DIV/0!</v>
      </c>
      <c r="AO159" s="5" t="e">
        <f t="shared" si="87"/>
        <v>#DIV/0!</v>
      </c>
      <c r="AP159" s="4" t="e">
        <f t="shared" si="88"/>
        <v>#DIV/0!</v>
      </c>
      <c r="AQ159" s="3" t="e">
        <f>IF('Entrada e Saida'!$H$11="TRADING",AU159*'Custo Resumido'!D159,0)</f>
        <v>#DIV/0!</v>
      </c>
      <c r="AR159" s="3" t="e">
        <f>IF('Entrada e Saida'!$H$11="TRADING",AU159*'Entrada e Saida'!$G$63,0)</f>
        <v>#DIV/0!</v>
      </c>
      <c r="AS159" s="3" t="e">
        <f>IF('Entrada e Saida'!$H$11="TRADING",AU159*'Entrada e Saida'!$G$64,0)</f>
        <v>#DIV/0!</v>
      </c>
      <c r="AT159" s="3" t="e">
        <f>IF('Entrada e Saida'!$H$11="TRADING",AU159*'Entrada e Saida'!$G$65,0)</f>
        <v>#DIV/0!</v>
      </c>
      <c r="AU159" s="4" t="e">
        <f>IF('Entrada e Saida'!$H$11="TRADING",AP159/(1-(SUM('Entrada e Saida'!$G$63:$G$65)+'Custo Resumido'!D159)),0)</f>
        <v>#DIV/0!</v>
      </c>
      <c r="AV159" s="3" t="e">
        <f>IF('Entrada e Saida'!$H$13="NÃO",AU159*M159,0)</f>
        <v>#DIV/0!</v>
      </c>
      <c r="AW159" s="4" t="e">
        <f t="shared" si="89"/>
        <v>#DIV/0!</v>
      </c>
      <c r="AX159" s="3" t="e">
        <f>'Entrada e Saida'!$G$74*AU159</f>
        <v>#DIV/0!</v>
      </c>
      <c r="AY159" s="4" t="e">
        <f t="shared" si="90"/>
        <v>#DIV/0!</v>
      </c>
      <c r="AZ159" s="4" t="e">
        <f>AQ159+('Entrada e Saida'!$G$65-'Entrada e Saida'!$I$65)*AU159-AX159</f>
        <v>#DIV/0!</v>
      </c>
      <c r="BA159" s="3" t="e">
        <f>IF('Entrada e Saida'!$H$12="REAL",AZ159*'Entrada e Saida'!$G$81,AU159*'Entrada e Saida'!$G$81)</f>
        <v>#DIV/0!</v>
      </c>
      <c r="BB159" s="3" t="e">
        <f>IF('Entrada e Saida'!$H$12="REAL",AZ159*'Entrada e Saida'!$G$82,AU159*'Entrada e Saida'!$G$82)</f>
        <v>#DIV/0!</v>
      </c>
      <c r="BC159" s="4" t="e">
        <f t="shared" si="91"/>
        <v>#DIV/0!</v>
      </c>
      <c r="BD159" s="3" t="e">
        <f>IF('Entrada e Saida'!$H$11="TRADING",AW159/D159,AK159/D159)</f>
        <v>#DIV/0!</v>
      </c>
      <c r="BE159" s="3" t="e">
        <f t="shared" si="92"/>
        <v>#DIV/0!</v>
      </c>
      <c r="BF159" s="2" t="e">
        <f t="shared" si="93"/>
        <v>#DIV/0!</v>
      </c>
      <c r="BG159" s="3" t="e">
        <f>IF('Entrada e Saida'!$H$11="TRADING",AV159/D159,AN159/D159)</f>
        <v>#DIV/0!</v>
      </c>
      <c r="BH159" s="3" t="e">
        <f>IF('Entrada e Saida'!$H$11="TRADING",IF('Entrada e Saida'!$H$12="REAL",AR159/D159,0),AL159/D159)</f>
        <v>#DIV/0!</v>
      </c>
      <c r="BI159" s="3" t="e">
        <f>IF('Entrada e Saida'!$H$11="TRADING",IF('Entrada e Saida'!$H$12="REAL",AS159/D159,0),AM159/D159)</f>
        <v>#DIV/0!</v>
      </c>
      <c r="BJ159" s="3" t="e">
        <f>IF('Entrada e Saida'!$H$11="TRADING",AT159/D159,AO159/D159)</f>
        <v>#DIV/0!</v>
      </c>
      <c r="BK159" s="2" t="e">
        <f t="shared" si="94"/>
        <v>#DIV/0!</v>
      </c>
      <c r="BL159" s="2">
        <f>IF(O159&gt;0,IFERROR(IF('Entrada e Saida'!$H$11="DIRETA",0,(IF('Entrada e Saida'!$H$14="P.JURIDICA",(BD159*(1+O159)*N159)-((BD159/(1+M159))*'Entrada e Saida'!$G$65),((Produtos!N159-'Entrada e Saida'!$G$65)*Produtos!BD159)))),0),0)</f>
        <v>0</v>
      </c>
      <c r="BM159" s="2" t="e">
        <f t="shared" si="95"/>
        <v>#DIV/0!</v>
      </c>
    </row>
    <row r="160" spans="1:65" s="1" customFormat="1">
      <c r="A160" s="127"/>
      <c r="B160" s="114"/>
      <c r="C160" s="116"/>
      <c r="D160" s="146"/>
      <c r="E160" s="115">
        <f>IFERROR(VLOOKUP(A160,'Master Modelo'!A:I,9,FALSE),0)</f>
        <v>0</v>
      </c>
      <c r="F160" s="189">
        <f>IFERROR(VLOOKUP(A160,'Master Modelo'!A:I,8,FALSE),0)</f>
        <v>0</v>
      </c>
      <c r="G160" s="189">
        <f>IFERROR(VLOOKUP(A160,'Master Modelo'!A:K,11,FALSE),0)</f>
        <v>0</v>
      </c>
      <c r="H160" s="114" t="e">
        <f t="shared" si="78"/>
        <v>#DIV/0!</v>
      </c>
      <c r="I160" s="150">
        <f>IFERROR(VLOOKUP(A160,'Master Modelo'!A:I,3,FALSE),0)</f>
        <v>0</v>
      </c>
      <c r="J160" s="151">
        <f>IFERROR(VLOOKUP(A160,'Master Modelo'!A:I,5,FALSE),0)</f>
        <v>0</v>
      </c>
      <c r="K160" s="151">
        <f>IFERROR(VLOOKUP(A160,'Master Modelo'!A:I,6,FALSE),0)</f>
        <v>0</v>
      </c>
      <c r="L160" s="152" t="e">
        <f>VLOOKUP(A160,'Master Modelo'!A:J,10,FALSE)</f>
        <v>#N/A</v>
      </c>
      <c r="M160" s="150">
        <f>IFERROR(VLOOKUP(A160,'Master Modelo'!A:I,4,FALSE),0)</f>
        <v>0</v>
      </c>
      <c r="N160" s="128"/>
      <c r="O160" s="129"/>
      <c r="P160" s="9">
        <f t="shared" si="79"/>
        <v>0</v>
      </c>
      <c r="Q160" s="177">
        <f t="shared" si="77"/>
        <v>0</v>
      </c>
      <c r="R160" s="3">
        <f>D160*E160*'Entrada e Saida'!$K$8</f>
        <v>0</v>
      </c>
      <c r="S160" s="179" t="e">
        <f>'Entrada e Saida'!$H$21*'Entrada e Saida'!$K$8*(P160/(SUM(P:P)))</f>
        <v>#DIV/0!</v>
      </c>
      <c r="T160" s="179" t="e">
        <f>'Entrada e Saida'!$H$21*'Entrada e Saida'!$K$8*(Q160/(SUM(Q:Q)))</f>
        <v>#DIV/0!</v>
      </c>
      <c r="U160" s="179" t="e">
        <f>'Entrada e Saida'!$H$22*(P160/(SUM(P:P)))</f>
        <v>#DIV/0!</v>
      </c>
      <c r="V160" s="179" t="e">
        <f>'Entrada e Saida'!$H$22*(Q160/(SUM(Q:Q)))</f>
        <v>#DIV/0!</v>
      </c>
      <c r="W160" s="8" t="e">
        <f t="shared" si="80"/>
        <v>#DIV/0!</v>
      </c>
      <c r="X160" s="179" t="e">
        <f>'Entrada e Saida'!$H$26*(IF('Entrada e Saida'!$H$15="PESO",(P160/(SUM(P:P))),(Q160/(SUM(Q:Q)))))</f>
        <v>#DIV/0!</v>
      </c>
      <c r="Y160" s="179" t="e">
        <f>'Entrada e Saida'!$H$27*(IF('Entrada e Saida'!$H$15="PESO",(P160/(SUM(P:P))),(Q160/(SUM(Q:Q)))))</f>
        <v>#DIV/0!</v>
      </c>
      <c r="Z160" s="179" t="e">
        <f>'Entrada e Saida'!$H$28*(IF('Entrada e Saida'!$H$15="PESO",(P160/(SUM(P:P))),(Q160/(SUM(Q:Q)))))</f>
        <v>#DIV/0!</v>
      </c>
      <c r="AA160" s="10" t="e">
        <f t="shared" si="81"/>
        <v>#DIV/0!</v>
      </c>
      <c r="AB160" s="3" t="e">
        <f t="shared" si="82"/>
        <v>#DIV/0!</v>
      </c>
      <c r="AC160" s="3" t="e">
        <f t="shared" si="83"/>
        <v>#DIV/0!</v>
      </c>
      <c r="AD160" s="3" t="e">
        <f t="shared" si="84"/>
        <v>#DIV/0!</v>
      </c>
      <c r="AE160" s="9" t="e">
        <f t="shared" si="85"/>
        <v>#DIV/0!</v>
      </c>
      <c r="AF160" s="126">
        <f>IFERROR(D160*F160*L160*'Entrada e Saida'!$K$8,0)</f>
        <v>0</v>
      </c>
      <c r="AG160" s="3" t="e">
        <f>((W160+AA160+AB160+AC160+AD160+AE160+AF160)/(1-'Entrada e Saida'!$G$65))*'Entrada e Saida'!$I$66</f>
        <v>#DIV/0!</v>
      </c>
      <c r="AH160" s="8" t="e">
        <f t="shared" si="86"/>
        <v>#DIV/0!</v>
      </c>
      <c r="AI160" s="183" t="e">
        <f>'Entrada e Saida'!$K$51*(IF('Entrada e Saida'!$H$15="PESO",(P160/(SUM(P:P))),(Q160/(SUM(Q:Q)))))</f>
        <v>#DIV/0!</v>
      </c>
      <c r="AJ160" s="7">
        <f>(('Entrada e Saida'!$K$10-'Entrada e Saida'!$K$8)*E160*D160)</f>
        <v>0</v>
      </c>
      <c r="AK160" s="184" t="e">
        <f>IF('Entrada e Saida'!$H$15="PESO",W160+AA160+AH160+AI160+AJ160,W160+AA160+AH160+AI160+AJ160-S160+T160-U160+V160)</f>
        <v>#DIV/0!</v>
      </c>
      <c r="AL160" s="6" t="e">
        <f>IF('Entrada e Saida'!$H$12="REAL",AC160,0)</f>
        <v>#DIV/0!</v>
      </c>
      <c r="AM160" s="6" t="e">
        <f>IF('Entrada e Saida'!$H$12="REAL",AD160,0)</f>
        <v>#DIV/0!</v>
      </c>
      <c r="AN160" s="5" t="e">
        <f>IF('Entrada e Saida'!$H$13= "NÃO",AE160,0)</f>
        <v>#DIV/0!</v>
      </c>
      <c r="AO160" s="5" t="e">
        <f t="shared" si="87"/>
        <v>#DIV/0!</v>
      </c>
      <c r="AP160" s="4" t="e">
        <f t="shared" si="88"/>
        <v>#DIV/0!</v>
      </c>
      <c r="AQ160" s="3" t="e">
        <f>IF('Entrada e Saida'!$H$11="TRADING",AU160*'Custo Resumido'!D160,0)</f>
        <v>#DIV/0!</v>
      </c>
      <c r="AR160" s="3" t="e">
        <f>IF('Entrada e Saida'!$H$11="TRADING",AU160*'Entrada e Saida'!$G$63,0)</f>
        <v>#DIV/0!</v>
      </c>
      <c r="AS160" s="3" t="e">
        <f>IF('Entrada e Saida'!$H$11="TRADING",AU160*'Entrada e Saida'!$G$64,0)</f>
        <v>#DIV/0!</v>
      </c>
      <c r="AT160" s="3" t="e">
        <f>IF('Entrada e Saida'!$H$11="TRADING",AU160*'Entrada e Saida'!$G$65,0)</f>
        <v>#DIV/0!</v>
      </c>
      <c r="AU160" s="4" t="e">
        <f>IF('Entrada e Saida'!$H$11="TRADING",AP160/(1-(SUM('Entrada e Saida'!$G$63:$G$65)+'Custo Resumido'!D160)),0)</f>
        <v>#DIV/0!</v>
      </c>
      <c r="AV160" s="3" t="e">
        <f>IF('Entrada e Saida'!$H$13="NÃO",AU160*M160,0)</f>
        <v>#DIV/0!</v>
      </c>
      <c r="AW160" s="4" t="e">
        <f t="shared" si="89"/>
        <v>#DIV/0!</v>
      </c>
      <c r="AX160" s="3" t="e">
        <f>'Entrada e Saida'!$G$74*AU160</f>
        <v>#DIV/0!</v>
      </c>
      <c r="AY160" s="4" t="e">
        <f t="shared" si="90"/>
        <v>#DIV/0!</v>
      </c>
      <c r="AZ160" s="4" t="e">
        <f>AQ160+('Entrada e Saida'!$G$65-'Entrada e Saida'!$I$65)*AU160-AX160</f>
        <v>#DIV/0!</v>
      </c>
      <c r="BA160" s="3" t="e">
        <f>IF('Entrada e Saida'!$H$12="REAL",AZ160*'Entrada e Saida'!$G$81,AU160*'Entrada e Saida'!$G$81)</f>
        <v>#DIV/0!</v>
      </c>
      <c r="BB160" s="3" t="e">
        <f>IF('Entrada e Saida'!$H$12="REAL",AZ160*'Entrada e Saida'!$G$82,AU160*'Entrada e Saida'!$G$82)</f>
        <v>#DIV/0!</v>
      </c>
      <c r="BC160" s="4" t="e">
        <f t="shared" si="91"/>
        <v>#DIV/0!</v>
      </c>
      <c r="BD160" s="3" t="e">
        <f>IF('Entrada e Saida'!$H$11="TRADING",AW160/D160,AK160/D160)</f>
        <v>#DIV/0!</v>
      </c>
      <c r="BE160" s="3" t="e">
        <f t="shared" si="92"/>
        <v>#DIV/0!</v>
      </c>
      <c r="BF160" s="2" t="e">
        <f t="shared" si="93"/>
        <v>#DIV/0!</v>
      </c>
      <c r="BG160" s="3" t="e">
        <f>IF('Entrada e Saida'!$H$11="TRADING",AV160/D160,AN160/D160)</f>
        <v>#DIV/0!</v>
      </c>
      <c r="BH160" s="3" t="e">
        <f>IF('Entrada e Saida'!$H$11="TRADING",IF('Entrada e Saida'!$H$12="REAL",AR160/D160,0),AL160/D160)</f>
        <v>#DIV/0!</v>
      </c>
      <c r="BI160" s="3" t="e">
        <f>IF('Entrada e Saida'!$H$11="TRADING",IF('Entrada e Saida'!$H$12="REAL",AS160/D160,0),AM160/D160)</f>
        <v>#DIV/0!</v>
      </c>
      <c r="BJ160" s="3" t="e">
        <f>IF('Entrada e Saida'!$H$11="TRADING",AT160/D160,AO160/D160)</f>
        <v>#DIV/0!</v>
      </c>
      <c r="BK160" s="2" t="e">
        <f t="shared" si="94"/>
        <v>#DIV/0!</v>
      </c>
      <c r="BL160" s="2">
        <f>IF(O160&gt;0,IFERROR(IF('Entrada e Saida'!$H$11="DIRETA",0,(IF('Entrada e Saida'!$H$14="P.JURIDICA",(BD160*(1+O160)*N160)-((BD160/(1+M160))*'Entrada e Saida'!$G$65),((Produtos!N160-'Entrada e Saida'!$G$65)*Produtos!BD160)))),0),0)</f>
        <v>0</v>
      </c>
      <c r="BM160" s="2" t="e">
        <f t="shared" si="95"/>
        <v>#DIV/0!</v>
      </c>
    </row>
    <row r="161" spans="1:65" s="1" customFormat="1">
      <c r="A161" s="127"/>
      <c r="B161" s="114"/>
      <c r="C161" s="116"/>
      <c r="D161" s="146"/>
      <c r="E161" s="115">
        <f>IFERROR(VLOOKUP(A161,'Master Modelo'!A:I,9,FALSE),0)</f>
        <v>0</v>
      </c>
      <c r="F161" s="189">
        <f>IFERROR(VLOOKUP(A161,'Master Modelo'!A:I,8,FALSE),0)</f>
        <v>0</v>
      </c>
      <c r="G161" s="189">
        <f>IFERROR(VLOOKUP(A161,'Master Modelo'!A:K,11,FALSE),0)</f>
        <v>0</v>
      </c>
      <c r="H161" s="114" t="e">
        <f t="shared" si="78"/>
        <v>#DIV/0!</v>
      </c>
      <c r="I161" s="150">
        <f>IFERROR(VLOOKUP(A161,'Master Modelo'!A:I,3,FALSE),0)</f>
        <v>0</v>
      </c>
      <c r="J161" s="151">
        <f>IFERROR(VLOOKUP(A161,'Master Modelo'!A:I,5,FALSE),0)</f>
        <v>0</v>
      </c>
      <c r="K161" s="151">
        <f>IFERROR(VLOOKUP(A161,'Master Modelo'!A:I,6,FALSE),0)</f>
        <v>0</v>
      </c>
      <c r="L161" s="152" t="e">
        <f>VLOOKUP(A161,'Master Modelo'!A:J,10,FALSE)</f>
        <v>#N/A</v>
      </c>
      <c r="M161" s="150">
        <f>IFERROR(VLOOKUP(A161,'Master Modelo'!A:I,4,FALSE),0)</f>
        <v>0</v>
      </c>
      <c r="N161" s="128"/>
      <c r="O161" s="129"/>
      <c r="P161" s="9">
        <f t="shared" si="79"/>
        <v>0</v>
      </c>
      <c r="Q161" s="177">
        <f t="shared" si="77"/>
        <v>0</v>
      </c>
      <c r="R161" s="3">
        <f>D161*E161*'Entrada e Saida'!$K$8</f>
        <v>0</v>
      </c>
      <c r="S161" s="179" t="e">
        <f>'Entrada e Saida'!$H$21*'Entrada e Saida'!$K$8*(P161/(SUM(P:P)))</f>
        <v>#DIV/0!</v>
      </c>
      <c r="T161" s="179" t="e">
        <f>'Entrada e Saida'!$H$21*'Entrada e Saida'!$K$8*(Q161/(SUM(Q:Q)))</f>
        <v>#DIV/0!</v>
      </c>
      <c r="U161" s="179" t="e">
        <f>'Entrada e Saida'!$H$22*(P161/(SUM(P:P)))</f>
        <v>#DIV/0!</v>
      </c>
      <c r="V161" s="179" t="e">
        <f>'Entrada e Saida'!$H$22*(Q161/(SUM(Q:Q)))</f>
        <v>#DIV/0!</v>
      </c>
      <c r="W161" s="8" t="e">
        <f t="shared" si="80"/>
        <v>#DIV/0!</v>
      </c>
      <c r="X161" s="179" t="e">
        <f>'Entrada e Saida'!$H$26*(IF('Entrada e Saida'!$H$15="PESO",(P161/(SUM(P:P))),(Q161/(SUM(Q:Q)))))</f>
        <v>#DIV/0!</v>
      </c>
      <c r="Y161" s="179" t="e">
        <f>'Entrada e Saida'!$H$27*(IF('Entrada e Saida'!$H$15="PESO",(P161/(SUM(P:P))),(Q161/(SUM(Q:Q)))))</f>
        <v>#DIV/0!</v>
      </c>
      <c r="Z161" s="179" t="e">
        <f>'Entrada e Saida'!$H$28*(IF('Entrada e Saida'!$H$15="PESO",(P161/(SUM(P:P))),(Q161/(SUM(Q:Q)))))</f>
        <v>#DIV/0!</v>
      </c>
      <c r="AA161" s="10" t="e">
        <f t="shared" si="81"/>
        <v>#DIV/0!</v>
      </c>
      <c r="AB161" s="3" t="e">
        <f t="shared" si="82"/>
        <v>#DIV/0!</v>
      </c>
      <c r="AC161" s="3" t="e">
        <f t="shared" si="83"/>
        <v>#DIV/0!</v>
      </c>
      <c r="AD161" s="3" t="e">
        <f t="shared" si="84"/>
        <v>#DIV/0!</v>
      </c>
      <c r="AE161" s="9" t="e">
        <f t="shared" si="85"/>
        <v>#DIV/0!</v>
      </c>
      <c r="AF161" s="126">
        <f>IFERROR(D161*F161*L161*'Entrada e Saida'!$K$8,0)</f>
        <v>0</v>
      </c>
      <c r="AG161" s="3" t="e">
        <f>((W161+AA161+AB161+AC161+AD161+AE161+AF161)/(1-'Entrada e Saida'!$G$65))*'Entrada e Saida'!$I$66</f>
        <v>#DIV/0!</v>
      </c>
      <c r="AH161" s="8" t="e">
        <f t="shared" si="86"/>
        <v>#DIV/0!</v>
      </c>
      <c r="AI161" s="183" t="e">
        <f>'Entrada e Saida'!$K$51*(IF('Entrada e Saida'!$H$15="PESO",(P161/(SUM(P:P))),(Q161/(SUM(Q:Q)))))</f>
        <v>#DIV/0!</v>
      </c>
      <c r="AJ161" s="7">
        <f>(('Entrada e Saida'!$K$10-'Entrada e Saida'!$K$8)*E161*D161)</f>
        <v>0</v>
      </c>
      <c r="AK161" s="184" t="e">
        <f>IF('Entrada e Saida'!$H$15="PESO",W161+AA161+AH161+AI161+AJ161,W161+AA161+AH161+AI161+AJ161-S161+T161-U161+V161)</f>
        <v>#DIV/0!</v>
      </c>
      <c r="AL161" s="6" t="e">
        <f>IF('Entrada e Saida'!$H$12="REAL",AC161,0)</f>
        <v>#DIV/0!</v>
      </c>
      <c r="AM161" s="6" t="e">
        <f>IF('Entrada e Saida'!$H$12="REAL",AD161,0)</f>
        <v>#DIV/0!</v>
      </c>
      <c r="AN161" s="5" t="e">
        <f>IF('Entrada e Saida'!$H$13= "NÃO",AE161,0)</f>
        <v>#DIV/0!</v>
      </c>
      <c r="AO161" s="5" t="e">
        <f t="shared" si="87"/>
        <v>#DIV/0!</v>
      </c>
      <c r="AP161" s="4" t="e">
        <f t="shared" si="88"/>
        <v>#DIV/0!</v>
      </c>
      <c r="AQ161" s="3" t="e">
        <f>IF('Entrada e Saida'!$H$11="TRADING",AU161*'Custo Resumido'!D161,0)</f>
        <v>#DIV/0!</v>
      </c>
      <c r="AR161" s="3" t="e">
        <f>IF('Entrada e Saida'!$H$11="TRADING",AU161*'Entrada e Saida'!$G$63,0)</f>
        <v>#DIV/0!</v>
      </c>
      <c r="AS161" s="3" t="e">
        <f>IF('Entrada e Saida'!$H$11="TRADING",AU161*'Entrada e Saida'!$G$64,0)</f>
        <v>#DIV/0!</v>
      </c>
      <c r="AT161" s="3" t="e">
        <f>IF('Entrada e Saida'!$H$11="TRADING",AU161*'Entrada e Saida'!$G$65,0)</f>
        <v>#DIV/0!</v>
      </c>
      <c r="AU161" s="4" t="e">
        <f>IF('Entrada e Saida'!$H$11="TRADING",AP161/(1-(SUM('Entrada e Saida'!$G$63:$G$65)+'Custo Resumido'!D161)),0)</f>
        <v>#DIV/0!</v>
      </c>
      <c r="AV161" s="3" t="e">
        <f>IF('Entrada e Saida'!$H$13="NÃO",AU161*M161,0)</f>
        <v>#DIV/0!</v>
      </c>
      <c r="AW161" s="4" t="e">
        <f t="shared" si="89"/>
        <v>#DIV/0!</v>
      </c>
      <c r="AX161" s="3" t="e">
        <f>'Entrada e Saida'!$G$74*AU161</f>
        <v>#DIV/0!</v>
      </c>
      <c r="AY161" s="4" t="e">
        <f t="shared" si="90"/>
        <v>#DIV/0!</v>
      </c>
      <c r="AZ161" s="4" t="e">
        <f>AQ161+('Entrada e Saida'!$G$65-'Entrada e Saida'!$I$65)*AU161-AX161</f>
        <v>#DIV/0!</v>
      </c>
      <c r="BA161" s="3" t="e">
        <f>IF('Entrada e Saida'!$H$12="REAL",AZ161*'Entrada e Saida'!$G$81,AU161*'Entrada e Saida'!$G$81)</f>
        <v>#DIV/0!</v>
      </c>
      <c r="BB161" s="3" t="e">
        <f>IF('Entrada e Saida'!$H$12="REAL",AZ161*'Entrada e Saida'!$G$82,AU161*'Entrada e Saida'!$G$82)</f>
        <v>#DIV/0!</v>
      </c>
      <c r="BC161" s="4" t="e">
        <f t="shared" si="91"/>
        <v>#DIV/0!</v>
      </c>
      <c r="BD161" s="3" t="e">
        <f>IF('Entrada e Saida'!$H$11="TRADING",AW161/D161,AK161/D161)</f>
        <v>#DIV/0!</v>
      </c>
      <c r="BE161" s="3" t="e">
        <f t="shared" si="92"/>
        <v>#DIV/0!</v>
      </c>
      <c r="BF161" s="2" t="e">
        <f t="shared" si="93"/>
        <v>#DIV/0!</v>
      </c>
      <c r="BG161" s="3" t="e">
        <f>IF('Entrada e Saida'!$H$11="TRADING",AV161/D161,AN161/D161)</f>
        <v>#DIV/0!</v>
      </c>
      <c r="BH161" s="3" t="e">
        <f>IF('Entrada e Saida'!$H$11="TRADING",IF('Entrada e Saida'!$H$12="REAL",AR161/D161,0),AL161/D161)</f>
        <v>#DIV/0!</v>
      </c>
      <c r="BI161" s="3" t="e">
        <f>IF('Entrada e Saida'!$H$11="TRADING",IF('Entrada e Saida'!$H$12="REAL",AS161/D161,0),AM161/D161)</f>
        <v>#DIV/0!</v>
      </c>
      <c r="BJ161" s="3" t="e">
        <f>IF('Entrada e Saida'!$H$11="TRADING",AT161/D161,AO161/D161)</f>
        <v>#DIV/0!</v>
      </c>
      <c r="BK161" s="2" t="e">
        <f t="shared" si="94"/>
        <v>#DIV/0!</v>
      </c>
      <c r="BL161" s="2">
        <f>IF(O161&gt;0,IFERROR(IF('Entrada e Saida'!$H$11="DIRETA",0,(IF('Entrada e Saida'!$H$14="P.JURIDICA",(BD161*(1+O161)*N161)-((BD161/(1+M161))*'Entrada e Saida'!$G$65),((Produtos!N161-'Entrada e Saida'!$G$65)*Produtos!BD161)))),0),0)</f>
        <v>0</v>
      </c>
      <c r="BM161" s="2" t="e">
        <f t="shared" si="95"/>
        <v>#DIV/0!</v>
      </c>
    </row>
    <row r="162" spans="1:65" s="1" customFormat="1">
      <c r="A162" s="127"/>
      <c r="B162" s="114"/>
      <c r="C162" s="116"/>
      <c r="D162" s="146"/>
      <c r="E162" s="115">
        <f>IFERROR(VLOOKUP(A162,'Master Modelo'!A:I,9,FALSE),0)</f>
        <v>0</v>
      </c>
      <c r="F162" s="189">
        <f>IFERROR(VLOOKUP(A162,'Master Modelo'!A:I,8,FALSE),0)</f>
        <v>0</v>
      </c>
      <c r="G162" s="189">
        <f>IFERROR(VLOOKUP(A162,'Master Modelo'!A:K,11,FALSE),0)</f>
        <v>0</v>
      </c>
      <c r="H162" s="114" t="e">
        <f t="shared" si="78"/>
        <v>#DIV/0!</v>
      </c>
      <c r="I162" s="150">
        <f>IFERROR(VLOOKUP(A162,'Master Modelo'!A:I,3,FALSE),0)</f>
        <v>0</v>
      </c>
      <c r="J162" s="151">
        <f>IFERROR(VLOOKUP(A162,'Master Modelo'!A:I,5,FALSE),0)</f>
        <v>0</v>
      </c>
      <c r="K162" s="151">
        <f>IFERROR(VLOOKUP(A162,'Master Modelo'!A:I,6,FALSE),0)</f>
        <v>0</v>
      </c>
      <c r="L162" s="152" t="e">
        <f>VLOOKUP(A162,'Master Modelo'!A:J,10,FALSE)</f>
        <v>#N/A</v>
      </c>
      <c r="M162" s="150">
        <f>IFERROR(VLOOKUP(A162,'Master Modelo'!A:I,4,FALSE),0)</f>
        <v>0</v>
      </c>
      <c r="N162" s="128"/>
      <c r="O162" s="129"/>
      <c r="P162" s="9">
        <f t="shared" si="79"/>
        <v>0</v>
      </c>
      <c r="Q162" s="177">
        <f t="shared" si="77"/>
        <v>0</v>
      </c>
      <c r="R162" s="3">
        <f>D162*E162*'Entrada e Saida'!$K$8</f>
        <v>0</v>
      </c>
      <c r="S162" s="179" t="e">
        <f>'Entrada e Saida'!$H$21*'Entrada e Saida'!$K$8*(P162/(SUM(P:P)))</f>
        <v>#DIV/0!</v>
      </c>
      <c r="T162" s="179" t="e">
        <f>'Entrada e Saida'!$H$21*'Entrada e Saida'!$K$8*(Q162/(SUM(Q:Q)))</f>
        <v>#DIV/0!</v>
      </c>
      <c r="U162" s="179" t="e">
        <f>'Entrada e Saida'!$H$22*(P162/(SUM(P:P)))</f>
        <v>#DIV/0!</v>
      </c>
      <c r="V162" s="179" t="e">
        <f>'Entrada e Saida'!$H$22*(Q162/(SUM(Q:Q)))</f>
        <v>#DIV/0!</v>
      </c>
      <c r="W162" s="8" t="e">
        <f t="shared" si="80"/>
        <v>#DIV/0!</v>
      </c>
      <c r="X162" s="179" t="e">
        <f>'Entrada e Saida'!$H$26*(IF('Entrada e Saida'!$H$15="PESO",(P162/(SUM(P:P))),(Q162/(SUM(Q:Q)))))</f>
        <v>#DIV/0!</v>
      </c>
      <c r="Y162" s="179" t="e">
        <f>'Entrada e Saida'!$H$27*(IF('Entrada e Saida'!$H$15="PESO",(P162/(SUM(P:P))),(Q162/(SUM(Q:Q)))))</f>
        <v>#DIV/0!</v>
      </c>
      <c r="Z162" s="179" t="e">
        <f>'Entrada e Saida'!$H$28*(IF('Entrada e Saida'!$H$15="PESO",(P162/(SUM(P:P))),(Q162/(SUM(Q:Q)))))</f>
        <v>#DIV/0!</v>
      </c>
      <c r="AA162" s="10" t="e">
        <f t="shared" si="81"/>
        <v>#DIV/0!</v>
      </c>
      <c r="AB162" s="3" t="e">
        <f t="shared" si="82"/>
        <v>#DIV/0!</v>
      </c>
      <c r="AC162" s="3" t="e">
        <f t="shared" si="83"/>
        <v>#DIV/0!</v>
      </c>
      <c r="AD162" s="3" t="e">
        <f t="shared" si="84"/>
        <v>#DIV/0!</v>
      </c>
      <c r="AE162" s="9" t="e">
        <f t="shared" si="85"/>
        <v>#DIV/0!</v>
      </c>
      <c r="AF162" s="126">
        <f>IFERROR(D162*F162*L162*'Entrada e Saida'!$K$8,0)</f>
        <v>0</v>
      </c>
      <c r="AG162" s="3" t="e">
        <f>((W162+AA162+AB162+AC162+AD162+AE162+AF162)/(1-'Entrada e Saida'!$G$65))*'Entrada e Saida'!$I$66</f>
        <v>#DIV/0!</v>
      </c>
      <c r="AH162" s="8" t="e">
        <f t="shared" si="86"/>
        <v>#DIV/0!</v>
      </c>
      <c r="AI162" s="183" t="e">
        <f>'Entrada e Saida'!$K$51*(IF('Entrada e Saida'!$H$15="PESO",(P162/(SUM(P:P))),(Q162/(SUM(Q:Q)))))</f>
        <v>#DIV/0!</v>
      </c>
      <c r="AJ162" s="7">
        <f>(('Entrada e Saida'!$K$10-'Entrada e Saida'!$K$8)*E162*D162)</f>
        <v>0</v>
      </c>
      <c r="AK162" s="184" t="e">
        <f>IF('Entrada e Saida'!$H$15="PESO",W162+AA162+AH162+AI162+AJ162,W162+AA162+AH162+AI162+AJ162-S162+T162-U162+V162)</f>
        <v>#DIV/0!</v>
      </c>
      <c r="AL162" s="6" t="e">
        <f>IF('Entrada e Saida'!$H$12="REAL",AC162,0)</f>
        <v>#DIV/0!</v>
      </c>
      <c r="AM162" s="6" t="e">
        <f>IF('Entrada e Saida'!$H$12="REAL",AD162,0)</f>
        <v>#DIV/0!</v>
      </c>
      <c r="AN162" s="5" t="e">
        <f>IF('Entrada e Saida'!$H$13= "NÃO",AE162,0)</f>
        <v>#DIV/0!</v>
      </c>
      <c r="AO162" s="5" t="e">
        <f t="shared" si="87"/>
        <v>#DIV/0!</v>
      </c>
      <c r="AP162" s="4" t="e">
        <f t="shared" si="88"/>
        <v>#DIV/0!</v>
      </c>
      <c r="AQ162" s="3" t="e">
        <f>IF('Entrada e Saida'!$H$11="TRADING",AU162*'Custo Resumido'!D162,0)</f>
        <v>#DIV/0!</v>
      </c>
      <c r="AR162" s="3" t="e">
        <f>IF('Entrada e Saida'!$H$11="TRADING",AU162*'Entrada e Saida'!$G$63,0)</f>
        <v>#DIV/0!</v>
      </c>
      <c r="AS162" s="3" t="e">
        <f>IF('Entrada e Saida'!$H$11="TRADING",AU162*'Entrada e Saida'!$G$64,0)</f>
        <v>#DIV/0!</v>
      </c>
      <c r="AT162" s="3" t="e">
        <f>IF('Entrada e Saida'!$H$11="TRADING",AU162*'Entrada e Saida'!$G$65,0)</f>
        <v>#DIV/0!</v>
      </c>
      <c r="AU162" s="4" t="e">
        <f>IF('Entrada e Saida'!$H$11="TRADING",AP162/(1-(SUM('Entrada e Saida'!$G$63:$G$65)+'Custo Resumido'!D162)),0)</f>
        <v>#DIV/0!</v>
      </c>
      <c r="AV162" s="3" t="e">
        <f>IF('Entrada e Saida'!$H$13="NÃO",AU162*M162,0)</f>
        <v>#DIV/0!</v>
      </c>
      <c r="AW162" s="4" t="e">
        <f t="shared" si="89"/>
        <v>#DIV/0!</v>
      </c>
      <c r="AX162" s="3" t="e">
        <f>'Entrada e Saida'!$G$74*AU162</f>
        <v>#DIV/0!</v>
      </c>
      <c r="AY162" s="4" t="e">
        <f t="shared" si="90"/>
        <v>#DIV/0!</v>
      </c>
      <c r="AZ162" s="4" t="e">
        <f>AQ162+('Entrada e Saida'!$G$65-'Entrada e Saida'!$I$65)*AU162-AX162</f>
        <v>#DIV/0!</v>
      </c>
      <c r="BA162" s="3" t="e">
        <f>IF('Entrada e Saida'!$H$12="REAL",AZ162*'Entrada e Saida'!$G$81,AU162*'Entrada e Saida'!$G$81)</f>
        <v>#DIV/0!</v>
      </c>
      <c r="BB162" s="3" t="e">
        <f>IF('Entrada e Saida'!$H$12="REAL",AZ162*'Entrada e Saida'!$G$82,AU162*'Entrada e Saida'!$G$82)</f>
        <v>#DIV/0!</v>
      </c>
      <c r="BC162" s="4" t="e">
        <f t="shared" si="91"/>
        <v>#DIV/0!</v>
      </c>
      <c r="BD162" s="3" t="e">
        <f>IF('Entrada e Saida'!$H$11="TRADING",AW162/D162,AK162/D162)</f>
        <v>#DIV/0!</v>
      </c>
      <c r="BE162" s="3" t="e">
        <f t="shared" si="92"/>
        <v>#DIV/0!</v>
      </c>
      <c r="BF162" s="2" t="e">
        <f t="shared" si="93"/>
        <v>#DIV/0!</v>
      </c>
      <c r="BG162" s="3" t="e">
        <f>IF('Entrada e Saida'!$H$11="TRADING",AV162/D162,AN162/D162)</f>
        <v>#DIV/0!</v>
      </c>
      <c r="BH162" s="3" t="e">
        <f>IF('Entrada e Saida'!$H$11="TRADING",IF('Entrada e Saida'!$H$12="REAL",AR162/D162,0),AL162/D162)</f>
        <v>#DIV/0!</v>
      </c>
      <c r="BI162" s="3" t="e">
        <f>IF('Entrada e Saida'!$H$11="TRADING",IF('Entrada e Saida'!$H$12="REAL",AS162/D162,0),AM162/D162)</f>
        <v>#DIV/0!</v>
      </c>
      <c r="BJ162" s="3" t="e">
        <f>IF('Entrada e Saida'!$H$11="TRADING",AT162/D162,AO162/D162)</f>
        <v>#DIV/0!</v>
      </c>
      <c r="BK162" s="2" t="e">
        <f t="shared" si="94"/>
        <v>#DIV/0!</v>
      </c>
      <c r="BL162" s="2">
        <f>IF(O162&gt;0,IFERROR(IF('Entrada e Saida'!$H$11="DIRETA",0,(IF('Entrada e Saida'!$H$14="P.JURIDICA",(BD162*(1+O162)*N162)-((BD162/(1+M162))*'Entrada e Saida'!$G$65),((Produtos!N162-'Entrada e Saida'!$G$65)*Produtos!BD162)))),0),0)</f>
        <v>0</v>
      </c>
      <c r="BM162" s="2" t="e">
        <f t="shared" si="95"/>
        <v>#DIV/0!</v>
      </c>
    </row>
    <row r="163" spans="1:65" s="1" customFormat="1">
      <c r="A163" s="127"/>
      <c r="B163" s="114"/>
      <c r="C163" s="116"/>
      <c r="D163" s="146"/>
      <c r="E163" s="115">
        <f>IFERROR(VLOOKUP(A163,'Master Modelo'!A:I,9,FALSE),0)</f>
        <v>0</v>
      </c>
      <c r="F163" s="189">
        <f>IFERROR(VLOOKUP(A163,'Master Modelo'!A:I,8,FALSE),0)</f>
        <v>0</v>
      </c>
      <c r="G163" s="189">
        <f>IFERROR(VLOOKUP(A163,'Master Modelo'!A:K,11,FALSE),0)</f>
        <v>0</v>
      </c>
      <c r="H163" s="114" t="e">
        <f t="shared" si="78"/>
        <v>#DIV/0!</v>
      </c>
      <c r="I163" s="150">
        <f>IFERROR(VLOOKUP(A163,'Master Modelo'!A:I,3,FALSE),0)</f>
        <v>0</v>
      </c>
      <c r="J163" s="151">
        <f>IFERROR(VLOOKUP(A163,'Master Modelo'!A:I,5,FALSE),0)</f>
        <v>0</v>
      </c>
      <c r="K163" s="151">
        <f>IFERROR(VLOOKUP(A163,'Master Modelo'!A:I,6,FALSE),0)</f>
        <v>0</v>
      </c>
      <c r="L163" s="152" t="e">
        <f>VLOOKUP(A163,'Master Modelo'!A:J,10,FALSE)</f>
        <v>#N/A</v>
      </c>
      <c r="M163" s="150">
        <f>IFERROR(VLOOKUP(A163,'Master Modelo'!A:I,4,FALSE),0)</f>
        <v>0</v>
      </c>
      <c r="N163" s="128"/>
      <c r="O163" s="129"/>
      <c r="P163" s="9">
        <f t="shared" si="79"/>
        <v>0</v>
      </c>
      <c r="Q163" s="177">
        <f t="shared" si="77"/>
        <v>0</v>
      </c>
      <c r="R163" s="3">
        <f>D163*E163*'Entrada e Saida'!$K$8</f>
        <v>0</v>
      </c>
      <c r="S163" s="179" t="e">
        <f>'Entrada e Saida'!$H$21*'Entrada e Saida'!$K$8*(P163/(SUM(P:P)))</f>
        <v>#DIV/0!</v>
      </c>
      <c r="T163" s="179" t="e">
        <f>'Entrada e Saida'!$H$21*'Entrada e Saida'!$K$8*(Q163/(SUM(Q:Q)))</f>
        <v>#DIV/0!</v>
      </c>
      <c r="U163" s="179" t="e">
        <f>'Entrada e Saida'!$H$22*(P163/(SUM(P:P)))</f>
        <v>#DIV/0!</v>
      </c>
      <c r="V163" s="179" t="e">
        <f>'Entrada e Saida'!$H$22*(Q163/(SUM(Q:Q)))</f>
        <v>#DIV/0!</v>
      </c>
      <c r="W163" s="8" t="e">
        <f t="shared" si="80"/>
        <v>#DIV/0!</v>
      </c>
      <c r="X163" s="179" t="e">
        <f>'Entrada e Saida'!$H$26*(IF('Entrada e Saida'!$H$15="PESO",(P163/(SUM(P:P))),(Q163/(SUM(Q:Q)))))</f>
        <v>#DIV/0!</v>
      </c>
      <c r="Y163" s="179" t="e">
        <f>'Entrada e Saida'!$H$27*(IF('Entrada e Saida'!$H$15="PESO",(P163/(SUM(P:P))),(Q163/(SUM(Q:Q)))))</f>
        <v>#DIV/0!</v>
      </c>
      <c r="Z163" s="179" t="e">
        <f>'Entrada e Saida'!$H$28*(IF('Entrada e Saida'!$H$15="PESO",(P163/(SUM(P:P))),(Q163/(SUM(Q:Q)))))</f>
        <v>#DIV/0!</v>
      </c>
      <c r="AA163" s="10" t="e">
        <f t="shared" si="81"/>
        <v>#DIV/0!</v>
      </c>
      <c r="AB163" s="3" t="e">
        <f t="shared" si="82"/>
        <v>#DIV/0!</v>
      </c>
      <c r="AC163" s="3" t="e">
        <f t="shared" si="83"/>
        <v>#DIV/0!</v>
      </c>
      <c r="AD163" s="3" t="e">
        <f t="shared" si="84"/>
        <v>#DIV/0!</v>
      </c>
      <c r="AE163" s="9" t="e">
        <f t="shared" si="85"/>
        <v>#DIV/0!</v>
      </c>
      <c r="AF163" s="126">
        <f>IFERROR(D163*F163*L163*'Entrada e Saida'!$K$8,0)</f>
        <v>0</v>
      </c>
      <c r="AG163" s="3" t="e">
        <f>((W163+AA163+AB163+AC163+AD163+AE163+AF163)/(1-'Entrada e Saida'!$G$65))*'Entrada e Saida'!$I$66</f>
        <v>#DIV/0!</v>
      </c>
      <c r="AH163" s="8" t="e">
        <f t="shared" si="86"/>
        <v>#DIV/0!</v>
      </c>
      <c r="AI163" s="183" t="e">
        <f>'Entrada e Saida'!$K$51*(IF('Entrada e Saida'!$H$15="PESO",(P163/(SUM(P:P))),(Q163/(SUM(Q:Q)))))</f>
        <v>#DIV/0!</v>
      </c>
      <c r="AJ163" s="7">
        <f>(('Entrada e Saida'!$K$10-'Entrada e Saida'!$K$8)*E163*D163)</f>
        <v>0</v>
      </c>
      <c r="AK163" s="184" t="e">
        <f>IF('Entrada e Saida'!$H$15="PESO",W163+AA163+AH163+AI163+AJ163,W163+AA163+AH163+AI163+AJ163-S163+T163-U163+V163)</f>
        <v>#DIV/0!</v>
      </c>
      <c r="AL163" s="6" t="e">
        <f>IF('Entrada e Saida'!$H$12="REAL",AC163,0)</f>
        <v>#DIV/0!</v>
      </c>
      <c r="AM163" s="6" t="e">
        <f>IF('Entrada e Saida'!$H$12="REAL",AD163,0)</f>
        <v>#DIV/0!</v>
      </c>
      <c r="AN163" s="5" t="e">
        <f>IF('Entrada e Saida'!$H$13= "NÃO",AE163,0)</f>
        <v>#DIV/0!</v>
      </c>
      <c r="AO163" s="5" t="e">
        <f t="shared" si="87"/>
        <v>#DIV/0!</v>
      </c>
      <c r="AP163" s="4" t="e">
        <f t="shared" si="88"/>
        <v>#DIV/0!</v>
      </c>
      <c r="AQ163" s="3" t="e">
        <f>IF('Entrada e Saida'!$H$11="TRADING",AU163*'Custo Resumido'!D163,0)</f>
        <v>#DIV/0!</v>
      </c>
      <c r="AR163" s="3" t="e">
        <f>IF('Entrada e Saida'!$H$11="TRADING",AU163*'Entrada e Saida'!$G$63,0)</f>
        <v>#DIV/0!</v>
      </c>
      <c r="AS163" s="3" t="e">
        <f>IF('Entrada e Saida'!$H$11="TRADING",AU163*'Entrada e Saida'!$G$64,0)</f>
        <v>#DIV/0!</v>
      </c>
      <c r="AT163" s="3" t="e">
        <f>IF('Entrada e Saida'!$H$11="TRADING",AU163*'Entrada e Saida'!$G$65,0)</f>
        <v>#DIV/0!</v>
      </c>
      <c r="AU163" s="4" t="e">
        <f>IF('Entrada e Saida'!$H$11="TRADING",AP163/(1-(SUM('Entrada e Saida'!$G$63:$G$65)+'Custo Resumido'!D163)),0)</f>
        <v>#DIV/0!</v>
      </c>
      <c r="AV163" s="3" t="e">
        <f>IF('Entrada e Saida'!$H$13="NÃO",AU163*M163,0)</f>
        <v>#DIV/0!</v>
      </c>
      <c r="AW163" s="4" t="e">
        <f t="shared" si="89"/>
        <v>#DIV/0!</v>
      </c>
      <c r="AX163" s="3" t="e">
        <f>'Entrada e Saida'!$G$74*AU163</f>
        <v>#DIV/0!</v>
      </c>
      <c r="AY163" s="4" t="e">
        <f t="shared" si="90"/>
        <v>#DIV/0!</v>
      </c>
      <c r="AZ163" s="4" t="e">
        <f>AQ163+('Entrada e Saida'!$G$65-'Entrada e Saida'!$I$65)*AU163-AX163</f>
        <v>#DIV/0!</v>
      </c>
      <c r="BA163" s="3" t="e">
        <f>IF('Entrada e Saida'!$H$12="REAL",AZ163*'Entrada e Saida'!$G$81,AU163*'Entrada e Saida'!$G$81)</f>
        <v>#DIV/0!</v>
      </c>
      <c r="BB163" s="3" t="e">
        <f>IF('Entrada e Saida'!$H$12="REAL",AZ163*'Entrada e Saida'!$G$82,AU163*'Entrada e Saida'!$G$82)</f>
        <v>#DIV/0!</v>
      </c>
      <c r="BC163" s="4" t="e">
        <f t="shared" si="91"/>
        <v>#DIV/0!</v>
      </c>
      <c r="BD163" s="3" t="e">
        <f>IF('Entrada e Saida'!$H$11="TRADING",AW163/D163,AK163/D163)</f>
        <v>#DIV/0!</v>
      </c>
      <c r="BE163" s="3" t="e">
        <f t="shared" si="92"/>
        <v>#DIV/0!</v>
      </c>
      <c r="BF163" s="2" t="e">
        <f t="shared" si="93"/>
        <v>#DIV/0!</v>
      </c>
      <c r="BG163" s="3" t="e">
        <f>IF('Entrada e Saida'!$H$11="TRADING",AV163/D163,AN163/D163)</f>
        <v>#DIV/0!</v>
      </c>
      <c r="BH163" s="3" t="e">
        <f>IF('Entrada e Saida'!$H$11="TRADING",IF('Entrada e Saida'!$H$12="REAL",AR163/D163,0),AL163/D163)</f>
        <v>#DIV/0!</v>
      </c>
      <c r="BI163" s="3" t="e">
        <f>IF('Entrada e Saida'!$H$11="TRADING",IF('Entrada e Saida'!$H$12="REAL",AS163/D163,0),AM163/D163)</f>
        <v>#DIV/0!</v>
      </c>
      <c r="BJ163" s="3" t="e">
        <f>IF('Entrada e Saida'!$H$11="TRADING",AT163/D163,AO163/D163)</f>
        <v>#DIV/0!</v>
      </c>
      <c r="BK163" s="2" t="e">
        <f t="shared" si="94"/>
        <v>#DIV/0!</v>
      </c>
      <c r="BL163" s="2">
        <f>IF(O163&gt;0,IFERROR(IF('Entrada e Saida'!$H$11="DIRETA",0,(IF('Entrada e Saida'!$H$14="P.JURIDICA",(BD163*(1+O163)*N163)-((BD163/(1+M163))*'Entrada e Saida'!$G$65),((Produtos!N163-'Entrada e Saida'!$G$65)*Produtos!BD163)))),0),0)</f>
        <v>0</v>
      </c>
      <c r="BM163" s="2" t="e">
        <f t="shared" si="95"/>
        <v>#DIV/0!</v>
      </c>
    </row>
    <row r="164" spans="1:65" s="1" customFormat="1">
      <c r="A164" s="127"/>
      <c r="B164" s="114"/>
      <c r="C164" s="116"/>
      <c r="D164" s="146"/>
      <c r="E164" s="115">
        <f>IFERROR(VLOOKUP(A164,'Master Modelo'!A:I,9,FALSE),0)</f>
        <v>0</v>
      </c>
      <c r="F164" s="189">
        <f>IFERROR(VLOOKUP(A164,'Master Modelo'!A:I,8,FALSE),0)</f>
        <v>0</v>
      </c>
      <c r="G164" s="189">
        <f>IFERROR(VLOOKUP(A164,'Master Modelo'!A:K,11,FALSE),0)</f>
        <v>0</v>
      </c>
      <c r="H164" s="114" t="e">
        <f t="shared" si="78"/>
        <v>#DIV/0!</v>
      </c>
      <c r="I164" s="150">
        <f>IFERROR(VLOOKUP(A164,'Master Modelo'!A:I,3,FALSE),0)</f>
        <v>0</v>
      </c>
      <c r="J164" s="151">
        <f>IFERROR(VLOOKUP(A164,'Master Modelo'!A:I,5,FALSE),0)</f>
        <v>0</v>
      </c>
      <c r="K164" s="151">
        <f>IFERROR(VLOOKUP(A164,'Master Modelo'!A:I,6,FALSE),0)</f>
        <v>0</v>
      </c>
      <c r="L164" s="152" t="e">
        <f>VLOOKUP(A164,'Master Modelo'!A:J,10,FALSE)</f>
        <v>#N/A</v>
      </c>
      <c r="M164" s="150">
        <f>IFERROR(VLOOKUP(A164,'Master Modelo'!A:I,4,FALSE),0)</f>
        <v>0</v>
      </c>
      <c r="N164" s="128"/>
      <c r="O164" s="129"/>
      <c r="P164" s="9">
        <f t="shared" si="79"/>
        <v>0</v>
      </c>
      <c r="Q164" s="177">
        <f t="shared" si="77"/>
        <v>0</v>
      </c>
      <c r="R164" s="3">
        <f>D164*E164*'Entrada e Saida'!$K$8</f>
        <v>0</v>
      </c>
      <c r="S164" s="179" t="e">
        <f>'Entrada e Saida'!$H$21*'Entrada e Saida'!$K$8*(P164/(SUM(P:P)))</f>
        <v>#DIV/0!</v>
      </c>
      <c r="T164" s="179" t="e">
        <f>'Entrada e Saida'!$H$21*'Entrada e Saida'!$K$8*(Q164/(SUM(Q:Q)))</f>
        <v>#DIV/0!</v>
      </c>
      <c r="U164" s="179" t="e">
        <f>'Entrada e Saida'!$H$22*(P164/(SUM(P:P)))</f>
        <v>#DIV/0!</v>
      </c>
      <c r="V164" s="179" t="e">
        <f>'Entrada e Saida'!$H$22*(Q164/(SUM(Q:Q)))</f>
        <v>#DIV/0!</v>
      </c>
      <c r="W164" s="8" t="e">
        <f t="shared" si="80"/>
        <v>#DIV/0!</v>
      </c>
      <c r="X164" s="179" t="e">
        <f>'Entrada e Saida'!$H$26*(IF('Entrada e Saida'!$H$15="PESO",(P164/(SUM(P:P))),(Q164/(SUM(Q:Q)))))</f>
        <v>#DIV/0!</v>
      </c>
      <c r="Y164" s="179" t="e">
        <f>'Entrada e Saida'!$H$27*(IF('Entrada e Saida'!$H$15="PESO",(P164/(SUM(P:P))),(Q164/(SUM(Q:Q)))))</f>
        <v>#DIV/0!</v>
      </c>
      <c r="Z164" s="179" t="e">
        <f>'Entrada e Saida'!$H$28*(IF('Entrada e Saida'!$H$15="PESO",(P164/(SUM(P:P))),(Q164/(SUM(Q:Q)))))</f>
        <v>#DIV/0!</v>
      </c>
      <c r="AA164" s="10" t="e">
        <f t="shared" si="81"/>
        <v>#DIV/0!</v>
      </c>
      <c r="AB164" s="3" t="e">
        <f t="shared" si="82"/>
        <v>#DIV/0!</v>
      </c>
      <c r="AC164" s="3" t="e">
        <f t="shared" si="83"/>
        <v>#DIV/0!</v>
      </c>
      <c r="AD164" s="3" t="e">
        <f t="shared" si="84"/>
        <v>#DIV/0!</v>
      </c>
      <c r="AE164" s="9" t="e">
        <f t="shared" si="85"/>
        <v>#DIV/0!</v>
      </c>
      <c r="AF164" s="126">
        <f>IFERROR(D164*F164*L164*'Entrada e Saida'!$K$8,0)</f>
        <v>0</v>
      </c>
      <c r="AG164" s="3" t="e">
        <f>((W164+AA164+AB164+AC164+AD164+AE164+AF164)/(1-'Entrada e Saida'!$G$65))*'Entrada e Saida'!$I$66</f>
        <v>#DIV/0!</v>
      </c>
      <c r="AH164" s="8" t="e">
        <f t="shared" si="86"/>
        <v>#DIV/0!</v>
      </c>
      <c r="AI164" s="183" t="e">
        <f>'Entrada e Saida'!$K$51*(IF('Entrada e Saida'!$H$15="PESO",(P164/(SUM(P:P))),(Q164/(SUM(Q:Q)))))</f>
        <v>#DIV/0!</v>
      </c>
      <c r="AJ164" s="7">
        <f>(('Entrada e Saida'!$K$10-'Entrada e Saida'!$K$8)*E164*D164)</f>
        <v>0</v>
      </c>
      <c r="AK164" s="184" t="e">
        <f>IF('Entrada e Saida'!$H$15="PESO",W164+AA164+AH164+AI164+AJ164,W164+AA164+AH164+AI164+AJ164-S164+T164-U164+V164)</f>
        <v>#DIV/0!</v>
      </c>
      <c r="AL164" s="6" t="e">
        <f>IF('Entrada e Saida'!$H$12="REAL",AC164,0)</f>
        <v>#DIV/0!</v>
      </c>
      <c r="AM164" s="6" t="e">
        <f>IF('Entrada e Saida'!$H$12="REAL",AD164,0)</f>
        <v>#DIV/0!</v>
      </c>
      <c r="AN164" s="5" t="e">
        <f>IF('Entrada e Saida'!$H$13= "NÃO",AE164,0)</f>
        <v>#DIV/0!</v>
      </c>
      <c r="AO164" s="5" t="e">
        <f t="shared" si="87"/>
        <v>#DIV/0!</v>
      </c>
      <c r="AP164" s="4" t="e">
        <f t="shared" si="88"/>
        <v>#DIV/0!</v>
      </c>
      <c r="AQ164" s="3" t="e">
        <f>IF('Entrada e Saida'!$H$11="TRADING",AU164*'Custo Resumido'!D164,0)</f>
        <v>#DIV/0!</v>
      </c>
      <c r="AR164" s="3" t="e">
        <f>IF('Entrada e Saida'!$H$11="TRADING",AU164*'Entrada e Saida'!$G$63,0)</f>
        <v>#DIV/0!</v>
      </c>
      <c r="AS164" s="3" t="e">
        <f>IF('Entrada e Saida'!$H$11="TRADING",AU164*'Entrada e Saida'!$G$64,0)</f>
        <v>#DIV/0!</v>
      </c>
      <c r="AT164" s="3" t="e">
        <f>IF('Entrada e Saida'!$H$11="TRADING",AU164*'Entrada e Saida'!$G$65,0)</f>
        <v>#DIV/0!</v>
      </c>
      <c r="AU164" s="4" t="e">
        <f>IF('Entrada e Saida'!$H$11="TRADING",AP164/(1-(SUM('Entrada e Saida'!$G$63:$G$65)+'Custo Resumido'!D164)),0)</f>
        <v>#DIV/0!</v>
      </c>
      <c r="AV164" s="3" t="e">
        <f>IF('Entrada e Saida'!$H$13="NÃO",AU164*M164,0)</f>
        <v>#DIV/0!</v>
      </c>
      <c r="AW164" s="4" t="e">
        <f t="shared" si="89"/>
        <v>#DIV/0!</v>
      </c>
      <c r="AX164" s="3" t="e">
        <f>'Entrada e Saida'!$G$74*AU164</f>
        <v>#DIV/0!</v>
      </c>
      <c r="AY164" s="4" t="e">
        <f t="shared" si="90"/>
        <v>#DIV/0!</v>
      </c>
      <c r="AZ164" s="4" t="e">
        <f>AQ164+('Entrada e Saida'!$G$65-'Entrada e Saida'!$I$65)*AU164-AX164</f>
        <v>#DIV/0!</v>
      </c>
      <c r="BA164" s="3" t="e">
        <f>IF('Entrada e Saida'!$H$12="REAL",AZ164*'Entrada e Saida'!$G$81,AU164*'Entrada e Saida'!$G$81)</f>
        <v>#DIV/0!</v>
      </c>
      <c r="BB164" s="3" t="e">
        <f>IF('Entrada e Saida'!$H$12="REAL",AZ164*'Entrada e Saida'!$G$82,AU164*'Entrada e Saida'!$G$82)</f>
        <v>#DIV/0!</v>
      </c>
      <c r="BC164" s="4" t="e">
        <f t="shared" si="91"/>
        <v>#DIV/0!</v>
      </c>
      <c r="BD164" s="3" t="e">
        <f>IF('Entrada e Saida'!$H$11="TRADING",AW164/D164,AK164/D164)</f>
        <v>#DIV/0!</v>
      </c>
      <c r="BE164" s="3" t="e">
        <f t="shared" si="92"/>
        <v>#DIV/0!</v>
      </c>
      <c r="BF164" s="2" t="e">
        <f t="shared" si="93"/>
        <v>#DIV/0!</v>
      </c>
      <c r="BG164" s="3" t="e">
        <f>IF('Entrada e Saida'!$H$11="TRADING",AV164/D164,AN164/D164)</f>
        <v>#DIV/0!</v>
      </c>
      <c r="BH164" s="3" t="e">
        <f>IF('Entrada e Saida'!$H$11="TRADING",IF('Entrada e Saida'!$H$12="REAL",AR164/D164,0),AL164/D164)</f>
        <v>#DIV/0!</v>
      </c>
      <c r="BI164" s="3" t="e">
        <f>IF('Entrada e Saida'!$H$11="TRADING",IF('Entrada e Saida'!$H$12="REAL",AS164/D164,0),AM164/D164)</f>
        <v>#DIV/0!</v>
      </c>
      <c r="BJ164" s="3" t="e">
        <f>IF('Entrada e Saida'!$H$11="TRADING",AT164/D164,AO164/D164)</f>
        <v>#DIV/0!</v>
      </c>
      <c r="BK164" s="2" t="e">
        <f t="shared" si="94"/>
        <v>#DIV/0!</v>
      </c>
      <c r="BL164" s="2">
        <f>IF(O164&gt;0,IFERROR(IF('Entrada e Saida'!$H$11="DIRETA",0,(IF('Entrada e Saida'!$H$14="P.JURIDICA",(BD164*(1+O164)*N164)-((BD164/(1+M164))*'Entrada e Saida'!$G$65),((Produtos!N164-'Entrada e Saida'!$G$65)*Produtos!BD164)))),0),0)</f>
        <v>0</v>
      </c>
      <c r="BM164" s="2" t="e">
        <f t="shared" si="95"/>
        <v>#DIV/0!</v>
      </c>
    </row>
    <row r="165" spans="1:65" s="1" customFormat="1">
      <c r="A165" s="127"/>
      <c r="B165" s="114"/>
      <c r="C165" s="116"/>
      <c r="D165" s="146"/>
      <c r="E165" s="115">
        <f>IFERROR(VLOOKUP(A165,'Master Modelo'!A:I,9,FALSE),0)</f>
        <v>0</v>
      </c>
      <c r="F165" s="189">
        <f>IFERROR(VLOOKUP(A165,'Master Modelo'!A:I,8,FALSE),0)</f>
        <v>0</v>
      </c>
      <c r="G165" s="189">
        <f>IFERROR(VLOOKUP(A165,'Master Modelo'!A:K,11,FALSE),0)</f>
        <v>0</v>
      </c>
      <c r="H165" s="114" t="e">
        <f t="shared" si="78"/>
        <v>#DIV/0!</v>
      </c>
      <c r="I165" s="150">
        <f>IFERROR(VLOOKUP(A165,'Master Modelo'!A:I,3,FALSE),0)</f>
        <v>0</v>
      </c>
      <c r="J165" s="151">
        <f>IFERROR(VLOOKUP(A165,'Master Modelo'!A:I,5,FALSE),0)</f>
        <v>0</v>
      </c>
      <c r="K165" s="151">
        <f>IFERROR(VLOOKUP(A165,'Master Modelo'!A:I,6,FALSE),0)</f>
        <v>0</v>
      </c>
      <c r="L165" s="152" t="e">
        <f>VLOOKUP(A165,'Master Modelo'!A:J,10,FALSE)</f>
        <v>#N/A</v>
      </c>
      <c r="M165" s="150">
        <f>IFERROR(VLOOKUP(A165,'Master Modelo'!A:I,4,FALSE),0)</f>
        <v>0</v>
      </c>
      <c r="N165" s="128"/>
      <c r="O165" s="129"/>
      <c r="P165" s="9">
        <f t="shared" si="79"/>
        <v>0</v>
      </c>
      <c r="Q165" s="177">
        <f t="shared" si="77"/>
        <v>0</v>
      </c>
      <c r="R165" s="3">
        <f>D165*E165*'Entrada e Saida'!$K$8</f>
        <v>0</v>
      </c>
      <c r="S165" s="179" t="e">
        <f>'Entrada e Saida'!$H$21*'Entrada e Saida'!$K$8*(P165/(SUM(P:P)))</f>
        <v>#DIV/0!</v>
      </c>
      <c r="T165" s="179" t="e">
        <f>'Entrada e Saida'!$H$21*'Entrada e Saida'!$K$8*(Q165/(SUM(Q:Q)))</f>
        <v>#DIV/0!</v>
      </c>
      <c r="U165" s="179" t="e">
        <f>'Entrada e Saida'!$H$22*(P165/(SUM(P:P)))</f>
        <v>#DIV/0!</v>
      </c>
      <c r="V165" s="179" t="e">
        <f>'Entrada e Saida'!$H$22*(Q165/(SUM(Q:Q)))</f>
        <v>#DIV/0!</v>
      </c>
      <c r="W165" s="8" t="e">
        <f t="shared" si="80"/>
        <v>#DIV/0!</v>
      </c>
      <c r="X165" s="179" t="e">
        <f>'Entrada e Saida'!$H$26*(IF('Entrada e Saida'!$H$15="PESO",(P165/(SUM(P:P))),(Q165/(SUM(Q:Q)))))</f>
        <v>#DIV/0!</v>
      </c>
      <c r="Y165" s="179" t="e">
        <f>'Entrada e Saida'!$H$27*(IF('Entrada e Saida'!$H$15="PESO",(P165/(SUM(P:P))),(Q165/(SUM(Q:Q)))))</f>
        <v>#DIV/0!</v>
      </c>
      <c r="Z165" s="179" t="e">
        <f>'Entrada e Saida'!$H$28*(IF('Entrada e Saida'!$H$15="PESO",(P165/(SUM(P:P))),(Q165/(SUM(Q:Q)))))</f>
        <v>#DIV/0!</v>
      </c>
      <c r="AA165" s="10" t="e">
        <f t="shared" si="81"/>
        <v>#DIV/0!</v>
      </c>
      <c r="AB165" s="3" t="e">
        <f t="shared" si="82"/>
        <v>#DIV/0!</v>
      </c>
      <c r="AC165" s="3" t="e">
        <f t="shared" si="83"/>
        <v>#DIV/0!</v>
      </c>
      <c r="AD165" s="3" t="e">
        <f t="shared" si="84"/>
        <v>#DIV/0!</v>
      </c>
      <c r="AE165" s="9" t="e">
        <f t="shared" si="85"/>
        <v>#DIV/0!</v>
      </c>
      <c r="AF165" s="126">
        <f>IFERROR(D165*F165*L165*'Entrada e Saida'!$K$8,0)</f>
        <v>0</v>
      </c>
      <c r="AG165" s="3" t="e">
        <f>((W165+AA165+AB165+AC165+AD165+AE165+AF165)/(1-'Entrada e Saida'!$G$65))*'Entrada e Saida'!$I$66</f>
        <v>#DIV/0!</v>
      </c>
      <c r="AH165" s="8" t="e">
        <f t="shared" si="86"/>
        <v>#DIV/0!</v>
      </c>
      <c r="AI165" s="183" t="e">
        <f>'Entrada e Saida'!$K$51*(IF('Entrada e Saida'!$H$15="PESO",(P165/(SUM(P:P))),(Q165/(SUM(Q:Q)))))</f>
        <v>#DIV/0!</v>
      </c>
      <c r="AJ165" s="7">
        <f>(('Entrada e Saida'!$K$10-'Entrada e Saida'!$K$8)*E165*D165)</f>
        <v>0</v>
      </c>
      <c r="AK165" s="184" t="e">
        <f>IF('Entrada e Saida'!$H$15="PESO",W165+AA165+AH165+AI165+AJ165,W165+AA165+AH165+AI165+AJ165-S165+T165-U165+V165)</f>
        <v>#DIV/0!</v>
      </c>
      <c r="AL165" s="6" t="e">
        <f>IF('Entrada e Saida'!$H$12="REAL",AC165,0)</f>
        <v>#DIV/0!</v>
      </c>
      <c r="AM165" s="6" t="e">
        <f>IF('Entrada e Saida'!$H$12="REAL",AD165,0)</f>
        <v>#DIV/0!</v>
      </c>
      <c r="AN165" s="5" t="e">
        <f>IF('Entrada e Saida'!$H$13= "NÃO",AE165,0)</f>
        <v>#DIV/0!</v>
      </c>
      <c r="AO165" s="5" t="e">
        <f t="shared" si="87"/>
        <v>#DIV/0!</v>
      </c>
      <c r="AP165" s="4" t="e">
        <f t="shared" si="88"/>
        <v>#DIV/0!</v>
      </c>
      <c r="AQ165" s="3" t="e">
        <f>IF('Entrada e Saida'!$H$11="TRADING",AU165*'Custo Resumido'!D165,0)</f>
        <v>#DIV/0!</v>
      </c>
      <c r="AR165" s="3" t="e">
        <f>IF('Entrada e Saida'!$H$11="TRADING",AU165*'Entrada e Saida'!$G$63,0)</f>
        <v>#DIV/0!</v>
      </c>
      <c r="AS165" s="3" t="e">
        <f>IF('Entrada e Saida'!$H$11="TRADING",AU165*'Entrada e Saida'!$G$64,0)</f>
        <v>#DIV/0!</v>
      </c>
      <c r="AT165" s="3" t="e">
        <f>IF('Entrada e Saida'!$H$11="TRADING",AU165*'Entrada e Saida'!$G$65,0)</f>
        <v>#DIV/0!</v>
      </c>
      <c r="AU165" s="4" t="e">
        <f>IF('Entrada e Saida'!$H$11="TRADING",AP165/(1-(SUM('Entrada e Saida'!$G$63:$G$65)+'Custo Resumido'!D165)),0)</f>
        <v>#DIV/0!</v>
      </c>
      <c r="AV165" s="3" t="e">
        <f>IF('Entrada e Saida'!$H$13="NÃO",AU165*M165,0)</f>
        <v>#DIV/0!</v>
      </c>
      <c r="AW165" s="4" t="e">
        <f t="shared" si="89"/>
        <v>#DIV/0!</v>
      </c>
      <c r="AX165" s="3" t="e">
        <f>'Entrada e Saida'!$G$74*AU165</f>
        <v>#DIV/0!</v>
      </c>
      <c r="AY165" s="4" t="e">
        <f t="shared" si="90"/>
        <v>#DIV/0!</v>
      </c>
      <c r="AZ165" s="4" t="e">
        <f>AQ165+('Entrada e Saida'!$G$65-'Entrada e Saida'!$I$65)*AU165-AX165</f>
        <v>#DIV/0!</v>
      </c>
      <c r="BA165" s="3" t="e">
        <f>IF('Entrada e Saida'!$H$12="REAL",AZ165*'Entrada e Saida'!$G$81,AU165*'Entrada e Saida'!$G$81)</f>
        <v>#DIV/0!</v>
      </c>
      <c r="BB165" s="3" t="e">
        <f>IF('Entrada e Saida'!$H$12="REAL",AZ165*'Entrada e Saida'!$G$82,AU165*'Entrada e Saida'!$G$82)</f>
        <v>#DIV/0!</v>
      </c>
      <c r="BC165" s="4" t="e">
        <f t="shared" si="91"/>
        <v>#DIV/0!</v>
      </c>
      <c r="BD165" s="3" t="e">
        <f>IF('Entrada e Saida'!$H$11="TRADING",AW165/D165,AK165/D165)</f>
        <v>#DIV/0!</v>
      </c>
      <c r="BE165" s="3" t="e">
        <f t="shared" si="92"/>
        <v>#DIV/0!</v>
      </c>
      <c r="BF165" s="2" t="e">
        <f t="shared" si="93"/>
        <v>#DIV/0!</v>
      </c>
      <c r="BG165" s="3" t="e">
        <f>IF('Entrada e Saida'!$H$11="TRADING",AV165/D165,AN165/D165)</f>
        <v>#DIV/0!</v>
      </c>
      <c r="BH165" s="3" t="e">
        <f>IF('Entrada e Saida'!$H$11="TRADING",IF('Entrada e Saida'!$H$12="REAL",AR165/D165,0),AL165/D165)</f>
        <v>#DIV/0!</v>
      </c>
      <c r="BI165" s="3" t="e">
        <f>IF('Entrada e Saida'!$H$11="TRADING",IF('Entrada e Saida'!$H$12="REAL",AS165/D165,0),AM165/D165)</f>
        <v>#DIV/0!</v>
      </c>
      <c r="BJ165" s="3" t="e">
        <f>IF('Entrada e Saida'!$H$11="TRADING",AT165/D165,AO165/D165)</f>
        <v>#DIV/0!</v>
      </c>
      <c r="BK165" s="2" t="e">
        <f t="shared" si="94"/>
        <v>#DIV/0!</v>
      </c>
      <c r="BL165" s="2">
        <f>IF(O165&gt;0,IFERROR(IF('Entrada e Saida'!$H$11="DIRETA",0,(IF('Entrada e Saida'!$H$14="P.JURIDICA",(BD165*(1+O165)*N165)-((BD165/(1+M165))*'Entrada e Saida'!$G$65),((Produtos!N165-'Entrada e Saida'!$G$65)*Produtos!BD165)))),0),0)</f>
        <v>0</v>
      </c>
      <c r="BM165" s="2" t="e">
        <f t="shared" si="95"/>
        <v>#DIV/0!</v>
      </c>
    </row>
    <row r="166" spans="1:65" s="1" customFormat="1">
      <c r="A166" s="127"/>
      <c r="B166" s="114"/>
      <c r="C166" s="116"/>
      <c r="D166" s="146"/>
      <c r="E166" s="115">
        <f>IFERROR(VLOOKUP(A166,'Master Modelo'!A:I,9,FALSE),0)</f>
        <v>0</v>
      </c>
      <c r="F166" s="189">
        <f>IFERROR(VLOOKUP(A166,'Master Modelo'!A:I,8,FALSE),0)</f>
        <v>0</v>
      </c>
      <c r="G166" s="189">
        <f>IFERROR(VLOOKUP(A166,'Master Modelo'!A:K,11,FALSE),0)</f>
        <v>0</v>
      </c>
      <c r="H166" s="114" t="e">
        <f t="shared" si="78"/>
        <v>#DIV/0!</v>
      </c>
      <c r="I166" s="150">
        <f>IFERROR(VLOOKUP(A166,'Master Modelo'!A:I,3,FALSE),0)</f>
        <v>0</v>
      </c>
      <c r="J166" s="151">
        <f>IFERROR(VLOOKUP(A166,'Master Modelo'!A:I,5,FALSE),0)</f>
        <v>0</v>
      </c>
      <c r="K166" s="151">
        <f>IFERROR(VLOOKUP(A166,'Master Modelo'!A:I,6,FALSE),0)</f>
        <v>0</v>
      </c>
      <c r="L166" s="152" t="e">
        <f>VLOOKUP(A166,'Master Modelo'!A:J,10,FALSE)</f>
        <v>#N/A</v>
      </c>
      <c r="M166" s="150">
        <f>IFERROR(VLOOKUP(A166,'Master Modelo'!A:I,4,FALSE),0)</f>
        <v>0</v>
      </c>
      <c r="N166" s="128"/>
      <c r="O166" s="129"/>
      <c r="P166" s="9">
        <f t="shared" si="79"/>
        <v>0</v>
      </c>
      <c r="Q166" s="177">
        <f t="shared" si="77"/>
        <v>0</v>
      </c>
      <c r="R166" s="3">
        <f>D166*E166*'Entrada e Saida'!$K$8</f>
        <v>0</v>
      </c>
      <c r="S166" s="179" t="e">
        <f>'Entrada e Saida'!$H$21*'Entrada e Saida'!$K$8*(P166/(SUM(P:P)))</f>
        <v>#DIV/0!</v>
      </c>
      <c r="T166" s="179" t="e">
        <f>'Entrada e Saida'!$H$21*'Entrada e Saida'!$K$8*(Q166/(SUM(Q:Q)))</f>
        <v>#DIV/0!</v>
      </c>
      <c r="U166" s="179" t="e">
        <f>'Entrada e Saida'!$H$22*(P166/(SUM(P:P)))</f>
        <v>#DIV/0!</v>
      </c>
      <c r="V166" s="179" t="e">
        <f>'Entrada e Saida'!$H$22*(Q166/(SUM(Q:Q)))</f>
        <v>#DIV/0!</v>
      </c>
      <c r="W166" s="8" t="e">
        <f t="shared" si="80"/>
        <v>#DIV/0!</v>
      </c>
      <c r="X166" s="179" t="e">
        <f>'Entrada e Saida'!$H$26*(IF('Entrada e Saida'!$H$15="PESO",(P166/(SUM(P:P))),(Q166/(SUM(Q:Q)))))</f>
        <v>#DIV/0!</v>
      </c>
      <c r="Y166" s="179" t="e">
        <f>'Entrada e Saida'!$H$27*(IF('Entrada e Saida'!$H$15="PESO",(P166/(SUM(P:P))),(Q166/(SUM(Q:Q)))))</f>
        <v>#DIV/0!</v>
      </c>
      <c r="Z166" s="179" t="e">
        <f>'Entrada e Saida'!$H$28*(IF('Entrada e Saida'!$H$15="PESO",(P166/(SUM(P:P))),(Q166/(SUM(Q:Q)))))</f>
        <v>#DIV/0!</v>
      </c>
      <c r="AA166" s="10" t="e">
        <f t="shared" si="81"/>
        <v>#DIV/0!</v>
      </c>
      <c r="AB166" s="3" t="e">
        <f t="shared" si="82"/>
        <v>#DIV/0!</v>
      </c>
      <c r="AC166" s="3" t="e">
        <f t="shared" si="83"/>
        <v>#DIV/0!</v>
      </c>
      <c r="AD166" s="3" t="e">
        <f t="shared" si="84"/>
        <v>#DIV/0!</v>
      </c>
      <c r="AE166" s="9" t="e">
        <f t="shared" si="85"/>
        <v>#DIV/0!</v>
      </c>
      <c r="AF166" s="126">
        <f>IFERROR(D166*F166*L166*'Entrada e Saida'!$K$8,0)</f>
        <v>0</v>
      </c>
      <c r="AG166" s="3" t="e">
        <f>((W166+AA166+AB166+AC166+AD166+AE166+AF166)/(1-'Entrada e Saida'!$G$65))*'Entrada e Saida'!$I$66</f>
        <v>#DIV/0!</v>
      </c>
      <c r="AH166" s="8" t="e">
        <f t="shared" si="86"/>
        <v>#DIV/0!</v>
      </c>
      <c r="AI166" s="183" t="e">
        <f>'Entrada e Saida'!$K$51*(IF('Entrada e Saida'!$H$15="PESO",(P166/(SUM(P:P))),(Q166/(SUM(Q:Q)))))</f>
        <v>#DIV/0!</v>
      </c>
      <c r="AJ166" s="7">
        <f>(('Entrada e Saida'!$K$10-'Entrada e Saida'!$K$8)*E166*D166)</f>
        <v>0</v>
      </c>
      <c r="AK166" s="184" t="e">
        <f>IF('Entrada e Saida'!$H$15="PESO",W166+AA166+AH166+AI166+AJ166,W166+AA166+AH166+AI166+AJ166-S166+T166-U166+V166)</f>
        <v>#DIV/0!</v>
      </c>
      <c r="AL166" s="6" t="e">
        <f>IF('Entrada e Saida'!$H$12="REAL",AC166,0)</f>
        <v>#DIV/0!</v>
      </c>
      <c r="AM166" s="6" t="e">
        <f>IF('Entrada e Saida'!$H$12="REAL",AD166,0)</f>
        <v>#DIV/0!</v>
      </c>
      <c r="AN166" s="5" t="e">
        <f>IF('Entrada e Saida'!$H$13= "NÃO",AE166,0)</f>
        <v>#DIV/0!</v>
      </c>
      <c r="AO166" s="5" t="e">
        <f t="shared" si="87"/>
        <v>#DIV/0!</v>
      </c>
      <c r="AP166" s="4" t="e">
        <f t="shared" si="88"/>
        <v>#DIV/0!</v>
      </c>
      <c r="AQ166" s="3" t="e">
        <f>IF('Entrada e Saida'!$H$11="TRADING",AU166*'Custo Resumido'!D166,0)</f>
        <v>#DIV/0!</v>
      </c>
      <c r="AR166" s="3" t="e">
        <f>IF('Entrada e Saida'!$H$11="TRADING",AU166*'Entrada e Saida'!$G$63,0)</f>
        <v>#DIV/0!</v>
      </c>
      <c r="AS166" s="3" t="e">
        <f>IF('Entrada e Saida'!$H$11="TRADING",AU166*'Entrada e Saida'!$G$64,0)</f>
        <v>#DIV/0!</v>
      </c>
      <c r="AT166" s="3" t="e">
        <f>IF('Entrada e Saida'!$H$11="TRADING",AU166*'Entrada e Saida'!$G$65,0)</f>
        <v>#DIV/0!</v>
      </c>
      <c r="AU166" s="4" t="e">
        <f>IF('Entrada e Saida'!$H$11="TRADING",AP166/(1-(SUM('Entrada e Saida'!$G$63:$G$65)+'Custo Resumido'!D166)),0)</f>
        <v>#DIV/0!</v>
      </c>
      <c r="AV166" s="3" t="e">
        <f>IF('Entrada e Saida'!$H$13="NÃO",AU166*M166,0)</f>
        <v>#DIV/0!</v>
      </c>
      <c r="AW166" s="4" t="e">
        <f t="shared" si="89"/>
        <v>#DIV/0!</v>
      </c>
      <c r="AX166" s="3" t="e">
        <f>'Entrada e Saida'!$G$74*AU166</f>
        <v>#DIV/0!</v>
      </c>
      <c r="AY166" s="4" t="e">
        <f t="shared" si="90"/>
        <v>#DIV/0!</v>
      </c>
      <c r="AZ166" s="4" t="e">
        <f>AQ166+('Entrada e Saida'!$G$65-'Entrada e Saida'!$I$65)*AU166-AX166</f>
        <v>#DIV/0!</v>
      </c>
      <c r="BA166" s="3" t="e">
        <f>IF('Entrada e Saida'!$H$12="REAL",AZ166*'Entrada e Saida'!$G$81,AU166*'Entrada e Saida'!$G$81)</f>
        <v>#DIV/0!</v>
      </c>
      <c r="BB166" s="3" t="e">
        <f>IF('Entrada e Saida'!$H$12="REAL",AZ166*'Entrada e Saida'!$G$82,AU166*'Entrada e Saida'!$G$82)</f>
        <v>#DIV/0!</v>
      </c>
      <c r="BC166" s="4" t="e">
        <f t="shared" si="91"/>
        <v>#DIV/0!</v>
      </c>
      <c r="BD166" s="3" t="e">
        <f>IF('Entrada e Saida'!$H$11="TRADING",AW166/D166,AK166/D166)</f>
        <v>#DIV/0!</v>
      </c>
      <c r="BE166" s="3" t="e">
        <f t="shared" si="92"/>
        <v>#DIV/0!</v>
      </c>
      <c r="BF166" s="2" t="e">
        <f t="shared" si="93"/>
        <v>#DIV/0!</v>
      </c>
      <c r="BG166" s="3" t="e">
        <f>IF('Entrada e Saida'!$H$11="TRADING",AV166/D166,AN166/D166)</f>
        <v>#DIV/0!</v>
      </c>
      <c r="BH166" s="3" t="e">
        <f>IF('Entrada e Saida'!$H$11="TRADING",IF('Entrada e Saida'!$H$12="REAL",AR166/D166,0),AL166/D166)</f>
        <v>#DIV/0!</v>
      </c>
      <c r="BI166" s="3" t="e">
        <f>IF('Entrada e Saida'!$H$11="TRADING",IF('Entrada e Saida'!$H$12="REAL",AS166/D166,0),AM166/D166)</f>
        <v>#DIV/0!</v>
      </c>
      <c r="BJ166" s="3" t="e">
        <f>IF('Entrada e Saida'!$H$11="TRADING",AT166/D166,AO166/D166)</f>
        <v>#DIV/0!</v>
      </c>
      <c r="BK166" s="2" t="e">
        <f t="shared" si="94"/>
        <v>#DIV/0!</v>
      </c>
      <c r="BL166" s="2">
        <f>IF(O166&gt;0,IFERROR(IF('Entrada e Saida'!$H$11="DIRETA",0,(IF('Entrada e Saida'!$H$14="P.JURIDICA",(BD166*(1+O166)*N166)-((BD166/(1+M166))*'Entrada e Saida'!$G$65),((Produtos!N166-'Entrada e Saida'!$G$65)*Produtos!BD166)))),0),0)</f>
        <v>0</v>
      </c>
      <c r="BM166" s="2" t="e">
        <f t="shared" si="95"/>
        <v>#DIV/0!</v>
      </c>
    </row>
    <row r="167" spans="1:65" s="1" customFormat="1">
      <c r="A167" s="127"/>
      <c r="B167" s="114"/>
      <c r="C167" s="116"/>
      <c r="D167" s="146"/>
      <c r="E167" s="115">
        <f>IFERROR(VLOOKUP(A167,'Master Modelo'!A:I,9,FALSE),0)</f>
        <v>0</v>
      </c>
      <c r="F167" s="189">
        <f>IFERROR(VLOOKUP(A167,'Master Modelo'!A:I,8,FALSE),0)</f>
        <v>0</v>
      </c>
      <c r="G167" s="189">
        <f>IFERROR(VLOOKUP(A167,'Master Modelo'!A:K,11,FALSE),0)</f>
        <v>0</v>
      </c>
      <c r="H167" s="114" t="e">
        <f t="shared" si="78"/>
        <v>#DIV/0!</v>
      </c>
      <c r="I167" s="150">
        <f>IFERROR(VLOOKUP(A167,'Master Modelo'!A:I,3,FALSE),0)</f>
        <v>0</v>
      </c>
      <c r="J167" s="151">
        <f>IFERROR(VLOOKUP(A167,'Master Modelo'!A:I,5,FALSE),0)</f>
        <v>0</v>
      </c>
      <c r="K167" s="151">
        <f>IFERROR(VLOOKUP(A167,'Master Modelo'!A:I,6,FALSE),0)</f>
        <v>0</v>
      </c>
      <c r="L167" s="152" t="e">
        <f>VLOOKUP(A167,'Master Modelo'!A:J,10,FALSE)</f>
        <v>#N/A</v>
      </c>
      <c r="M167" s="150">
        <f>IFERROR(VLOOKUP(A167,'Master Modelo'!A:I,4,FALSE),0)</f>
        <v>0</v>
      </c>
      <c r="N167" s="128"/>
      <c r="O167" s="129"/>
      <c r="P167" s="9">
        <f t="shared" si="79"/>
        <v>0</v>
      </c>
      <c r="Q167" s="177">
        <f t="shared" si="77"/>
        <v>0</v>
      </c>
      <c r="R167" s="3">
        <f>D167*E167*'Entrada e Saida'!$K$8</f>
        <v>0</v>
      </c>
      <c r="S167" s="179" t="e">
        <f>'Entrada e Saida'!$H$21*'Entrada e Saida'!$K$8*(P167/(SUM(P:P)))</f>
        <v>#DIV/0!</v>
      </c>
      <c r="T167" s="179" t="e">
        <f>'Entrada e Saida'!$H$21*'Entrada e Saida'!$K$8*(Q167/(SUM(Q:Q)))</f>
        <v>#DIV/0!</v>
      </c>
      <c r="U167" s="179" t="e">
        <f>'Entrada e Saida'!$H$22*(P167/(SUM(P:P)))</f>
        <v>#DIV/0!</v>
      </c>
      <c r="V167" s="179" t="e">
        <f>'Entrada e Saida'!$H$22*(Q167/(SUM(Q:Q)))</f>
        <v>#DIV/0!</v>
      </c>
      <c r="W167" s="8" t="e">
        <f t="shared" si="80"/>
        <v>#DIV/0!</v>
      </c>
      <c r="X167" s="179" t="e">
        <f>'Entrada e Saida'!$H$26*(IF('Entrada e Saida'!$H$15="PESO",(P167/(SUM(P:P))),(Q167/(SUM(Q:Q)))))</f>
        <v>#DIV/0!</v>
      </c>
      <c r="Y167" s="179" t="e">
        <f>'Entrada e Saida'!$H$27*(IF('Entrada e Saida'!$H$15="PESO",(P167/(SUM(P:P))),(Q167/(SUM(Q:Q)))))</f>
        <v>#DIV/0!</v>
      </c>
      <c r="Z167" s="179" t="e">
        <f>'Entrada e Saida'!$H$28*(IF('Entrada e Saida'!$H$15="PESO",(P167/(SUM(P:P))),(Q167/(SUM(Q:Q)))))</f>
        <v>#DIV/0!</v>
      </c>
      <c r="AA167" s="10" t="e">
        <f t="shared" si="81"/>
        <v>#DIV/0!</v>
      </c>
      <c r="AB167" s="3" t="e">
        <f t="shared" si="82"/>
        <v>#DIV/0!</v>
      </c>
      <c r="AC167" s="3" t="e">
        <f t="shared" si="83"/>
        <v>#DIV/0!</v>
      </c>
      <c r="AD167" s="3" t="e">
        <f t="shared" si="84"/>
        <v>#DIV/0!</v>
      </c>
      <c r="AE167" s="9" t="e">
        <f t="shared" si="85"/>
        <v>#DIV/0!</v>
      </c>
      <c r="AF167" s="126">
        <f>IFERROR(D167*F167*L167*'Entrada e Saida'!$K$8,0)</f>
        <v>0</v>
      </c>
      <c r="AG167" s="3" t="e">
        <f>((W167+AA167+AB167+AC167+AD167+AE167+AF167)/(1-'Entrada e Saida'!$G$65))*'Entrada e Saida'!$I$66</f>
        <v>#DIV/0!</v>
      </c>
      <c r="AH167" s="8" t="e">
        <f t="shared" si="86"/>
        <v>#DIV/0!</v>
      </c>
      <c r="AI167" s="183" t="e">
        <f>'Entrada e Saida'!$K$51*(IF('Entrada e Saida'!$H$15="PESO",(P167/(SUM(P:P))),(Q167/(SUM(Q:Q)))))</f>
        <v>#DIV/0!</v>
      </c>
      <c r="AJ167" s="7">
        <f>(('Entrada e Saida'!$K$10-'Entrada e Saida'!$K$8)*E167*D167)</f>
        <v>0</v>
      </c>
      <c r="AK167" s="184" t="e">
        <f>IF('Entrada e Saida'!$H$15="PESO",W167+AA167+AH167+AI167+AJ167,W167+AA167+AH167+AI167+AJ167-S167+T167-U167+V167)</f>
        <v>#DIV/0!</v>
      </c>
      <c r="AL167" s="6" t="e">
        <f>IF('Entrada e Saida'!$H$12="REAL",AC167,0)</f>
        <v>#DIV/0!</v>
      </c>
      <c r="AM167" s="6" t="e">
        <f>IF('Entrada e Saida'!$H$12="REAL",AD167,0)</f>
        <v>#DIV/0!</v>
      </c>
      <c r="AN167" s="5" t="e">
        <f>IF('Entrada e Saida'!$H$13= "NÃO",AE167,0)</f>
        <v>#DIV/0!</v>
      </c>
      <c r="AO167" s="5" t="e">
        <f t="shared" si="87"/>
        <v>#DIV/0!</v>
      </c>
      <c r="AP167" s="4" t="e">
        <f t="shared" si="88"/>
        <v>#DIV/0!</v>
      </c>
      <c r="AQ167" s="3" t="e">
        <f>IF('Entrada e Saida'!$H$11="TRADING",AU167*'Custo Resumido'!D167,0)</f>
        <v>#DIV/0!</v>
      </c>
      <c r="AR167" s="3" t="e">
        <f>IF('Entrada e Saida'!$H$11="TRADING",AU167*'Entrada e Saida'!$G$63,0)</f>
        <v>#DIV/0!</v>
      </c>
      <c r="AS167" s="3" t="e">
        <f>IF('Entrada e Saida'!$H$11="TRADING",AU167*'Entrada e Saida'!$G$64,0)</f>
        <v>#DIV/0!</v>
      </c>
      <c r="AT167" s="3" t="e">
        <f>IF('Entrada e Saida'!$H$11="TRADING",AU167*'Entrada e Saida'!$G$65,0)</f>
        <v>#DIV/0!</v>
      </c>
      <c r="AU167" s="4" t="e">
        <f>IF('Entrada e Saida'!$H$11="TRADING",AP167/(1-(SUM('Entrada e Saida'!$G$63:$G$65)+'Custo Resumido'!D167)),0)</f>
        <v>#DIV/0!</v>
      </c>
      <c r="AV167" s="3" t="e">
        <f>IF('Entrada e Saida'!$H$13="NÃO",AU167*M167,0)</f>
        <v>#DIV/0!</v>
      </c>
      <c r="AW167" s="4" t="e">
        <f t="shared" si="89"/>
        <v>#DIV/0!</v>
      </c>
      <c r="AX167" s="3" t="e">
        <f>'Entrada e Saida'!$G$74*AU167</f>
        <v>#DIV/0!</v>
      </c>
      <c r="AY167" s="4" t="e">
        <f t="shared" si="90"/>
        <v>#DIV/0!</v>
      </c>
      <c r="AZ167" s="4" t="e">
        <f>AQ167+('Entrada e Saida'!$G$65-'Entrada e Saida'!$I$65)*AU167-AX167</f>
        <v>#DIV/0!</v>
      </c>
      <c r="BA167" s="3" t="e">
        <f>IF('Entrada e Saida'!$H$12="REAL",AZ167*'Entrada e Saida'!$G$81,AU167*'Entrada e Saida'!$G$81)</f>
        <v>#DIV/0!</v>
      </c>
      <c r="BB167" s="3" t="e">
        <f>IF('Entrada e Saida'!$H$12="REAL",AZ167*'Entrada e Saida'!$G$82,AU167*'Entrada e Saida'!$G$82)</f>
        <v>#DIV/0!</v>
      </c>
      <c r="BC167" s="4" t="e">
        <f t="shared" si="91"/>
        <v>#DIV/0!</v>
      </c>
      <c r="BD167" s="3" t="e">
        <f>IF('Entrada e Saida'!$H$11="TRADING",AW167/D167,AK167/D167)</f>
        <v>#DIV/0!</v>
      </c>
      <c r="BE167" s="3" t="e">
        <f t="shared" si="92"/>
        <v>#DIV/0!</v>
      </c>
      <c r="BF167" s="2" t="e">
        <f t="shared" si="93"/>
        <v>#DIV/0!</v>
      </c>
      <c r="BG167" s="3" t="e">
        <f>IF('Entrada e Saida'!$H$11="TRADING",AV167/D167,AN167/D167)</f>
        <v>#DIV/0!</v>
      </c>
      <c r="BH167" s="3" t="e">
        <f>IF('Entrada e Saida'!$H$11="TRADING",IF('Entrada e Saida'!$H$12="REAL",AR167/D167,0),AL167/D167)</f>
        <v>#DIV/0!</v>
      </c>
      <c r="BI167" s="3" t="e">
        <f>IF('Entrada e Saida'!$H$11="TRADING",IF('Entrada e Saida'!$H$12="REAL",AS167/D167,0),AM167/D167)</f>
        <v>#DIV/0!</v>
      </c>
      <c r="BJ167" s="3" t="e">
        <f>IF('Entrada e Saida'!$H$11="TRADING",AT167/D167,AO167/D167)</f>
        <v>#DIV/0!</v>
      </c>
      <c r="BK167" s="2" t="e">
        <f t="shared" si="94"/>
        <v>#DIV/0!</v>
      </c>
      <c r="BL167" s="2">
        <f>IF(O167&gt;0,IFERROR(IF('Entrada e Saida'!$H$11="DIRETA",0,(IF('Entrada e Saida'!$H$14="P.JURIDICA",(BD167*(1+O167)*N167)-((BD167/(1+M167))*'Entrada e Saida'!$G$65),((Produtos!N167-'Entrada e Saida'!$G$65)*Produtos!BD167)))),0),0)</f>
        <v>0</v>
      </c>
      <c r="BM167" s="2" t="e">
        <f t="shared" si="95"/>
        <v>#DIV/0!</v>
      </c>
    </row>
    <row r="168" spans="1:65" s="1" customFormat="1">
      <c r="A168" s="127"/>
      <c r="B168" s="114"/>
      <c r="C168" s="116"/>
      <c r="D168" s="146"/>
      <c r="E168" s="115">
        <f>IFERROR(VLOOKUP(A168,'Master Modelo'!A:I,9,FALSE),0)</f>
        <v>0</v>
      </c>
      <c r="F168" s="189">
        <f>IFERROR(VLOOKUP(A168,'Master Modelo'!A:I,8,FALSE),0)</f>
        <v>0</v>
      </c>
      <c r="G168" s="189">
        <f>IFERROR(VLOOKUP(A168,'Master Modelo'!A:K,11,FALSE),0)</f>
        <v>0</v>
      </c>
      <c r="H168" s="114" t="e">
        <f t="shared" si="78"/>
        <v>#DIV/0!</v>
      </c>
      <c r="I168" s="150">
        <f>IFERROR(VLOOKUP(A168,'Master Modelo'!A:I,3,FALSE),0)</f>
        <v>0</v>
      </c>
      <c r="J168" s="151">
        <f>IFERROR(VLOOKUP(A168,'Master Modelo'!A:I,5,FALSE),0)</f>
        <v>0</v>
      </c>
      <c r="K168" s="151">
        <f>IFERROR(VLOOKUP(A168,'Master Modelo'!A:I,6,FALSE),0)</f>
        <v>0</v>
      </c>
      <c r="L168" s="152" t="e">
        <f>VLOOKUP(A168,'Master Modelo'!A:J,10,FALSE)</f>
        <v>#N/A</v>
      </c>
      <c r="M168" s="150">
        <f>IFERROR(VLOOKUP(A168,'Master Modelo'!A:I,4,FALSE),0)</f>
        <v>0</v>
      </c>
      <c r="N168" s="128"/>
      <c r="O168" s="129"/>
      <c r="P168" s="9">
        <f t="shared" si="79"/>
        <v>0</v>
      </c>
      <c r="Q168" s="177">
        <f t="shared" si="77"/>
        <v>0</v>
      </c>
      <c r="R168" s="3">
        <f>D168*E168*'Entrada e Saida'!$K$8</f>
        <v>0</v>
      </c>
      <c r="S168" s="179" t="e">
        <f>'Entrada e Saida'!$H$21*'Entrada e Saida'!$K$8*(P168/(SUM(P:P)))</f>
        <v>#DIV/0!</v>
      </c>
      <c r="T168" s="179" t="e">
        <f>'Entrada e Saida'!$H$21*'Entrada e Saida'!$K$8*(Q168/(SUM(Q:Q)))</f>
        <v>#DIV/0!</v>
      </c>
      <c r="U168" s="179" t="e">
        <f>'Entrada e Saida'!$H$22*(P168/(SUM(P:P)))</f>
        <v>#DIV/0!</v>
      </c>
      <c r="V168" s="179" t="e">
        <f>'Entrada e Saida'!$H$22*(Q168/(SUM(Q:Q)))</f>
        <v>#DIV/0!</v>
      </c>
      <c r="W168" s="8" t="e">
        <f t="shared" si="80"/>
        <v>#DIV/0!</v>
      </c>
      <c r="X168" s="179" t="e">
        <f>'Entrada e Saida'!$H$26*(IF('Entrada e Saida'!$H$15="PESO",(P168/(SUM(P:P))),(Q168/(SUM(Q:Q)))))</f>
        <v>#DIV/0!</v>
      </c>
      <c r="Y168" s="179" t="e">
        <f>'Entrada e Saida'!$H$27*(IF('Entrada e Saida'!$H$15="PESO",(P168/(SUM(P:P))),(Q168/(SUM(Q:Q)))))</f>
        <v>#DIV/0!</v>
      </c>
      <c r="Z168" s="179" t="e">
        <f>'Entrada e Saida'!$H$28*(IF('Entrada e Saida'!$H$15="PESO",(P168/(SUM(P:P))),(Q168/(SUM(Q:Q)))))</f>
        <v>#DIV/0!</v>
      </c>
      <c r="AA168" s="10" t="e">
        <f t="shared" si="81"/>
        <v>#DIV/0!</v>
      </c>
      <c r="AB168" s="3" t="e">
        <f t="shared" si="82"/>
        <v>#DIV/0!</v>
      </c>
      <c r="AC168" s="3" t="e">
        <f t="shared" si="83"/>
        <v>#DIV/0!</v>
      </c>
      <c r="AD168" s="3" t="e">
        <f t="shared" si="84"/>
        <v>#DIV/0!</v>
      </c>
      <c r="AE168" s="9" t="e">
        <f t="shared" si="85"/>
        <v>#DIV/0!</v>
      </c>
      <c r="AF168" s="126">
        <f>IFERROR(D168*F168*L168*'Entrada e Saida'!$K$8,0)</f>
        <v>0</v>
      </c>
      <c r="AG168" s="3" t="e">
        <f>((W168+AA168+AB168+AC168+AD168+AE168+AF168)/(1-'Entrada e Saida'!$G$65))*'Entrada e Saida'!$I$66</f>
        <v>#DIV/0!</v>
      </c>
      <c r="AH168" s="8" t="e">
        <f t="shared" si="86"/>
        <v>#DIV/0!</v>
      </c>
      <c r="AI168" s="183" t="e">
        <f>'Entrada e Saida'!$K$51*(IF('Entrada e Saida'!$H$15="PESO",(P168/(SUM(P:P))),(Q168/(SUM(Q:Q)))))</f>
        <v>#DIV/0!</v>
      </c>
      <c r="AJ168" s="7">
        <f>(('Entrada e Saida'!$K$10-'Entrada e Saida'!$K$8)*E168*D168)</f>
        <v>0</v>
      </c>
      <c r="AK168" s="184" t="e">
        <f>IF('Entrada e Saida'!$H$15="PESO",W168+AA168+AH168+AI168+AJ168,W168+AA168+AH168+AI168+AJ168-S168+T168-U168+V168)</f>
        <v>#DIV/0!</v>
      </c>
      <c r="AL168" s="6" t="e">
        <f>IF('Entrada e Saida'!$H$12="REAL",AC168,0)</f>
        <v>#DIV/0!</v>
      </c>
      <c r="AM168" s="6" t="e">
        <f>IF('Entrada e Saida'!$H$12="REAL",AD168,0)</f>
        <v>#DIV/0!</v>
      </c>
      <c r="AN168" s="5" t="e">
        <f>IF('Entrada e Saida'!$H$13= "NÃO",AE168,0)</f>
        <v>#DIV/0!</v>
      </c>
      <c r="AO168" s="5" t="e">
        <f t="shared" si="87"/>
        <v>#DIV/0!</v>
      </c>
      <c r="AP168" s="4" t="e">
        <f t="shared" si="88"/>
        <v>#DIV/0!</v>
      </c>
      <c r="AQ168" s="3" t="e">
        <f>IF('Entrada e Saida'!$H$11="TRADING",AU168*'Custo Resumido'!D168,0)</f>
        <v>#DIV/0!</v>
      </c>
      <c r="AR168" s="3" t="e">
        <f>IF('Entrada e Saida'!$H$11="TRADING",AU168*'Entrada e Saida'!$G$63,0)</f>
        <v>#DIV/0!</v>
      </c>
      <c r="AS168" s="3" t="e">
        <f>IF('Entrada e Saida'!$H$11="TRADING",AU168*'Entrada e Saida'!$G$64,0)</f>
        <v>#DIV/0!</v>
      </c>
      <c r="AT168" s="3" t="e">
        <f>IF('Entrada e Saida'!$H$11="TRADING",AU168*'Entrada e Saida'!$G$65,0)</f>
        <v>#DIV/0!</v>
      </c>
      <c r="AU168" s="4" t="e">
        <f>IF('Entrada e Saida'!$H$11="TRADING",AP168/(1-(SUM('Entrada e Saida'!$G$63:$G$65)+'Custo Resumido'!D168)),0)</f>
        <v>#DIV/0!</v>
      </c>
      <c r="AV168" s="3" t="e">
        <f>IF('Entrada e Saida'!$H$13="NÃO",AU168*M168,0)</f>
        <v>#DIV/0!</v>
      </c>
      <c r="AW168" s="4" t="e">
        <f t="shared" si="89"/>
        <v>#DIV/0!</v>
      </c>
      <c r="AX168" s="3" t="e">
        <f>'Entrada e Saida'!$G$74*AU168</f>
        <v>#DIV/0!</v>
      </c>
      <c r="AY168" s="4" t="e">
        <f t="shared" si="90"/>
        <v>#DIV/0!</v>
      </c>
      <c r="AZ168" s="4" t="e">
        <f>AQ168+('Entrada e Saida'!$G$65-'Entrada e Saida'!$I$65)*AU168-AX168</f>
        <v>#DIV/0!</v>
      </c>
      <c r="BA168" s="3" t="e">
        <f>IF('Entrada e Saida'!$H$12="REAL",AZ168*'Entrada e Saida'!$G$81,AU168*'Entrada e Saida'!$G$81)</f>
        <v>#DIV/0!</v>
      </c>
      <c r="BB168" s="3" t="e">
        <f>IF('Entrada e Saida'!$H$12="REAL",AZ168*'Entrada e Saida'!$G$82,AU168*'Entrada e Saida'!$G$82)</f>
        <v>#DIV/0!</v>
      </c>
      <c r="BC168" s="4" t="e">
        <f t="shared" si="91"/>
        <v>#DIV/0!</v>
      </c>
      <c r="BD168" s="3" t="e">
        <f>IF('Entrada e Saida'!$H$11="TRADING",AW168/D168,AK168/D168)</f>
        <v>#DIV/0!</v>
      </c>
      <c r="BE168" s="3" t="e">
        <f t="shared" si="92"/>
        <v>#DIV/0!</v>
      </c>
      <c r="BF168" s="2" t="e">
        <f t="shared" si="93"/>
        <v>#DIV/0!</v>
      </c>
      <c r="BG168" s="3" t="e">
        <f>IF('Entrada e Saida'!$H$11="TRADING",AV168/D168,AN168/D168)</f>
        <v>#DIV/0!</v>
      </c>
      <c r="BH168" s="3" t="e">
        <f>IF('Entrada e Saida'!$H$11="TRADING",IF('Entrada e Saida'!$H$12="REAL",AR168/D168,0),AL168/D168)</f>
        <v>#DIV/0!</v>
      </c>
      <c r="BI168" s="3" t="e">
        <f>IF('Entrada e Saida'!$H$11="TRADING",IF('Entrada e Saida'!$H$12="REAL",AS168/D168,0),AM168/D168)</f>
        <v>#DIV/0!</v>
      </c>
      <c r="BJ168" s="3" t="e">
        <f>IF('Entrada e Saida'!$H$11="TRADING",AT168/D168,AO168/D168)</f>
        <v>#DIV/0!</v>
      </c>
      <c r="BK168" s="2" t="e">
        <f t="shared" si="94"/>
        <v>#DIV/0!</v>
      </c>
      <c r="BL168" s="2">
        <f>IF(O168&gt;0,IFERROR(IF('Entrada e Saida'!$H$11="DIRETA",0,(IF('Entrada e Saida'!$H$14="P.JURIDICA",(BD168*(1+O168)*N168)-((BD168/(1+M168))*'Entrada e Saida'!$G$65),((Produtos!N168-'Entrada e Saida'!$G$65)*Produtos!BD168)))),0),0)</f>
        <v>0</v>
      </c>
      <c r="BM168" s="2" t="e">
        <f t="shared" si="95"/>
        <v>#DIV/0!</v>
      </c>
    </row>
    <row r="169" spans="1:65" s="1" customFormat="1">
      <c r="A169" s="127"/>
      <c r="B169" s="114"/>
      <c r="C169" s="116"/>
      <c r="D169" s="146"/>
      <c r="E169" s="115">
        <f>IFERROR(VLOOKUP(A169,'Master Modelo'!A:I,9,FALSE),0)</f>
        <v>0</v>
      </c>
      <c r="F169" s="189">
        <f>IFERROR(VLOOKUP(A169,'Master Modelo'!A:I,8,FALSE),0)</f>
        <v>0</v>
      </c>
      <c r="G169" s="189">
        <f>IFERROR(VLOOKUP(A169,'Master Modelo'!A:K,11,FALSE),0)</f>
        <v>0</v>
      </c>
      <c r="H169" s="114" t="e">
        <f t="shared" si="78"/>
        <v>#DIV/0!</v>
      </c>
      <c r="I169" s="150">
        <f>IFERROR(VLOOKUP(A169,'Master Modelo'!A:I,3,FALSE),0)</f>
        <v>0</v>
      </c>
      <c r="J169" s="151">
        <f>IFERROR(VLOOKUP(A169,'Master Modelo'!A:I,5,FALSE),0)</f>
        <v>0</v>
      </c>
      <c r="K169" s="151">
        <f>IFERROR(VLOOKUP(A169,'Master Modelo'!A:I,6,FALSE),0)</f>
        <v>0</v>
      </c>
      <c r="L169" s="152" t="e">
        <f>VLOOKUP(A169,'Master Modelo'!A:J,10,FALSE)</f>
        <v>#N/A</v>
      </c>
      <c r="M169" s="150">
        <f>IFERROR(VLOOKUP(A169,'Master Modelo'!A:I,4,FALSE),0)</f>
        <v>0</v>
      </c>
      <c r="N169" s="128"/>
      <c r="O169" s="129"/>
      <c r="P169" s="9">
        <f t="shared" si="79"/>
        <v>0</v>
      </c>
      <c r="Q169" s="177">
        <f t="shared" si="77"/>
        <v>0</v>
      </c>
      <c r="R169" s="3">
        <f>D169*E169*'Entrada e Saida'!$K$8</f>
        <v>0</v>
      </c>
      <c r="S169" s="179" t="e">
        <f>'Entrada e Saida'!$H$21*'Entrada e Saida'!$K$8*(P169/(SUM(P:P)))</f>
        <v>#DIV/0!</v>
      </c>
      <c r="T169" s="179" t="e">
        <f>'Entrada e Saida'!$H$21*'Entrada e Saida'!$K$8*(Q169/(SUM(Q:Q)))</f>
        <v>#DIV/0!</v>
      </c>
      <c r="U169" s="179" t="e">
        <f>'Entrada e Saida'!$H$22*(P169/(SUM(P:P)))</f>
        <v>#DIV/0!</v>
      </c>
      <c r="V169" s="179" t="e">
        <f>'Entrada e Saida'!$H$22*(Q169/(SUM(Q:Q)))</f>
        <v>#DIV/0!</v>
      </c>
      <c r="W169" s="8" t="e">
        <f t="shared" si="80"/>
        <v>#DIV/0!</v>
      </c>
      <c r="X169" s="179" t="e">
        <f>'Entrada e Saida'!$H$26*(IF('Entrada e Saida'!$H$15="PESO",(P169/(SUM(P:P))),(Q169/(SUM(Q:Q)))))</f>
        <v>#DIV/0!</v>
      </c>
      <c r="Y169" s="179" t="e">
        <f>'Entrada e Saida'!$H$27*(IF('Entrada e Saida'!$H$15="PESO",(P169/(SUM(P:P))),(Q169/(SUM(Q:Q)))))</f>
        <v>#DIV/0!</v>
      </c>
      <c r="Z169" s="179" t="e">
        <f>'Entrada e Saida'!$H$28*(IF('Entrada e Saida'!$H$15="PESO",(P169/(SUM(P:P))),(Q169/(SUM(Q:Q)))))</f>
        <v>#DIV/0!</v>
      </c>
      <c r="AA169" s="10" t="e">
        <f t="shared" si="81"/>
        <v>#DIV/0!</v>
      </c>
      <c r="AB169" s="3" t="e">
        <f t="shared" si="82"/>
        <v>#DIV/0!</v>
      </c>
      <c r="AC169" s="3" t="e">
        <f t="shared" si="83"/>
        <v>#DIV/0!</v>
      </c>
      <c r="AD169" s="3" t="e">
        <f t="shared" si="84"/>
        <v>#DIV/0!</v>
      </c>
      <c r="AE169" s="9" t="e">
        <f t="shared" si="85"/>
        <v>#DIV/0!</v>
      </c>
      <c r="AF169" s="126">
        <f>IFERROR(D169*F169*L169*'Entrada e Saida'!$K$8,0)</f>
        <v>0</v>
      </c>
      <c r="AG169" s="3" t="e">
        <f>((W169+AA169+AB169+AC169+AD169+AE169+AF169)/(1-'Entrada e Saida'!$G$65))*'Entrada e Saida'!$I$66</f>
        <v>#DIV/0!</v>
      </c>
      <c r="AH169" s="8" t="e">
        <f t="shared" si="86"/>
        <v>#DIV/0!</v>
      </c>
      <c r="AI169" s="183" t="e">
        <f>'Entrada e Saida'!$K$51*(IF('Entrada e Saida'!$H$15="PESO",(P169/(SUM(P:P))),(Q169/(SUM(Q:Q)))))</f>
        <v>#DIV/0!</v>
      </c>
      <c r="AJ169" s="7">
        <f>(('Entrada e Saida'!$K$10-'Entrada e Saida'!$K$8)*E169*D169)</f>
        <v>0</v>
      </c>
      <c r="AK169" s="184" t="e">
        <f>IF('Entrada e Saida'!$H$15="PESO",W169+AA169+AH169+AI169+AJ169,W169+AA169+AH169+AI169+AJ169-S169+T169-U169+V169)</f>
        <v>#DIV/0!</v>
      </c>
      <c r="AL169" s="6" t="e">
        <f>IF('Entrada e Saida'!$H$12="REAL",AC169,0)</f>
        <v>#DIV/0!</v>
      </c>
      <c r="AM169" s="6" t="e">
        <f>IF('Entrada e Saida'!$H$12="REAL",AD169,0)</f>
        <v>#DIV/0!</v>
      </c>
      <c r="AN169" s="5" t="e">
        <f>IF('Entrada e Saida'!$H$13= "NÃO",AE169,0)</f>
        <v>#DIV/0!</v>
      </c>
      <c r="AO169" s="5" t="e">
        <f t="shared" si="87"/>
        <v>#DIV/0!</v>
      </c>
      <c r="AP169" s="4" t="e">
        <f t="shared" si="88"/>
        <v>#DIV/0!</v>
      </c>
      <c r="AQ169" s="3" t="e">
        <f>IF('Entrada e Saida'!$H$11="TRADING",AU169*'Custo Resumido'!D169,0)</f>
        <v>#DIV/0!</v>
      </c>
      <c r="AR169" s="3" t="e">
        <f>IF('Entrada e Saida'!$H$11="TRADING",AU169*'Entrada e Saida'!$G$63,0)</f>
        <v>#DIV/0!</v>
      </c>
      <c r="AS169" s="3" t="e">
        <f>IF('Entrada e Saida'!$H$11="TRADING",AU169*'Entrada e Saida'!$G$64,0)</f>
        <v>#DIV/0!</v>
      </c>
      <c r="AT169" s="3" t="e">
        <f>IF('Entrada e Saida'!$H$11="TRADING",AU169*'Entrada e Saida'!$G$65,0)</f>
        <v>#DIV/0!</v>
      </c>
      <c r="AU169" s="4" t="e">
        <f>IF('Entrada e Saida'!$H$11="TRADING",AP169/(1-(SUM('Entrada e Saida'!$G$63:$G$65)+'Custo Resumido'!D169)),0)</f>
        <v>#DIV/0!</v>
      </c>
      <c r="AV169" s="3" t="e">
        <f>IF('Entrada e Saida'!$H$13="NÃO",AU169*M169,0)</f>
        <v>#DIV/0!</v>
      </c>
      <c r="AW169" s="4" t="e">
        <f t="shared" si="89"/>
        <v>#DIV/0!</v>
      </c>
      <c r="AX169" s="3" t="e">
        <f>'Entrada e Saida'!$G$74*AU169</f>
        <v>#DIV/0!</v>
      </c>
      <c r="AY169" s="4" t="e">
        <f t="shared" si="90"/>
        <v>#DIV/0!</v>
      </c>
      <c r="AZ169" s="4" t="e">
        <f>AQ169+('Entrada e Saida'!$G$65-'Entrada e Saida'!$I$65)*AU169-AX169</f>
        <v>#DIV/0!</v>
      </c>
      <c r="BA169" s="3" t="e">
        <f>IF('Entrada e Saida'!$H$12="REAL",AZ169*'Entrada e Saida'!$G$81,AU169*'Entrada e Saida'!$G$81)</f>
        <v>#DIV/0!</v>
      </c>
      <c r="BB169" s="3" t="e">
        <f>IF('Entrada e Saida'!$H$12="REAL",AZ169*'Entrada e Saida'!$G$82,AU169*'Entrada e Saida'!$G$82)</f>
        <v>#DIV/0!</v>
      </c>
      <c r="BC169" s="4" t="e">
        <f t="shared" si="91"/>
        <v>#DIV/0!</v>
      </c>
      <c r="BD169" s="3" t="e">
        <f>IF('Entrada e Saida'!$H$11="TRADING",AW169/D169,AK169/D169)</f>
        <v>#DIV/0!</v>
      </c>
      <c r="BE169" s="3" t="e">
        <f t="shared" si="92"/>
        <v>#DIV/0!</v>
      </c>
      <c r="BF169" s="2" t="e">
        <f t="shared" si="93"/>
        <v>#DIV/0!</v>
      </c>
      <c r="BG169" s="3" t="e">
        <f>IF('Entrada e Saida'!$H$11="TRADING",AV169/D169,AN169/D169)</f>
        <v>#DIV/0!</v>
      </c>
      <c r="BH169" s="3" t="e">
        <f>IF('Entrada e Saida'!$H$11="TRADING",IF('Entrada e Saida'!$H$12="REAL",AR169/D169,0),AL169/D169)</f>
        <v>#DIV/0!</v>
      </c>
      <c r="BI169" s="3" t="e">
        <f>IF('Entrada e Saida'!$H$11="TRADING",IF('Entrada e Saida'!$H$12="REAL",AS169/D169,0),AM169/D169)</f>
        <v>#DIV/0!</v>
      </c>
      <c r="BJ169" s="3" t="e">
        <f>IF('Entrada e Saida'!$H$11="TRADING",AT169/D169,AO169/D169)</f>
        <v>#DIV/0!</v>
      </c>
      <c r="BK169" s="2" t="e">
        <f t="shared" si="94"/>
        <v>#DIV/0!</v>
      </c>
      <c r="BL169" s="2">
        <f>IF(O169&gt;0,IFERROR(IF('Entrada e Saida'!$H$11="DIRETA",0,(IF('Entrada e Saida'!$H$14="P.JURIDICA",(BD169*(1+O169)*N169)-((BD169/(1+M169))*'Entrada e Saida'!$G$65),((Produtos!N169-'Entrada e Saida'!$G$65)*Produtos!BD169)))),0),0)</f>
        <v>0</v>
      </c>
      <c r="BM169" s="2" t="e">
        <f t="shared" si="95"/>
        <v>#DIV/0!</v>
      </c>
    </row>
    <row r="170" spans="1:65" s="1" customFormat="1">
      <c r="A170" s="127"/>
      <c r="B170" s="114"/>
      <c r="C170" s="116"/>
      <c r="D170" s="146"/>
      <c r="E170" s="115">
        <f>IFERROR(VLOOKUP(A170,'Master Modelo'!A:I,9,FALSE),0)</f>
        <v>0</v>
      </c>
      <c r="F170" s="189">
        <f>IFERROR(VLOOKUP(A170,'Master Modelo'!A:I,8,FALSE),0)</f>
        <v>0</v>
      </c>
      <c r="G170" s="189">
        <f>IFERROR(VLOOKUP(A170,'Master Modelo'!A:K,11,FALSE),0)</f>
        <v>0</v>
      </c>
      <c r="H170" s="114" t="e">
        <f t="shared" si="78"/>
        <v>#DIV/0!</v>
      </c>
      <c r="I170" s="150">
        <f>IFERROR(VLOOKUP(A170,'Master Modelo'!A:I,3,FALSE),0)</f>
        <v>0</v>
      </c>
      <c r="J170" s="151">
        <f>IFERROR(VLOOKUP(A170,'Master Modelo'!A:I,5,FALSE),0)</f>
        <v>0</v>
      </c>
      <c r="K170" s="151">
        <f>IFERROR(VLOOKUP(A170,'Master Modelo'!A:I,6,FALSE),0)</f>
        <v>0</v>
      </c>
      <c r="L170" s="152" t="e">
        <f>VLOOKUP(A170,'Master Modelo'!A:J,10,FALSE)</f>
        <v>#N/A</v>
      </c>
      <c r="M170" s="150">
        <f>IFERROR(VLOOKUP(A170,'Master Modelo'!A:I,4,FALSE),0)</f>
        <v>0</v>
      </c>
      <c r="N170" s="128"/>
      <c r="O170" s="129"/>
      <c r="P170" s="9">
        <f t="shared" si="79"/>
        <v>0</v>
      </c>
      <c r="Q170" s="177">
        <f t="shared" si="77"/>
        <v>0</v>
      </c>
      <c r="R170" s="3">
        <f>D170*E170*'Entrada e Saida'!$K$8</f>
        <v>0</v>
      </c>
      <c r="S170" s="179" t="e">
        <f>'Entrada e Saida'!$H$21*'Entrada e Saida'!$K$8*(P170/(SUM(P:P)))</f>
        <v>#DIV/0!</v>
      </c>
      <c r="T170" s="179" t="e">
        <f>'Entrada e Saida'!$H$21*'Entrada e Saida'!$K$8*(Q170/(SUM(Q:Q)))</f>
        <v>#DIV/0!</v>
      </c>
      <c r="U170" s="179" t="e">
        <f>'Entrada e Saida'!$H$22*(P170/(SUM(P:P)))</f>
        <v>#DIV/0!</v>
      </c>
      <c r="V170" s="179" t="e">
        <f>'Entrada e Saida'!$H$22*(Q170/(SUM(Q:Q)))</f>
        <v>#DIV/0!</v>
      </c>
      <c r="W170" s="8" t="e">
        <f t="shared" si="80"/>
        <v>#DIV/0!</v>
      </c>
      <c r="X170" s="179" t="e">
        <f>'Entrada e Saida'!$H$26*(IF('Entrada e Saida'!$H$15="PESO",(P170/(SUM(P:P))),(Q170/(SUM(Q:Q)))))</f>
        <v>#DIV/0!</v>
      </c>
      <c r="Y170" s="179" t="e">
        <f>'Entrada e Saida'!$H$27*(IF('Entrada e Saida'!$H$15="PESO",(P170/(SUM(P:P))),(Q170/(SUM(Q:Q)))))</f>
        <v>#DIV/0!</v>
      </c>
      <c r="Z170" s="179" t="e">
        <f>'Entrada e Saida'!$H$28*(IF('Entrada e Saida'!$H$15="PESO",(P170/(SUM(P:P))),(Q170/(SUM(Q:Q)))))</f>
        <v>#DIV/0!</v>
      </c>
      <c r="AA170" s="10" t="e">
        <f t="shared" si="81"/>
        <v>#DIV/0!</v>
      </c>
      <c r="AB170" s="3" t="e">
        <f t="shared" si="82"/>
        <v>#DIV/0!</v>
      </c>
      <c r="AC170" s="3" t="e">
        <f t="shared" si="83"/>
        <v>#DIV/0!</v>
      </c>
      <c r="AD170" s="3" t="e">
        <f t="shared" si="84"/>
        <v>#DIV/0!</v>
      </c>
      <c r="AE170" s="9" t="e">
        <f t="shared" si="85"/>
        <v>#DIV/0!</v>
      </c>
      <c r="AF170" s="126">
        <f>IFERROR(D170*F170*L170*'Entrada e Saida'!$K$8,0)</f>
        <v>0</v>
      </c>
      <c r="AG170" s="3" t="e">
        <f>((W170+AA170+AB170+AC170+AD170+AE170+AF170)/(1-'Entrada e Saida'!$G$65))*'Entrada e Saida'!$I$66</f>
        <v>#DIV/0!</v>
      </c>
      <c r="AH170" s="8" t="e">
        <f t="shared" si="86"/>
        <v>#DIV/0!</v>
      </c>
      <c r="AI170" s="183" t="e">
        <f>'Entrada e Saida'!$K$51*(IF('Entrada e Saida'!$H$15="PESO",(P170/(SUM(P:P))),(Q170/(SUM(Q:Q)))))</f>
        <v>#DIV/0!</v>
      </c>
      <c r="AJ170" s="7">
        <f>(('Entrada e Saida'!$K$10-'Entrada e Saida'!$K$8)*E170*D170)</f>
        <v>0</v>
      </c>
      <c r="AK170" s="184" t="e">
        <f>IF('Entrada e Saida'!$H$15="PESO",W170+AA170+AH170+AI170+AJ170,W170+AA170+AH170+AI170+AJ170-S170+T170-U170+V170)</f>
        <v>#DIV/0!</v>
      </c>
      <c r="AL170" s="6" t="e">
        <f>IF('Entrada e Saida'!$H$12="REAL",AC170,0)</f>
        <v>#DIV/0!</v>
      </c>
      <c r="AM170" s="6" t="e">
        <f>IF('Entrada e Saida'!$H$12="REAL",AD170,0)</f>
        <v>#DIV/0!</v>
      </c>
      <c r="AN170" s="5" t="e">
        <f>IF('Entrada e Saida'!$H$13= "NÃO",AE170,0)</f>
        <v>#DIV/0!</v>
      </c>
      <c r="AO170" s="5" t="e">
        <f t="shared" si="87"/>
        <v>#DIV/0!</v>
      </c>
      <c r="AP170" s="4" t="e">
        <f t="shared" si="88"/>
        <v>#DIV/0!</v>
      </c>
      <c r="AQ170" s="3" t="e">
        <f>IF('Entrada e Saida'!$H$11="TRADING",AU170*'Custo Resumido'!D170,0)</f>
        <v>#DIV/0!</v>
      </c>
      <c r="AR170" s="3" t="e">
        <f>IF('Entrada e Saida'!$H$11="TRADING",AU170*'Entrada e Saida'!$G$63,0)</f>
        <v>#DIV/0!</v>
      </c>
      <c r="AS170" s="3" t="e">
        <f>IF('Entrada e Saida'!$H$11="TRADING",AU170*'Entrada e Saida'!$G$64,0)</f>
        <v>#DIV/0!</v>
      </c>
      <c r="AT170" s="3" t="e">
        <f>IF('Entrada e Saida'!$H$11="TRADING",AU170*'Entrada e Saida'!$G$65,0)</f>
        <v>#DIV/0!</v>
      </c>
      <c r="AU170" s="4" t="e">
        <f>IF('Entrada e Saida'!$H$11="TRADING",AP170/(1-(SUM('Entrada e Saida'!$G$63:$G$65)+'Custo Resumido'!D170)),0)</f>
        <v>#DIV/0!</v>
      </c>
      <c r="AV170" s="3" t="e">
        <f>IF('Entrada e Saida'!$H$13="NÃO",AU170*M170,0)</f>
        <v>#DIV/0!</v>
      </c>
      <c r="AW170" s="4" t="e">
        <f t="shared" si="89"/>
        <v>#DIV/0!</v>
      </c>
      <c r="AX170" s="3" t="e">
        <f>'Entrada e Saida'!$G$74*AU170</f>
        <v>#DIV/0!</v>
      </c>
      <c r="AY170" s="4" t="e">
        <f t="shared" si="90"/>
        <v>#DIV/0!</v>
      </c>
      <c r="AZ170" s="4" t="e">
        <f>AQ170+('Entrada e Saida'!$G$65-'Entrada e Saida'!$I$65)*AU170-AX170</f>
        <v>#DIV/0!</v>
      </c>
      <c r="BA170" s="3" t="e">
        <f>IF('Entrada e Saida'!$H$12="REAL",AZ170*'Entrada e Saida'!$G$81,AU170*'Entrada e Saida'!$G$81)</f>
        <v>#DIV/0!</v>
      </c>
      <c r="BB170" s="3" t="e">
        <f>IF('Entrada e Saida'!$H$12="REAL",AZ170*'Entrada e Saida'!$G$82,AU170*'Entrada e Saida'!$G$82)</f>
        <v>#DIV/0!</v>
      </c>
      <c r="BC170" s="4" t="e">
        <f t="shared" si="91"/>
        <v>#DIV/0!</v>
      </c>
      <c r="BD170" s="3" t="e">
        <f>IF('Entrada e Saida'!$H$11="TRADING",AW170/D170,AK170/D170)</f>
        <v>#DIV/0!</v>
      </c>
      <c r="BE170" s="3" t="e">
        <f t="shared" si="92"/>
        <v>#DIV/0!</v>
      </c>
      <c r="BF170" s="2" t="e">
        <f t="shared" si="93"/>
        <v>#DIV/0!</v>
      </c>
      <c r="BG170" s="3" t="e">
        <f>IF('Entrada e Saida'!$H$11="TRADING",AV170/D170,AN170/D170)</f>
        <v>#DIV/0!</v>
      </c>
      <c r="BH170" s="3" t="e">
        <f>IF('Entrada e Saida'!$H$11="TRADING",IF('Entrada e Saida'!$H$12="REAL",AR170/D170,0),AL170/D170)</f>
        <v>#DIV/0!</v>
      </c>
      <c r="BI170" s="3" t="e">
        <f>IF('Entrada e Saida'!$H$11="TRADING",IF('Entrada e Saida'!$H$12="REAL",AS170/D170,0),AM170/D170)</f>
        <v>#DIV/0!</v>
      </c>
      <c r="BJ170" s="3" t="e">
        <f>IF('Entrada e Saida'!$H$11="TRADING",AT170/D170,AO170/D170)</f>
        <v>#DIV/0!</v>
      </c>
      <c r="BK170" s="2" t="e">
        <f t="shared" si="94"/>
        <v>#DIV/0!</v>
      </c>
      <c r="BL170" s="2">
        <f>IF(O170&gt;0,IFERROR(IF('Entrada e Saida'!$H$11="DIRETA",0,(IF('Entrada e Saida'!$H$14="P.JURIDICA",(BD170*(1+O170)*N170)-((BD170/(1+M170))*'Entrada e Saida'!$G$65),((Produtos!N170-'Entrada e Saida'!$G$65)*Produtos!BD170)))),0),0)</f>
        <v>0</v>
      </c>
      <c r="BM170" s="2" t="e">
        <f t="shared" si="95"/>
        <v>#DIV/0!</v>
      </c>
    </row>
    <row r="171" spans="1:65" s="1" customFormat="1">
      <c r="A171" s="127"/>
      <c r="B171" s="114"/>
      <c r="C171" s="116"/>
      <c r="D171" s="146"/>
      <c r="E171" s="115">
        <f>IFERROR(VLOOKUP(A171,'Master Modelo'!A:I,9,FALSE),0)</f>
        <v>0</v>
      </c>
      <c r="F171" s="189">
        <f>IFERROR(VLOOKUP(A171,'Master Modelo'!A:I,8,FALSE),0)</f>
        <v>0</v>
      </c>
      <c r="G171" s="189">
        <f>IFERROR(VLOOKUP(A171,'Master Modelo'!A:K,11,FALSE),0)</f>
        <v>0</v>
      </c>
      <c r="H171" s="114" t="e">
        <f t="shared" si="78"/>
        <v>#DIV/0!</v>
      </c>
      <c r="I171" s="150">
        <f>IFERROR(VLOOKUP(A171,'Master Modelo'!A:I,3,FALSE),0)</f>
        <v>0</v>
      </c>
      <c r="J171" s="151">
        <f>IFERROR(VLOOKUP(A171,'Master Modelo'!A:I,5,FALSE),0)</f>
        <v>0</v>
      </c>
      <c r="K171" s="151">
        <f>IFERROR(VLOOKUP(A171,'Master Modelo'!A:I,6,FALSE),0)</f>
        <v>0</v>
      </c>
      <c r="L171" s="152" t="e">
        <f>VLOOKUP(A171,'Master Modelo'!A:J,10,FALSE)</f>
        <v>#N/A</v>
      </c>
      <c r="M171" s="150">
        <f>IFERROR(VLOOKUP(A171,'Master Modelo'!A:I,4,FALSE),0)</f>
        <v>0</v>
      </c>
      <c r="N171" s="128"/>
      <c r="O171" s="129"/>
      <c r="P171" s="9">
        <f t="shared" si="79"/>
        <v>0</v>
      </c>
      <c r="Q171" s="177">
        <f t="shared" si="77"/>
        <v>0</v>
      </c>
      <c r="R171" s="3">
        <f>D171*E171*'Entrada e Saida'!$K$8</f>
        <v>0</v>
      </c>
      <c r="S171" s="179" t="e">
        <f>'Entrada e Saida'!$H$21*'Entrada e Saida'!$K$8*(P171/(SUM(P:P)))</f>
        <v>#DIV/0!</v>
      </c>
      <c r="T171" s="179" t="e">
        <f>'Entrada e Saida'!$H$21*'Entrada e Saida'!$K$8*(Q171/(SUM(Q:Q)))</f>
        <v>#DIV/0!</v>
      </c>
      <c r="U171" s="179" t="e">
        <f>'Entrada e Saida'!$H$22*(P171/(SUM(P:P)))</f>
        <v>#DIV/0!</v>
      </c>
      <c r="V171" s="179" t="e">
        <f>'Entrada e Saida'!$H$22*(Q171/(SUM(Q:Q)))</f>
        <v>#DIV/0!</v>
      </c>
      <c r="W171" s="8" t="e">
        <f t="shared" si="80"/>
        <v>#DIV/0!</v>
      </c>
      <c r="X171" s="179" t="e">
        <f>'Entrada e Saida'!$H$26*(IF('Entrada e Saida'!$H$15="PESO",(P171/(SUM(P:P))),(Q171/(SUM(Q:Q)))))</f>
        <v>#DIV/0!</v>
      </c>
      <c r="Y171" s="179" t="e">
        <f>'Entrada e Saida'!$H$27*(IF('Entrada e Saida'!$H$15="PESO",(P171/(SUM(P:P))),(Q171/(SUM(Q:Q)))))</f>
        <v>#DIV/0!</v>
      </c>
      <c r="Z171" s="179" t="e">
        <f>'Entrada e Saida'!$H$28*(IF('Entrada e Saida'!$H$15="PESO",(P171/(SUM(P:P))),(Q171/(SUM(Q:Q)))))</f>
        <v>#DIV/0!</v>
      </c>
      <c r="AA171" s="10" t="e">
        <f t="shared" si="81"/>
        <v>#DIV/0!</v>
      </c>
      <c r="AB171" s="3" t="e">
        <f t="shared" si="82"/>
        <v>#DIV/0!</v>
      </c>
      <c r="AC171" s="3" t="e">
        <f t="shared" si="83"/>
        <v>#DIV/0!</v>
      </c>
      <c r="AD171" s="3" t="e">
        <f t="shared" si="84"/>
        <v>#DIV/0!</v>
      </c>
      <c r="AE171" s="9" t="e">
        <f t="shared" si="85"/>
        <v>#DIV/0!</v>
      </c>
      <c r="AF171" s="126">
        <f>IFERROR(D171*F171*L171*'Entrada e Saida'!$K$8,0)</f>
        <v>0</v>
      </c>
      <c r="AG171" s="3" t="e">
        <f>((W171+AA171+AB171+AC171+AD171+AE171+AF171)/(1-'Entrada e Saida'!$G$65))*'Entrada e Saida'!$I$66</f>
        <v>#DIV/0!</v>
      </c>
      <c r="AH171" s="8" t="e">
        <f t="shared" si="86"/>
        <v>#DIV/0!</v>
      </c>
      <c r="AI171" s="183" t="e">
        <f>'Entrada e Saida'!$K$51*(IF('Entrada e Saida'!$H$15="PESO",(P171/(SUM(P:P))),(Q171/(SUM(Q:Q)))))</f>
        <v>#DIV/0!</v>
      </c>
      <c r="AJ171" s="7">
        <f>(('Entrada e Saida'!$K$10-'Entrada e Saida'!$K$8)*E171*D171)</f>
        <v>0</v>
      </c>
      <c r="AK171" s="184" t="e">
        <f>IF('Entrada e Saida'!$H$15="PESO",W171+AA171+AH171+AI171+AJ171,W171+AA171+AH171+AI171+AJ171-S171+T171-U171+V171)</f>
        <v>#DIV/0!</v>
      </c>
      <c r="AL171" s="6" t="e">
        <f>IF('Entrada e Saida'!$H$12="REAL",AC171,0)</f>
        <v>#DIV/0!</v>
      </c>
      <c r="AM171" s="6" t="e">
        <f>IF('Entrada e Saida'!$H$12="REAL",AD171,0)</f>
        <v>#DIV/0!</v>
      </c>
      <c r="AN171" s="5" t="e">
        <f>IF('Entrada e Saida'!$H$13= "NÃO",AE171,0)</f>
        <v>#DIV/0!</v>
      </c>
      <c r="AO171" s="5" t="e">
        <f t="shared" si="87"/>
        <v>#DIV/0!</v>
      </c>
      <c r="AP171" s="4" t="e">
        <f t="shared" si="88"/>
        <v>#DIV/0!</v>
      </c>
      <c r="AQ171" s="3" t="e">
        <f>IF('Entrada e Saida'!$H$11="TRADING",AU171*'Custo Resumido'!D171,0)</f>
        <v>#DIV/0!</v>
      </c>
      <c r="AR171" s="3" t="e">
        <f>IF('Entrada e Saida'!$H$11="TRADING",AU171*'Entrada e Saida'!$G$63,0)</f>
        <v>#DIV/0!</v>
      </c>
      <c r="AS171" s="3" t="e">
        <f>IF('Entrada e Saida'!$H$11="TRADING",AU171*'Entrada e Saida'!$G$64,0)</f>
        <v>#DIV/0!</v>
      </c>
      <c r="AT171" s="3" t="e">
        <f>IF('Entrada e Saida'!$H$11="TRADING",AU171*'Entrada e Saida'!$G$65,0)</f>
        <v>#DIV/0!</v>
      </c>
      <c r="AU171" s="4" t="e">
        <f>IF('Entrada e Saida'!$H$11="TRADING",AP171/(1-(SUM('Entrada e Saida'!$G$63:$G$65)+'Custo Resumido'!D171)),0)</f>
        <v>#DIV/0!</v>
      </c>
      <c r="AV171" s="3" t="e">
        <f>IF('Entrada e Saida'!$H$13="NÃO",AU171*M171,0)</f>
        <v>#DIV/0!</v>
      </c>
      <c r="AW171" s="4" t="e">
        <f t="shared" si="89"/>
        <v>#DIV/0!</v>
      </c>
      <c r="AX171" s="3" t="e">
        <f>'Entrada e Saida'!$G$74*AU171</f>
        <v>#DIV/0!</v>
      </c>
      <c r="AY171" s="4" t="e">
        <f t="shared" si="90"/>
        <v>#DIV/0!</v>
      </c>
      <c r="AZ171" s="4" t="e">
        <f>AQ171+('Entrada e Saida'!$G$65-'Entrada e Saida'!$I$65)*AU171-AX171</f>
        <v>#DIV/0!</v>
      </c>
      <c r="BA171" s="3" t="e">
        <f>IF('Entrada e Saida'!$H$12="REAL",AZ171*'Entrada e Saida'!$G$81,AU171*'Entrada e Saida'!$G$81)</f>
        <v>#DIV/0!</v>
      </c>
      <c r="BB171" s="3" t="e">
        <f>IF('Entrada e Saida'!$H$12="REAL",AZ171*'Entrada e Saida'!$G$82,AU171*'Entrada e Saida'!$G$82)</f>
        <v>#DIV/0!</v>
      </c>
      <c r="BC171" s="4" t="e">
        <f t="shared" si="91"/>
        <v>#DIV/0!</v>
      </c>
      <c r="BD171" s="3" t="e">
        <f>IF('Entrada e Saida'!$H$11="TRADING",AW171/D171,AK171/D171)</f>
        <v>#DIV/0!</v>
      </c>
      <c r="BE171" s="3" t="e">
        <f t="shared" si="92"/>
        <v>#DIV/0!</v>
      </c>
      <c r="BF171" s="2" t="e">
        <f t="shared" si="93"/>
        <v>#DIV/0!</v>
      </c>
      <c r="BG171" s="3" t="e">
        <f>IF('Entrada e Saida'!$H$11="TRADING",AV171/D171,AN171/D171)</f>
        <v>#DIV/0!</v>
      </c>
      <c r="BH171" s="3" t="e">
        <f>IF('Entrada e Saida'!$H$11="TRADING",IF('Entrada e Saida'!$H$12="REAL",AR171/D171,0),AL171/D171)</f>
        <v>#DIV/0!</v>
      </c>
      <c r="BI171" s="3" t="e">
        <f>IF('Entrada e Saida'!$H$11="TRADING",IF('Entrada e Saida'!$H$12="REAL",AS171/D171,0),AM171/D171)</f>
        <v>#DIV/0!</v>
      </c>
      <c r="BJ171" s="3" t="e">
        <f>IF('Entrada e Saida'!$H$11="TRADING",AT171/D171,AO171/D171)</f>
        <v>#DIV/0!</v>
      </c>
      <c r="BK171" s="2" t="e">
        <f t="shared" si="94"/>
        <v>#DIV/0!</v>
      </c>
      <c r="BL171" s="2">
        <f>IF(O171&gt;0,IFERROR(IF('Entrada e Saida'!$H$11="DIRETA",0,(IF('Entrada e Saida'!$H$14="P.JURIDICA",(BD171*(1+O171)*N171)-((BD171/(1+M171))*'Entrada e Saida'!$G$65),((Produtos!N171-'Entrada e Saida'!$G$65)*Produtos!BD171)))),0),0)</f>
        <v>0</v>
      </c>
      <c r="BM171" s="2" t="e">
        <f t="shared" si="95"/>
        <v>#DIV/0!</v>
      </c>
    </row>
    <row r="172" spans="1:65" s="1" customFormat="1">
      <c r="A172" s="127"/>
      <c r="B172" s="114"/>
      <c r="C172" s="116"/>
      <c r="D172" s="146"/>
      <c r="E172" s="115">
        <f>IFERROR(VLOOKUP(A172,'Master Modelo'!A:I,9,FALSE),0)</f>
        <v>0</v>
      </c>
      <c r="F172" s="189">
        <f>IFERROR(VLOOKUP(A172,'Master Modelo'!A:I,8,FALSE),0)</f>
        <v>0</v>
      </c>
      <c r="G172" s="189">
        <f>IFERROR(VLOOKUP(A172,'Master Modelo'!A:K,11,FALSE),0)</f>
        <v>0</v>
      </c>
      <c r="H172" s="114" t="e">
        <f t="shared" si="78"/>
        <v>#DIV/0!</v>
      </c>
      <c r="I172" s="150">
        <f>IFERROR(VLOOKUP(A172,'Master Modelo'!A:I,3,FALSE),0)</f>
        <v>0</v>
      </c>
      <c r="J172" s="151">
        <f>IFERROR(VLOOKUP(A172,'Master Modelo'!A:I,5,FALSE),0)</f>
        <v>0</v>
      </c>
      <c r="K172" s="151">
        <f>IFERROR(VLOOKUP(A172,'Master Modelo'!A:I,6,FALSE),0)</f>
        <v>0</v>
      </c>
      <c r="L172" s="152" t="e">
        <f>VLOOKUP(A172,'Master Modelo'!A:J,10,FALSE)</f>
        <v>#N/A</v>
      </c>
      <c r="M172" s="150">
        <f>IFERROR(VLOOKUP(A172,'Master Modelo'!A:I,4,FALSE),0)</f>
        <v>0</v>
      </c>
      <c r="N172" s="128"/>
      <c r="O172" s="129"/>
      <c r="P172" s="9">
        <f t="shared" si="79"/>
        <v>0</v>
      </c>
      <c r="Q172" s="177">
        <f t="shared" si="77"/>
        <v>0</v>
      </c>
      <c r="R172" s="3">
        <f>D172*E172*'Entrada e Saida'!$K$8</f>
        <v>0</v>
      </c>
      <c r="S172" s="179" t="e">
        <f>'Entrada e Saida'!$H$21*'Entrada e Saida'!$K$8*(P172/(SUM(P:P)))</f>
        <v>#DIV/0!</v>
      </c>
      <c r="T172" s="179" t="e">
        <f>'Entrada e Saida'!$H$21*'Entrada e Saida'!$K$8*(Q172/(SUM(Q:Q)))</f>
        <v>#DIV/0!</v>
      </c>
      <c r="U172" s="179" t="e">
        <f>'Entrada e Saida'!$H$22*(P172/(SUM(P:P)))</f>
        <v>#DIV/0!</v>
      </c>
      <c r="V172" s="179" t="e">
        <f>'Entrada e Saida'!$H$22*(Q172/(SUM(Q:Q)))</f>
        <v>#DIV/0!</v>
      </c>
      <c r="W172" s="8" t="e">
        <f t="shared" si="80"/>
        <v>#DIV/0!</v>
      </c>
      <c r="X172" s="179" t="e">
        <f>'Entrada e Saida'!$H$26*(IF('Entrada e Saida'!$H$15="PESO",(P172/(SUM(P:P))),(Q172/(SUM(Q:Q)))))</f>
        <v>#DIV/0!</v>
      </c>
      <c r="Y172" s="179" t="e">
        <f>'Entrada e Saida'!$H$27*(IF('Entrada e Saida'!$H$15="PESO",(P172/(SUM(P:P))),(Q172/(SUM(Q:Q)))))</f>
        <v>#DIV/0!</v>
      </c>
      <c r="Z172" s="179" t="e">
        <f>'Entrada e Saida'!$H$28*(IF('Entrada e Saida'!$H$15="PESO",(P172/(SUM(P:P))),(Q172/(SUM(Q:Q)))))</f>
        <v>#DIV/0!</v>
      </c>
      <c r="AA172" s="10" t="e">
        <f t="shared" si="81"/>
        <v>#DIV/0!</v>
      </c>
      <c r="AB172" s="3" t="e">
        <f t="shared" si="82"/>
        <v>#DIV/0!</v>
      </c>
      <c r="AC172" s="3" t="e">
        <f t="shared" si="83"/>
        <v>#DIV/0!</v>
      </c>
      <c r="AD172" s="3" t="e">
        <f t="shared" si="84"/>
        <v>#DIV/0!</v>
      </c>
      <c r="AE172" s="9" t="e">
        <f t="shared" si="85"/>
        <v>#DIV/0!</v>
      </c>
      <c r="AF172" s="126">
        <f>IFERROR(D172*F172*L172*'Entrada e Saida'!$K$8,0)</f>
        <v>0</v>
      </c>
      <c r="AG172" s="3" t="e">
        <f>((W172+AA172+AB172+AC172+AD172+AE172+AF172)/(1-'Entrada e Saida'!$G$65))*'Entrada e Saida'!$I$66</f>
        <v>#DIV/0!</v>
      </c>
      <c r="AH172" s="8" t="e">
        <f t="shared" si="86"/>
        <v>#DIV/0!</v>
      </c>
      <c r="AI172" s="183" t="e">
        <f>'Entrada e Saida'!$K$51*(IF('Entrada e Saida'!$H$15="PESO",(P172/(SUM(P:P))),(Q172/(SUM(Q:Q)))))</f>
        <v>#DIV/0!</v>
      </c>
      <c r="AJ172" s="7">
        <f>(('Entrada e Saida'!$K$10-'Entrada e Saida'!$K$8)*E172*D172)</f>
        <v>0</v>
      </c>
      <c r="AK172" s="184" t="e">
        <f>IF('Entrada e Saida'!$H$15="PESO",W172+AA172+AH172+AI172+AJ172,W172+AA172+AH172+AI172+AJ172-S172+T172-U172+V172)</f>
        <v>#DIV/0!</v>
      </c>
      <c r="AL172" s="6" t="e">
        <f>IF('Entrada e Saida'!$H$12="REAL",AC172,0)</f>
        <v>#DIV/0!</v>
      </c>
      <c r="AM172" s="6" t="e">
        <f>IF('Entrada e Saida'!$H$12="REAL",AD172,0)</f>
        <v>#DIV/0!</v>
      </c>
      <c r="AN172" s="5" t="e">
        <f>IF('Entrada e Saida'!$H$13= "NÃO",AE172,0)</f>
        <v>#DIV/0!</v>
      </c>
      <c r="AO172" s="5" t="e">
        <f t="shared" si="87"/>
        <v>#DIV/0!</v>
      </c>
      <c r="AP172" s="4" t="e">
        <f t="shared" si="88"/>
        <v>#DIV/0!</v>
      </c>
      <c r="AQ172" s="3" t="e">
        <f>IF('Entrada e Saida'!$H$11="TRADING",AU172*'Custo Resumido'!D172,0)</f>
        <v>#DIV/0!</v>
      </c>
      <c r="AR172" s="3" t="e">
        <f>IF('Entrada e Saida'!$H$11="TRADING",AU172*'Entrada e Saida'!$G$63,0)</f>
        <v>#DIV/0!</v>
      </c>
      <c r="AS172" s="3" t="e">
        <f>IF('Entrada e Saida'!$H$11="TRADING",AU172*'Entrada e Saida'!$G$64,0)</f>
        <v>#DIV/0!</v>
      </c>
      <c r="AT172" s="3" t="e">
        <f>IF('Entrada e Saida'!$H$11="TRADING",AU172*'Entrada e Saida'!$G$65,0)</f>
        <v>#DIV/0!</v>
      </c>
      <c r="AU172" s="4" t="e">
        <f>IF('Entrada e Saida'!$H$11="TRADING",AP172/(1-(SUM('Entrada e Saida'!$G$63:$G$65)+'Custo Resumido'!D172)),0)</f>
        <v>#DIV/0!</v>
      </c>
      <c r="AV172" s="3" t="e">
        <f>IF('Entrada e Saida'!$H$13="NÃO",AU172*M172,0)</f>
        <v>#DIV/0!</v>
      </c>
      <c r="AW172" s="4" t="e">
        <f t="shared" si="89"/>
        <v>#DIV/0!</v>
      </c>
      <c r="AX172" s="3" t="e">
        <f>'Entrada e Saida'!$G$74*AU172</f>
        <v>#DIV/0!</v>
      </c>
      <c r="AY172" s="4" t="e">
        <f t="shared" si="90"/>
        <v>#DIV/0!</v>
      </c>
      <c r="AZ172" s="4" t="e">
        <f>AQ172+('Entrada e Saida'!$G$65-'Entrada e Saida'!$I$65)*AU172-AX172</f>
        <v>#DIV/0!</v>
      </c>
      <c r="BA172" s="3" t="e">
        <f>IF('Entrada e Saida'!$H$12="REAL",AZ172*'Entrada e Saida'!$G$81,AU172*'Entrada e Saida'!$G$81)</f>
        <v>#DIV/0!</v>
      </c>
      <c r="BB172" s="3" t="e">
        <f>IF('Entrada e Saida'!$H$12="REAL",AZ172*'Entrada e Saida'!$G$82,AU172*'Entrada e Saida'!$G$82)</f>
        <v>#DIV/0!</v>
      </c>
      <c r="BC172" s="4" t="e">
        <f t="shared" si="91"/>
        <v>#DIV/0!</v>
      </c>
      <c r="BD172" s="3" t="e">
        <f>IF('Entrada e Saida'!$H$11="TRADING",AW172/D172,AK172/D172)</f>
        <v>#DIV/0!</v>
      </c>
      <c r="BE172" s="3" t="e">
        <f t="shared" si="92"/>
        <v>#DIV/0!</v>
      </c>
      <c r="BF172" s="2" t="e">
        <f t="shared" si="93"/>
        <v>#DIV/0!</v>
      </c>
      <c r="BG172" s="3" t="e">
        <f>IF('Entrada e Saida'!$H$11="TRADING",AV172/D172,AN172/D172)</f>
        <v>#DIV/0!</v>
      </c>
      <c r="BH172" s="3" t="e">
        <f>IF('Entrada e Saida'!$H$11="TRADING",IF('Entrada e Saida'!$H$12="REAL",AR172/D172,0),AL172/D172)</f>
        <v>#DIV/0!</v>
      </c>
      <c r="BI172" s="3" t="e">
        <f>IF('Entrada e Saida'!$H$11="TRADING",IF('Entrada e Saida'!$H$12="REAL",AS172/D172,0),AM172/D172)</f>
        <v>#DIV/0!</v>
      </c>
      <c r="BJ172" s="3" t="e">
        <f>IF('Entrada e Saida'!$H$11="TRADING",AT172/D172,AO172/D172)</f>
        <v>#DIV/0!</v>
      </c>
      <c r="BK172" s="2" t="e">
        <f t="shared" si="94"/>
        <v>#DIV/0!</v>
      </c>
      <c r="BL172" s="2">
        <f>IF(O172&gt;0,IFERROR(IF('Entrada e Saida'!$H$11="DIRETA",0,(IF('Entrada e Saida'!$H$14="P.JURIDICA",(BD172*(1+O172)*N172)-((BD172/(1+M172))*'Entrada e Saida'!$G$65),((Produtos!N172-'Entrada e Saida'!$G$65)*Produtos!BD172)))),0),0)</f>
        <v>0</v>
      </c>
      <c r="BM172" s="2" t="e">
        <f t="shared" si="95"/>
        <v>#DIV/0!</v>
      </c>
    </row>
    <row r="173" spans="1:65" s="1" customFormat="1">
      <c r="A173" s="127"/>
      <c r="B173" s="114"/>
      <c r="C173" s="116"/>
      <c r="D173" s="146"/>
      <c r="E173" s="115">
        <f>IFERROR(VLOOKUP(A173,'Master Modelo'!A:I,9,FALSE),0)</f>
        <v>0</v>
      </c>
      <c r="F173" s="189">
        <f>IFERROR(VLOOKUP(A173,'Master Modelo'!A:I,8,FALSE),0)</f>
        <v>0</v>
      </c>
      <c r="G173" s="189">
        <f>IFERROR(VLOOKUP(A173,'Master Modelo'!A:K,11,FALSE),0)</f>
        <v>0</v>
      </c>
      <c r="H173" s="114" t="e">
        <f t="shared" si="78"/>
        <v>#DIV/0!</v>
      </c>
      <c r="I173" s="150">
        <f>IFERROR(VLOOKUP(A173,'Master Modelo'!A:I,3,FALSE),0)</f>
        <v>0</v>
      </c>
      <c r="J173" s="151">
        <f>IFERROR(VLOOKUP(A173,'Master Modelo'!A:I,5,FALSE),0)</f>
        <v>0</v>
      </c>
      <c r="K173" s="151">
        <f>IFERROR(VLOOKUP(A173,'Master Modelo'!A:I,6,FALSE),0)</f>
        <v>0</v>
      </c>
      <c r="L173" s="152" t="e">
        <f>VLOOKUP(A173,'Master Modelo'!A:J,10,FALSE)</f>
        <v>#N/A</v>
      </c>
      <c r="M173" s="150">
        <f>IFERROR(VLOOKUP(A173,'Master Modelo'!A:I,4,FALSE),0)</f>
        <v>0</v>
      </c>
      <c r="N173" s="128"/>
      <c r="O173" s="129"/>
      <c r="P173" s="9">
        <f t="shared" si="79"/>
        <v>0</v>
      </c>
      <c r="Q173" s="177">
        <f t="shared" si="77"/>
        <v>0</v>
      </c>
      <c r="R173" s="3">
        <f>D173*E173*'Entrada e Saida'!$K$8</f>
        <v>0</v>
      </c>
      <c r="S173" s="179" t="e">
        <f>'Entrada e Saida'!$H$21*'Entrada e Saida'!$K$8*(P173/(SUM(P:P)))</f>
        <v>#DIV/0!</v>
      </c>
      <c r="T173" s="179" t="e">
        <f>'Entrada e Saida'!$H$21*'Entrada e Saida'!$K$8*(Q173/(SUM(Q:Q)))</f>
        <v>#DIV/0!</v>
      </c>
      <c r="U173" s="179" t="e">
        <f>'Entrada e Saida'!$H$22*(P173/(SUM(P:P)))</f>
        <v>#DIV/0!</v>
      </c>
      <c r="V173" s="179" t="e">
        <f>'Entrada e Saida'!$H$22*(Q173/(SUM(Q:Q)))</f>
        <v>#DIV/0!</v>
      </c>
      <c r="W173" s="8" t="e">
        <f t="shared" si="80"/>
        <v>#DIV/0!</v>
      </c>
      <c r="X173" s="179" t="e">
        <f>'Entrada e Saida'!$H$26*(IF('Entrada e Saida'!$H$15="PESO",(P173/(SUM(P:P))),(Q173/(SUM(Q:Q)))))</f>
        <v>#DIV/0!</v>
      </c>
      <c r="Y173" s="179" t="e">
        <f>'Entrada e Saida'!$H$27*(IF('Entrada e Saida'!$H$15="PESO",(P173/(SUM(P:P))),(Q173/(SUM(Q:Q)))))</f>
        <v>#DIV/0!</v>
      </c>
      <c r="Z173" s="179" t="e">
        <f>'Entrada e Saida'!$H$28*(IF('Entrada e Saida'!$H$15="PESO",(P173/(SUM(P:P))),(Q173/(SUM(Q:Q)))))</f>
        <v>#DIV/0!</v>
      </c>
      <c r="AA173" s="10" t="e">
        <f t="shared" si="81"/>
        <v>#DIV/0!</v>
      </c>
      <c r="AB173" s="3" t="e">
        <f t="shared" si="82"/>
        <v>#DIV/0!</v>
      </c>
      <c r="AC173" s="3" t="e">
        <f t="shared" si="83"/>
        <v>#DIV/0!</v>
      </c>
      <c r="AD173" s="3" t="e">
        <f t="shared" si="84"/>
        <v>#DIV/0!</v>
      </c>
      <c r="AE173" s="9" t="e">
        <f t="shared" si="85"/>
        <v>#DIV/0!</v>
      </c>
      <c r="AF173" s="126">
        <f>IFERROR(D173*F173*L173*'Entrada e Saida'!$K$8,0)</f>
        <v>0</v>
      </c>
      <c r="AG173" s="3" t="e">
        <f>((W173+AA173+AB173+AC173+AD173+AE173+AF173)/(1-'Entrada e Saida'!$G$65))*'Entrada e Saida'!$I$66</f>
        <v>#DIV/0!</v>
      </c>
      <c r="AH173" s="8" t="e">
        <f t="shared" si="86"/>
        <v>#DIV/0!</v>
      </c>
      <c r="AI173" s="183" t="e">
        <f>'Entrada e Saida'!$K$51*(IF('Entrada e Saida'!$H$15="PESO",(P173/(SUM(P:P))),(Q173/(SUM(Q:Q)))))</f>
        <v>#DIV/0!</v>
      </c>
      <c r="AJ173" s="7">
        <f>(('Entrada e Saida'!$K$10-'Entrada e Saida'!$K$8)*E173*D173)</f>
        <v>0</v>
      </c>
      <c r="AK173" s="184" t="e">
        <f>IF('Entrada e Saida'!$H$15="PESO",W173+AA173+AH173+AI173+AJ173,W173+AA173+AH173+AI173+AJ173-S173+T173-U173+V173)</f>
        <v>#DIV/0!</v>
      </c>
      <c r="AL173" s="6" t="e">
        <f>IF('Entrada e Saida'!$H$12="REAL",AC173,0)</f>
        <v>#DIV/0!</v>
      </c>
      <c r="AM173" s="6" t="e">
        <f>IF('Entrada e Saida'!$H$12="REAL",AD173,0)</f>
        <v>#DIV/0!</v>
      </c>
      <c r="AN173" s="5" t="e">
        <f>IF('Entrada e Saida'!$H$13= "NÃO",AE173,0)</f>
        <v>#DIV/0!</v>
      </c>
      <c r="AO173" s="5" t="e">
        <f t="shared" si="87"/>
        <v>#DIV/0!</v>
      </c>
      <c r="AP173" s="4" t="e">
        <f t="shared" si="88"/>
        <v>#DIV/0!</v>
      </c>
      <c r="AQ173" s="3" t="e">
        <f>IF('Entrada e Saida'!$H$11="TRADING",AU173*'Custo Resumido'!D173,0)</f>
        <v>#DIV/0!</v>
      </c>
      <c r="AR173" s="3" t="e">
        <f>IF('Entrada e Saida'!$H$11="TRADING",AU173*'Entrada e Saida'!$G$63,0)</f>
        <v>#DIV/0!</v>
      </c>
      <c r="AS173" s="3" t="e">
        <f>IF('Entrada e Saida'!$H$11="TRADING",AU173*'Entrada e Saida'!$G$64,0)</f>
        <v>#DIV/0!</v>
      </c>
      <c r="AT173" s="3" t="e">
        <f>IF('Entrada e Saida'!$H$11="TRADING",AU173*'Entrada e Saida'!$G$65,0)</f>
        <v>#DIV/0!</v>
      </c>
      <c r="AU173" s="4" t="e">
        <f>IF('Entrada e Saida'!$H$11="TRADING",AP173/(1-(SUM('Entrada e Saida'!$G$63:$G$65)+'Custo Resumido'!D173)),0)</f>
        <v>#DIV/0!</v>
      </c>
      <c r="AV173" s="3" t="e">
        <f>IF('Entrada e Saida'!$H$13="NÃO",AU173*M173,0)</f>
        <v>#DIV/0!</v>
      </c>
      <c r="AW173" s="4" t="e">
        <f t="shared" si="89"/>
        <v>#DIV/0!</v>
      </c>
      <c r="AX173" s="3" t="e">
        <f>'Entrada e Saida'!$G$74*AU173</f>
        <v>#DIV/0!</v>
      </c>
      <c r="AY173" s="4" t="e">
        <f t="shared" si="90"/>
        <v>#DIV/0!</v>
      </c>
      <c r="AZ173" s="4" t="e">
        <f>AQ173+('Entrada e Saida'!$G$65-'Entrada e Saida'!$I$65)*AU173-AX173</f>
        <v>#DIV/0!</v>
      </c>
      <c r="BA173" s="3" t="e">
        <f>IF('Entrada e Saida'!$H$12="REAL",AZ173*'Entrada e Saida'!$G$81,AU173*'Entrada e Saida'!$G$81)</f>
        <v>#DIV/0!</v>
      </c>
      <c r="BB173" s="3" t="e">
        <f>IF('Entrada e Saida'!$H$12="REAL",AZ173*'Entrada e Saida'!$G$82,AU173*'Entrada e Saida'!$G$82)</f>
        <v>#DIV/0!</v>
      </c>
      <c r="BC173" s="4" t="e">
        <f t="shared" si="91"/>
        <v>#DIV/0!</v>
      </c>
      <c r="BD173" s="3" t="e">
        <f>IF('Entrada e Saida'!$H$11="TRADING",AW173/D173,AK173/D173)</f>
        <v>#DIV/0!</v>
      </c>
      <c r="BE173" s="3" t="e">
        <f t="shared" si="92"/>
        <v>#DIV/0!</v>
      </c>
      <c r="BF173" s="2" t="e">
        <f t="shared" si="93"/>
        <v>#DIV/0!</v>
      </c>
      <c r="BG173" s="3" t="e">
        <f>IF('Entrada e Saida'!$H$11="TRADING",AV173/D173,AN173/D173)</f>
        <v>#DIV/0!</v>
      </c>
      <c r="BH173" s="3" t="e">
        <f>IF('Entrada e Saida'!$H$11="TRADING",IF('Entrada e Saida'!$H$12="REAL",AR173/D173,0),AL173/D173)</f>
        <v>#DIV/0!</v>
      </c>
      <c r="BI173" s="3" t="e">
        <f>IF('Entrada e Saida'!$H$11="TRADING",IF('Entrada e Saida'!$H$12="REAL",AS173/D173,0),AM173/D173)</f>
        <v>#DIV/0!</v>
      </c>
      <c r="BJ173" s="3" t="e">
        <f>IF('Entrada e Saida'!$H$11="TRADING",AT173/D173,AO173/D173)</f>
        <v>#DIV/0!</v>
      </c>
      <c r="BK173" s="2" t="e">
        <f t="shared" si="94"/>
        <v>#DIV/0!</v>
      </c>
      <c r="BL173" s="2">
        <f>IF(O173&gt;0,IFERROR(IF('Entrada e Saida'!$H$11="DIRETA",0,(IF('Entrada e Saida'!$H$14="P.JURIDICA",(BD173*(1+O173)*N173)-((BD173/(1+M173))*'Entrada e Saida'!$G$65),((Produtos!N173-'Entrada e Saida'!$G$65)*Produtos!BD173)))),0),0)</f>
        <v>0</v>
      </c>
      <c r="BM173" s="2" t="e">
        <f t="shared" si="95"/>
        <v>#DIV/0!</v>
      </c>
    </row>
    <row r="174" spans="1:65" s="1" customFormat="1">
      <c r="A174" s="127"/>
      <c r="B174" s="114"/>
      <c r="C174" s="116"/>
      <c r="D174" s="146"/>
      <c r="E174" s="115">
        <f>IFERROR(VLOOKUP(A174,'Master Modelo'!A:I,9,FALSE),0)</f>
        <v>0</v>
      </c>
      <c r="F174" s="189">
        <f>IFERROR(VLOOKUP(A174,'Master Modelo'!A:I,8,FALSE),0)</f>
        <v>0</v>
      </c>
      <c r="G174" s="189">
        <f>IFERROR(VLOOKUP(A174,'Master Modelo'!A:K,11,FALSE),0)</f>
        <v>0</v>
      </c>
      <c r="H174" s="114" t="e">
        <f t="shared" si="78"/>
        <v>#DIV/0!</v>
      </c>
      <c r="I174" s="150">
        <f>IFERROR(VLOOKUP(A174,'Master Modelo'!A:I,3,FALSE),0)</f>
        <v>0</v>
      </c>
      <c r="J174" s="151">
        <f>IFERROR(VLOOKUP(A174,'Master Modelo'!A:I,5,FALSE),0)</f>
        <v>0</v>
      </c>
      <c r="K174" s="151">
        <f>IFERROR(VLOOKUP(A174,'Master Modelo'!A:I,6,FALSE),0)</f>
        <v>0</v>
      </c>
      <c r="L174" s="152" t="e">
        <f>VLOOKUP(A174,'Master Modelo'!A:J,10,FALSE)</f>
        <v>#N/A</v>
      </c>
      <c r="M174" s="150">
        <f>IFERROR(VLOOKUP(A174,'Master Modelo'!A:I,4,FALSE),0)</f>
        <v>0</v>
      </c>
      <c r="N174" s="128"/>
      <c r="O174" s="129"/>
      <c r="P174" s="9">
        <f t="shared" si="79"/>
        <v>0</v>
      </c>
      <c r="Q174" s="177">
        <f t="shared" si="77"/>
        <v>0</v>
      </c>
      <c r="R174" s="3">
        <f>D174*E174*'Entrada e Saida'!$K$8</f>
        <v>0</v>
      </c>
      <c r="S174" s="179" t="e">
        <f>'Entrada e Saida'!$H$21*'Entrada e Saida'!$K$8*(P174/(SUM(P:P)))</f>
        <v>#DIV/0!</v>
      </c>
      <c r="T174" s="179" t="e">
        <f>'Entrada e Saida'!$H$21*'Entrada e Saida'!$K$8*(Q174/(SUM(Q:Q)))</f>
        <v>#DIV/0!</v>
      </c>
      <c r="U174" s="179" t="e">
        <f>'Entrada e Saida'!$H$22*(P174/(SUM(P:P)))</f>
        <v>#DIV/0!</v>
      </c>
      <c r="V174" s="179" t="e">
        <f>'Entrada e Saida'!$H$22*(Q174/(SUM(Q:Q)))</f>
        <v>#DIV/0!</v>
      </c>
      <c r="W174" s="8" t="e">
        <f t="shared" si="80"/>
        <v>#DIV/0!</v>
      </c>
      <c r="X174" s="179" t="e">
        <f>'Entrada e Saida'!$H$26*(IF('Entrada e Saida'!$H$15="PESO",(P174/(SUM(P:P))),(Q174/(SUM(Q:Q)))))</f>
        <v>#DIV/0!</v>
      </c>
      <c r="Y174" s="179" t="e">
        <f>'Entrada e Saida'!$H$27*(IF('Entrada e Saida'!$H$15="PESO",(P174/(SUM(P:P))),(Q174/(SUM(Q:Q)))))</f>
        <v>#DIV/0!</v>
      </c>
      <c r="Z174" s="179" t="e">
        <f>'Entrada e Saida'!$H$28*(IF('Entrada e Saida'!$H$15="PESO",(P174/(SUM(P:P))),(Q174/(SUM(Q:Q)))))</f>
        <v>#DIV/0!</v>
      </c>
      <c r="AA174" s="10" t="e">
        <f t="shared" si="81"/>
        <v>#DIV/0!</v>
      </c>
      <c r="AB174" s="3" t="e">
        <f t="shared" si="82"/>
        <v>#DIV/0!</v>
      </c>
      <c r="AC174" s="3" t="e">
        <f t="shared" si="83"/>
        <v>#DIV/0!</v>
      </c>
      <c r="AD174" s="3" t="e">
        <f t="shared" si="84"/>
        <v>#DIV/0!</v>
      </c>
      <c r="AE174" s="9" t="e">
        <f t="shared" si="85"/>
        <v>#DIV/0!</v>
      </c>
      <c r="AF174" s="126">
        <f>IFERROR(D174*F174*L174*'Entrada e Saida'!$K$8,0)</f>
        <v>0</v>
      </c>
      <c r="AG174" s="3" t="e">
        <f>((W174+AA174+AB174+AC174+AD174+AE174+AF174)/(1-'Entrada e Saida'!$G$65))*'Entrada e Saida'!$I$66</f>
        <v>#DIV/0!</v>
      </c>
      <c r="AH174" s="8" t="e">
        <f t="shared" si="86"/>
        <v>#DIV/0!</v>
      </c>
      <c r="AI174" s="183" t="e">
        <f>'Entrada e Saida'!$K$51*(IF('Entrada e Saida'!$H$15="PESO",(P174/(SUM(P:P))),(Q174/(SUM(Q:Q)))))</f>
        <v>#DIV/0!</v>
      </c>
      <c r="AJ174" s="7">
        <f>(('Entrada e Saida'!$K$10-'Entrada e Saida'!$K$8)*E174*D174)</f>
        <v>0</v>
      </c>
      <c r="AK174" s="184" t="e">
        <f>IF('Entrada e Saida'!$H$15="PESO",W174+AA174+AH174+AI174+AJ174,W174+AA174+AH174+AI174+AJ174-S174+T174-U174+V174)</f>
        <v>#DIV/0!</v>
      </c>
      <c r="AL174" s="6" t="e">
        <f>IF('Entrada e Saida'!$H$12="REAL",AC174,0)</f>
        <v>#DIV/0!</v>
      </c>
      <c r="AM174" s="6" t="e">
        <f>IF('Entrada e Saida'!$H$12="REAL",AD174,0)</f>
        <v>#DIV/0!</v>
      </c>
      <c r="AN174" s="5" t="e">
        <f>IF('Entrada e Saida'!$H$13= "NÃO",AE174,0)</f>
        <v>#DIV/0!</v>
      </c>
      <c r="AO174" s="5" t="e">
        <f t="shared" si="87"/>
        <v>#DIV/0!</v>
      </c>
      <c r="AP174" s="4" t="e">
        <f t="shared" si="88"/>
        <v>#DIV/0!</v>
      </c>
      <c r="AQ174" s="3" t="e">
        <f>IF('Entrada e Saida'!$H$11="TRADING",AU174*'Custo Resumido'!D174,0)</f>
        <v>#DIV/0!</v>
      </c>
      <c r="AR174" s="3" t="e">
        <f>IF('Entrada e Saida'!$H$11="TRADING",AU174*'Entrada e Saida'!$G$63,0)</f>
        <v>#DIV/0!</v>
      </c>
      <c r="AS174" s="3" t="e">
        <f>IF('Entrada e Saida'!$H$11="TRADING",AU174*'Entrada e Saida'!$G$64,0)</f>
        <v>#DIV/0!</v>
      </c>
      <c r="AT174" s="3" t="e">
        <f>IF('Entrada e Saida'!$H$11="TRADING",AU174*'Entrada e Saida'!$G$65,0)</f>
        <v>#DIV/0!</v>
      </c>
      <c r="AU174" s="4" t="e">
        <f>IF('Entrada e Saida'!$H$11="TRADING",AP174/(1-(SUM('Entrada e Saida'!$G$63:$G$65)+'Custo Resumido'!D174)),0)</f>
        <v>#DIV/0!</v>
      </c>
      <c r="AV174" s="3" t="e">
        <f>IF('Entrada e Saida'!$H$13="NÃO",AU174*M174,0)</f>
        <v>#DIV/0!</v>
      </c>
      <c r="AW174" s="4" t="e">
        <f t="shared" si="89"/>
        <v>#DIV/0!</v>
      </c>
      <c r="AX174" s="3" t="e">
        <f>'Entrada e Saida'!$G$74*AU174</f>
        <v>#DIV/0!</v>
      </c>
      <c r="AY174" s="4" t="e">
        <f t="shared" si="90"/>
        <v>#DIV/0!</v>
      </c>
      <c r="AZ174" s="4" t="e">
        <f>AQ174+('Entrada e Saida'!$G$65-'Entrada e Saida'!$I$65)*AU174-AX174</f>
        <v>#DIV/0!</v>
      </c>
      <c r="BA174" s="3" t="e">
        <f>IF('Entrada e Saida'!$H$12="REAL",AZ174*'Entrada e Saida'!$G$81,AU174*'Entrada e Saida'!$G$81)</f>
        <v>#DIV/0!</v>
      </c>
      <c r="BB174" s="3" t="e">
        <f>IF('Entrada e Saida'!$H$12="REAL",AZ174*'Entrada e Saida'!$G$82,AU174*'Entrada e Saida'!$G$82)</f>
        <v>#DIV/0!</v>
      </c>
      <c r="BC174" s="4" t="e">
        <f t="shared" si="91"/>
        <v>#DIV/0!</v>
      </c>
      <c r="BD174" s="3" t="e">
        <f>IF('Entrada e Saida'!$H$11="TRADING",AW174/D174,AK174/D174)</f>
        <v>#DIV/0!</v>
      </c>
      <c r="BE174" s="3" t="e">
        <f t="shared" si="92"/>
        <v>#DIV/0!</v>
      </c>
      <c r="BF174" s="2" t="e">
        <f t="shared" si="93"/>
        <v>#DIV/0!</v>
      </c>
      <c r="BG174" s="3" t="e">
        <f>IF('Entrada e Saida'!$H$11="TRADING",AV174/D174,AN174/D174)</f>
        <v>#DIV/0!</v>
      </c>
      <c r="BH174" s="3" t="e">
        <f>IF('Entrada e Saida'!$H$11="TRADING",IF('Entrada e Saida'!$H$12="REAL",AR174/D174,0),AL174/D174)</f>
        <v>#DIV/0!</v>
      </c>
      <c r="BI174" s="3" t="e">
        <f>IF('Entrada e Saida'!$H$11="TRADING",IF('Entrada e Saida'!$H$12="REAL",AS174/D174,0),AM174/D174)</f>
        <v>#DIV/0!</v>
      </c>
      <c r="BJ174" s="3" t="e">
        <f>IF('Entrada e Saida'!$H$11="TRADING",AT174/D174,AO174/D174)</f>
        <v>#DIV/0!</v>
      </c>
      <c r="BK174" s="2" t="e">
        <f t="shared" si="94"/>
        <v>#DIV/0!</v>
      </c>
      <c r="BL174" s="2">
        <f>IF(O174&gt;0,IFERROR(IF('Entrada e Saida'!$H$11="DIRETA",0,(IF('Entrada e Saida'!$H$14="P.JURIDICA",(BD174*(1+O174)*N174)-((BD174/(1+M174))*'Entrada e Saida'!$G$65),((Produtos!N174-'Entrada e Saida'!$G$65)*Produtos!BD174)))),0),0)</f>
        <v>0</v>
      </c>
      <c r="BM174" s="2" t="e">
        <f t="shared" si="95"/>
        <v>#DIV/0!</v>
      </c>
    </row>
    <row r="175" spans="1:65" s="1" customFormat="1">
      <c r="A175" s="127"/>
      <c r="B175" s="114"/>
      <c r="C175" s="116"/>
      <c r="D175" s="146"/>
      <c r="E175" s="115">
        <f>IFERROR(VLOOKUP(A175,'Master Modelo'!A:I,9,FALSE),0)</f>
        <v>0</v>
      </c>
      <c r="F175" s="189">
        <f>IFERROR(VLOOKUP(A175,'Master Modelo'!A:I,8,FALSE),0)</f>
        <v>0</v>
      </c>
      <c r="G175" s="189">
        <f>IFERROR(VLOOKUP(A175,'Master Modelo'!A:K,11,FALSE),0)</f>
        <v>0</v>
      </c>
      <c r="H175" s="114" t="e">
        <f t="shared" si="78"/>
        <v>#DIV/0!</v>
      </c>
      <c r="I175" s="150">
        <f>IFERROR(VLOOKUP(A175,'Master Modelo'!A:I,3,FALSE),0)</f>
        <v>0</v>
      </c>
      <c r="J175" s="151">
        <f>IFERROR(VLOOKUP(A175,'Master Modelo'!A:I,5,FALSE),0)</f>
        <v>0</v>
      </c>
      <c r="K175" s="151">
        <f>IFERROR(VLOOKUP(A175,'Master Modelo'!A:I,6,FALSE),0)</f>
        <v>0</v>
      </c>
      <c r="L175" s="152" t="e">
        <f>VLOOKUP(A175,'Master Modelo'!A:J,10,FALSE)</f>
        <v>#N/A</v>
      </c>
      <c r="M175" s="150">
        <f>IFERROR(VLOOKUP(A175,'Master Modelo'!A:I,4,FALSE),0)</f>
        <v>0</v>
      </c>
      <c r="N175" s="128"/>
      <c r="O175" s="129"/>
      <c r="P175" s="9">
        <f t="shared" si="79"/>
        <v>0</v>
      </c>
      <c r="Q175" s="177">
        <f t="shared" si="77"/>
        <v>0</v>
      </c>
      <c r="R175" s="3">
        <f>D175*E175*'Entrada e Saida'!$K$8</f>
        <v>0</v>
      </c>
      <c r="S175" s="179" t="e">
        <f>'Entrada e Saida'!$H$21*'Entrada e Saida'!$K$8*(P175/(SUM(P:P)))</f>
        <v>#DIV/0!</v>
      </c>
      <c r="T175" s="179" t="e">
        <f>'Entrada e Saida'!$H$21*'Entrada e Saida'!$K$8*(Q175/(SUM(Q:Q)))</f>
        <v>#DIV/0!</v>
      </c>
      <c r="U175" s="179" t="e">
        <f>'Entrada e Saida'!$H$22*(P175/(SUM(P:P)))</f>
        <v>#DIV/0!</v>
      </c>
      <c r="V175" s="179" t="e">
        <f>'Entrada e Saida'!$H$22*(Q175/(SUM(Q:Q)))</f>
        <v>#DIV/0!</v>
      </c>
      <c r="W175" s="8" t="e">
        <f t="shared" si="80"/>
        <v>#DIV/0!</v>
      </c>
      <c r="X175" s="179" t="e">
        <f>'Entrada e Saida'!$H$26*(IF('Entrada e Saida'!$H$15="PESO",(P175/(SUM(P:P))),(Q175/(SUM(Q:Q)))))</f>
        <v>#DIV/0!</v>
      </c>
      <c r="Y175" s="179" t="e">
        <f>'Entrada e Saida'!$H$27*(IF('Entrada e Saida'!$H$15="PESO",(P175/(SUM(P:P))),(Q175/(SUM(Q:Q)))))</f>
        <v>#DIV/0!</v>
      </c>
      <c r="Z175" s="179" t="e">
        <f>'Entrada e Saida'!$H$28*(IF('Entrada e Saida'!$H$15="PESO",(P175/(SUM(P:P))),(Q175/(SUM(Q:Q)))))</f>
        <v>#DIV/0!</v>
      </c>
      <c r="AA175" s="10" t="e">
        <f t="shared" si="81"/>
        <v>#DIV/0!</v>
      </c>
      <c r="AB175" s="3" t="e">
        <f t="shared" si="82"/>
        <v>#DIV/0!</v>
      </c>
      <c r="AC175" s="3" t="e">
        <f t="shared" si="83"/>
        <v>#DIV/0!</v>
      </c>
      <c r="AD175" s="3" t="e">
        <f t="shared" si="84"/>
        <v>#DIV/0!</v>
      </c>
      <c r="AE175" s="9" t="e">
        <f t="shared" si="85"/>
        <v>#DIV/0!</v>
      </c>
      <c r="AF175" s="126">
        <f>IFERROR(D175*F175*L175*'Entrada e Saida'!$K$8,0)</f>
        <v>0</v>
      </c>
      <c r="AG175" s="3" t="e">
        <f>((W175+AA175+AB175+AC175+AD175+AE175+AF175)/(1-'Entrada e Saida'!$G$65))*'Entrada e Saida'!$I$66</f>
        <v>#DIV/0!</v>
      </c>
      <c r="AH175" s="8" t="e">
        <f t="shared" si="86"/>
        <v>#DIV/0!</v>
      </c>
      <c r="AI175" s="183" t="e">
        <f>'Entrada e Saida'!$K$51*(IF('Entrada e Saida'!$H$15="PESO",(P175/(SUM(P:P))),(Q175/(SUM(Q:Q)))))</f>
        <v>#DIV/0!</v>
      </c>
      <c r="AJ175" s="7">
        <f>(('Entrada e Saida'!$K$10-'Entrada e Saida'!$K$8)*E175*D175)</f>
        <v>0</v>
      </c>
      <c r="AK175" s="184" t="e">
        <f>IF('Entrada e Saida'!$H$15="PESO",W175+AA175+AH175+AI175+AJ175,W175+AA175+AH175+AI175+AJ175-S175+T175-U175+V175)</f>
        <v>#DIV/0!</v>
      </c>
      <c r="AL175" s="6" t="e">
        <f>IF('Entrada e Saida'!$H$12="REAL",AC175,0)</f>
        <v>#DIV/0!</v>
      </c>
      <c r="AM175" s="6" t="e">
        <f>IF('Entrada e Saida'!$H$12="REAL",AD175,0)</f>
        <v>#DIV/0!</v>
      </c>
      <c r="AN175" s="5" t="e">
        <f>IF('Entrada e Saida'!$H$13= "NÃO",AE175,0)</f>
        <v>#DIV/0!</v>
      </c>
      <c r="AO175" s="5" t="e">
        <f t="shared" si="87"/>
        <v>#DIV/0!</v>
      </c>
      <c r="AP175" s="4" t="e">
        <f t="shared" si="88"/>
        <v>#DIV/0!</v>
      </c>
      <c r="AQ175" s="3" t="e">
        <f>IF('Entrada e Saida'!$H$11="TRADING",AU175*'Custo Resumido'!D175,0)</f>
        <v>#DIV/0!</v>
      </c>
      <c r="AR175" s="3" t="e">
        <f>IF('Entrada e Saida'!$H$11="TRADING",AU175*'Entrada e Saida'!$G$63,0)</f>
        <v>#DIV/0!</v>
      </c>
      <c r="AS175" s="3" t="e">
        <f>IF('Entrada e Saida'!$H$11="TRADING",AU175*'Entrada e Saida'!$G$64,0)</f>
        <v>#DIV/0!</v>
      </c>
      <c r="AT175" s="3" t="e">
        <f>IF('Entrada e Saida'!$H$11="TRADING",AU175*'Entrada e Saida'!$G$65,0)</f>
        <v>#DIV/0!</v>
      </c>
      <c r="AU175" s="4" t="e">
        <f>IF('Entrada e Saida'!$H$11="TRADING",AP175/(1-(SUM('Entrada e Saida'!$G$63:$G$65)+'Custo Resumido'!D175)),0)</f>
        <v>#DIV/0!</v>
      </c>
      <c r="AV175" s="3" t="e">
        <f>IF('Entrada e Saida'!$H$13="NÃO",AU175*M175,0)</f>
        <v>#DIV/0!</v>
      </c>
      <c r="AW175" s="4" t="e">
        <f t="shared" si="89"/>
        <v>#DIV/0!</v>
      </c>
      <c r="AX175" s="3" t="e">
        <f>'Entrada e Saida'!$G$74*AU175</f>
        <v>#DIV/0!</v>
      </c>
      <c r="AY175" s="4" t="e">
        <f t="shared" si="90"/>
        <v>#DIV/0!</v>
      </c>
      <c r="AZ175" s="4" t="e">
        <f>AQ175+('Entrada e Saida'!$G$65-'Entrada e Saida'!$I$65)*AU175-AX175</f>
        <v>#DIV/0!</v>
      </c>
      <c r="BA175" s="3" t="e">
        <f>IF('Entrada e Saida'!$H$12="REAL",AZ175*'Entrada e Saida'!$G$81,AU175*'Entrada e Saida'!$G$81)</f>
        <v>#DIV/0!</v>
      </c>
      <c r="BB175" s="3" t="e">
        <f>IF('Entrada e Saida'!$H$12="REAL",AZ175*'Entrada e Saida'!$G$82,AU175*'Entrada e Saida'!$G$82)</f>
        <v>#DIV/0!</v>
      </c>
      <c r="BC175" s="4" t="e">
        <f t="shared" si="91"/>
        <v>#DIV/0!</v>
      </c>
      <c r="BD175" s="3" t="e">
        <f>IF('Entrada e Saida'!$H$11="TRADING",AW175/D175,AK175/D175)</f>
        <v>#DIV/0!</v>
      </c>
      <c r="BE175" s="3" t="e">
        <f t="shared" si="92"/>
        <v>#DIV/0!</v>
      </c>
      <c r="BF175" s="2" t="e">
        <f t="shared" si="93"/>
        <v>#DIV/0!</v>
      </c>
      <c r="BG175" s="3" t="e">
        <f>IF('Entrada e Saida'!$H$11="TRADING",AV175/D175,AN175/D175)</f>
        <v>#DIV/0!</v>
      </c>
      <c r="BH175" s="3" t="e">
        <f>IF('Entrada e Saida'!$H$11="TRADING",IF('Entrada e Saida'!$H$12="REAL",AR175/D175,0),AL175/D175)</f>
        <v>#DIV/0!</v>
      </c>
      <c r="BI175" s="3" t="e">
        <f>IF('Entrada e Saida'!$H$11="TRADING",IF('Entrada e Saida'!$H$12="REAL",AS175/D175,0),AM175/D175)</f>
        <v>#DIV/0!</v>
      </c>
      <c r="BJ175" s="3" t="e">
        <f>IF('Entrada e Saida'!$H$11="TRADING",AT175/D175,AO175/D175)</f>
        <v>#DIV/0!</v>
      </c>
      <c r="BK175" s="2" t="e">
        <f t="shared" si="94"/>
        <v>#DIV/0!</v>
      </c>
      <c r="BL175" s="2">
        <f>IF(O175&gt;0,IFERROR(IF('Entrada e Saida'!$H$11="DIRETA",0,(IF('Entrada e Saida'!$H$14="P.JURIDICA",(BD175*(1+O175)*N175)-((BD175/(1+M175))*'Entrada e Saida'!$G$65),((Produtos!N175-'Entrada e Saida'!$G$65)*Produtos!BD175)))),0),0)</f>
        <v>0</v>
      </c>
      <c r="BM175" s="2" t="e">
        <f t="shared" si="95"/>
        <v>#DIV/0!</v>
      </c>
    </row>
    <row r="176" spans="1:65" s="1" customFormat="1">
      <c r="A176" s="127"/>
      <c r="B176" s="114"/>
      <c r="C176" s="116"/>
      <c r="D176" s="146"/>
      <c r="E176" s="115">
        <f>IFERROR(VLOOKUP(A176,'Master Modelo'!A:I,9,FALSE),0)</f>
        <v>0</v>
      </c>
      <c r="F176" s="189">
        <f>IFERROR(VLOOKUP(A176,'Master Modelo'!A:I,8,FALSE),0)</f>
        <v>0</v>
      </c>
      <c r="G176" s="189">
        <f>IFERROR(VLOOKUP(A176,'Master Modelo'!A:K,11,FALSE),0)</f>
        <v>0</v>
      </c>
      <c r="H176" s="114" t="e">
        <f t="shared" si="78"/>
        <v>#DIV/0!</v>
      </c>
      <c r="I176" s="150">
        <f>IFERROR(VLOOKUP(A176,'Master Modelo'!A:I,3,FALSE),0)</f>
        <v>0</v>
      </c>
      <c r="J176" s="151">
        <f>IFERROR(VLOOKUP(A176,'Master Modelo'!A:I,5,FALSE),0)</f>
        <v>0</v>
      </c>
      <c r="K176" s="151">
        <f>IFERROR(VLOOKUP(A176,'Master Modelo'!A:I,6,FALSE),0)</f>
        <v>0</v>
      </c>
      <c r="L176" s="152" t="e">
        <f>VLOOKUP(A176,'Master Modelo'!A:J,10,FALSE)</f>
        <v>#N/A</v>
      </c>
      <c r="M176" s="150">
        <f>IFERROR(VLOOKUP(A176,'Master Modelo'!A:I,4,FALSE),0)</f>
        <v>0</v>
      </c>
      <c r="N176" s="128"/>
      <c r="O176" s="129"/>
      <c r="P176" s="9">
        <f t="shared" si="79"/>
        <v>0</v>
      </c>
      <c r="Q176" s="177">
        <f t="shared" si="77"/>
        <v>0</v>
      </c>
      <c r="R176" s="3">
        <f>D176*E176*'Entrada e Saida'!$K$8</f>
        <v>0</v>
      </c>
      <c r="S176" s="179" t="e">
        <f>'Entrada e Saida'!$H$21*'Entrada e Saida'!$K$8*(P176/(SUM(P:P)))</f>
        <v>#DIV/0!</v>
      </c>
      <c r="T176" s="179" t="e">
        <f>'Entrada e Saida'!$H$21*'Entrada e Saida'!$K$8*(Q176/(SUM(Q:Q)))</f>
        <v>#DIV/0!</v>
      </c>
      <c r="U176" s="179" t="e">
        <f>'Entrada e Saida'!$H$22*(P176/(SUM(P:P)))</f>
        <v>#DIV/0!</v>
      </c>
      <c r="V176" s="179" t="e">
        <f>'Entrada e Saida'!$H$22*(Q176/(SUM(Q:Q)))</f>
        <v>#DIV/0!</v>
      </c>
      <c r="W176" s="8" t="e">
        <f t="shared" si="80"/>
        <v>#DIV/0!</v>
      </c>
      <c r="X176" s="179" t="e">
        <f>'Entrada e Saida'!$H$26*(IF('Entrada e Saida'!$H$15="PESO",(P176/(SUM(P:P))),(Q176/(SUM(Q:Q)))))</f>
        <v>#DIV/0!</v>
      </c>
      <c r="Y176" s="179" t="e">
        <f>'Entrada e Saida'!$H$27*(IF('Entrada e Saida'!$H$15="PESO",(P176/(SUM(P:P))),(Q176/(SUM(Q:Q)))))</f>
        <v>#DIV/0!</v>
      </c>
      <c r="Z176" s="179" t="e">
        <f>'Entrada e Saida'!$H$28*(IF('Entrada e Saida'!$H$15="PESO",(P176/(SUM(P:P))),(Q176/(SUM(Q:Q)))))</f>
        <v>#DIV/0!</v>
      </c>
      <c r="AA176" s="10" t="e">
        <f t="shared" si="81"/>
        <v>#DIV/0!</v>
      </c>
      <c r="AB176" s="3" t="e">
        <f t="shared" si="82"/>
        <v>#DIV/0!</v>
      </c>
      <c r="AC176" s="3" t="e">
        <f t="shared" si="83"/>
        <v>#DIV/0!</v>
      </c>
      <c r="AD176" s="3" t="e">
        <f t="shared" si="84"/>
        <v>#DIV/0!</v>
      </c>
      <c r="AE176" s="9" t="e">
        <f t="shared" si="85"/>
        <v>#DIV/0!</v>
      </c>
      <c r="AF176" s="126">
        <f>IFERROR(D176*F176*L176*'Entrada e Saida'!$K$8,0)</f>
        <v>0</v>
      </c>
      <c r="AG176" s="3" t="e">
        <f>((W176+AA176+AB176+AC176+AD176+AE176+AF176)/(1-'Entrada e Saida'!$G$65))*'Entrada e Saida'!$I$66</f>
        <v>#DIV/0!</v>
      </c>
      <c r="AH176" s="8" t="e">
        <f t="shared" si="86"/>
        <v>#DIV/0!</v>
      </c>
      <c r="AI176" s="183" t="e">
        <f>'Entrada e Saida'!$K$51*(IF('Entrada e Saida'!$H$15="PESO",(P176/(SUM(P:P))),(Q176/(SUM(Q:Q)))))</f>
        <v>#DIV/0!</v>
      </c>
      <c r="AJ176" s="7">
        <f>(('Entrada e Saida'!$K$10-'Entrada e Saida'!$K$8)*E176*D176)</f>
        <v>0</v>
      </c>
      <c r="AK176" s="184" t="e">
        <f>IF('Entrada e Saida'!$H$15="PESO",W176+AA176+AH176+AI176+AJ176,W176+AA176+AH176+AI176+AJ176-S176+T176-U176+V176)</f>
        <v>#DIV/0!</v>
      </c>
      <c r="AL176" s="6" t="e">
        <f>IF('Entrada e Saida'!$H$12="REAL",AC176,0)</f>
        <v>#DIV/0!</v>
      </c>
      <c r="AM176" s="6" t="e">
        <f>IF('Entrada e Saida'!$H$12="REAL",AD176,0)</f>
        <v>#DIV/0!</v>
      </c>
      <c r="AN176" s="5" t="e">
        <f>IF('Entrada e Saida'!$H$13= "NÃO",AE176,0)</f>
        <v>#DIV/0!</v>
      </c>
      <c r="AO176" s="5" t="e">
        <f t="shared" si="87"/>
        <v>#DIV/0!</v>
      </c>
      <c r="AP176" s="4" t="e">
        <f t="shared" si="88"/>
        <v>#DIV/0!</v>
      </c>
      <c r="AQ176" s="3" t="e">
        <f>IF('Entrada e Saida'!$H$11="TRADING",AU176*'Custo Resumido'!D176,0)</f>
        <v>#DIV/0!</v>
      </c>
      <c r="AR176" s="3" t="e">
        <f>IF('Entrada e Saida'!$H$11="TRADING",AU176*'Entrada e Saida'!$G$63,0)</f>
        <v>#DIV/0!</v>
      </c>
      <c r="AS176" s="3" t="e">
        <f>IF('Entrada e Saida'!$H$11="TRADING",AU176*'Entrada e Saida'!$G$64,0)</f>
        <v>#DIV/0!</v>
      </c>
      <c r="AT176" s="3" t="e">
        <f>IF('Entrada e Saida'!$H$11="TRADING",AU176*'Entrada e Saida'!$G$65,0)</f>
        <v>#DIV/0!</v>
      </c>
      <c r="AU176" s="4" t="e">
        <f>IF('Entrada e Saida'!$H$11="TRADING",AP176/(1-(SUM('Entrada e Saida'!$G$63:$G$65)+'Custo Resumido'!D176)),0)</f>
        <v>#DIV/0!</v>
      </c>
      <c r="AV176" s="3" t="e">
        <f>IF('Entrada e Saida'!$H$13="NÃO",AU176*M176,0)</f>
        <v>#DIV/0!</v>
      </c>
      <c r="AW176" s="4" t="e">
        <f t="shared" si="89"/>
        <v>#DIV/0!</v>
      </c>
      <c r="AX176" s="3" t="e">
        <f>'Entrada e Saida'!$G$74*AU176</f>
        <v>#DIV/0!</v>
      </c>
      <c r="AY176" s="4" t="e">
        <f t="shared" si="90"/>
        <v>#DIV/0!</v>
      </c>
      <c r="AZ176" s="4" t="e">
        <f>AQ176+('Entrada e Saida'!$G$65-'Entrada e Saida'!$I$65)*AU176-AX176</f>
        <v>#DIV/0!</v>
      </c>
      <c r="BA176" s="3" t="e">
        <f>IF('Entrada e Saida'!$H$12="REAL",AZ176*'Entrada e Saida'!$G$81,AU176*'Entrada e Saida'!$G$81)</f>
        <v>#DIV/0!</v>
      </c>
      <c r="BB176" s="3" t="e">
        <f>IF('Entrada e Saida'!$H$12="REAL",AZ176*'Entrada e Saida'!$G$82,AU176*'Entrada e Saida'!$G$82)</f>
        <v>#DIV/0!</v>
      </c>
      <c r="BC176" s="4" t="e">
        <f t="shared" si="91"/>
        <v>#DIV/0!</v>
      </c>
      <c r="BD176" s="3" t="e">
        <f>IF('Entrada e Saida'!$H$11="TRADING",AW176/D176,AK176/D176)</f>
        <v>#DIV/0!</v>
      </c>
      <c r="BE176" s="3" t="e">
        <f t="shared" si="92"/>
        <v>#DIV/0!</v>
      </c>
      <c r="BF176" s="2" t="e">
        <f t="shared" si="93"/>
        <v>#DIV/0!</v>
      </c>
      <c r="BG176" s="3" t="e">
        <f>IF('Entrada e Saida'!$H$11="TRADING",AV176/D176,AN176/D176)</f>
        <v>#DIV/0!</v>
      </c>
      <c r="BH176" s="3" t="e">
        <f>IF('Entrada e Saida'!$H$11="TRADING",IF('Entrada e Saida'!$H$12="REAL",AR176/D176,0),AL176/D176)</f>
        <v>#DIV/0!</v>
      </c>
      <c r="BI176" s="3" t="e">
        <f>IF('Entrada e Saida'!$H$11="TRADING",IF('Entrada e Saida'!$H$12="REAL",AS176/D176,0),AM176/D176)</f>
        <v>#DIV/0!</v>
      </c>
      <c r="BJ176" s="3" t="e">
        <f>IF('Entrada e Saida'!$H$11="TRADING",AT176/D176,AO176/D176)</f>
        <v>#DIV/0!</v>
      </c>
      <c r="BK176" s="2" t="e">
        <f t="shared" si="94"/>
        <v>#DIV/0!</v>
      </c>
      <c r="BL176" s="2">
        <f>IF(O176&gt;0,IFERROR(IF('Entrada e Saida'!$H$11="DIRETA",0,(IF('Entrada e Saida'!$H$14="P.JURIDICA",(BD176*(1+O176)*N176)-((BD176/(1+M176))*'Entrada e Saida'!$G$65),((Produtos!N176-'Entrada e Saida'!$G$65)*Produtos!BD176)))),0),0)</f>
        <v>0</v>
      </c>
      <c r="BM176" s="2" t="e">
        <f t="shared" si="95"/>
        <v>#DIV/0!</v>
      </c>
    </row>
    <row r="177" spans="1:65" s="1" customFormat="1">
      <c r="A177" s="127"/>
      <c r="B177" s="114"/>
      <c r="C177" s="116"/>
      <c r="D177" s="146"/>
      <c r="E177" s="115">
        <f>IFERROR(VLOOKUP(A177,'Master Modelo'!A:I,9,FALSE),0)</f>
        <v>0</v>
      </c>
      <c r="F177" s="189">
        <f>IFERROR(VLOOKUP(A177,'Master Modelo'!A:I,8,FALSE),0)</f>
        <v>0</v>
      </c>
      <c r="G177" s="189">
        <f>IFERROR(VLOOKUP(A177,'Master Modelo'!A:K,11,FALSE),0)</f>
        <v>0</v>
      </c>
      <c r="H177" s="114" t="e">
        <f t="shared" si="78"/>
        <v>#DIV/0!</v>
      </c>
      <c r="I177" s="150">
        <f>IFERROR(VLOOKUP(A177,'Master Modelo'!A:I,3,FALSE),0)</f>
        <v>0</v>
      </c>
      <c r="J177" s="151">
        <f>IFERROR(VLOOKUP(A177,'Master Modelo'!A:I,5,FALSE),0)</f>
        <v>0</v>
      </c>
      <c r="K177" s="151">
        <f>IFERROR(VLOOKUP(A177,'Master Modelo'!A:I,6,FALSE),0)</f>
        <v>0</v>
      </c>
      <c r="L177" s="152" t="e">
        <f>VLOOKUP(A177,'Master Modelo'!A:J,10,FALSE)</f>
        <v>#N/A</v>
      </c>
      <c r="M177" s="150">
        <f>IFERROR(VLOOKUP(A177,'Master Modelo'!A:I,4,FALSE),0)</f>
        <v>0</v>
      </c>
      <c r="N177" s="128"/>
      <c r="O177" s="129"/>
      <c r="P177" s="9">
        <f t="shared" si="79"/>
        <v>0</v>
      </c>
      <c r="Q177" s="177">
        <f t="shared" si="77"/>
        <v>0</v>
      </c>
      <c r="R177" s="3">
        <f>D177*E177*'Entrada e Saida'!$K$8</f>
        <v>0</v>
      </c>
      <c r="S177" s="179" t="e">
        <f>'Entrada e Saida'!$H$21*'Entrada e Saida'!$K$8*(P177/(SUM(P:P)))</f>
        <v>#DIV/0!</v>
      </c>
      <c r="T177" s="179" t="e">
        <f>'Entrada e Saida'!$H$21*'Entrada e Saida'!$K$8*(Q177/(SUM(Q:Q)))</f>
        <v>#DIV/0!</v>
      </c>
      <c r="U177" s="179" t="e">
        <f>'Entrada e Saida'!$H$22*(P177/(SUM(P:P)))</f>
        <v>#DIV/0!</v>
      </c>
      <c r="V177" s="179" t="e">
        <f>'Entrada e Saida'!$H$22*(Q177/(SUM(Q:Q)))</f>
        <v>#DIV/0!</v>
      </c>
      <c r="W177" s="8" t="e">
        <f t="shared" si="80"/>
        <v>#DIV/0!</v>
      </c>
      <c r="X177" s="179" t="e">
        <f>'Entrada e Saida'!$H$26*(IF('Entrada e Saida'!$H$15="PESO",(P177/(SUM(P:P))),(Q177/(SUM(Q:Q)))))</f>
        <v>#DIV/0!</v>
      </c>
      <c r="Y177" s="179" t="e">
        <f>'Entrada e Saida'!$H$27*(IF('Entrada e Saida'!$H$15="PESO",(P177/(SUM(P:P))),(Q177/(SUM(Q:Q)))))</f>
        <v>#DIV/0!</v>
      </c>
      <c r="Z177" s="179" t="e">
        <f>'Entrada e Saida'!$H$28*(IF('Entrada e Saida'!$H$15="PESO",(P177/(SUM(P:P))),(Q177/(SUM(Q:Q)))))</f>
        <v>#DIV/0!</v>
      </c>
      <c r="AA177" s="10" t="e">
        <f t="shared" si="81"/>
        <v>#DIV/0!</v>
      </c>
      <c r="AB177" s="3" t="e">
        <f t="shared" si="82"/>
        <v>#DIV/0!</v>
      </c>
      <c r="AC177" s="3" t="e">
        <f t="shared" si="83"/>
        <v>#DIV/0!</v>
      </c>
      <c r="AD177" s="3" t="e">
        <f t="shared" si="84"/>
        <v>#DIV/0!</v>
      </c>
      <c r="AE177" s="9" t="e">
        <f t="shared" si="85"/>
        <v>#DIV/0!</v>
      </c>
      <c r="AF177" s="126">
        <f>IFERROR(D177*F177*L177*'Entrada e Saida'!$K$8,0)</f>
        <v>0</v>
      </c>
      <c r="AG177" s="3" t="e">
        <f>((W177+AA177+AB177+AC177+AD177+AE177+AF177)/(1-'Entrada e Saida'!$G$65))*'Entrada e Saida'!$I$66</f>
        <v>#DIV/0!</v>
      </c>
      <c r="AH177" s="8" t="e">
        <f t="shared" si="86"/>
        <v>#DIV/0!</v>
      </c>
      <c r="AI177" s="183" t="e">
        <f>'Entrada e Saida'!$K$51*(IF('Entrada e Saida'!$H$15="PESO",(P177/(SUM(P:P))),(Q177/(SUM(Q:Q)))))</f>
        <v>#DIV/0!</v>
      </c>
      <c r="AJ177" s="7">
        <f>(('Entrada e Saida'!$K$10-'Entrada e Saida'!$K$8)*E177*D177)</f>
        <v>0</v>
      </c>
      <c r="AK177" s="184" t="e">
        <f>IF('Entrada e Saida'!$H$15="PESO",W177+AA177+AH177+AI177+AJ177,W177+AA177+AH177+AI177+AJ177-S177+T177-U177+V177)</f>
        <v>#DIV/0!</v>
      </c>
      <c r="AL177" s="6" t="e">
        <f>IF('Entrada e Saida'!$H$12="REAL",AC177,0)</f>
        <v>#DIV/0!</v>
      </c>
      <c r="AM177" s="6" t="e">
        <f>IF('Entrada e Saida'!$H$12="REAL",AD177,0)</f>
        <v>#DIV/0!</v>
      </c>
      <c r="AN177" s="5" t="e">
        <f>IF('Entrada e Saida'!$H$13= "NÃO",AE177,0)</f>
        <v>#DIV/0!</v>
      </c>
      <c r="AO177" s="5" t="e">
        <f t="shared" si="87"/>
        <v>#DIV/0!</v>
      </c>
      <c r="AP177" s="4" t="e">
        <f t="shared" si="88"/>
        <v>#DIV/0!</v>
      </c>
      <c r="AQ177" s="3" t="e">
        <f>IF('Entrada e Saida'!$H$11="TRADING",AU177*'Custo Resumido'!D177,0)</f>
        <v>#DIV/0!</v>
      </c>
      <c r="AR177" s="3" t="e">
        <f>IF('Entrada e Saida'!$H$11="TRADING",AU177*'Entrada e Saida'!$G$63,0)</f>
        <v>#DIV/0!</v>
      </c>
      <c r="AS177" s="3" t="e">
        <f>IF('Entrada e Saida'!$H$11="TRADING",AU177*'Entrada e Saida'!$G$64,0)</f>
        <v>#DIV/0!</v>
      </c>
      <c r="AT177" s="3" t="e">
        <f>IF('Entrada e Saida'!$H$11="TRADING",AU177*'Entrada e Saida'!$G$65,0)</f>
        <v>#DIV/0!</v>
      </c>
      <c r="AU177" s="4" t="e">
        <f>IF('Entrada e Saida'!$H$11="TRADING",AP177/(1-(SUM('Entrada e Saida'!$G$63:$G$65)+'Custo Resumido'!D177)),0)</f>
        <v>#DIV/0!</v>
      </c>
      <c r="AV177" s="3" t="e">
        <f>IF('Entrada e Saida'!$H$13="NÃO",AU177*M177,0)</f>
        <v>#DIV/0!</v>
      </c>
      <c r="AW177" s="4" t="e">
        <f t="shared" si="89"/>
        <v>#DIV/0!</v>
      </c>
      <c r="AX177" s="3" t="e">
        <f>'Entrada e Saida'!$G$74*AU177</f>
        <v>#DIV/0!</v>
      </c>
      <c r="AY177" s="4" t="e">
        <f t="shared" si="90"/>
        <v>#DIV/0!</v>
      </c>
      <c r="AZ177" s="4" t="e">
        <f>AQ177+('Entrada e Saida'!$G$65-'Entrada e Saida'!$I$65)*AU177-AX177</f>
        <v>#DIV/0!</v>
      </c>
      <c r="BA177" s="3" t="e">
        <f>IF('Entrada e Saida'!$H$12="REAL",AZ177*'Entrada e Saida'!$G$81,AU177*'Entrada e Saida'!$G$81)</f>
        <v>#DIV/0!</v>
      </c>
      <c r="BB177" s="3" t="e">
        <f>IF('Entrada e Saida'!$H$12="REAL",AZ177*'Entrada e Saida'!$G$82,AU177*'Entrada e Saida'!$G$82)</f>
        <v>#DIV/0!</v>
      </c>
      <c r="BC177" s="4" t="e">
        <f t="shared" si="91"/>
        <v>#DIV/0!</v>
      </c>
      <c r="BD177" s="3" t="e">
        <f>IF('Entrada e Saida'!$H$11="TRADING",AW177/D177,AK177/D177)</f>
        <v>#DIV/0!</v>
      </c>
      <c r="BE177" s="3" t="e">
        <f t="shared" si="92"/>
        <v>#DIV/0!</v>
      </c>
      <c r="BF177" s="2" t="e">
        <f t="shared" si="93"/>
        <v>#DIV/0!</v>
      </c>
      <c r="BG177" s="3" t="e">
        <f>IF('Entrada e Saida'!$H$11="TRADING",AV177/D177,AN177/D177)</f>
        <v>#DIV/0!</v>
      </c>
      <c r="BH177" s="3" t="e">
        <f>IF('Entrada e Saida'!$H$11="TRADING",IF('Entrada e Saida'!$H$12="REAL",AR177/D177,0),AL177/D177)</f>
        <v>#DIV/0!</v>
      </c>
      <c r="BI177" s="3" t="e">
        <f>IF('Entrada e Saida'!$H$11="TRADING",IF('Entrada e Saida'!$H$12="REAL",AS177/D177,0),AM177/D177)</f>
        <v>#DIV/0!</v>
      </c>
      <c r="BJ177" s="3" t="e">
        <f>IF('Entrada e Saida'!$H$11="TRADING",AT177/D177,AO177/D177)</f>
        <v>#DIV/0!</v>
      </c>
      <c r="BK177" s="2" t="e">
        <f t="shared" si="94"/>
        <v>#DIV/0!</v>
      </c>
      <c r="BL177" s="2">
        <f>IF(O177&gt;0,IFERROR(IF('Entrada e Saida'!$H$11="DIRETA",0,(IF('Entrada e Saida'!$H$14="P.JURIDICA",(BD177*(1+O177)*N177)-((BD177/(1+M177))*'Entrada e Saida'!$G$65),((Produtos!N177-'Entrada e Saida'!$G$65)*Produtos!BD177)))),0),0)</f>
        <v>0</v>
      </c>
      <c r="BM177" s="2" t="e">
        <f t="shared" si="95"/>
        <v>#DIV/0!</v>
      </c>
    </row>
    <row r="178" spans="1:65" s="1" customFormat="1">
      <c r="A178" s="127"/>
      <c r="B178" s="114"/>
      <c r="C178" s="116"/>
      <c r="D178" s="146"/>
      <c r="E178" s="115">
        <f>IFERROR(VLOOKUP(A178,'Master Modelo'!A:I,9,FALSE),0)</f>
        <v>0</v>
      </c>
      <c r="F178" s="189">
        <f>IFERROR(VLOOKUP(A178,'Master Modelo'!A:I,8,FALSE),0)</f>
        <v>0</v>
      </c>
      <c r="G178" s="189">
        <f>IFERROR(VLOOKUP(A178,'Master Modelo'!A:K,11,FALSE),0)</f>
        <v>0</v>
      </c>
      <c r="H178" s="114" t="e">
        <f t="shared" si="78"/>
        <v>#DIV/0!</v>
      </c>
      <c r="I178" s="150">
        <f>IFERROR(VLOOKUP(A178,'Master Modelo'!A:I,3,FALSE),0)</f>
        <v>0</v>
      </c>
      <c r="J178" s="151">
        <f>IFERROR(VLOOKUP(A178,'Master Modelo'!A:I,5,FALSE),0)</f>
        <v>0</v>
      </c>
      <c r="K178" s="151">
        <f>IFERROR(VLOOKUP(A178,'Master Modelo'!A:I,6,FALSE),0)</f>
        <v>0</v>
      </c>
      <c r="L178" s="152" t="e">
        <f>VLOOKUP(A178,'Master Modelo'!A:J,10,FALSE)</f>
        <v>#N/A</v>
      </c>
      <c r="M178" s="150">
        <f>IFERROR(VLOOKUP(A178,'Master Modelo'!A:I,4,FALSE),0)</f>
        <v>0</v>
      </c>
      <c r="N178" s="128"/>
      <c r="O178" s="129"/>
      <c r="P178" s="9">
        <f t="shared" si="79"/>
        <v>0</v>
      </c>
      <c r="Q178" s="177">
        <f t="shared" si="77"/>
        <v>0</v>
      </c>
      <c r="R178" s="3">
        <f>D178*E178*'Entrada e Saida'!$K$8</f>
        <v>0</v>
      </c>
      <c r="S178" s="179" t="e">
        <f>'Entrada e Saida'!$H$21*'Entrada e Saida'!$K$8*(P178/(SUM(P:P)))</f>
        <v>#DIV/0!</v>
      </c>
      <c r="T178" s="179" t="e">
        <f>'Entrada e Saida'!$H$21*'Entrada e Saida'!$K$8*(Q178/(SUM(Q:Q)))</f>
        <v>#DIV/0!</v>
      </c>
      <c r="U178" s="179" t="e">
        <f>'Entrada e Saida'!$H$22*(P178/(SUM(P:P)))</f>
        <v>#DIV/0!</v>
      </c>
      <c r="V178" s="179" t="e">
        <f>'Entrada e Saida'!$H$22*(Q178/(SUM(Q:Q)))</f>
        <v>#DIV/0!</v>
      </c>
      <c r="W178" s="8" t="e">
        <f t="shared" si="80"/>
        <v>#DIV/0!</v>
      </c>
      <c r="X178" s="179" t="e">
        <f>'Entrada e Saida'!$H$26*(IF('Entrada e Saida'!$H$15="PESO",(P178/(SUM(P:P))),(Q178/(SUM(Q:Q)))))</f>
        <v>#DIV/0!</v>
      </c>
      <c r="Y178" s="179" t="e">
        <f>'Entrada e Saida'!$H$27*(IF('Entrada e Saida'!$H$15="PESO",(P178/(SUM(P:P))),(Q178/(SUM(Q:Q)))))</f>
        <v>#DIV/0!</v>
      </c>
      <c r="Z178" s="179" t="e">
        <f>'Entrada e Saida'!$H$28*(IF('Entrada e Saida'!$H$15="PESO",(P178/(SUM(P:P))),(Q178/(SUM(Q:Q)))))</f>
        <v>#DIV/0!</v>
      </c>
      <c r="AA178" s="10" t="e">
        <f t="shared" si="81"/>
        <v>#DIV/0!</v>
      </c>
      <c r="AB178" s="3" t="e">
        <f t="shared" si="82"/>
        <v>#DIV/0!</v>
      </c>
      <c r="AC178" s="3" t="e">
        <f t="shared" si="83"/>
        <v>#DIV/0!</v>
      </c>
      <c r="AD178" s="3" t="e">
        <f t="shared" si="84"/>
        <v>#DIV/0!</v>
      </c>
      <c r="AE178" s="9" t="e">
        <f t="shared" si="85"/>
        <v>#DIV/0!</v>
      </c>
      <c r="AF178" s="126">
        <f>IFERROR(D178*F178*L178*'Entrada e Saida'!$K$8,0)</f>
        <v>0</v>
      </c>
      <c r="AG178" s="3" t="e">
        <f>((W178+AA178+AB178+AC178+AD178+AE178+AF178)/(1-'Entrada e Saida'!$G$65))*'Entrada e Saida'!$I$66</f>
        <v>#DIV/0!</v>
      </c>
      <c r="AH178" s="8" t="e">
        <f t="shared" si="86"/>
        <v>#DIV/0!</v>
      </c>
      <c r="AI178" s="183" t="e">
        <f>'Entrada e Saida'!$K$51*(IF('Entrada e Saida'!$H$15="PESO",(P178/(SUM(P:P))),(Q178/(SUM(Q:Q)))))</f>
        <v>#DIV/0!</v>
      </c>
      <c r="AJ178" s="7">
        <f>(('Entrada e Saida'!$K$10-'Entrada e Saida'!$K$8)*E178*D178)</f>
        <v>0</v>
      </c>
      <c r="AK178" s="184" t="e">
        <f>IF('Entrada e Saida'!$H$15="PESO",W178+AA178+AH178+AI178+AJ178,W178+AA178+AH178+AI178+AJ178-S178+T178-U178+V178)</f>
        <v>#DIV/0!</v>
      </c>
      <c r="AL178" s="6" t="e">
        <f>IF('Entrada e Saida'!$H$12="REAL",AC178,0)</f>
        <v>#DIV/0!</v>
      </c>
      <c r="AM178" s="6" t="e">
        <f>IF('Entrada e Saida'!$H$12="REAL",AD178,0)</f>
        <v>#DIV/0!</v>
      </c>
      <c r="AN178" s="5" t="e">
        <f>IF('Entrada e Saida'!$H$13= "NÃO",AE178,0)</f>
        <v>#DIV/0!</v>
      </c>
      <c r="AO178" s="5" t="e">
        <f t="shared" si="87"/>
        <v>#DIV/0!</v>
      </c>
      <c r="AP178" s="4" t="e">
        <f t="shared" si="88"/>
        <v>#DIV/0!</v>
      </c>
      <c r="AQ178" s="3" t="e">
        <f>IF('Entrada e Saida'!$H$11="TRADING",AU178*'Custo Resumido'!D178,0)</f>
        <v>#DIV/0!</v>
      </c>
      <c r="AR178" s="3" t="e">
        <f>IF('Entrada e Saida'!$H$11="TRADING",AU178*'Entrada e Saida'!$G$63,0)</f>
        <v>#DIV/0!</v>
      </c>
      <c r="AS178" s="3" t="e">
        <f>IF('Entrada e Saida'!$H$11="TRADING",AU178*'Entrada e Saida'!$G$64,0)</f>
        <v>#DIV/0!</v>
      </c>
      <c r="AT178" s="3" t="e">
        <f>IF('Entrada e Saida'!$H$11="TRADING",AU178*'Entrada e Saida'!$G$65,0)</f>
        <v>#DIV/0!</v>
      </c>
      <c r="AU178" s="4" t="e">
        <f>IF('Entrada e Saida'!$H$11="TRADING",AP178/(1-(SUM('Entrada e Saida'!$G$63:$G$65)+'Custo Resumido'!D178)),0)</f>
        <v>#DIV/0!</v>
      </c>
      <c r="AV178" s="3" t="e">
        <f>IF('Entrada e Saida'!$H$13="NÃO",AU178*M178,0)</f>
        <v>#DIV/0!</v>
      </c>
      <c r="AW178" s="4" t="e">
        <f t="shared" si="89"/>
        <v>#DIV/0!</v>
      </c>
      <c r="AX178" s="3" t="e">
        <f>'Entrada e Saida'!$G$74*AU178</f>
        <v>#DIV/0!</v>
      </c>
      <c r="AY178" s="4" t="e">
        <f t="shared" si="90"/>
        <v>#DIV/0!</v>
      </c>
      <c r="AZ178" s="4" t="e">
        <f>AQ178+('Entrada e Saida'!$G$65-'Entrada e Saida'!$I$65)*AU178-AX178</f>
        <v>#DIV/0!</v>
      </c>
      <c r="BA178" s="3" t="e">
        <f>IF('Entrada e Saida'!$H$12="REAL",AZ178*'Entrada e Saida'!$G$81,AU178*'Entrada e Saida'!$G$81)</f>
        <v>#DIV/0!</v>
      </c>
      <c r="BB178" s="3" t="e">
        <f>IF('Entrada e Saida'!$H$12="REAL",AZ178*'Entrada e Saida'!$G$82,AU178*'Entrada e Saida'!$G$82)</f>
        <v>#DIV/0!</v>
      </c>
      <c r="BC178" s="4" t="e">
        <f t="shared" si="91"/>
        <v>#DIV/0!</v>
      </c>
      <c r="BD178" s="3" t="e">
        <f>IF('Entrada e Saida'!$H$11="TRADING",AW178/D178,AK178/D178)</f>
        <v>#DIV/0!</v>
      </c>
      <c r="BE178" s="3" t="e">
        <f t="shared" si="92"/>
        <v>#DIV/0!</v>
      </c>
      <c r="BF178" s="2" t="e">
        <f t="shared" si="93"/>
        <v>#DIV/0!</v>
      </c>
      <c r="BG178" s="3" t="e">
        <f>IF('Entrada e Saida'!$H$11="TRADING",AV178/D178,AN178/D178)</f>
        <v>#DIV/0!</v>
      </c>
      <c r="BH178" s="3" t="e">
        <f>IF('Entrada e Saida'!$H$11="TRADING",IF('Entrada e Saida'!$H$12="REAL",AR178/D178,0),AL178/D178)</f>
        <v>#DIV/0!</v>
      </c>
      <c r="BI178" s="3" t="e">
        <f>IF('Entrada e Saida'!$H$11="TRADING",IF('Entrada e Saida'!$H$12="REAL",AS178/D178,0),AM178/D178)</f>
        <v>#DIV/0!</v>
      </c>
      <c r="BJ178" s="3" t="e">
        <f>IF('Entrada e Saida'!$H$11="TRADING",AT178/D178,AO178/D178)</f>
        <v>#DIV/0!</v>
      </c>
      <c r="BK178" s="2" t="e">
        <f t="shared" si="94"/>
        <v>#DIV/0!</v>
      </c>
      <c r="BL178" s="2">
        <f>IF(O178&gt;0,IFERROR(IF('Entrada e Saida'!$H$11="DIRETA",0,(IF('Entrada e Saida'!$H$14="P.JURIDICA",(BD178*(1+O178)*N178)-((BD178/(1+M178))*'Entrada e Saida'!$G$65),((Produtos!N178-'Entrada e Saida'!$G$65)*Produtos!BD178)))),0),0)</f>
        <v>0</v>
      </c>
      <c r="BM178" s="2" t="e">
        <f t="shared" si="95"/>
        <v>#DIV/0!</v>
      </c>
    </row>
    <row r="179" spans="1:65" s="1" customFormat="1">
      <c r="A179" s="127"/>
      <c r="B179" s="114"/>
      <c r="C179" s="116"/>
      <c r="D179" s="146"/>
      <c r="E179" s="115">
        <f>IFERROR(VLOOKUP(A179,'Master Modelo'!A:I,9,FALSE),0)</f>
        <v>0</v>
      </c>
      <c r="F179" s="189">
        <f>IFERROR(VLOOKUP(A179,'Master Modelo'!A:I,8,FALSE),0)</f>
        <v>0</v>
      </c>
      <c r="G179" s="189">
        <f>IFERROR(VLOOKUP(A179,'Master Modelo'!A:K,11,FALSE),0)</f>
        <v>0</v>
      </c>
      <c r="H179" s="114" t="e">
        <f t="shared" si="78"/>
        <v>#DIV/0!</v>
      </c>
      <c r="I179" s="150">
        <f>IFERROR(VLOOKUP(A179,'Master Modelo'!A:I,3,FALSE),0)</f>
        <v>0</v>
      </c>
      <c r="J179" s="151">
        <f>IFERROR(VLOOKUP(A179,'Master Modelo'!A:I,5,FALSE),0)</f>
        <v>0</v>
      </c>
      <c r="K179" s="151">
        <f>IFERROR(VLOOKUP(A179,'Master Modelo'!A:I,6,FALSE),0)</f>
        <v>0</v>
      </c>
      <c r="L179" s="152" t="e">
        <f>VLOOKUP(A179,'Master Modelo'!A:J,10,FALSE)</f>
        <v>#N/A</v>
      </c>
      <c r="M179" s="150">
        <f>IFERROR(VLOOKUP(A179,'Master Modelo'!A:I,4,FALSE),0)</f>
        <v>0</v>
      </c>
      <c r="N179" s="128"/>
      <c r="O179" s="129"/>
      <c r="P179" s="9">
        <f t="shared" si="79"/>
        <v>0</v>
      </c>
      <c r="Q179" s="177">
        <f t="shared" si="77"/>
        <v>0</v>
      </c>
      <c r="R179" s="3">
        <f>D179*E179*'Entrada e Saida'!$K$8</f>
        <v>0</v>
      </c>
      <c r="S179" s="179" t="e">
        <f>'Entrada e Saida'!$H$21*'Entrada e Saida'!$K$8*(P179/(SUM(P:P)))</f>
        <v>#DIV/0!</v>
      </c>
      <c r="T179" s="179" t="e">
        <f>'Entrada e Saida'!$H$21*'Entrada e Saida'!$K$8*(Q179/(SUM(Q:Q)))</f>
        <v>#DIV/0!</v>
      </c>
      <c r="U179" s="179" t="e">
        <f>'Entrada e Saida'!$H$22*(P179/(SUM(P:P)))</f>
        <v>#DIV/0!</v>
      </c>
      <c r="V179" s="179" t="e">
        <f>'Entrada e Saida'!$H$22*(Q179/(SUM(Q:Q)))</f>
        <v>#DIV/0!</v>
      </c>
      <c r="W179" s="8" t="e">
        <f t="shared" si="80"/>
        <v>#DIV/0!</v>
      </c>
      <c r="X179" s="179" t="e">
        <f>'Entrada e Saida'!$H$26*(IF('Entrada e Saida'!$H$15="PESO",(P179/(SUM(P:P))),(Q179/(SUM(Q:Q)))))</f>
        <v>#DIV/0!</v>
      </c>
      <c r="Y179" s="179" t="e">
        <f>'Entrada e Saida'!$H$27*(IF('Entrada e Saida'!$H$15="PESO",(P179/(SUM(P:P))),(Q179/(SUM(Q:Q)))))</f>
        <v>#DIV/0!</v>
      </c>
      <c r="Z179" s="179" t="e">
        <f>'Entrada e Saida'!$H$28*(IF('Entrada e Saida'!$H$15="PESO",(P179/(SUM(P:P))),(Q179/(SUM(Q:Q)))))</f>
        <v>#DIV/0!</v>
      </c>
      <c r="AA179" s="10" t="e">
        <f t="shared" si="81"/>
        <v>#DIV/0!</v>
      </c>
      <c r="AB179" s="3" t="e">
        <f t="shared" si="82"/>
        <v>#DIV/0!</v>
      </c>
      <c r="AC179" s="3" t="e">
        <f t="shared" si="83"/>
        <v>#DIV/0!</v>
      </c>
      <c r="AD179" s="3" t="e">
        <f t="shared" si="84"/>
        <v>#DIV/0!</v>
      </c>
      <c r="AE179" s="9" t="e">
        <f t="shared" si="85"/>
        <v>#DIV/0!</v>
      </c>
      <c r="AF179" s="126">
        <f>IFERROR(D179*F179*L179*'Entrada e Saida'!$K$8,0)</f>
        <v>0</v>
      </c>
      <c r="AG179" s="3" t="e">
        <f>((W179+AA179+AB179+AC179+AD179+AE179+AF179)/(1-'Entrada e Saida'!$G$65))*'Entrada e Saida'!$I$66</f>
        <v>#DIV/0!</v>
      </c>
      <c r="AH179" s="8" t="e">
        <f t="shared" si="86"/>
        <v>#DIV/0!</v>
      </c>
      <c r="AI179" s="183" t="e">
        <f>'Entrada e Saida'!$K$51*(IF('Entrada e Saida'!$H$15="PESO",(P179/(SUM(P:P))),(Q179/(SUM(Q:Q)))))</f>
        <v>#DIV/0!</v>
      </c>
      <c r="AJ179" s="7">
        <f>(('Entrada e Saida'!$K$10-'Entrada e Saida'!$K$8)*E179*D179)</f>
        <v>0</v>
      </c>
      <c r="AK179" s="184" t="e">
        <f>IF('Entrada e Saida'!$H$15="PESO",W179+AA179+AH179+AI179+AJ179,W179+AA179+AH179+AI179+AJ179-S179+T179-U179+V179)</f>
        <v>#DIV/0!</v>
      </c>
      <c r="AL179" s="6" t="e">
        <f>IF('Entrada e Saida'!$H$12="REAL",AC179,0)</f>
        <v>#DIV/0!</v>
      </c>
      <c r="AM179" s="6" t="e">
        <f>IF('Entrada e Saida'!$H$12="REAL",AD179,0)</f>
        <v>#DIV/0!</v>
      </c>
      <c r="AN179" s="5" t="e">
        <f>IF('Entrada e Saida'!$H$13= "NÃO",AE179,0)</f>
        <v>#DIV/0!</v>
      </c>
      <c r="AO179" s="5" t="e">
        <f t="shared" si="87"/>
        <v>#DIV/0!</v>
      </c>
      <c r="AP179" s="4" t="e">
        <f t="shared" si="88"/>
        <v>#DIV/0!</v>
      </c>
      <c r="AQ179" s="3" t="e">
        <f>IF('Entrada e Saida'!$H$11="TRADING",AU179*'Custo Resumido'!D179,0)</f>
        <v>#DIV/0!</v>
      </c>
      <c r="AR179" s="3" t="e">
        <f>IF('Entrada e Saida'!$H$11="TRADING",AU179*'Entrada e Saida'!$G$63,0)</f>
        <v>#DIV/0!</v>
      </c>
      <c r="AS179" s="3" t="e">
        <f>IF('Entrada e Saida'!$H$11="TRADING",AU179*'Entrada e Saida'!$G$64,0)</f>
        <v>#DIV/0!</v>
      </c>
      <c r="AT179" s="3" t="e">
        <f>IF('Entrada e Saida'!$H$11="TRADING",AU179*'Entrada e Saida'!$G$65,0)</f>
        <v>#DIV/0!</v>
      </c>
      <c r="AU179" s="4" t="e">
        <f>IF('Entrada e Saida'!$H$11="TRADING",AP179/(1-(SUM('Entrada e Saida'!$G$63:$G$65)+'Custo Resumido'!D179)),0)</f>
        <v>#DIV/0!</v>
      </c>
      <c r="AV179" s="3" t="e">
        <f>IF('Entrada e Saida'!$H$13="NÃO",AU179*M179,0)</f>
        <v>#DIV/0!</v>
      </c>
      <c r="AW179" s="4" t="e">
        <f t="shared" si="89"/>
        <v>#DIV/0!</v>
      </c>
      <c r="AX179" s="3" t="e">
        <f>'Entrada e Saida'!$G$74*AU179</f>
        <v>#DIV/0!</v>
      </c>
      <c r="AY179" s="4" t="e">
        <f t="shared" si="90"/>
        <v>#DIV/0!</v>
      </c>
      <c r="AZ179" s="4" t="e">
        <f>AQ179+('Entrada e Saida'!$G$65-'Entrada e Saida'!$I$65)*AU179-AX179</f>
        <v>#DIV/0!</v>
      </c>
      <c r="BA179" s="3" t="e">
        <f>IF('Entrada e Saida'!$H$12="REAL",AZ179*'Entrada e Saida'!$G$81,AU179*'Entrada e Saida'!$G$81)</f>
        <v>#DIV/0!</v>
      </c>
      <c r="BB179" s="3" t="e">
        <f>IF('Entrada e Saida'!$H$12="REAL",AZ179*'Entrada e Saida'!$G$82,AU179*'Entrada e Saida'!$G$82)</f>
        <v>#DIV/0!</v>
      </c>
      <c r="BC179" s="4" t="e">
        <f t="shared" si="91"/>
        <v>#DIV/0!</v>
      </c>
      <c r="BD179" s="3" t="e">
        <f>IF('Entrada e Saida'!$H$11="TRADING",AW179/D179,AK179/D179)</f>
        <v>#DIV/0!</v>
      </c>
      <c r="BE179" s="3" t="e">
        <f t="shared" si="92"/>
        <v>#DIV/0!</v>
      </c>
      <c r="BF179" s="2" t="e">
        <f t="shared" si="93"/>
        <v>#DIV/0!</v>
      </c>
      <c r="BG179" s="3" t="e">
        <f>IF('Entrada e Saida'!$H$11="TRADING",AV179/D179,AN179/D179)</f>
        <v>#DIV/0!</v>
      </c>
      <c r="BH179" s="3" t="e">
        <f>IF('Entrada e Saida'!$H$11="TRADING",IF('Entrada e Saida'!$H$12="REAL",AR179/D179,0),AL179/D179)</f>
        <v>#DIV/0!</v>
      </c>
      <c r="BI179" s="3" t="e">
        <f>IF('Entrada e Saida'!$H$11="TRADING",IF('Entrada e Saida'!$H$12="REAL",AS179/D179,0),AM179/D179)</f>
        <v>#DIV/0!</v>
      </c>
      <c r="BJ179" s="3" t="e">
        <f>IF('Entrada e Saida'!$H$11="TRADING",AT179/D179,AO179/D179)</f>
        <v>#DIV/0!</v>
      </c>
      <c r="BK179" s="2" t="e">
        <f t="shared" si="94"/>
        <v>#DIV/0!</v>
      </c>
      <c r="BL179" s="2">
        <f>IF(O179&gt;0,IFERROR(IF('Entrada e Saida'!$H$11="DIRETA",0,(IF('Entrada e Saida'!$H$14="P.JURIDICA",(BD179*(1+O179)*N179)-((BD179/(1+M179))*'Entrada e Saida'!$G$65),((Produtos!N179-'Entrada e Saida'!$G$65)*Produtos!BD179)))),0),0)</f>
        <v>0</v>
      </c>
      <c r="BM179" s="2" t="e">
        <f t="shared" si="95"/>
        <v>#DIV/0!</v>
      </c>
    </row>
    <row r="180" spans="1:65" s="1" customFormat="1">
      <c r="A180" s="127"/>
      <c r="B180" s="114"/>
      <c r="C180" s="116"/>
      <c r="D180" s="146"/>
      <c r="E180" s="115">
        <f>IFERROR(VLOOKUP(A180,'Master Modelo'!A:I,9,FALSE),0)</f>
        <v>0</v>
      </c>
      <c r="F180" s="189">
        <f>IFERROR(VLOOKUP(A180,'Master Modelo'!A:I,8,FALSE),0)</f>
        <v>0</v>
      </c>
      <c r="G180" s="189">
        <f>IFERROR(VLOOKUP(A180,'Master Modelo'!A:K,11,FALSE),0)</f>
        <v>0</v>
      </c>
      <c r="H180" s="114" t="e">
        <f t="shared" si="78"/>
        <v>#DIV/0!</v>
      </c>
      <c r="I180" s="150">
        <f>IFERROR(VLOOKUP(A180,'Master Modelo'!A:I,3,FALSE),0)</f>
        <v>0</v>
      </c>
      <c r="J180" s="151">
        <f>IFERROR(VLOOKUP(A180,'Master Modelo'!A:I,5,FALSE),0)</f>
        <v>0</v>
      </c>
      <c r="K180" s="151">
        <f>IFERROR(VLOOKUP(A180,'Master Modelo'!A:I,6,FALSE),0)</f>
        <v>0</v>
      </c>
      <c r="L180" s="152" t="e">
        <f>VLOOKUP(A180,'Master Modelo'!A:J,10,FALSE)</f>
        <v>#N/A</v>
      </c>
      <c r="M180" s="150">
        <f>IFERROR(VLOOKUP(A180,'Master Modelo'!A:I,4,FALSE),0)</f>
        <v>0</v>
      </c>
      <c r="N180" s="128"/>
      <c r="O180" s="129"/>
      <c r="P180" s="9">
        <f t="shared" si="79"/>
        <v>0</v>
      </c>
      <c r="Q180" s="177">
        <f t="shared" si="77"/>
        <v>0</v>
      </c>
      <c r="R180" s="3">
        <f>D180*E180*'Entrada e Saida'!$K$8</f>
        <v>0</v>
      </c>
      <c r="S180" s="179" t="e">
        <f>'Entrada e Saida'!$H$21*'Entrada e Saida'!$K$8*(P180/(SUM(P:P)))</f>
        <v>#DIV/0!</v>
      </c>
      <c r="T180" s="179" t="e">
        <f>'Entrada e Saida'!$H$21*'Entrada e Saida'!$K$8*(Q180/(SUM(Q:Q)))</f>
        <v>#DIV/0!</v>
      </c>
      <c r="U180" s="179" t="e">
        <f>'Entrada e Saida'!$H$22*(P180/(SUM(P:P)))</f>
        <v>#DIV/0!</v>
      </c>
      <c r="V180" s="179" t="e">
        <f>'Entrada e Saida'!$H$22*(Q180/(SUM(Q:Q)))</f>
        <v>#DIV/0!</v>
      </c>
      <c r="W180" s="8" t="e">
        <f t="shared" si="80"/>
        <v>#DIV/0!</v>
      </c>
      <c r="X180" s="179" t="e">
        <f>'Entrada e Saida'!$H$26*(IF('Entrada e Saida'!$H$15="PESO",(P180/(SUM(P:P))),(Q180/(SUM(Q:Q)))))</f>
        <v>#DIV/0!</v>
      </c>
      <c r="Y180" s="179" t="e">
        <f>'Entrada e Saida'!$H$27*(IF('Entrada e Saida'!$H$15="PESO",(P180/(SUM(P:P))),(Q180/(SUM(Q:Q)))))</f>
        <v>#DIV/0!</v>
      </c>
      <c r="Z180" s="179" t="e">
        <f>'Entrada e Saida'!$H$28*(IF('Entrada e Saida'!$H$15="PESO",(P180/(SUM(P:P))),(Q180/(SUM(Q:Q)))))</f>
        <v>#DIV/0!</v>
      </c>
      <c r="AA180" s="10" t="e">
        <f t="shared" si="81"/>
        <v>#DIV/0!</v>
      </c>
      <c r="AB180" s="3" t="e">
        <f t="shared" si="82"/>
        <v>#DIV/0!</v>
      </c>
      <c r="AC180" s="3" t="e">
        <f t="shared" si="83"/>
        <v>#DIV/0!</v>
      </c>
      <c r="AD180" s="3" t="e">
        <f t="shared" si="84"/>
        <v>#DIV/0!</v>
      </c>
      <c r="AE180" s="9" t="e">
        <f t="shared" si="85"/>
        <v>#DIV/0!</v>
      </c>
      <c r="AF180" s="126">
        <f>IFERROR(D180*F180*L180*'Entrada e Saida'!$K$8,0)</f>
        <v>0</v>
      </c>
      <c r="AG180" s="3" t="e">
        <f>((W180+AA180+AB180+AC180+AD180+AE180+AF180)/(1-'Entrada e Saida'!$G$65))*'Entrada e Saida'!$I$66</f>
        <v>#DIV/0!</v>
      </c>
      <c r="AH180" s="8" t="e">
        <f t="shared" si="86"/>
        <v>#DIV/0!</v>
      </c>
      <c r="AI180" s="183" t="e">
        <f>'Entrada e Saida'!$K$51*(IF('Entrada e Saida'!$H$15="PESO",(P180/(SUM(P:P))),(Q180/(SUM(Q:Q)))))</f>
        <v>#DIV/0!</v>
      </c>
      <c r="AJ180" s="7">
        <f>(('Entrada e Saida'!$K$10-'Entrada e Saida'!$K$8)*E180*D180)</f>
        <v>0</v>
      </c>
      <c r="AK180" s="184" t="e">
        <f>IF('Entrada e Saida'!$H$15="PESO",W180+AA180+AH180+AI180+AJ180,W180+AA180+AH180+AI180+AJ180-S180+T180-U180+V180)</f>
        <v>#DIV/0!</v>
      </c>
      <c r="AL180" s="6" t="e">
        <f>IF('Entrada e Saida'!$H$12="REAL",AC180,0)</f>
        <v>#DIV/0!</v>
      </c>
      <c r="AM180" s="6" t="e">
        <f>IF('Entrada e Saida'!$H$12="REAL",AD180,0)</f>
        <v>#DIV/0!</v>
      </c>
      <c r="AN180" s="5" t="e">
        <f>IF('Entrada e Saida'!$H$13= "NÃO",AE180,0)</f>
        <v>#DIV/0!</v>
      </c>
      <c r="AO180" s="5" t="e">
        <f t="shared" si="87"/>
        <v>#DIV/0!</v>
      </c>
      <c r="AP180" s="4" t="e">
        <f t="shared" si="88"/>
        <v>#DIV/0!</v>
      </c>
      <c r="AQ180" s="3" t="e">
        <f>IF('Entrada e Saida'!$H$11="TRADING",AU180*'Custo Resumido'!D180,0)</f>
        <v>#DIV/0!</v>
      </c>
      <c r="AR180" s="3" t="e">
        <f>IF('Entrada e Saida'!$H$11="TRADING",AU180*'Entrada e Saida'!$G$63,0)</f>
        <v>#DIV/0!</v>
      </c>
      <c r="AS180" s="3" t="e">
        <f>IF('Entrada e Saida'!$H$11="TRADING",AU180*'Entrada e Saida'!$G$64,0)</f>
        <v>#DIV/0!</v>
      </c>
      <c r="AT180" s="3" t="e">
        <f>IF('Entrada e Saida'!$H$11="TRADING",AU180*'Entrada e Saida'!$G$65,0)</f>
        <v>#DIV/0!</v>
      </c>
      <c r="AU180" s="4" t="e">
        <f>IF('Entrada e Saida'!$H$11="TRADING",AP180/(1-(SUM('Entrada e Saida'!$G$63:$G$65)+'Custo Resumido'!D180)),0)</f>
        <v>#DIV/0!</v>
      </c>
      <c r="AV180" s="3" t="e">
        <f>IF('Entrada e Saida'!$H$13="NÃO",AU180*M180,0)</f>
        <v>#DIV/0!</v>
      </c>
      <c r="AW180" s="4" t="e">
        <f t="shared" si="89"/>
        <v>#DIV/0!</v>
      </c>
      <c r="AX180" s="3" t="e">
        <f>'Entrada e Saida'!$G$74*AU180</f>
        <v>#DIV/0!</v>
      </c>
      <c r="AY180" s="4" t="e">
        <f t="shared" si="90"/>
        <v>#DIV/0!</v>
      </c>
      <c r="AZ180" s="4" t="e">
        <f>AQ180+('Entrada e Saida'!$G$65-'Entrada e Saida'!$I$65)*AU180-AX180</f>
        <v>#DIV/0!</v>
      </c>
      <c r="BA180" s="3" t="e">
        <f>IF('Entrada e Saida'!$H$12="REAL",AZ180*'Entrada e Saida'!$G$81,AU180*'Entrada e Saida'!$G$81)</f>
        <v>#DIV/0!</v>
      </c>
      <c r="BB180" s="3" t="e">
        <f>IF('Entrada e Saida'!$H$12="REAL",AZ180*'Entrada e Saida'!$G$82,AU180*'Entrada e Saida'!$G$82)</f>
        <v>#DIV/0!</v>
      </c>
      <c r="BC180" s="4" t="e">
        <f t="shared" si="91"/>
        <v>#DIV/0!</v>
      </c>
      <c r="BD180" s="3" t="e">
        <f>IF('Entrada e Saida'!$H$11="TRADING",AW180/D180,AK180/D180)</f>
        <v>#DIV/0!</v>
      </c>
      <c r="BE180" s="3" t="e">
        <f t="shared" si="92"/>
        <v>#DIV/0!</v>
      </c>
      <c r="BF180" s="2" t="e">
        <f t="shared" si="93"/>
        <v>#DIV/0!</v>
      </c>
      <c r="BG180" s="3" t="e">
        <f>IF('Entrada e Saida'!$H$11="TRADING",AV180/D180,AN180/D180)</f>
        <v>#DIV/0!</v>
      </c>
      <c r="BH180" s="3" t="e">
        <f>IF('Entrada e Saida'!$H$11="TRADING",IF('Entrada e Saida'!$H$12="REAL",AR180/D180,0),AL180/D180)</f>
        <v>#DIV/0!</v>
      </c>
      <c r="BI180" s="3" t="e">
        <f>IF('Entrada e Saida'!$H$11="TRADING",IF('Entrada e Saida'!$H$12="REAL",AS180/D180,0),AM180/D180)</f>
        <v>#DIV/0!</v>
      </c>
      <c r="BJ180" s="3" t="e">
        <f>IF('Entrada e Saida'!$H$11="TRADING",AT180/D180,AO180/D180)</f>
        <v>#DIV/0!</v>
      </c>
      <c r="BK180" s="2" t="e">
        <f t="shared" si="94"/>
        <v>#DIV/0!</v>
      </c>
      <c r="BL180" s="2">
        <f>IF(O180&gt;0,IFERROR(IF('Entrada e Saida'!$H$11="DIRETA",0,(IF('Entrada e Saida'!$H$14="P.JURIDICA",(BD180*(1+O180)*N180)-((BD180/(1+M180))*'Entrada e Saida'!$G$65),((Produtos!N180-'Entrada e Saida'!$G$65)*Produtos!BD180)))),0),0)</f>
        <v>0</v>
      </c>
      <c r="BM180" s="2" t="e">
        <f t="shared" si="95"/>
        <v>#DIV/0!</v>
      </c>
    </row>
    <row r="181" spans="1:65" s="1" customFormat="1">
      <c r="A181" s="127"/>
      <c r="B181" s="114"/>
      <c r="C181" s="116"/>
      <c r="D181" s="146"/>
      <c r="E181" s="115">
        <f>IFERROR(VLOOKUP(A181,'Master Modelo'!A:I,9,FALSE),0)</f>
        <v>0</v>
      </c>
      <c r="F181" s="189">
        <f>IFERROR(VLOOKUP(A181,'Master Modelo'!A:I,8,FALSE),0)</f>
        <v>0</v>
      </c>
      <c r="G181" s="189">
        <f>IFERROR(VLOOKUP(A181,'Master Modelo'!A:K,11,FALSE),0)</f>
        <v>0</v>
      </c>
      <c r="H181" s="114" t="e">
        <f t="shared" si="78"/>
        <v>#DIV/0!</v>
      </c>
      <c r="I181" s="150">
        <f>IFERROR(VLOOKUP(A181,'Master Modelo'!A:I,3,FALSE),0)</f>
        <v>0</v>
      </c>
      <c r="J181" s="151">
        <f>IFERROR(VLOOKUP(A181,'Master Modelo'!A:I,5,FALSE),0)</f>
        <v>0</v>
      </c>
      <c r="K181" s="151">
        <f>IFERROR(VLOOKUP(A181,'Master Modelo'!A:I,6,FALSE),0)</f>
        <v>0</v>
      </c>
      <c r="L181" s="152" t="e">
        <f>VLOOKUP(A181,'Master Modelo'!A:J,10,FALSE)</f>
        <v>#N/A</v>
      </c>
      <c r="M181" s="150">
        <f>IFERROR(VLOOKUP(A181,'Master Modelo'!A:I,4,FALSE),0)</f>
        <v>0</v>
      </c>
      <c r="N181" s="128"/>
      <c r="O181" s="129"/>
      <c r="P181" s="9">
        <f t="shared" si="79"/>
        <v>0</v>
      </c>
      <c r="Q181" s="177">
        <f t="shared" si="77"/>
        <v>0</v>
      </c>
      <c r="R181" s="3">
        <f>D181*E181*'Entrada e Saida'!$K$8</f>
        <v>0</v>
      </c>
      <c r="S181" s="179" t="e">
        <f>'Entrada e Saida'!$H$21*'Entrada e Saida'!$K$8*(P181/(SUM(P:P)))</f>
        <v>#DIV/0!</v>
      </c>
      <c r="T181" s="179" t="e">
        <f>'Entrada e Saida'!$H$21*'Entrada e Saida'!$K$8*(Q181/(SUM(Q:Q)))</f>
        <v>#DIV/0!</v>
      </c>
      <c r="U181" s="179" t="e">
        <f>'Entrada e Saida'!$H$22*(P181/(SUM(P:P)))</f>
        <v>#DIV/0!</v>
      </c>
      <c r="V181" s="179" t="e">
        <f>'Entrada e Saida'!$H$22*(Q181/(SUM(Q:Q)))</f>
        <v>#DIV/0!</v>
      </c>
      <c r="W181" s="8" t="e">
        <f t="shared" si="80"/>
        <v>#DIV/0!</v>
      </c>
      <c r="X181" s="179" t="e">
        <f>'Entrada e Saida'!$H$26*(IF('Entrada e Saida'!$H$15="PESO",(P181/(SUM(P:P))),(Q181/(SUM(Q:Q)))))</f>
        <v>#DIV/0!</v>
      </c>
      <c r="Y181" s="179" t="e">
        <f>'Entrada e Saida'!$H$27*(IF('Entrada e Saida'!$H$15="PESO",(P181/(SUM(P:P))),(Q181/(SUM(Q:Q)))))</f>
        <v>#DIV/0!</v>
      </c>
      <c r="Z181" s="179" t="e">
        <f>'Entrada e Saida'!$H$28*(IF('Entrada e Saida'!$H$15="PESO",(P181/(SUM(P:P))),(Q181/(SUM(Q:Q)))))</f>
        <v>#DIV/0!</v>
      </c>
      <c r="AA181" s="10" t="e">
        <f t="shared" si="81"/>
        <v>#DIV/0!</v>
      </c>
      <c r="AB181" s="3" t="e">
        <f t="shared" si="82"/>
        <v>#DIV/0!</v>
      </c>
      <c r="AC181" s="3" t="e">
        <f t="shared" si="83"/>
        <v>#DIV/0!</v>
      </c>
      <c r="AD181" s="3" t="e">
        <f t="shared" si="84"/>
        <v>#DIV/0!</v>
      </c>
      <c r="AE181" s="9" t="e">
        <f t="shared" si="85"/>
        <v>#DIV/0!</v>
      </c>
      <c r="AF181" s="126">
        <f>IFERROR(D181*F181*L181*'Entrada e Saida'!$K$8,0)</f>
        <v>0</v>
      </c>
      <c r="AG181" s="3" t="e">
        <f>((W181+AA181+AB181+AC181+AD181+AE181+AF181)/(1-'Entrada e Saida'!$G$65))*'Entrada e Saida'!$I$66</f>
        <v>#DIV/0!</v>
      </c>
      <c r="AH181" s="8" t="e">
        <f t="shared" si="86"/>
        <v>#DIV/0!</v>
      </c>
      <c r="AI181" s="183" t="e">
        <f>'Entrada e Saida'!$K$51*(IF('Entrada e Saida'!$H$15="PESO",(P181/(SUM(P:P))),(Q181/(SUM(Q:Q)))))</f>
        <v>#DIV/0!</v>
      </c>
      <c r="AJ181" s="7">
        <f>(('Entrada e Saida'!$K$10-'Entrada e Saida'!$K$8)*E181*D181)</f>
        <v>0</v>
      </c>
      <c r="AK181" s="184" t="e">
        <f>IF('Entrada e Saida'!$H$15="PESO",W181+AA181+AH181+AI181+AJ181,W181+AA181+AH181+AI181+AJ181-S181+T181-U181+V181)</f>
        <v>#DIV/0!</v>
      </c>
      <c r="AL181" s="6" t="e">
        <f>IF('Entrada e Saida'!$H$12="REAL",AC181,0)</f>
        <v>#DIV/0!</v>
      </c>
      <c r="AM181" s="6" t="e">
        <f>IF('Entrada e Saida'!$H$12="REAL",AD181,0)</f>
        <v>#DIV/0!</v>
      </c>
      <c r="AN181" s="5" t="e">
        <f>IF('Entrada e Saida'!$H$13= "NÃO",AE181,0)</f>
        <v>#DIV/0!</v>
      </c>
      <c r="AO181" s="5" t="e">
        <f t="shared" si="87"/>
        <v>#DIV/0!</v>
      </c>
      <c r="AP181" s="4" t="e">
        <f t="shared" si="88"/>
        <v>#DIV/0!</v>
      </c>
      <c r="AQ181" s="3" t="e">
        <f>IF('Entrada e Saida'!$H$11="TRADING",AU181*'Custo Resumido'!D181,0)</f>
        <v>#DIV/0!</v>
      </c>
      <c r="AR181" s="3" t="e">
        <f>IF('Entrada e Saida'!$H$11="TRADING",AU181*'Entrada e Saida'!$G$63,0)</f>
        <v>#DIV/0!</v>
      </c>
      <c r="AS181" s="3" t="e">
        <f>IF('Entrada e Saida'!$H$11="TRADING",AU181*'Entrada e Saida'!$G$64,0)</f>
        <v>#DIV/0!</v>
      </c>
      <c r="AT181" s="3" t="e">
        <f>IF('Entrada e Saida'!$H$11="TRADING",AU181*'Entrada e Saida'!$G$65,0)</f>
        <v>#DIV/0!</v>
      </c>
      <c r="AU181" s="4" t="e">
        <f>IF('Entrada e Saida'!$H$11="TRADING",AP181/(1-(SUM('Entrada e Saida'!$G$63:$G$65)+'Custo Resumido'!D181)),0)</f>
        <v>#DIV/0!</v>
      </c>
      <c r="AV181" s="3" t="e">
        <f>IF('Entrada e Saida'!$H$13="NÃO",AU181*M181,0)</f>
        <v>#DIV/0!</v>
      </c>
      <c r="AW181" s="4" t="e">
        <f t="shared" si="89"/>
        <v>#DIV/0!</v>
      </c>
      <c r="AX181" s="3" t="e">
        <f>'Entrada e Saida'!$G$74*AU181</f>
        <v>#DIV/0!</v>
      </c>
      <c r="AY181" s="4" t="e">
        <f t="shared" si="90"/>
        <v>#DIV/0!</v>
      </c>
      <c r="AZ181" s="4" t="e">
        <f>AQ181+('Entrada e Saida'!$G$65-'Entrada e Saida'!$I$65)*AU181-AX181</f>
        <v>#DIV/0!</v>
      </c>
      <c r="BA181" s="3" t="e">
        <f>IF('Entrada e Saida'!$H$12="REAL",AZ181*'Entrada e Saida'!$G$81,AU181*'Entrada e Saida'!$G$81)</f>
        <v>#DIV/0!</v>
      </c>
      <c r="BB181" s="3" t="e">
        <f>IF('Entrada e Saida'!$H$12="REAL",AZ181*'Entrada e Saida'!$G$82,AU181*'Entrada e Saida'!$G$82)</f>
        <v>#DIV/0!</v>
      </c>
      <c r="BC181" s="4" t="e">
        <f t="shared" si="91"/>
        <v>#DIV/0!</v>
      </c>
      <c r="BD181" s="3" t="e">
        <f>IF('Entrada e Saida'!$H$11="TRADING",AW181/D181,AK181/D181)</f>
        <v>#DIV/0!</v>
      </c>
      <c r="BE181" s="3" t="e">
        <f t="shared" si="92"/>
        <v>#DIV/0!</v>
      </c>
      <c r="BF181" s="2" t="e">
        <f t="shared" si="93"/>
        <v>#DIV/0!</v>
      </c>
      <c r="BG181" s="3" t="e">
        <f>IF('Entrada e Saida'!$H$11="TRADING",AV181/D181,AN181/D181)</f>
        <v>#DIV/0!</v>
      </c>
      <c r="BH181" s="3" t="e">
        <f>IF('Entrada e Saida'!$H$11="TRADING",IF('Entrada e Saida'!$H$12="REAL",AR181/D181,0),AL181/D181)</f>
        <v>#DIV/0!</v>
      </c>
      <c r="BI181" s="3" t="e">
        <f>IF('Entrada e Saida'!$H$11="TRADING",IF('Entrada e Saida'!$H$12="REAL",AS181/D181,0),AM181/D181)</f>
        <v>#DIV/0!</v>
      </c>
      <c r="BJ181" s="3" t="e">
        <f>IF('Entrada e Saida'!$H$11="TRADING",AT181/D181,AO181/D181)</f>
        <v>#DIV/0!</v>
      </c>
      <c r="BK181" s="2" t="e">
        <f t="shared" si="94"/>
        <v>#DIV/0!</v>
      </c>
      <c r="BL181" s="2">
        <f>IF(O181&gt;0,IFERROR(IF('Entrada e Saida'!$H$11="DIRETA",0,(IF('Entrada e Saida'!$H$14="P.JURIDICA",(BD181*(1+O181)*N181)-((BD181/(1+M181))*'Entrada e Saida'!$G$65),((Produtos!N181-'Entrada e Saida'!$G$65)*Produtos!BD181)))),0),0)</f>
        <v>0</v>
      </c>
      <c r="BM181" s="2" t="e">
        <f t="shared" si="95"/>
        <v>#DIV/0!</v>
      </c>
    </row>
    <row r="182" spans="1:65" s="1" customFormat="1">
      <c r="A182" s="127"/>
      <c r="B182" s="114"/>
      <c r="C182" s="116"/>
      <c r="D182" s="146"/>
      <c r="E182" s="115">
        <f>IFERROR(VLOOKUP(A182,'Master Modelo'!A:I,9,FALSE),0)</f>
        <v>0</v>
      </c>
      <c r="F182" s="189">
        <f>IFERROR(VLOOKUP(A182,'Master Modelo'!A:I,8,FALSE),0)</f>
        <v>0</v>
      </c>
      <c r="G182" s="189">
        <f>IFERROR(VLOOKUP(A182,'Master Modelo'!A:K,11,FALSE),0)</f>
        <v>0</v>
      </c>
      <c r="H182" s="114" t="e">
        <f t="shared" si="78"/>
        <v>#DIV/0!</v>
      </c>
      <c r="I182" s="150">
        <f>IFERROR(VLOOKUP(A182,'Master Modelo'!A:I,3,FALSE),0)</f>
        <v>0</v>
      </c>
      <c r="J182" s="151">
        <f>IFERROR(VLOOKUP(A182,'Master Modelo'!A:I,5,FALSE),0)</f>
        <v>0</v>
      </c>
      <c r="K182" s="151">
        <f>IFERROR(VLOOKUP(A182,'Master Modelo'!A:I,6,FALSE),0)</f>
        <v>0</v>
      </c>
      <c r="L182" s="152" t="e">
        <f>VLOOKUP(A182,'Master Modelo'!A:J,10,FALSE)</f>
        <v>#N/A</v>
      </c>
      <c r="M182" s="150">
        <f>IFERROR(VLOOKUP(A182,'Master Modelo'!A:I,4,FALSE),0)</f>
        <v>0</v>
      </c>
      <c r="N182" s="128"/>
      <c r="O182" s="129"/>
      <c r="P182" s="9">
        <f t="shared" si="79"/>
        <v>0</v>
      </c>
      <c r="Q182" s="177">
        <f t="shared" si="77"/>
        <v>0</v>
      </c>
      <c r="R182" s="3">
        <f>D182*E182*'Entrada e Saida'!$K$8</f>
        <v>0</v>
      </c>
      <c r="S182" s="179" t="e">
        <f>'Entrada e Saida'!$H$21*'Entrada e Saida'!$K$8*(P182/(SUM(P:P)))</f>
        <v>#DIV/0!</v>
      </c>
      <c r="T182" s="179" t="e">
        <f>'Entrada e Saida'!$H$21*'Entrada e Saida'!$K$8*(Q182/(SUM(Q:Q)))</f>
        <v>#DIV/0!</v>
      </c>
      <c r="U182" s="179" t="e">
        <f>'Entrada e Saida'!$H$22*(P182/(SUM(P:P)))</f>
        <v>#DIV/0!</v>
      </c>
      <c r="V182" s="179" t="e">
        <f>'Entrada e Saida'!$H$22*(Q182/(SUM(Q:Q)))</f>
        <v>#DIV/0!</v>
      </c>
      <c r="W182" s="8" t="e">
        <f t="shared" si="80"/>
        <v>#DIV/0!</v>
      </c>
      <c r="X182" s="179" t="e">
        <f>'Entrada e Saida'!$H$26*(IF('Entrada e Saida'!$H$15="PESO",(P182/(SUM(P:P))),(Q182/(SUM(Q:Q)))))</f>
        <v>#DIV/0!</v>
      </c>
      <c r="Y182" s="179" t="e">
        <f>'Entrada e Saida'!$H$27*(IF('Entrada e Saida'!$H$15="PESO",(P182/(SUM(P:P))),(Q182/(SUM(Q:Q)))))</f>
        <v>#DIV/0!</v>
      </c>
      <c r="Z182" s="179" t="e">
        <f>'Entrada e Saida'!$H$28*(IF('Entrada e Saida'!$H$15="PESO",(P182/(SUM(P:P))),(Q182/(SUM(Q:Q)))))</f>
        <v>#DIV/0!</v>
      </c>
      <c r="AA182" s="10" t="e">
        <f t="shared" si="81"/>
        <v>#DIV/0!</v>
      </c>
      <c r="AB182" s="3" t="e">
        <f t="shared" si="82"/>
        <v>#DIV/0!</v>
      </c>
      <c r="AC182" s="3" t="e">
        <f t="shared" si="83"/>
        <v>#DIV/0!</v>
      </c>
      <c r="AD182" s="3" t="e">
        <f t="shared" si="84"/>
        <v>#DIV/0!</v>
      </c>
      <c r="AE182" s="9" t="e">
        <f t="shared" si="85"/>
        <v>#DIV/0!</v>
      </c>
      <c r="AF182" s="126">
        <f>IFERROR(D182*F182*L182*'Entrada e Saida'!$K$8,0)</f>
        <v>0</v>
      </c>
      <c r="AG182" s="3" t="e">
        <f>((W182+AA182+AB182+AC182+AD182+AE182+AF182)/(1-'Entrada e Saida'!$G$65))*'Entrada e Saida'!$I$66</f>
        <v>#DIV/0!</v>
      </c>
      <c r="AH182" s="8" t="e">
        <f t="shared" si="86"/>
        <v>#DIV/0!</v>
      </c>
      <c r="AI182" s="183" t="e">
        <f>'Entrada e Saida'!$K$51*(IF('Entrada e Saida'!$H$15="PESO",(P182/(SUM(P:P))),(Q182/(SUM(Q:Q)))))</f>
        <v>#DIV/0!</v>
      </c>
      <c r="AJ182" s="7">
        <f>(('Entrada e Saida'!$K$10-'Entrada e Saida'!$K$8)*E182*D182)</f>
        <v>0</v>
      </c>
      <c r="AK182" s="184" t="e">
        <f>IF('Entrada e Saida'!$H$15="PESO",W182+AA182+AH182+AI182+AJ182,W182+AA182+AH182+AI182+AJ182-S182+T182-U182+V182)</f>
        <v>#DIV/0!</v>
      </c>
      <c r="AL182" s="6" t="e">
        <f>IF('Entrada e Saida'!$H$12="REAL",AC182,0)</f>
        <v>#DIV/0!</v>
      </c>
      <c r="AM182" s="6" t="e">
        <f>IF('Entrada e Saida'!$H$12="REAL",AD182,0)</f>
        <v>#DIV/0!</v>
      </c>
      <c r="AN182" s="5" t="e">
        <f>IF('Entrada e Saida'!$H$13= "NÃO",AE182,0)</f>
        <v>#DIV/0!</v>
      </c>
      <c r="AO182" s="5" t="e">
        <f t="shared" si="87"/>
        <v>#DIV/0!</v>
      </c>
      <c r="AP182" s="4" t="e">
        <f t="shared" si="88"/>
        <v>#DIV/0!</v>
      </c>
      <c r="AQ182" s="3" t="e">
        <f>IF('Entrada e Saida'!$H$11="TRADING",AU182*'Custo Resumido'!D182,0)</f>
        <v>#DIV/0!</v>
      </c>
      <c r="AR182" s="3" t="e">
        <f>IF('Entrada e Saida'!$H$11="TRADING",AU182*'Entrada e Saida'!$G$63,0)</f>
        <v>#DIV/0!</v>
      </c>
      <c r="AS182" s="3" t="e">
        <f>IF('Entrada e Saida'!$H$11="TRADING",AU182*'Entrada e Saida'!$G$64,0)</f>
        <v>#DIV/0!</v>
      </c>
      <c r="AT182" s="3" t="e">
        <f>IF('Entrada e Saida'!$H$11="TRADING",AU182*'Entrada e Saida'!$G$65,0)</f>
        <v>#DIV/0!</v>
      </c>
      <c r="AU182" s="4" t="e">
        <f>IF('Entrada e Saida'!$H$11="TRADING",AP182/(1-(SUM('Entrada e Saida'!$G$63:$G$65)+'Custo Resumido'!D182)),0)</f>
        <v>#DIV/0!</v>
      </c>
      <c r="AV182" s="3" t="e">
        <f>IF('Entrada e Saida'!$H$13="NÃO",AU182*M182,0)</f>
        <v>#DIV/0!</v>
      </c>
      <c r="AW182" s="4" t="e">
        <f t="shared" si="89"/>
        <v>#DIV/0!</v>
      </c>
      <c r="AX182" s="3" t="e">
        <f>'Entrada e Saida'!$G$74*AU182</f>
        <v>#DIV/0!</v>
      </c>
      <c r="AY182" s="4" t="e">
        <f t="shared" si="90"/>
        <v>#DIV/0!</v>
      </c>
      <c r="AZ182" s="4" t="e">
        <f>AQ182+('Entrada e Saida'!$G$65-'Entrada e Saida'!$I$65)*AU182-AX182</f>
        <v>#DIV/0!</v>
      </c>
      <c r="BA182" s="3" t="e">
        <f>IF('Entrada e Saida'!$H$12="REAL",AZ182*'Entrada e Saida'!$G$81,AU182*'Entrada e Saida'!$G$81)</f>
        <v>#DIV/0!</v>
      </c>
      <c r="BB182" s="3" t="e">
        <f>IF('Entrada e Saida'!$H$12="REAL",AZ182*'Entrada e Saida'!$G$82,AU182*'Entrada e Saida'!$G$82)</f>
        <v>#DIV/0!</v>
      </c>
      <c r="BC182" s="4" t="e">
        <f t="shared" si="91"/>
        <v>#DIV/0!</v>
      </c>
      <c r="BD182" s="3" t="e">
        <f>IF('Entrada e Saida'!$H$11="TRADING",AW182/D182,AK182/D182)</f>
        <v>#DIV/0!</v>
      </c>
      <c r="BE182" s="3" t="e">
        <f t="shared" si="92"/>
        <v>#DIV/0!</v>
      </c>
      <c r="BF182" s="2" t="e">
        <f t="shared" si="93"/>
        <v>#DIV/0!</v>
      </c>
      <c r="BG182" s="3" t="e">
        <f>IF('Entrada e Saida'!$H$11="TRADING",AV182/D182,AN182/D182)</f>
        <v>#DIV/0!</v>
      </c>
      <c r="BH182" s="3" t="e">
        <f>IF('Entrada e Saida'!$H$11="TRADING",IF('Entrada e Saida'!$H$12="REAL",AR182/D182,0),AL182/D182)</f>
        <v>#DIV/0!</v>
      </c>
      <c r="BI182" s="3" t="e">
        <f>IF('Entrada e Saida'!$H$11="TRADING",IF('Entrada e Saida'!$H$12="REAL",AS182/D182,0),AM182/D182)</f>
        <v>#DIV/0!</v>
      </c>
      <c r="BJ182" s="3" t="e">
        <f>IF('Entrada e Saida'!$H$11="TRADING",AT182/D182,AO182/D182)</f>
        <v>#DIV/0!</v>
      </c>
      <c r="BK182" s="2" t="e">
        <f t="shared" si="94"/>
        <v>#DIV/0!</v>
      </c>
      <c r="BL182" s="2">
        <f>IF(O182&gt;0,IFERROR(IF('Entrada e Saida'!$H$11="DIRETA",0,(IF('Entrada e Saida'!$H$14="P.JURIDICA",(BD182*(1+O182)*N182)-((BD182/(1+M182))*'Entrada e Saida'!$G$65),((Produtos!N182-'Entrada e Saida'!$G$65)*Produtos!BD182)))),0),0)</f>
        <v>0</v>
      </c>
      <c r="BM182" s="2" t="e">
        <f t="shared" si="95"/>
        <v>#DIV/0!</v>
      </c>
    </row>
    <row r="183" spans="1:65" s="1" customFormat="1">
      <c r="A183" s="127"/>
      <c r="B183" s="114"/>
      <c r="C183" s="116"/>
      <c r="D183" s="146"/>
      <c r="E183" s="115">
        <f>IFERROR(VLOOKUP(A183,'Master Modelo'!A:I,9,FALSE),0)</f>
        <v>0</v>
      </c>
      <c r="F183" s="189">
        <f>IFERROR(VLOOKUP(A183,'Master Modelo'!A:I,8,FALSE),0)</f>
        <v>0</v>
      </c>
      <c r="G183" s="189">
        <f>IFERROR(VLOOKUP(A183,'Master Modelo'!A:K,11,FALSE),0)</f>
        <v>0</v>
      </c>
      <c r="H183" s="114" t="e">
        <f t="shared" si="78"/>
        <v>#DIV/0!</v>
      </c>
      <c r="I183" s="150">
        <f>IFERROR(VLOOKUP(A183,'Master Modelo'!A:I,3,FALSE),0)</f>
        <v>0</v>
      </c>
      <c r="J183" s="151">
        <f>IFERROR(VLOOKUP(A183,'Master Modelo'!A:I,5,FALSE),0)</f>
        <v>0</v>
      </c>
      <c r="K183" s="151">
        <f>IFERROR(VLOOKUP(A183,'Master Modelo'!A:I,6,FALSE),0)</f>
        <v>0</v>
      </c>
      <c r="L183" s="152" t="e">
        <f>VLOOKUP(A183,'Master Modelo'!A:J,10,FALSE)</f>
        <v>#N/A</v>
      </c>
      <c r="M183" s="150">
        <f>IFERROR(VLOOKUP(A183,'Master Modelo'!A:I,4,FALSE),0)</f>
        <v>0</v>
      </c>
      <c r="N183" s="128"/>
      <c r="O183" s="129"/>
      <c r="P183" s="9">
        <f t="shared" si="79"/>
        <v>0</v>
      </c>
      <c r="Q183" s="177">
        <f t="shared" si="77"/>
        <v>0</v>
      </c>
      <c r="R183" s="3">
        <f>D183*E183*'Entrada e Saida'!$K$8</f>
        <v>0</v>
      </c>
      <c r="S183" s="179" t="e">
        <f>'Entrada e Saida'!$H$21*'Entrada e Saida'!$K$8*(P183/(SUM(P:P)))</f>
        <v>#DIV/0!</v>
      </c>
      <c r="T183" s="179" t="e">
        <f>'Entrada e Saida'!$H$21*'Entrada e Saida'!$K$8*(Q183/(SUM(Q:Q)))</f>
        <v>#DIV/0!</v>
      </c>
      <c r="U183" s="179" t="e">
        <f>'Entrada e Saida'!$H$22*(P183/(SUM(P:P)))</f>
        <v>#DIV/0!</v>
      </c>
      <c r="V183" s="179" t="e">
        <f>'Entrada e Saida'!$H$22*(Q183/(SUM(Q:Q)))</f>
        <v>#DIV/0!</v>
      </c>
      <c r="W183" s="8" t="e">
        <f t="shared" si="80"/>
        <v>#DIV/0!</v>
      </c>
      <c r="X183" s="179" t="e">
        <f>'Entrada e Saida'!$H$26*(IF('Entrada e Saida'!$H$15="PESO",(P183/(SUM(P:P))),(Q183/(SUM(Q:Q)))))</f>
        <v>#DIV/0!</v>
      </c>
      <c r="Y183" s="179" t="e">
        <f>'Entrada e Saida'!$H$27*(IF('Entrada e Saida'!$H$15="PESO",(P183/(SUM(P:P))),(Q183/(SUM(Q:Q)))))</f>
        <v>#DIV/0!</v>
      </c>
      <c r="Z183" s="179" t="e">
        <f>'Entrada e Saida'!$H$28*(IF('Entrada e Saida'!$H$15="PESO",(P183/(SUM(P:P))),(Q183/(SUM(Q:Q)))))</f>
        <v>#DIV/0!</v>
      </c>
      <c r="AA183" s="10" t="e">
        <f t="shared" si="81"/>
        <v>#DIV/0!</v>
      </c>
      <c r="AB183" s="3" t="e">
        <f t="shared" si="82"/>
        <v>#DIV/0!</v>
      </c>
      <c r="AC183" s="3" t="e">
        <f t="shared" si="83"/>
        <v>#DIV/0!</v>
      </c>
      <c r="AD183" s="3" t="e">
        <f t="shared" si="84"/>
        <v>#DIV/0!</v>
      </c>
      <c r="AE183" s="9" t="e">
        <f t="shared" si="85"/>
        <v>#DIV/0!</v>
      </c>
      <c r="AF183" s="126">
        <f>IFERROR(D183*F183*L183*'Entrada e Saida'!$K$8,0)</f>
        <v>0</v>
      </c>
      <c r="AG183" s="3" t="e">
        <f>((W183+AA183+AB183+AC183+AD183+AE183+AF183)/(1-'Entrada e Saida'!$G$65))*'Entrada e Saida'!$I$66</f>
        <v>#DIV/0!</v>
      </c>
      <c r="AH183" s="8" t="e">
        <f t="shared" si="86"/>
        <v>#DIV/0!</v>
      </c>
      <c r="AI183" s="183" t="e">
        <f>'Entrada e Saida'!$K$51*(IF('Entrada e Saida'!$H$15="PESO",(P183/(SUM(P:P))),(Q183/(SUM(Q:Q)))))</f>
        <v>#DIV/0!</v>
      </c>
      <c r="AJ183" s="7">
        <f>(('Entrada e Saida'!$K$10-'Entrada e Saida'!$K$8)*E183*D183)</f>
        <v>0</v>
      </c>
      <c r="AK183" s="184" t="e">
        <f>IF('Entrada e Saida'!$H$15="PESO",W183+AA183+AH183+AI183+AJ183,W183+AA183+AH183+AI183+AJ183-S183+T183-U183+V183)</f>
        <v>#DIV/0!</v>
      </c>
      <c r="AL183" s="6" t="e">
        <f>IF('Entrada e Saida'!$H$12="REAL",AC183,0)</f>
        <v>#DIV/0!</v>
      </c>
      <c r="AM183" s="6" t="e">
        <f>IF('Entrada e Saida'!$H$12="REAL",AD183,0)</f>
        <v>#DIV/0!</v>
      </c>
      <c r="AN183" s="5" t="e">
        <f>IF('Entrada e Saida'!$H$13= "NÃO",AE183,0)</f>
        <v>#DIV/0!</v>
      </c>
      <c r="AO183" s="5" t="e">
        <f t="shared" si="87"/>
        <v>#DIV/0!</v>
      </c>
      <c r="AP183" s="4" t="e">
        <f t="shared" si="88"/>
        <v>#DIV/0!</v>
      </c>
      <c r="AQ183" s="3" t="e">
        <f>IF('Entrada e Saida'!$H$11="TRADING",AU183*'Custo Resumido'!D183,0)</f>
        <v>#DIV/0!</v>
      </c>
      <c r="AR183" s="3" t="e">
        <f>IF('Entrada e Saida'!$H$11="TRADING",AU183*'Entrada e Saida'!$G$63,0)</f>
        <v>#DIV/0!</v>
      </c>
      <c r="AS183" s="3" t="e">
        <f>IF('Entrada e Saida'!$H$11="TRADING",AU183*'Entrada e Saida'!$G$64,0)</f>
        <v>#DIV/0!</v>
      </c>
      <c r="AT183" s="3" t="e">
        <f>IF('Entrada e Saida'!$H$11="TRADING",AU183*'Entrada e Saida'!$G$65,0)</f>
        <v>#DIV/0!</v>
      </c>
      <c r="AU183" s="4" t="e">
        <f>IF('Entrada e Saida'!$H$11="TRADING",AP183/(1-(SUM('Entrada e Saida'!$G$63:$G$65)+'Custo Resumido'!D183)),0)</f>
        <v>#DIV/0!</v>
      </c>
      <c r="AV183" s="3" t="e">
        <f>IF('Entrada e Saida'!$H$13="NÃO",AU183*M183,0)</f>
        <v>#DIV/0!</v>
      </c>
      <c r="AW183" s="4" t="e">
        <f t="shared" si="89"/>
        <v>#DIV/0!</v>
      </c>
      <c r="AX183" s="3" t="e">
        <f>'Entrada e Saida'!$G$74*AU183</f>
        <v>#DIV/0!</v>
      </c>
      <c r="AY183" s="4" t="e">
        <f t="shared" si="90"/>
        <v>#DIV/0!</v>
      </c>
      <c r="AZ183" s="4" t="e">
        <f>AQ183+('Entrada e Saida'!$G$65-'Entrada e Saida'!$I$65)*AU183-AX183</f>
        <v>#DIV/0!</v>
      </c>
      <c r="BA183" s="3" t="e">
        <f>IF('Entrada e Saida'!$H$12="REAL",AZ183*'Entrada e Saida'!$G$81,AU183*'Entrada e Saida'!$G$81)</f>
        <v>#DIV/0!</v>
      </c>
      <c r="BB183" s="3" t="e">
        <f>IF('Entrada e Saida'!$H$12="REAL",AZ183*'Entrada e Saida'!$G$82,AU183*'Entrada e Saida'!$G$82)</f>
        <v>#DIV/0!</v>
      </c>
      <c r="BC183" s="4" t="e">
        <f t="shared" si="91"/>
        <v>#DIV/0!</v>
      </c>
      <c r="BD183" s="3" t="e">
        <f>IF('Entrada e Saida'!$H$11="TRADING",AW183/D183,AK183/D183)</f>
        <v>#DIV/0!</v>
      </c>
      <c r="BE183" s="3" t="e">
        <f t="shared" si="92"/>
        <v>#DIV/0!</v>
      </c>
      <c r="BF183" s="2" t="e">
        <f t="shared" si="93"/>
        <v>#DIV/0!</v>
      </c>
      <c r="BG183" s="3" t="e">
        <f>IF('Entrada e Saida'!$H$11="TRADING",AV183/D183,AN183/D183)</f>
        <v>#DIV/0!</v>
      </c>
      <c r="BH183" s="3" t="e">
        <f>IF('Entrada e Saida'!$H$11="TRADING",IF('Entrada e Saida'!$H$12="REAL",AR183/D183,0),AL183/D183)</f>
        <v>#DIV/0!</v>
      </c>
      <c r="BI183" s="3" t="e">
        <f>IF('Entrada e Saida'!$H$11="TRADING",IF('Entrada e Saida'!$H$12="REAL",AS183/D183,0),AM183/D183)</f>
        <v>#DIV/0!</v>
      </c>
      <c r="BJ183" s="3" t="e">
        <f>IF('Entrada e Saida'!$H$11="TRADING",AT183/D183,AO183/D183)</f>
        <v>#DIV/0!</v>
      </c>
      <c r="BK183" s="2" t="e">
        <f t="shared" si="94"/>
        <v>#DIV/0!</v>
      </c>
      <c r="BL183" s="2">
        <f>IF(O183&gt;0,IFERROR(IF('Entrada e Saida'!$H$11="DIRETA",0,(IF('Entrada e Saida'!$H$14="P.JURIDICA",(BD183*(1+O183)*N183)-((BD183/(1+M183))*'Entrada e Saida'!$G$65),((Produtos!N183-'Entrada e Saida'!$G$65)*Produtos!BD183)))),0),0)</f>
        <v>0</v>
      </c>
      <c r="BM183" s="2" t="e">
        <f t="shared" si="95"/>
        <v>#DIV/0!</v>
      </c>
    </row>
    <row r="184" spans="1:65" s="1" customFormat="1">
      <c r="A184" s="127"/>
      <c r="B184" s="114"/>
      <c r="C184" s="116"/>
      <c r="D184" s="146"/>
      <c r="E184" s="115">
        <f>IFERROR(VLOOKUP(A184,'Master Modelo'!A:I,9,FALSE),0)</f>
        <v>0</v>
      </c>
      <c r="F184" s="189">
        <f>IFERROR(VLOOKUP(A184,'Master Modelo'!A:I,8,FALSE),0)</f>
        <v>0</v>
      </c>
      <c r="G184" s="189">
        <f>IFERROR(VLOOKUP(A184,'Master Modelo'!A:K,11,FALSE),0)</f>
        <v>0</v>
      </c>
      <c r="H184" s="114" t="e">
        <f t="shared" si="78"/>
        <v>#DIV/0!</v>
      </c>
      <c r="I184" s="150">
        <f>IFERROR(VLOOKUP(A184,'Master Modelo'!A:I,3,FALSE),0)</f>
        <v>0</v>
      </c>
      <c r="J184" s="151">
        <f>IFERROR(VLOOKUP(A184,'Master Modelo'!A:I,5,FALSE),0)</f>
        <v>0</v>
      </c>
      <c r="K184" s="151">
        <f>IFERROR(VLOOKUP(A184,'Master Modelo'!A:I,6,FALSE),0)</f>
        <v>0</v>
      </c>
      <c r="L184" s="152" t="e">
        <f>VLOOKUP(A184,'Master Modelo'!A:J,10,FALSE)</f>
        <v>#N/A</v>
      </c>
      <c r="M184" s="150">
        <f>IFERROR(VLOOKUP(A184,'Master Modelo'!A:I,4,FALSE),0)</f>
        <v>0</v>
      </c>
      <c r="N184" s="128"/>
      <c r="O184" s="129"/>
      <c r="P184" s="9">
        <f t="shared" si="79"/>
        <v>0</v>
      </c>
      <c r="Q184" s="177">
        <f t="shared" si="77"/>
        <v>0</v>
      </c>
      <c r="R184" s="3">
        <f>D184*E184*'Entrada e Saida'!$K$8</f>
        <v>0</v>
      </c>
      <c r="S184" s="179" t="e">
        <f>'Entrada e Saida'!$H$21*'Entrada e Saida'!$K$8*(P184/(SUM(P:P)))</f>
        <v>#DIV/0!</v>
      </c>
      <c r="T184" s="179" t="e">
        <f>'Entrada e Saida'!$H$21*'Entrada e Saida'!$K$8*(Q184/(SUM(Q:Q)))</f>
        <v>#DIV/0!</v>
      </c>
      <c r="U184" s="179" t="e">
        <f>'Entrada e Saida'!$H$22*(P184/(SUM(P:P)))</f>
        <v>#DIV/0!</v>
      </c>
      <c r="V184" s="179" t="e">
        <f>'Entrada e Saida'!$H$22*(Q184/(SUM(Q:Q)))</f>
        <v>#DIV/0!</v>
      </c>
      <c r="W184" s="8" t="e">
        <f t="shared" si="80"/>
        <v>#DIV/0!</v>
      </c>
      <c r="X184" s="179" t="e">
        <f>'Entrada e Saida'!$H$26*(IF('Entrada e Saida'!$H$15="PESO",(P184/(SUM(P:P))),(Q184/(SUM(Q:Q)))))</f>
        <v>#DIV/0!</v>
      </c>
      <c r="Y184" s="179" t="e">
        <f>'Entrada e Saida'!$H$27*(IF('Entrada e Saida'!$H$15="PESO",(P184/(SUM(P:P))),(Q184/(SUM(Q:Q)))))</f>
        <v>#DIV/0!</v>
      </c>
      <c r="Z184" s="179" t="e">
        <f>'Entrada e Saida'!$H$28*(IF('Entrada e Saida'!$H$15="PESO",(P184/(SUM(P:P))),(Q184/(SUM(Q:Q)))))</f>
        <v>#DIV/0!</v>
      </c>
      <c r="AA184" s="10" t="e">
        <f t="shared" si="81"/>
        <v>#DIV/0!</v>
      </c>
      <c r="AB184" s="3" t="e">
        <f t="shared" si="82"/>
        <v>#DIV/0!</v>
      </c>
      <c r="AC184" s="3" t="e">
        <f t="shared" si="83"/>
        <v>#DIV/0!</v>
      </c>
      <c r="AD184" s="3" t="e">
        <f t="shared" si="84"/>
        <v>#DIV/0!</v>
      </c>
      <c r="AE184" s="9" t="e">
        <f t="shared" si="85"/>
        <v>#DIV/0!</v>
      </c>
      <c r="AF184" s="126">
        <f>IFERROR(D184*F184*L184*'Entrada e Saida'!$K$8,0)</f>
        <v>0</v>
      </c>
      <c r="AG184" s="3" t="e">
        <f>((W184+AA184+AB184+AC184+AD184+AE184+AF184)/(1-'Entrada e Saida'!$G$65))*'Entrada e Saida'!$I$66</f>
        <v>#DIV/0!</v>
      </c>
      <c r="AH184" s="8" t="e">
        <f t="shared" si="86"/>
        <v>#DIV/0!</v>
      </c>
      <c r="AI184" s="183" t="e">
        <f>'Entrada e Saida'!$K$51*(IF('Entrada e Saida'!$H$15="PESO",(P184/(SUM(P:P))),(Q184/(SUM(Q:Q)))))</f>
        <v>#DIV/0!</v>
      </c>
      <c r="AJ184" s="7">
        <f>(('Entrada e Saida'!$K$10-'Entrada e Saida'!$K$8)*E184*D184)</f>
        <v>0</v>
      </c>
      <c r="AK184" s="184" t="e">
        <f>IF('Entrada e Saida'!$H$15="PESO",W184+AA184+AH184+AI184+AJ184,W184+AA184+AH184+AI184+AJ184-S184+T184-U184+V184)</f>
        <v>#DIV/0!</v>
      </c>
      <c r="AL184" s="6" t="e">
        <f>IF('Entrada e Saida'!$H$12="REAL",AC184,0)</f>
        <v>#DIV/0!</v>
      </c>
      <c r="AM184" s="6" t="e">
        <f>IF('Entrada e Saida'!$H$12="REAL",AD184,0)</f>
        <v>#DIV/0!</v>
      </c>
      <c r="AN184" s="5" t="e">
        <f>IF('Entrada e Saida'!$H$13= "NÃO",AE184,0)</f>
        <v>#DIV/0!</v>
      </c>
      <c r="AO184" s="5" t="e">
        <f t="shared" si="87"/>
        <v>#DIV/0!</v>
      </c>
      <c r="AP184" s="4" t="e">
        <f t="shared" si="88"/>
        <v>#DIV/0!</v>
      </c>
      <c r="AQ184" s="3" t="e">
        <f>IF('Entrada e Saida'!$H$11="TRADING",AU184*'Custo Resumido'!D184,0)</f>
        <v>#DIV/0!</v>
      </c>
      <c r="AR184" s="3" t="e">
        <f>IF('Entrada e Saida'!$H$11="TRADING",AU184*'Entrada e Saida'!$G$63,0)</f>
        <v>#DIV/0!</v>
      </c>
      <c r="AS184" s="3" t="e">
        <f>IF('Entrada e Saida'!$H$11="TRADING",AU184*'Entrada e Saida'!$G$64,0)</f>
        <v>#DIV/0!</v>
      </c>
      <c r="AT184" s="3" t="e">
        <f>IF('Entrada e Saida'!$H$11="TRADING",AU184*'Entrada e Saida'!$G$65,0)</f>
        <v>#DIV/0!</v>
      </c>
      <c r="AU184" s="4" t="e">
        <f>IF('Entrada e Saida'!$H$11="TRADING",AP184/(1-(SUM('Entrada e Saida'!$G$63:$G$65)+'Custo Resumido'!D184)),0)</f>
        <v>#DIV/0!</v>
      </c>
      <c r="AV184" s="3" t="e">
        <f>IF('Entrada e Saida'!$H$13="NÃO",AU184*M184,0)</f>
        <v>#DIV/0!</v>
      </c>
      <c r="AW184" s="4" t="e">
        <f t="shared" si="89"/>
        <v>#DIV/0!</v>
      </c>
      <c r="AX184" s="3" t="e">
        <f>'Entrada e Saida'!$G$74*AU184</f>
        <v>#DIV/0!</v>
      </c>
      <c r="AY184" s="4" t="e">
        <f t="shared" si="90"/>
        <v>#DIV/0!</v>
      </c>
      <c r="AZ184" s="4" t="e">
        <f>AQ184+('Entrada e Saida'!$G$65-'Entrada e Saida'!$I$65)*AU184-AX184</f>
        <v>#DIV/0!</v>
      </c>
      <c r="BA184" s="3" t="e">
        <f>IF('Entrada e Saida'!$H$12="REAL",AZ184*'Entrada e Saida'!$G$81,AU184*'Entrada e Saida'!$G$81)</f>
        <v>#DIV/0!</v>
      </c>
      <c r="BB184" s="3" t="e">
        <f>IF('Entrada e Saida'!$H$12="REAL",AZ184*'Entrada e Saida'!$G$82,AU184*'Entrada e Saida'!$G$82)</f>
        <v>#DIV/0!</v>
      </c>
      <c r="BC184" s="4" t="e">
        <f t="shared" si="91"/>
        <v>#DIV/0!</v>
      </c>
      <c r="BD184" s="3" t="e">
        <f>IF('Entrada e Saida'!$H$11="TRADING",AW184/D184,AK184/D184)</f>
        <v>#DIV/0!</v>
      </c>
      <c r="BE184" s="3" t="e">
        <f t="shared" si="92"/>
        <v>#DIV/0!</v>
      </c>
      <c r="BF184" s="2" t="e">
        <f t="shared" si="93"/>
        <v>#DIV/0!</v>
      </c>
      <c r="BG184" s="3" t="e">
        <f>IF('Entrada e Saida'!$H$11="TRADING",AV184/D184,AN184/D184)</f>
        <v>#DIV/0!</v>
      </c>
      <c r="BH184" s="3" t="e">
        <f>IF('Entrada e Saida'!$H$11="TRADING",IF('Entrada e Saida'!$H$12="REAL",AR184/D184,0),AL184/D184)</f>
        <v>#DIV/0!</v>
      </c>
      <c r="BI184" s="3" t="e">
        <f>IF('Entrada e Saida'!$H$11="TRADING",IF('Entrada e Saida'!$H$12="REAL",AS184/D184,0),AM184/D184)</f>
        <v>#DIV/0!</v>
      </c>
      <c r="BJ184" s="3" t="e">
        <f>IF('Entrada e Saida'!$H$11="TRADING",AT184/D184,AO184/D184)</f>
        <v>#DIV/0!</v>
      </c>
      <c r="BK184" s="2" t="e">
        <f t="shared" si="94"/>
        <v>#DIV/0!</v>
      </c>
      <c r="BL184" s="2">
        <f>IF(O184&gt;0,IFERROR(IF('Entrada e Saida'!$H$11="DIRETA",0,(IF('Entrada e Saida'!$H$14="P.JURIDICA",(BD184*(1+O184)*N184)-((BD184/(1+M184))*'Entrada e Saida'!$G$65),((Produtos!N184-'Entrada e Saida'!$G$65)*Produtos!BD184)))),0),0)</f>
        <v>0</v>
      </c>
      <c r="BM184" s="2" t="e">
        <f t="shared" si="95"/>
        <v>#DIV/0!</v>
      </c>
    </row>
    <row r="185" spans="1:65" s="1" customFormat="1">
      <c r="A185" s="127"/>
      <c r="B185" s="114"/>
      <c r="C185" s="116"/>
      <c r="D185" s="146"/>
      <c r="E185" s="115">
        <f>IFERROR(VLOOKUP(A185,'Master Modelo'!A:I,9,FALSE),0)</f>
        <v>0</v>
      </c>
      <c r="F185" s="189">
        <f>IFERROR(VLOOKUP(A185,'Master Modelo'!A:I,8,FALSE),0)</f>
        <v>0</v>
      </c>
      <c r="G185" s="189">
        <f>IFERROR(VLOOKUP(A185,'Master Modelo'!A:K,11,FALSE),0)</f>
        <v>0</v>
      </c>
      <c r="H185" s="114" t="e">
        <f t="shared" si="78"/>
        <v>#DIV/0!</v>
      </c>
      <c r="I185" s="150">
        <f>IFERROR(VLOOKUP(A185,'Master Modelo'!A:I,3,FALSE),0)</f>
        <v>0</v>
      </c>
      <c r="J185" s="151">
        <f>IFERROR(VLOOKUP(A185,'Master Modelo'!A:I,5,FALSE),0)</f>
        <v>0</v>
      </c>
      <c r="K185" s="151">
        <f>IFERROR(VLOOKUP(A185,'Master Modelo'!A:I,6,FALSE),0)</f>
        <v>0</v>
      </c>
      <c r="L185" s="152" t="e">
        <f>VLOOKUP(A185,'Master Modelo'!A:J,10,FALSE)</f>
        <v>#N/A</v>
      </c>
      <c r="M185" s="150">
        <f>IFERROR(VLOOKUP(A185,'Master Modelo'!A:I,4,FALSE),0)</f>
        <v>0</v>
      </c>
      <c r="N185" s="128"/>
      <c r="O185" s="129"/>
      <c r="P185" s="9">
        <f t="shared" si="79"/>
        <v>0</v>
      </c>
      <c r="Q185" s="177">
        <f t="shared" si="77"/>
        <v>0</v>
      </c>
      <c r="R185" s="3">
        <f>D185*E185*'Entrada e Saida'!$K$8</f>
        <v>0</v>
      </c>
      <c r="S185" s="179" t="e">
        <f>'Entrada e Saida'!$H$21*'Entrada e Saida'!$K$8*(P185/(SUM(P:P)))</f>
        <v>#DIV/0!</v>
      </c>
      <c r="T185" s="179" t="e">
        <f>'Entrada e Saida'!$H$21*'Entrada e Saida'!$K$8*(Q185/(SUM(Q:Q)))</f>
        <v>#DIV/0!</v>
      </c>
      <c r="U185" s="179" t="e">
        <f>'Entrada e Saida'!$H$22*(P185/(SUM(P:P)))</f>
        <v>#DIV/0!</v>
      </c>
      <c r="V185" s="179" t="e">
        <f>'Entrada e Saida'!$H$22*(Q185/(SUM(Q:Q)))</f>
        <v>#DIV/0!</v>
      </c>
      <c r="W185" s="8" t="e">
        <f t="shared" si="80"/>
        <v>#DIV/0!</v>
      </c>
      <c r="X185" s="179" t="e">
        <f>'Entrada e Saida'!$H$26*(IF('Entrada e Saida'!$H$15="PESO",(P185/(SUM(P:P))),(Q185/(SUM(Q:Q)))))</f>
        <v>#DIV/0!</v>
      </c>
      <c r="Y185" s="179" t="e">
        <f>'Entrada e Saida'!$H$27*(IF('Entrada e Saida'!$H$15="PESO",(P185/(SUM(P:P))),(Q185/(SUM(Q:Q)))))</f>
        <v>#DIV/0!</v>
      </c>
      <c r="Z185" s="179" t="e">
        <f>'Entrada e Saida'!$H$28*(IF('Entrada e Saida'!$H$15="PESO",(P185/(SUM(P:P))),(Q185/(SUM(Q:Q)))))</f>
        <v>#DIV/0!</v>
      </c>
      <c r="AA185" s="10" t="e">
        <f t="shared" si="81"/>
        <v>#DIV/0!</v>
      </c>
      <c r="AB185" s="3" t="e">
        <f t="shared" si="82"/>
        <v>#DIV/0!</v>
      </c>
      <c r="AC185" s="3" t="e">
        <f t="shared" si="83"/>
        <v>#DIV/0!</v>
      </c>
      <c r="AD185" s="3" t="e">
        <f t="shared" si="84"/>
        <v>#DIV/0!</v>
      </c>
      <c r="AE185" s="9" t="e">
        <f t="shared" si="85"/>
        <v>#DIV/0!</v>
      </c>
      <c r="AF185" s="126">
        <f>IFERROR(D185*F185*L185*'Entrada e Saida'!$K$8,0)</f>
        <v>0</v>
      </c>
      <c r="AG185" s="3" t="e">
        <f>((W185+AA185+AB185+AC185+AD185+AE185+AF185)/(1-'Entrada e Saida'!$G$65))*'Entrada e Saida'!$I$66</f>
        <v>#DIV/0!</v>
      </c>
      <c r="AH185" s="8" t="e">
        <f t="shared" si="86"/>
        <v>#DIV/0!</v>
      </c>
      <c r="AI185" s="183" t="e">
        <f>'Entrada e Saida'!$K$51*(IF('Entrada e Saida'!$H$15="PESO",(P185/(SUM(P:P))),(Q185/(SUM(Q:Q)))))</f>
        <v>#DIV/0!</v>
      </c>
      <c r="AJ185" s="7">
        <f>(('Entrada e Saida'!$K$10-'Entrada e Saida'!$K$8)*E185*D185)</f>
        <v>0</v>
      </c>
      <c r="AK185" s="184" t="e">
        <f>IF('Entrada e Saida'!$H$15="PESO",W185+AA185+AH185+AI185+AJ185,W185+AA185+AH185+AI185+AJ185-S185+T185-U185+V185)</f>
        <v>#DIV/0!</v>
      </c>
      <c r="AL185" s="6" t="e">
        <f>IF('Entrada e Saida'!$H$12="REAL",AC185,0)</f>
        <v>#DIV/0!</v>
      </c>
      <c r="AM185" s="6" t="e">
        <f>IF('Entrada e Saida'!$H$12="REAL",AD185,0)</f>
        <v>#DIV/0!</v>
      </c>
      <c r="AN185" s="5" t="e">
        <f>IF('Entrada e Saida'!$H$13= "NÃO",AE185,0)</f>
        <v>#DIV/0!</v>
      </c>
      <c r="AO185" s="5" t="e">
        <f t="shared" si="87"/>
        <v>#DIV/0!</v>
      </c>
      <c r="AP185" s="4" t="e">
        <f t="shared" si="88"/>
        <v>#DIV/0!</v>
      </c>
      <c r="AQ185" s="3" t="e">
        <f>IF('Entrada e Saida'!$H$11="TRADING",AU185*'Custo Resumido'!D185,0)</f>
        <v>#DIV/0!</v>
      </c>
      <c r="AR185" s="3" t="e">
        <f>IF('Entrada e Saida'!$H$11="TRADING",AU185*'Entrada e Saida'!$G$63,0)</f>
        <v>#DIV/0!</v>
      </c>
      <c r="AS185" s="3" t="e">
        <f>IF('Entrada e Saida'!$H$11="TRADING",AU185*'Entrada e Saida'!$G$64,0)</f>
        <v>#DIV/0!</v>
      </c>
      <c r="AT185" s="3" t="e">
        <f>IF('Entrada e Saida'!$H$11="TRADING",AU185*'Entrada e Saida'!$G$65,0)</f>
        <v>#DIV/0!</v>
      </c>
      <c r="AU185" s="4" t="e">
        <f>IF('Entrada e Saida'!$H$11="TRADING",AP185/(1-(SUM('Entrada e Saida'!$G$63:$G$65)+'Custo Resumido'!D185)),0)</f>
        <v>#DIV/0!</v>
      </c>
      <c r="AV185" s="3" t="e">
        <f>IF('Entrada e Saida'!$H$13="NÃO",AU185*M185,0)</f>
        <v>#DIV/0!</v>
      </c>
      <c r="AW185" s="4" t="e">
        <f t="shared" si="89"/>
        <v>#DIV/0!</v>
      </c>
      <c r="AX185" s="3" t="e">
        <f>'Entrada e Saida'!$G$74*AU185</f>
        <v>#DIV/0!</v>
      </c>
      <c r="AY185" s="4" t="e">
        <f t="shared" si="90"/>
        <v>#DIV/0!</v>
      </c>
      <c r="AZ185" s="4" t="e">
        <f>AQ185+('Entrada e Saida'!$G$65-'Entrada e Saida'!$I$65)*AU185-AX185</f>
        <v>#DIV/0!</v>
      </c>
      <c r="BA185" s="3" t="e">
        <f>IF('Entrada e Saida'!$H$12="REAL",AZ185*'Entrada e Saida'!$G$81,AU185*'Entrada e Saida'!$G$81)</f>
        <v>#DIV/0!</v>
      </c>
      <c r="BB185" s="3" t="e">
        <f>IF('Entrada e Saida'!$H$12="REAL",AZ185*'Entrada e Saida'!$G$82,AU185*'Entrada e Saida'!$G$82)</f>
        <v>#DIV/0!</v>
      </c>
      <c r="BC185" s="4" t="e">
        <f t="shared" si="91"/>
        <v>#DIV/0!</v>
      </c>
      <c r="BD185" s="3" t="e">
        <f>IF('Entrada e Saida'!$H$11="TRADING",AW185/D185,AK185/D185)</f>
        <v>#DIV/0!</v>
      </c>
      <c r="BE185" s="3" t="e">
        <f t="shared" si="92"/>
        <v>#DIV/0!</v>
      </c>
      <c r="BF185" s="2" t="e">
        <f t="shared" si="93"/>
        <v>#DIV/0!</v>
      </c>
      <c r="BG185" s="3" t="e">
        <f>IF('Entrada e Saida'!$H$11="TRADING",AV185/D185,AN185/D185)</f>
        <v>#DIV/0!</v>
      </c>
      <c r="BH185" s="3" t="e">
        <f>IF('Entrada e Saida'!$H$11="TRADING",IF('Entrada e Saida'!$H$12="REAL",AR185/D185,0),AL185/D185)</f>
        <v>#DIV/0!</v>
      </c>
      <c r="BI185" s="3" t="e">
        <f>IF('Entrada e Saida'!$H$11="TRADING",IF('Entrada e Saida'!$H$12="REAL",AS185/D185,0),AM185/D185)</f>
        <v>#DIV/0!</v>
      </c>
      <c r="BJ185" s="3" t="e">
        <f>IF('Entrada e Saida'!$H$11="TRADING",AT185/D185,AO185/D185)</f>
        <v>#DIV/0!</v>
      </c>
      <c r="BK185" s="2" t="e">
        <f t="shared" si="94"/>
        <v>#DIV/0!</v>
      </c>
      <c r="BL185" s="2">
        <f>IF(O185&gt;0,IFERROR(IF('Entrada e Saida'!$H$11="DIRETA",0,(IF('Entrada e Saida'!$H$14="P.JURIDICA",(BD185*(1+O185)*N185)-((BD185/(1+M185))*'Entrada e Saida'!$G$65),((Produtos!N185-'Entrada e Saida'!$G$65)*Produtos!BD185)))),0),0)</f>
        <v>0</v>
      </c>
      <c r="BM185" s="2" t="e">
        <f t="shared" si="95"/>
        <v>#DIV/0!</v>
      </c>
    </row>
    <row r="186" spans="1:65" s="1" customFormat="1">
      <c r="A186" s="127"/>
      <c r="B186" s="114"/>
      <c r="C186" s="116"/>
      <c r="D186" s="146"/>
      <c r="E186" s="115">
        <f>IFERROR(VLOOKUP(A186,'Master Modelo'!A:I,9,FALSE),0)</f>
        <v>0</v>
      </c>
      <c r="F186" s="189">
        <f>IFERROR(VLOOKUP(A186,'Master Modelo'!A:I,8,FALSE),0)</f>
        <v>0</v>
      </c>
      <c r="G186" s="189">
        <f>IFERROR(VLOOKUP(A186,'Master Modelo'!A:K,11,FALSE),0)</f>
        <v>0</v>
      </c>
      <c r="H186" s="114" t="e">
        <f t="shared" si="78"/>
        <v>#DIV/0!</v>
      </c>
      <c r="I186" s="150">
        <f>IFERROR(VLOOKUP(A186,'Master Modelo'!A:I,3,FALSE),0)</f>
        <v>0</v>
      </c>
      <c r="J186" s="151">
        <f>IFERROR(VLOOKUP(A186,'Master Modelo'!A:I,5,FALSE),0)</f>
        <v>0</v>
      </c>
      <c r="K186" s="151">
        <f>IFERROR(VLOOKUP(A186,'Master Modelo'!A:I,6,FALSE),0)</f>
        <v>0</v>
      </c>
      <c r="L186" s="152" t="e">
        <f>VLOOKUP(A186,'Master Modelo'!A:J,10,FALSE)</f>
        <v>#N/A</v>
      </c>
      <c r="M186" s="150">
        <f>IFERROR(VLOOKUP(A186,'Master Modelo'!A:I,4,FALSE),0)</f>
        <v>0</v>
      </c>
      <c r="N186" s="128"/>
      <c r="O186" s="129"/>
      <c r="P186" s="9">
        <f t="shared" si="79"/>
        <v>0</v>
      </c>
      <c r="Q186" s="177">
        <f t="shared" si="77"/>
        <v>0</v>
      </c>
      <c r="R186" s="3">
        <f>D186*E186*'Entrada e Saida'!$K$8</f>
        <v>0</v>
      </c>
      <c r="S186" s="179" t="e">
        <f>'Entrada e Saida'!$H$21*'Entrada e Saida'!$K$8*(P186/(SUM(P:P)))</f>
        <v>#DIV/0!</v>
      </c>
      <c r="T186" s="179" t="e">
        <f>'Entrada e Saida'!$H$21*'Entrada e Saida'!$K$8*(Q186/(SUM(Q:Q)))</f>
        <v>#DIV/0!</v>
      </c>
      <c r="U186" s="179" t="e">
        <f>'Entrada e Saida'!$H$22*(P186/(SUM(P:P)))</f>
        <v>#DIV/0!</v>
      </c>
      <c r="V186" s="179" t="e">
        <f>'Entrada e Saida'!$H$22*(Q186/(SUM(Q:Q)))</f>
        <v>#DIV/0!</v>
      </c>
      <c r="W186" s="8" t="e">
        <f t="shared" si="80"/>
        <v>#DIV/0!</v>
      </c>
      <c r="X186" s="179" t="e">
        <f>'Entrada e Saida'!$H$26*(IF('Entrada e Saida'!$H$15="PESO",(P186/(SUM(P:P))),(Q186/(SUM(Q:Q)))))</f>
        <v>#DIV/0!</v>
      </c>
      <c r="Y186" s="179" t="e">
        <f>'Entrada e Saida'!$H$27*(IF('Entrada e Saida'!$H$15="PESO",(P186/(SUM(P:P))),(Q186/(SUM(Q:Q)))))</f>
        <v>#DIV/0!</v>
      </c>
      <c r="Z186" s="179" t="e">
        <f>'Entrada e Saida'!$H$28*(IF('Entrada e Saida'!$H$15="PESO",(P186/(SUM(P:P))),(Q186/(SUM(Q:Q)))))</f>
        <v>#DIV/0!</v>
      </c>
      <c r="AA186" s="10" t="e">
        <f t="shared" si="81"/>
        <v>#DIV/0!</v>
      </c>
      <c r="AB186" s="3" t="e">
        <f t="shared" si="82"/>
        <v>#DIV/0!</v>
      </c>
      <c r="AC186" s="3" t="e">
        <f t="shared" si="83"/>
        <v>#DIV/0!</v>
      </c>
      <c r="AD186" s="3" t="e">
        <f t="shared" si="84"/>
        <v>#DIV/0!</v>
      </c>
      <c r="AE186" s="9" t="e">
        <f t="shared" si="85"/>
        <v>#DIV/0!</v>
      </c>
      <c r="AF186" s="126">
        <f>IFERROR(D186*F186*L186*'Entrada e Saida'!$K$8,0)</f>
        <v>0</v>
      </c>
      <c r="AG186" s="3" t="e">
        <f>((W186+AA186+AB186+AC186+AD186+AE186+AF186)/(1-'Entrada e Saida'!$G$65))*'Entrada e Saida'!$I$66</f>
        <v>#DIV/0!</v>
      </c>
      <c r="AH186" s="8" t="e">
        <f t="shared" si="86"/>
        <v>#DIV/0!</v>
      </c>
      <c r="AI186" s="183" t="e">
        <f>'Entrada e Saida'!$K$51*(IF('Entrada e Saida'!$H$15="PESO",(P186/(SUM(P:P))),(Q186/(SUM(Q:Q)))))</f>
        <v>#DIV/0!</v>
      </c>
      <c r="AJ186" s="7">
        <f>(('Entrada e Saida'!$K$10-'Entrada e Saida'!$K$8)*E186*D186)</f>
        <v>0</v>
      </c>
      <c r="AK186" s="184" t="e">
        <f>IF('Entrada e Saida'!$H$15="PESO",W186+AA186+AH186+AI186+AJ186,W186+AA186+AH186+AI186+AJ186-S186+T186-U186+V186)</f>
        <v>#DIV/0!</v>
      </c>
      <c r="AL186" s="6" t="e">
        <f>IF('Entrada e Saida'!$H$12="REAL",AC186,0)</f>
        <v>#DIV/0!</v>
      </c>
      <c r="AM186" s="6" t="e">
        <f>IF('Entrada e Saida'!$H$12="REAL",AD186,0)</f>
        <v>#DIV/0!</v>
      </c>
      <c r="AN186" s="5" t="e">
        <f>IF('Entrada e Saida'!$H$13= "NÃO",AE186,0)</f>
        <v>#DIV/0!</v>
      </c>
      <c r="AO186" s="5" t="e">
        <f t="shared" si="87"/>
        <v>#DIV/0!</v>
      </c>
      <c r="AP186" s="4" t="e">
        <f t="shared" si="88"/>
        <v>#DIV/0!</v>
      </c>
      <c r="AQ186" s="3" t="e">
        <f>IF('Entrada e Saida'!$H$11="TRADING",AU186*'Custo Resumido'!D186,0)</f>
        <v>#DIV/0!</v>
      </c>
      <c r="AR186" s="3" t="e">
        <f>IF('Entrada e Saida'!$H$11="TRADING",AU186*'Entrada e Saida'!$G$63,0)</f>
        <v>#DIV/0!</v>
      </c>
      <c r="AS186" s="3" t="e">
        <f>IF('Entrada e Saida'!$H$11="TRADING",AU186*'Entrada e Saida'!$G$64,0)</f>
        <v>#DIV/0!</v>
      </c>
      <c r="AT186" s="3" t="e">
        <f>IF('Entrada e Saida'!$H$11="TRADING",AU186*'Entrada e Saida'!$G$65,0)</f>
        <v>#DIV/0!</v>
      </c>
      <c r="AU186" s="4" t="e">
        <f>IF('Entrada e Saida'!$H$11="TRADING",AP186/(1-(SUM('Entrada e Saida'!$G$63:$G$65)+'Custo Resumido'!D186)),0)</f>
        <v>#DIV/0!</v>
      </c>
      <c r="AV186" s="3" t="e">
        <f>IF('Entrada e Saida'!$H$13="NÃO",AU186*M186,0)</f>
        <v>#DIV/0!</v>
      </c>
      <c r="AW186" s="4" t="e">
        <f t="shared" si="89"/>
        <v>#DIV/0!</v>
      </c>
      <c r="AX186" s="3" t="e">
        <f>'Entrada e Saida'!$G$74*AU186</f>
        <v>#DIV/0!</v>
      </c>
      <c r="AY186" s="4" t="e">
        <f t="shared" si="90"/>
        <v>#DIV/0!</v>
      </c>
      <c r="AZ186" s="4" t="e">
        <f>AQ186+('Entrada e Saida'!$G$65-'Entrada e Saida'!$I$65)*AU186-AX186</f>
        <v>#DIV/0!</v>
      </c>
      <c r="BA186" s="3" t="e">
        <f>IF('Entrada e Saida'!$H$12="REAL",AZ186*'Entrada e Saida'!$G$81,AU186*'Entrada e Saida'!$G$81)</f>
        <v>#DIV/0!</v>
      </c>
      <c r="BB186" s="3" t="e">
        <f>IF('Entrada e Saida'!$H$12="REAL",AZ186*'Entrada e Saida'!$G$82,AU186*'Entrada e Saida'!$G$82)</f>
        <v>#DIV/0!</v>
      </c>
      <c r="BC186" s="4" t="e">
        <f t="shared" si="91"/>
        <v>#DIV/0!</v>
      </c>
      <c r="BD186" s="3" t="e">
        <f>IF('Entrada e Saida'!$H$11="TRADING",AW186/D186,AK186/D186)</f>
        <v>#DIV/0!</v>
      </c>
      <c r="BE186" s="3" t="e">
        <f t="shared" si="92"/>
        <v>#DIV/0!</v>
      </c>
      <c r="BF186" s="2" t="e">
        <f t="shared" si="93"/>
        <v>#DIV/0!</v>
      </c>
      <c r="BG186" s="3" t="e">
        <f>IF('Entrada e Saida'!$H$11="TRADING",AV186/D186,AN186/D186)</f>
        <v>#DIV/0!</v>
      </c>
      <c r="BH186" s="3" t="e">
        <f>IF('Entrada e Saida'!$H$11="TRADING",IF('Entrada e Saida'!$H$12="REAL",AR186/D186,0),AL186/D186)</f>
        <v>#DIV/0!</v>
      </c>
      <c r="BI186" s="3" t="e">
        <f>IF('Entrada e Saida'!$H$11="TRADING",IF('Entrada e Saida'!$H$12="REAL",AS186/D186,0),AM186/D186)</f>
        <v>#DIV/0!</v>
      </c>
      <c r="BJ186" s="3" t="e">
        <f>IF('Entrada e Saida'!$H$11="TRADING",AT186/D186,AO186/D186)</f>
        <v>#DIV/0!</v>
      </c>
      <c r="BK186" s="2" t="e">
        <f t="shared" si="94"/>
        <v>#DIV/0!</v>
      </c>
      <c r="BL186" s="2">
        <f>IF(O186&gt;0,IFERROR(IF('Entrada e Saida'!$H$11="DIRETA",0,(IF('Entrada e Saida'!$H$14="P.JURIDICA",(BD186*(1+O186)*N186)-((BD186/(1+M186))*'Entrada e Saida'!$G$65),((Produtos!N186-'Entrada e Saida'!$G$65)*Produtos!BD186)))),0),0)</f>
        <v>0</v>
      </c>
      <c r="BM186" s="2" t="e">
        <f t="shared" si="95"/>
        <v>#DIV/0!</v>
      </c>
    </row>
    <row r="187" spans="1:65" s="1" customFormat="1">
      <c r="A187" s="127"/>
      <c r="B187" s="114"/>
      <c r="C187" s="116"/>
      <c r="D187" s="146"/>
      <c r="E187" s="115">
        <f>IFERROR(VLOOKUP(A187,'Master Modelo'!A:I,9,FALSE),0)</f>
        <v>0</v>
      </c>
      <c r="F187" s="189">
        <f>IFERROR(VLOOKUP(A187,'Master Modelo'!A:I,8,FALSE),0)</f>
        <v>0</v>
      </c>
      <c r="G187" s="189">
        <f>IFERROR(VLOOKUP(A187,'Master Modelo'!A:K,11,FALSE),0)</f>
        <v>0</v>
      </c>
      <c r="H187" s="114" t="e">
        <f t="shared" si="78"/>
        <v>#DIV/0!</v>
      </c>
      <c r="I187" s="150">
        <f>IFERROR(VLOOKUP(A187,'Master Modelo'!A:I,3,FALSE),0)</f>
        <v>0</v>
      </c>
      <c r="J187" s="151">
        <f>IFERROR(VLOOKUP(A187,'Master Modelo'!A:I,5,FALSE),0)</f>
        <v>0</v>
      </c>
      <c r="K187" s="151">
        <f>IFERROR(VLOOKUP(A187,'Master Modelo'!A:I,6,FALSE),0)</f>
        <v>0</v>
      </c>
      <c r="L187" s="152" t="e">
        <f>VLOOKUP(A187,'Master Modelo'!A:J,10,FALSE)</f>
        <v>#N/A</v>
      </c>
      <c r="M187" s="150">
        <f>IFERROR(VLOOKUP(A187,'Master Modelo'!A:I,4,FALSE),0)</f>
        <v>0</v>
      </c>
      <c r="N187" s="128"/>
      <c r="O187" s="129"/>
      <c r="P187" s="9">
        <f t="shared" si="79"/>
        <v>0</v>
      </c>
      <c r="Q187" s="177">
        <f t="shared" si="77"/>
        <v>0</v>
      </c>
      <c r="R187" s="3">
        <f>D187*E187*'Entrada e Saida'!$K$8</f>
        <v>0</v>
      </c>
      <c r="S187" s="179" t="e">
        <f>'Entrada e Saida'!$H$21*'Entrada e Saida'!$K$8*(P187/(SUM(P:P)))</f>
        <v>#DIV/0!</v>
      </c>
      <c r="T187" s="179" t="e">
        <f>'Entrada e Saida'!$H$21*'Entrada e Saida'!$K$8*(Q187/(SUM(Q:Q)))</f>
        <v>#DIV/0!</v>
      </c>
      <c r="U187" s="179" t="e">
        <f>'Entrada e Saida'!$H$22*(P187/(SUM(P:P)))</f>
        <v>#DIV/0!</v>
      </c>
      <c r="V187" s="179" t="e">
        <f>'Entrada e Saida'!$H$22*(Q187/(SUM(Q:Q)))</f>
        <v>#DIV/0!</v>
      </c>
      <c r="W187" s="8" t="e">
        <f t="shared" si="80"/>
        <v>#DIV/0!</v>
      </c>
      <c r="X187" s="179" t="e">
        <f>'Entrada e Saida'!$H$26*(IF('Entrada e Saida'!$H$15="PESO",(P187/(SUM(P:P))),(Q187/(SUM(Q:Q)))))</f>
        <v>#DIV/0!</v>
      </c>
      <c r="Y187" s="179" t="e">
        <f>'Entrada e Saida'!$H$27*(IF('Entrada e Saida'!$H$15="PESO",(P187/(SUM(P:P))),(Q187/(SUM(Q:Q)))))</f>
        <v>#DIV/0!</v>
      </c>
      <c r="Z187" s="179" t="e">
        <f>'Entrada e Saida'!$H$28*(IF('Entrada e Saida'!$H$15="PESO",(P187/(SUM(P:P))),(Q187/(SUM(Q:Q)))))</f>
        <v>#DIV/0!</v>
      </c>
      <c r="AA187" s="10" t="e">
        <f t="shared" si="81"/>
        <v>#DIV/0!</v>
      </c>
      <c r="AB187" s="3" t="e">
        <f t="shared" si="82"/>
        <v>#DIV/0!</v>
      </c>
      <c r="AC187" s="3" t="e">
        <f t="shared" si="83"/>
        <v>#DIV/0!</v>
      </c>
      <c r="AD187" s="3" t="e">
        <f t="shared" si="84"/>
        <v>#DIV/0!</v>
      </c>
      <c r="AE187" s="9" t="e">
        <f t="shared" si="85"/>
        <v>#DIV/0!</v>
      </c>
      <c r="AF187" s="126">
        <f>IFERROR(D187*F187*L187*'Entrada e Saida'!$K$8,0)</f>
        <v>0</v>
      </c>
      <c r="AG187" s="3" t="e">
        <f>((W187+AA187+AB187+AC187+AD187+AE187+AF187)/(1-'Entrada e Saida'!$G$65))*'Entrada e Saida'!$I$66</f>
        <v>#DIV/0!</v>
      </c>
      <c r="AH187" s="8" t="e">
        <f t="shared" si="86"/>
        <v>#DIV/0!</v>
      </c>
      <c r="AI187" s="183" t="e">
        <f>'Entrada e Saida'!$K$51*(IF('Entrada e Saida'!$H$15="PESO",(P187/(SUM(P:P))),(Q187/(SUM(Q:Q)))))</f>
        <v>#DIV/0!</v>
      </c>
      <c r="AJ187" s="7">
        <f>(('Entrada e Saida'!$K$10-'Entrada e Saida'!$K$8)*E187*D187)</f>
        <v>0</v>
      </c>
      <c r="AK187" s="184" t="e">
        <f>IF('Entrada e Saida'!$H$15="PESO",W187+AA187+AH187+AI187+AJ187,W187+AA187+AH187+AI187+AJ187-S187+T187-U187+V187)</f>
        <v>#DIV/0!</v>
      </c>
      <c r="AL187" s="6" t="e">
        <f>IF('Entrada e Saida'!$H$12="REAL",AC187,0)</f>
        <v>#DIV/0!</v>
      </c>
      <c r="AM187" s="6" t="e">
        <f>IF('Entrada e Saida'!$H$12="REAL",AD187,0)</f>
        <v>#DIV/0!</v>
      </c>
      <c r="AN187" s="5" t="e">
        <f>IF('Entrada e Saida'!$H$13= "NÃO",AE187,0)</f>
        <v>#DIV/0!</v>
      </c>
      <c r="AO187" s="5" t="e">
        <f t="shared" si="87"/>
        <v>#DIV/0!</v>
      </c>
      <c r="AP187" s="4" t="e">
        <f t="shared" si="88"/>
        <v>#DIV/0!</v>
      </c>
      <c r="AQ187" s="3" t="e">
        <f>IF('Entrada e Saida'!$H$11="TRADING",AU187*'Custo Resumido'!D187,0)</f>
        <v>#DIV/0!</v>
      </c>
      <c r="AR187" s="3" t="e">
        <f>IF('Entrada e Saida'!$H$11="TRADING",AU187*'Entrada e Saida'!$G$63,0)</f>
        <v>#DIV/0!</v>
      </c>
      <c r="AS187" s="3" t="e">
        <f>IF('Entrada e Saida'!$H$11="TRADING",AU187*'Entrada e Saida'!$G$64,0)</f>
        <v>#DIV/0!</v>
      </c>
      <c r="AT187" s="3" t="e">
        <f>IF('Entrada e Saida'!$H$11="TRADING",AU187*'Entrada e Saida'!$G$65,0)</f>
        <v>#DIV/0!</v>
      </c>
      <c r="AU187" s="4" t="e">
        <f>IF('Entrada e Saida'!$H$11="TRADING",AP187/(1-(SUM('Entrada e Saida'!$G$63:$G$65)+'Custo Resumido'!D187)),0)</f>
        <v>#DIV/0!</v>
      </c>
      <c r="AV187" s="3" t="e">
        <f>IF('Entrada e Saida'!$H$13="NÃO",AU187*M187,0)</f>
        <v>#DIV/0!</v>
      </c>
      <c r="AW187" s="4" t="e">
        <f t="shared" si="89"/>
        <v>#DIV/0!</v>
      </c>
      <c r="AX187" s="3" t="e">
        <f>'Entrada e Saida'!$G$74*AU187</f>
        <v>#DIV/0!</v>
      </c>
      <c r="AY187" s="4" t="e">
        <f t="shared" si="90"/>
        <v>#DIV/0!</v>
      </c>
      <c r="AZ187" s="4" t="e">
        <f>AQ187+('Entrada e Saida'!$G$65-'Entrada e Saida'!$I$65)*AU187-AX187</f>
        <v>#DIV/0!</v>
      </c>
      <c r="BA187" s="3" t="e">
        <f>IF('Entrada e Saida'!$H$12="REAL",AZ187*'Entrada e Saida'!$G$81,AU187*'Entrada e Saida'!$G$81)</f>
        <v>#DIV/0!</v>
      </c>
      <c r="BB187" s="3" t="e">
        <f>IF('Entrada e Saida'!$H$12="REAL",AZ187*'Entrada e Saida'!$G$82,AU187*'Entrada e Saida'!$G$82)</f>
        <v>#DIV/0!</v>
      </c>
      <c r="BC187" s="4" t="e">
        <f t="shared" si="91"/>
        <v>#DIV/0!</v>
      </c>
      <c r="BD187" s="3" t="e">
        <f>IF('Entrada e Saida'!$H$11="TRADING",AW187/D187,AK187/D187)</f>
        <v>#DIV/0!</v>
      </c>
      <c r="BE187" s="3" t="e">
        <f t="shared" si="92"/>
        <v>#DIV/0!</v>
      </c>
      <c r="BF187" s="2" t="e">
        <f t="shared" si="93"/>
        <v>#DIV/0!</v>
      </c>
      <c r="BG187" s="3" t="e">
        <f>IF('Entrada e Saida'!$H$11="TRADING",AV187/D187,AN187/D187)</f>
        <v>#DIV/0!</v>
      </c>
      <c r="BH187" s="3" t="e">
        <f>IF('Entrada e Saida'!$H$11="TRADING",IF('Entrada e Saida'!$H$12="REAL",AR187/D187,0),AL187/D187)</f>
        <v>#DIV/0!</v>
      </c>
      <c r="BI187" s="3" t="e">
        <f>IF('Entrada e Saida'!$H$11="TRADING",IF('Entrada e Saida'!$H$12="REAL",AS187/D187,0),AM187/D187)</f>
        <v>#DIV/0!</v>
      </c>
      <c r="BJ187" s="3" t="e">
        <f>IF('Entrada e Saida'!$H$11="TRADING",AT187/D187,AO187/D187)</f>
        <v>#DIV/0!</v>
      </c>
      <c r="BK187" s="2" t="e">
        <f t="shared" si="94"/>
        <v>#DIV/0!</v>
      </c>
      <c r="BL187" s="2">
        <f>IF(O187&gt;0,IFERROR(IF('Entrada e Saida'!$H$11="DIRETA",0,(IF('Entrada e Saida'!$H$14="P.JURIDICA",(BD187*(1+O187)*N187)-((BD187/(1+M187))*'Entrada e Saida'!$G$65),((Produtos!N187-'Entrada e Saida'!$G$65)*Produtos!BD187)))),0),0)</f>
        <v>0</v>
      </c>
      <c r="BM187" s="2" t="e">
        <f t="shared" si="95"/>
        <v>#DIV/0!</v>
      </c>
    </row>
    <row r="188" spans="1:65" s="1" customFormat="1">
      <c r="A188" s="127"/>
      <c r="B188" s="114"/>
      <c r="C188" s="116"/>
      <c r="D188" s="146"/>
      <c r="E188" s="115">
        <f>IFERROR(VLOOKUP(A188,'Master Modelo'!A:I,9,FALSE),0)</f>
        <v>0</v>
      </c>
      <c r="F188" s="189">
        <f>IFERROR(VLOOKUP(A188,'Master Modelo'!A:I,8,FALSE),0)</f>
        <v>0</v>
      </c>
      <c r="G188" s="189">
        <f>IFERROR(VLOOKUP(A188,'Master Modelo'!A:K,11,FALSE),0)</f>
        <v>0</v>
      </c>
      <c r="H188" s="114" t="e">
        <f t="shared" si="78"/>
        <v>#DIV/0!</v>
      </c>
      <c r="I188" s="150">
        <f>IFERROR(VLOOKUP(A188,'Master Modelo'!A:I,3,FALSE),0)</f>
        <v>0</v>
      </c>
      <c r="J188" s="151">
        <f>IFERROR(VLOOKUP(A188,'Master Modelo'!A:I,5,FALSE),0)</f>
        <v>0</v>
      </c>
      <c r="K188" s="151">
        <f>IFERROR(VLOOKUP(A188,'Master Modelo'!A:I,6,FALSE),0)</f>
        <v>0</v>
      </c>
      <c r="L188" s="152" t="e">
        <f>VLOOKUP(A188,'Master Modelo'!A:J,10,FALSE)</f>
        <v>#N/A</v>
      </c>
      <c r="M188" s="150">
        <f>IFERROR(VLOOKUP(A188,'Master Modelo'!A:I,4,FALSE),0)</f>
        <v>0</v>
      </c>
      <c r="N188" s="128"/>
      <c r="O188" s="129"/>
      <c r="P188" s="9">
        <f t="shared" si="79"/>
        <v>0</v>
      </c>
      <c r="Q188" s="177">
        <f t="shared" si="77"/>
        <v>0</v>
      </c>
      <c r="R188" s="3">
        <f>D188*E188*'Entrada e Saida'!$K$8</f>
        <v>0</v>
      </c>
      <c r="S188" s="179" t="e">
        <f>'Entrada e Saida'!$H$21*'Entrada e Saida'!$K$8*(P188/(SUM(P:P)))</f>
        <v>#DIV/0!</v>
      </c>
      <c r="T188" s="179" t="e">
        <f>'Entrada e Saida'!$H$21*'Entrada e Saida'!$K$8*(Q188/(SUM(Q:Q)))</f>
        <v>#DIV/0!</v>
      </c>
      <c r="U188" s="179" t="e">
        <f>'Entrada e Saida'!$H$22*(P188/(SUM(P:P)))</f>
        <v>#DIV/0!</v>
      </c>
      <c r="V188" s="179" t="e">
        <f>'Entrada e Saida'!$H$22*(Q188/(SUM(Q:Q)))</f>
        <v>#DIV/0!</v>
      </c>
      <c r="W188" s="8" t="e">
        <f t="shared" si="80"/>
        <v>#DIV/0!</v>
      </c>
      <c r="X188" s="179" t="e">
        <f>'Entrada e Saida'!$H$26*(IF('Entrada e Saida'!$H$15="PESO",(P188/(SUM(P:P))),(Q188/(SUM(Q:Q)))))</f>
        <v>#DIV/0!</v>
      </c>
      <c r="Y188" s="179" t="e">
        <f>'Entrada e Saida'!$H$27*(IF('Entrada e Saida'!$H$15="PESO",(P188/(SUM(P:P))),(Q188/(SUM(Q:Q)))))</f>
        <v>#DIV/0!</v>
      </c>
      <c r="Z188" s="179" t="e">
        <f>'Entrada e Saida'!$H$28*(IF('Entrada e Saida'!$H$15="PESO",(P188/(SUM(P:P))),(Q188/(SUM(Q:Q)))))</f>
        <v>#DIV/0!</v>
      </c>
      <c r="AA188" s="10" t="e">
        <f t="shared" si="81"/>
        <v>#DIV/0!</v>
      </c>
      <c r="AB188" s="3" t="e">
        <f t="shared" si="82"/>
        <v>#DIV/0!</v>
      </c>
      <c r="AC188" s="3" t="e">
        <f t="shared" si="83"/>
        <v>#DIV/0!</v>
      </c>
      <c r="AD188" s="3" t="e">
        <f t="shared" si="84"/>
        <v>#DIV/0!</v>
      </c>
      <c r="AE188" s="9" t="e">
        <f t="shared" si="85"/>
        <v>#DIV/0!</v>
      </c>
      <c r="AF188" s="126">
        <f>IFERROR(D188*F188*L188*'Entrada e Saida'!$K$8,0)</f>
        <v>0</v>
      </c>
      <c r="AG188" s="3" t="e">
        <f>((W188+AA188+AB188+AC188+AD188+AE188+AF188)/(1-'Entrada e Saida'!$G$65))*'Entrada e Saida'!$I$66</f>
        <v>#DIV/0!</v>
      </c>
      <c r="AH188" s="8" t="e">
        <f t="shared" si="86"/>
        <v>#DIV/0!</v>
      </c>
      <c r="AI188" s="183" t="e">
        <f>'Entrada e Saida'!$K$51*(IF('Entrada e Saida'!$H$15="PESO",(P188/(SUM(P:P))),(Q188/(SUM(Q:Q)))))</f>
        <v>#DIV/0!</v>
      </c>
      <c r="AJ188" s="7">
        <f>(('Entrada e Saida'!$K$10-'Entrada e Saida'!$K$8)*E188*D188)</f>
        <v>0</v>
      </c>
      <c r="AK188" s="184" t="e">
        <f>IF('Entrada e Saida'!$H$15="PESO",W188+AA188+AH188+AI188+AJ188,W188+AA188+AH188+AI188+AJ188-S188+T188-U188+V188)</f>
        <v>#DIV/0!</v>
      </c>
      <c r="AL188" s="6" t="e">
        <f>IF('Entrada e Saida'!$H$12="REAL",AC188,0)</f>
        <v>#DIV/0!</v>
      </c>
      <c r="AM188" s="6" t="e">
        <f>IF('Entrada e Saida'!$H$12="REAL",AD188,0)</f>
        <v>#DIV/0!</v>
      </c>
      <c r="AN188" s="5" t="e">
        <f>IF('Entrada e Saida'!$H$13= "NÃO",AE188,0)</f>
        <v>#DIV/0!</v>
      </c>
      <c r="AO188" s="5" t="e">
        <f t="shared" si="87"/>
        <v>#DIV/0!</v>
      </c>
      <c r="AP188" s="4" t="e">
        <f t="shared" si="88"/>
        <v>#DIV/0!</v>
      </c>
      <c r="AQ188" s="3" t="e">
        <f>IF('Entrada e Saida'!$H$11="TRADING",AU188*'Custo Resumido'!D188,0)</f>
        <v>#DIV/0!</v>
      </c>
      <c r="AR188" s="3" t="e">
        <f>IF('Entrada e Saida'!$H$11="TRADING",AU188*'Entrada e Saida'!$G$63,0)</f>
        <v>#DIV/0!</v>
      </c>
      <c r="AS188" s="3" t="e">
        <f>IF('Entrada e Saida'!$H$11="TRADING",AU188*'Entrada e Saida'!$G$64,0)</f>
        <v>#DIV/0!</v>
      </c>
      <c r="AT188" s="3" t="e">
        <f>IF('Entrada e Saida'!$H$11="TRADING",AU188*'Entrada e Saida'!$G$65,0)</f>
        <v>#DIV/0!</v>
      </c>
      <c r="AU188" s="4" t="e">
        <f>IF('Entrada e Saida'!$H$11="TRADING",AP188/(1-(SUM('Entrada e Saida'!$G$63:$G$65)+'Custo Resumido'!D188)),0)</f>
        <v>#DIV/0!</v>
      </c>
      <c r="AV188" s="3" t="e">
        <f>IF('Entrada e Saida'!$H$13="NÃO",AU188*M188,0)</f>
        <v>#DIV/0!</v>
      </c>
      <c r="AW188" s="4" t="e">
        <f t="shared" si="89"/>
        <v>#DIV/0!</v>
      </c>
      <c r="AX188" s="3" t="e">
        <f>'Entrada e Saida'!$G$74*AU188</f>
        <v>#DIV/0!</v>
      </c>
      <c r="AY188" s="4" t="e">
        <f t="shared" si="90"/>
        <v>#DIV/0!</v>
      </c>
      <c r="AZ188" s="4" t="e">
        <f>AQ188+('Entrada e Saida'!$G$65-'Entrada e Saida'!$I$65)*AU188-AX188</f>
        <v>#DIV/0!</v>
      </c>
      <c r="BA188" s="3" t="e">
        <f>IF('Entrada e Saida'!$H$12="REAL",AZ188*'Entrada e Saida'!$G$81,AU188*'Entrada e Saida'!$G$81)</f>
        <v>#DIV/0!</v>
      </c>
      <c r="BB188" s="3" t="e">
        <f>IF('Entrada e Saida'!$H$12="REAL",AZ188*'Entrada e Saida'!$G$82,AU188*'Entrada e Saida'!$G$82)</f>
        <v>#DIV/0!</v>
      </c>
      <c r="BC188" s="4" t="e">
        <f t="shared" si="91"/>
        <v>#DIV/0!</v>
      </c>
      <c r="BD188" s="3" t="e">
        <f>IF('Entrada e Saida'!$H$11="TRADING",AW188/D188,AK188/D188)</f>
        <v>#DIV/0!</v>
      </c>
      <c r="BE188" s="3" t="e">
        <f t="shared" si="92"/>
        <v>#DIV/0!</v>
      </c>
      <c r="BF188" s="2" t="e">
        <f t="shared" si="93"/>
        <v>#DIV/0!</v>
      </c>
      <c r="BG188" s="3" t="e">
        <f>IF('Entrada e Saida'!$H$11="TRADING",AV188/D188,AN188/D188)</f>
        <v>#DIV/0!</v>
      </c>
      <c r="BH188" s="3" t="e">
        <f>IF('Entrada e Saida'!$H$11="TRADING",IF('Entrada e Saida'!$H$12="REAL",AR188/D188,0),AL188/D188)</f>
        <v>#DIV/0!</v>
      </c>
      <c r="BI188" s="3" t="e">
        <f>IF('Entrada e Saida'!$H$11="TRADING",IF('Entrada e Saida'!$H$12="REAL",AS188/D188,0),AM188/D188)</f>
        <v>#DIV/0!</v>
      </c>
      <c r="BJ188" s="3" t="e">
        <f>IF('Entrada e Saida'!$H$11="TRADING",AT188/D188,AO188/D188)</f>
        <v>#DIV/0!</v>
      </c>
      <c r="BK188" s="2" t="e">
        <f t="shared" si="94"/>
        <v>#DIV/0!</v>
      </c>
      <c r="BL188" s="2">
        <f>IF(O188&gt;0,IFERROR(IF('Entrada e Saida'!$H$11="DIRETA",0,(IF('Entrada e Saida'!$H$14="P.JURIDICA",(BD188*(1+O188)*N188)-((BD188/(1+M188))*'Entrada e Saida'!$G$65),((Produtos!N188-'Entrada e Saida'!$G$65)*Produtos!BD188)))),0),0)</f>
        <v>0</v>
      </c>
      <c r="BM188" s="2" t="e">
        <f t="shared" si="95"/>
        <v>#DIV/0!</v>
      </c>
    </row>
    <row r="189" spans="1:65" s="1" customFormat="1">
      <c r="A189" s="127"/>
      <c r="B189" s="114"/>
      <c r="C189" s="116"/>
      <c r="D189" s="146"/>
      <c r="E189" s="115">
        <f>IFERROR(VLOOKUP(A189,'Master Modelo'!A:I,9,FALSE),0)</f>
        <v>0</v>
      </c>
      <c r="F189" s="189">
        <f>IFERROR(VLOOKUP(A189,'Master Modelo'!A:I,8,FALSE),0)</f>
        <v>0</v>
      </c>
      <c r="G189" s="189">
        <f>IFERROR(VLOOKUP(A189,'Master Modelo'!A:K,11,FALSE),0)</f>
        <v>0</v>
      </c>
      <c r="H189" s="114" t="e">
        <f t="shared" si="78"/>
        <v>#DIV/0!</v>
      </c>
      <c r="I189" s="150">
        <f>IFERROR(VLOOKUP(A189,'Master Modelo'!A:I,3,FALSE),0)</f>
        <v>0</v>
      </c>
      <c r="J189" s="151">
        <f>IFERROR(VLOOKUP(A189,'Master Modelo'!A:I,5,FALSE),0)</f>
        <v>0</v>
      </c>
      <c r="K189" s="151">
        <f>IFERROR(VLOOKUP(A189,'Master Modelo'!A:I,6,FALSE),0)</f>
        <v>0</v>
      </c>
      <c r="L189" s="152" t="e">
        <f>VLOOKUP(A189,'Master Modelo'!A:J,10,FALSE)</f>
        <v>#N/A</v>
      </c>
      <c r="M189" s="150">
        <f>IFERROR(VLOOKUP(A189,'Master Modelo'!A:I,4,FALSE),0)</f>
        <v>0</v>
      </c>
      <c r="N189" s="128"/>
      <c r="O189" s="129"/>
      <c r="P189" s="9">
        <f t="shared" si="79"/>
        <v>0</v>
      </c>
      <c r="Q189" s="177">
        <f t="shared" si="77"/>
        <v>0</v>
      </c>
      <c r="R189" s="3">
        <f>D189*E189*'Entrada e Saida'!$K$8</f>
        <v>0</v>
      </c>
      <c r="S189" s="179" t="e">
        <f>'Entrada e Saida'!$H$21*'Entrada e Saida'!$K$8*(P189/(SUM(P:P)))</f>
        <v>#DIV/0!</v>
      </c>
      <c r="T189" s="179" t="e">
        <f>'Entrada e Saida'!$H$21*'Entrada e Saida'!$K$8*(Q189/(SUM(Q:Q)))</f>
        <v>#DIV/0!</v>
      </c>
      <c r="U189" s="179" t="e">
        <f>'Entrada e Saida'!$H$22*(P189/(SUM(P:P)))</f>
        <v>#DIV/0!</v>
      </c>
      <c r="V189" s="179" t="e">
        <f>'Entrada e Saida'!$H$22*(Q189/(SUM(Q:Q)))</f>
        <v>#DIV/0!</v>
      </c>
      <c r="W189" s="8" t="e">
        <f t="shared" si="80"/>
        <v>#DIV/0!</v>
      </c>
      <c r="X189" s="179" t="e">
        <f>'Entrada e Saida'!$H$26*(IF('Entrada e Saida'!$H$15="PESO",(P189/(SUM(P:P))),(Q189/(SUM(Q:Q)))))</f>
        <v>#DIV/0!</v>
      </c>
      <c r="Y189" s="179" t="e">
        <f>'Entrada e Saida'!$H$27*(IF('Entrada e Saida'!$H$15="PESO",(P189/(SUM(P:P))),(Q189/(SUM(Q:Q)))))</f>
        <v>#DIV/0!</v>
      </c>
      <c r="Z189" s="179" t="e">
        <f>'Entrada e Saida'!$H$28*(IF('Entrada e Saida'!$H$15="PESO",(P189/(SUM(P:P))),(Q189/(SUM(Q:Q)))))</f>
        <v>#DIV/0!</v>
      </c>
      <c r="AA189" s="10" t="e">
        <f t="shared" si="81"/>
        <v>#DIV/0!</v>
      </c>
      <c r="AB189" s="3" t="e">
        <f t="shared" si="82"/>
        <v>#DIV/0!</v>
      </c>
      <c r="AC189" s="3" t="e">
        <f t="shared" si="83"/>
        <v>#DIV/0!</v>
      </c>
      <c r="AD189" s="3" t="e">
        <f t="shared" si="84"/>
        <v>#DIV/0!</v>
      </c>
      <c r="AE189" s="9" t="e">
        <f t="shared" si="85"/>
        <v>#DIV/0!</v>
      </c>
      <c r="AF189" s="126">
        <f>IFERROR(D189*F189*L189*'Entrada e Saida'!$K$8,0)</f>
        <v>0</v>
      </c>
      <c r="AG189" s="3" t="e">
        <f>((W189+AA189+AB189+AC189+AD189+AE189+AF189)/(1-'Entrada e Saida'!$G$65))*'Entrada e Saida'!$I$66</f>
        <v>#DIV/0!</v>
      </c>
      <c r="AH189" s="8" t="e">
        <f t="shared" si="86"/>
        <v>#DIV/0!</v>
      </c>
      <c r="AI189" s="183" t="e">
        <f>'Entrada e Saida'!$K$51*(IF('Entrada e Saida'!$H$15="PESO",(P189/(SUM(P:P))),(Q189/(SUM(Q:Q)))))</f>
        <v>#DIV/0!</v>
      </c>
      <c r="AJ189" s="7">
        <f>(('Entrada e Saida'!$K$10-'Entrada e Saida'!$K$8)*E189*D189)</f>
        <v>0</v>
      </c>
      <c r="AK189" s="184" t="e">
        <f>IF('Entrada e Saida'!$H$15="PESO",W189+AA189+AH189+AI189+AJ189,W189+AA189+AH189+AI189+AJ189-S189+T189-U189+V189)</f>
        <v>#DIV/0!</v>
      </c>
      <c r="AL189" s="6" t="e">
        <f>IF('Entrada e Saida'!$H$12="REAL",AC189,0)</f>
        <v>#DIV/0!</v>
      </c>
      <c r="AM189" s="6" t="e">
        <f>IF('Entrada e Saida'!$H$12="REAL",AD189,0)</f>
        <v>#DIV/0!</v>
      </c>
      <c r="AN189" s="5" t="e">
        <f>IF('Entrada e Saida'!$H$13= "NÃO",AE189,0)</f>
        <v>#DIV/0!</v>
      </c>
      <c r="AO189" s="5" t="e">
        <f t="shared" si="87"/>
        <v>#DIV/0!</v>
      </c>
      <c r="AP189" s="4" t="e">
        <f t="shared" si="88"/>
        <v>#DIV/0!</v>
      </c>
      <c r="AQ189" s="3" t="e">
        <f>IF('Entrada e Saida'!$H$11="TRADING",AU189*'Custo Resumido'!D189,0)</f>
        <v>#DIV/0!</v>
      </c>
      <c r="AR189" s="3" t="e">
        <f>IF('Entrada e Saida'!$H$11="TRADING",AU189*'Entrada e Saida'!$G$63,0)</f>
        <v>#DIV/0!</v>
      </c>
      <c r="AS189" s="3" t="e">
        <f>IF('Entrada e Saida'!$H$11="TRADING",AU189*'Entrada e Saida'!$G$64,0)</f>
        <v>#DIV/0!</v>
      </c>
      <c r="AT189" s="3" t="e">
        <f>IF('Entrada e Saida'!$H$11="TRADING",AU189*'Entrada e Saida'!$G$65,0)</f>
        <v>#DIV/0!</v>
      </c>
      <c r="AU189" s="4" t="e">
        <f>IF('Entrada e Saida'!$H$11="TRADING",AP189/(1-(SUM('Entrada e Saida'!$G$63:$G$65)+'Custo Resumido'!D189)),0)</f>
        <v>#DIV/0!</v>
      </c>
      <c r="AV189" s="3" t="e">
        <f>IF('Entrada e Saida'!$H$13="NÃO",AU189*M189,0)</f>
        <v>#DIV/0!</v>
      </c>
      <c r="AW189" s="4" t="e">
        <f t="shared" si="89"/>
        <v>#DIV/0!</v>
      </c>
      <c r="AX189" s="3" t="e">
        <f>'Entrada e Saida'!$G$74*AU189</f>
        <v>#DIV/0!</v>
      </c>
      <c r="AY189" s="4" t="e">
        <f t="shared" si="90"/>
        <v>#DIV/0!</v>
      </c>
      <c r="AZ189" s="4" t="e">
        <f>AQ189+('Entrada e Saida'!$G$65-'Entrada e Saida'!$I$65)*AU189-AX189</f>
        <v>#DIV/0!</v>
      </c>
      <c r="BA189" s="3" t="e">
        <f>IF('Entrada e Saida'!$H$12="REAL",AZ189*'Entrada e Saida'!$G$81,AU189*'Entrada e Saida'!$G$81)</f>
        <v>#DIV/0!</v>
      </c>
      <c r="BB189" s="3" t="e">
        <f>IF('Entrada e Saida'!$H$12="REAL",AZ189*'Entrada e Saida'!$G$82,AU189*'Entrada e Saida'!$G$82)</f>
        <v>#DIV/0!</v>
      </c>
      <c r="BC189" s="4" t="e">
        <f t="shared" si="91"/>
        <v>#DIV/0!</v>
      </c>
      <c r="BD189" s="3" t="e">
        <f>IF('Entrada e Saida'!$H$11="TRADING",AW189/D189,AK189/D189)</f>
        <v>#DIV/0!</v>
      </c>
      <c r="BE189" s="3" t="e">
        <f t="shared" si="92"/>
        <v>#DIV/0!</v>
      </c>
      <c r="BF189" s="2" t="e">
        <f t="shared" si="93"/>
        <v>#DIV/0!</v>
      </c>
      <c r="BG189" s="3" t="e">
        <f>IF('Entrada e Saida'!$H$11="TRADING",AV189/D189,AN189/D189)</f>
        <v>#DIV/0!</v>
      </c>
      <c r="BH189" s="3" t="e">
        <f>IF('Entrada e Saida'!$H$11="TRADING",IF('Entrada e Saida'!$H$12="REAL",AR189/D189,0),AL189/D189)</f>
        <v>#DIV/0!</v>
      </c>
      <c r="BI189" s="3" t="e">
        <f>IF('Entrada e Saida'!$H$11="TRADING",IF('Entrada e Saida'!$H$12="REAL",AS189/D189,0),AM189/D189)</f>
        <v>#DIV/0!</v>
      </c>
      <c r="BJ189" s="3" t="e">
        <f>IF('Entrada e Saida'!$H$11="TRADING",AT189/D189,AO189/D189)</f>
        <v>#DIV/0!</v>
      </c>
      <c r="BK189" s="2" t="e">
        <f t="shared" si="94"/>
        <v>#DIV/0!</v>
      </c>
      <c r="BL189" s="2">
        <f>IF(O189&gt;0,IFERROR(IF('Entrada e Saida'!$H$11="DIRETA",0,(IF('Entrada e Saida'!$H$14="P.JURIDICA",(BD189*(1+O189)*N189)-((BD189/(1+M189))*'Entrada e Saida'!$G$65),((Produtos!N189-'Entrada e Saida'!$G$65)*Produtos!BD189)))),0),0)</f>
        <v>0</v>
      </c>
      <c r="BM189" s="2" t="e">
        <f t="shared" si="95"/>
        <v>#DIV/0!</v>
      </c>
    </row>
    <row r="190" spans="1:65" s="1" customFormat="1">
      <c r="A190" s="127"/>
      <c r="B190" s="114"/>
      <c r="C190" s="116"/>
      <c r="D190" s="146"/>
      <c r="E190" s="115">
        <f>IFERROR(VLOOKUP(A190,'Master Modelo'!A:I,9,FALSE),0)</f>
        <v>0</v>
      </c>
      <c r="F190" s="189">
        <f>IFERROR(VLOOKUP(A190,'Master Modelo'!A:I,8,FALSE),0)</f>
        <v>0</v>
      </c>
      <c r="G190" s="189">
        <f>IFERROR(VLOOKUP(A190,'Master Modelo'!A:K,11,FALSE),0)</f>
        <v>0</v>
      </c>
      <c r="H190" s="114" t="e">
        <f t="shared" si="78"/>
        <v>#DIV/0!</v>
      </c>
      <c r="I190" s="150">
        <f>IFERROR(VLOOKUP(A190,'Master Modelo'!A:I,3,FALSE),0)</f>
        <v>0</v>
      </c>
      <c r="J190" s="151">
        <f>IFERROR(VLOOKUP(A190,'Master Modelo'!A:I,5,FALSE),0)</f>
        <v>0</v>
      </c>
      <c r="K190" s="151">
        <f>IFERROR(VLOOKUP(A190,'Master Modelo'!A:I,6,FALSE),0)</f>
        <v>0</v>
      </c>
      <c r="L190" s="152" t="e">
        <f>VLOOKUP(A190,'Master Modelo'!A:J,10,FALSE)</f>
        <v>#N/A</v>
      </c>
      <c r="M190" s="150">
        <f>IFERROR(VLOOKUP(A190,'Master Modelo'!A:I,4,FALSE),0)</f>
        <v>0</v>
      </c>
      <c r="N190" s="128"/>
      <c r="O190" s="129"/>
      <c r="P190" s="9">
        <f t="shared" si="79"/>
        <v>0</v>
      </c>
      <c r="Q190" s="177">
        <f t="shared" si="77"/>
        <v>0</v>
      </c>
      <c r="R190" s="3">
        <f>D190*E190*'Entrada e Saida'!$K$8</f>
        <v>0</v>
      </c>
      <c r="S190" s="179" t="e">
        <f>'Entrada e Saida'!$H$21*'Entrada e Saida'!$K$8*(P190/(SUM(P:P)))</f>
        <v>#DIV/0!</v>
      </c>
      <c r="T190" s="179" t="e">
        <f>'Entrada e Saida'!$H$21*'Entrada e Saida'!$K$8*(Q190/(SUM(Q:Q)))</f>
        <v>#DIV/0!</v>
      </c>
      <c r="U190" s="179" t="e">
        <f>'Entrada e Saida'!$H$22*(P190/(SUM(P:P)))</f>
        <v>#DIV/0!</v>
      </c>
      <c r="V190" s="179" t="e">
        <f>'Entrada e Saida'!$H$22*(Q190/(SUM(Q:Q)))</f>
        <v>#DIV/0!</v>
      </c>
      <c r="W190" s="8" t="e">
        <f t="shared" si="80"/>
        <v>#DIV/0!</v>
      </c>
      <c r="X190" s="179" t="e">
        <f>'Entrada e Saida'!$H$26*(IF('Entrada e Saida'!$H$15="PESO",(P190/(SUM(P:P))),(Q190/(SUM(Q:Q)))))</f>
        <v>#DIV/0!</v>
      </c>
      <c r="Y190" s="179" t="e">
        <f>'Entrada e Saida'!$H$27*(IF('Entrada e Saida'!$H$15="PESO",(P190/(SUM(P:P))),(Q190/(SUM(Q:Q)))))</f>
        <v>#DIV/0!</v>
      </c>
      <c r="Z190" s="179" t="e">
        <f>'Entrada e Saida'!$H$28*(IF('Entrada e Saida'!$H$15="PESO",(P190/(SUM(P:P))),(Q190/(SUM(Q:Q)))))</f>
        <v>#DIV/0!</v>
      </c>
      <c r="AA190" s="10" t="e">
        <f t="shared" si="81"/>
        <v>#DIV/0!</v>
      </c>
      <c r="AB190" s="3" t="e">
        <f t="shared" si="82"/>
        <v>#DIV/0!</v>
      </c>
      <c r="AC190" s="3" t="e">
        <f t="shared" si="83"/>
        <v>#DIV/0!</v>
      </c>
      <c r="AD190" s="3" t="e">
        <f t="shared" si="84"/>
        <v>#DIV/0!</v>
      </c>
      <c r="AE190" s="9" t="e">
        <f t="shared" si="85"/>
        <v>#DIV/0!</v>
      </c>
      <c r="AF190" s="126">
        <f>IFERROR(D190*F190*L190*'Entrada e Saida'!$K$8,0)</f>
        <v>0</v>
      </c>
      <c r="AG190" s="3" t="e">
        <f>((W190+AA190+AB190+AC190+AD190+AE190+AF190)/(1-'Entrada e Saida'!$G$65))*'Entrada e Saida'!$I$66</f>
        <v>#DIV/0!</v>
      </c>
      <c r="AH190" s="8" t="e">
        <f t="shared" si="86"/>
        <v>#DIV/0!</v>
      </c>
      <c r="AI190" s="183" t="e">
        <f>'Entrada e Saida'!$K$51*(IF('Entrada e Saida'!$H$15="PESO",(P190/(SUM(P:P))),(Q190/(SUM(Q:Q)))))</f>
        <v>#DIV/0!</v>
      </c>
      <c r="AJ190" s="7">
        <f>(('Entrada e Saida'!$K$10-'Entrada e Saida'!$K$8)*E190*D190)</f>
        <v>0</v>
      </c>
      <c r="AK190" s="184" t="e">
        <f>IF('Entrada e Saida'!$H$15="PESO",W190+AA190+AH190+AI190+AJ190,W190+AA190+AH190+AI190+AJ190-S190+T190-U190+V190)</f>
        <v>#DIV/0!</v>
      </c>
      <c r="AL190" s="6" t="e">
        <f>IF('Entrada e Saida'!$H$12="REAL",AC190,0)</f>
        <v>#DIV/0!</v>
      </c>
      <c r="AM190" s="6" t="e">
        <f>IF('Entrada e Saida'!$H$12="REAL",AD190,0)</f>
        <v>#DIV/0!</v>
      </c>
      <c r="AN190" s="5" t="e">
        <f>IF('Entrada e Saida'!$H$13= "NÃO",AE190,0)</f>
        <v>#DIV/0!</v>
      </c>
      <c r="AO190" s="5" t="e">
        <f t="shared" si="87"/>
        <v>#DIV/0!</v>
      </c>
      <c r="AP190" s="4" t="e">
        <f t="shared" si="88"/>
        <v>#DIV/0!</v>
      </c>
      <c r="AQ190" s="3" t="e">
        <f>IF('Entrada e Saida'!$H$11="TRADING",AU190*'Custo Resumido'!D190,0)</f>
        <v>#DIV/0!</v>
      </c>
      <c r="AR190" s="3" t="e">
        <f>IF('Entrada e Saida'!$H$11="TRADING",AU190*'Entrada e Saida'!$G$63,0)</f>
        <v>#DIV/0!</v>
      </c>
      <c r="AS190" s="3" t="e">
        <f>IF('Entrada e Saida'!$H$11="TRADING",AU190*'Entrada e Saida'!$G$64,0)</f>
        <v>#DIV/0!</v>
      </c>
      <c r="AT190" s="3" t="e">
        <f>IF('Entrada e Saida'!$H$11="TRADING",AU190*'Entrada e Saida'!$G$65,0)</f>
        <v>#DIV/0!</v>
      </c>
      <c r="AU190" s="4" t="e">
        <f>IF('Entrada e Saida'!$H$11="TRADING",AP190/(1-(SUM('Entrada e Saida'!$G$63:$G$65)+'Custo Resumido'!D190)),0)</f>
        <v>#DIV/0!</v>
      </c>
      <c r="AV190" s="3" t="e">
        <f>IF('Entrada e Saida'!$H$13="NÃO",AU190*M190,0)</f>
        <v>#DIV/0!</v>
      </c>
      <c r="AW190" s="4" t="e">
        <f t="shared" si="89"/>
        <v>#DIV/0!</v>
      </c>
      <c r="AX190" s="3" t="e">
        <f>'Entrada e Saida'!$G$74*AU190</f>
        <v>#DIV/0!</v>
      </c>
      <c r="AY190" s="4" t="e">
        <f t="shared" si="90"/>
        <v>#DIV/0!</v>
      </c>
      <c r="AZ190" s="4" t="e">
        <f>AQ190+('Entrada e Saida'!$G$65-'Entrada e Saida'!$I$65)*AU190-AX190</f>
        <v>#DIV/0!</v>
      </c>
      <c r="BA190" s="3" t="e">
        <f>IF('Entrada e Saida'!$H$12="REAL",AZ190*'Entrada e Saida'!$G$81,AU190*'Entrada e Saida'!$G$81)</f>
        <v>#DIV/0!</v>
      </c>
      <c r="BB190" s="3" t="e">
        <f>IF('Entrada e Saida'!$H$12="REAL",AZ190*'Entrada e Saida'!$G$82,AU190*'Entrada e Saida'!$G$82)</f>
        <v>#DIV/0!</v>
      </c>
      <c r="BC190" s="4" t="e">
        <f t="shared" si="91"/>
        <v>#DIV/0!</v>
      </c>
      <c r="BD190" s="3" t="e">
        <f>IF('Entrada e Saida'!$H$11="TRADING",AW190/D190,AK190/D190)</f>
        <v>#DIV/0!</v>
      </c>
      <c r="BE190" s="3" t="e">
        <f t="shared" si="92"/>
        <v>#DIV/0!</v>
      </c>
      <c r="BF190" s="2" t="e">
        <f t="shared" si="93"/>
        <v>#DIV/0!</v>
      </c>
      <c r="BG190" s="3" t="e">
        <f>IF('Entrada e Saida'!$H$11="TRADING",AV190/D190,AN190/D190)</f>
        <v>#DIV/0!</v>
      </c>
      <c r="BH190" s="3" t="e">
        <f>IF('Entrada e Saida'!$H$11="TRADING",IF('Entrada e Saida'!$H$12="REAL",AR190/D190,0),AL190/D190)</f>
        <v>#DIV/0!</v>
      </c>
      <c r="BI190" s="3" t="e">
        <f>IF('Entrada e Saida'!$H$11="TRADING",IF('Entrada e Saida'!$H$12="REAL",AS190/D190,0),AM190/D190)</f>
        <v>#DIV/0!</v>
      </c>
      <c r="BJ190" s="3" t="e">
        <f>IF('Entrada e Saida'!$H$11="TRADING",AT190/D190,AO190/D190)</f>
        <v>#DIV/0!</v>
      </c>
      <c r="BK190" s="2" t="e">
        <f t="shared" si="94"/>
        <v>#DIV/0!</v>
      </c>
      <c r="BL190" s="2">
        <f>IF(O190&gt;0,IFERROR(IF('Entrada e Saida'!$H$11="DIRETA",0,(IF('Entrada e Saida'!$H$14="P.JURIDICA",(BD190*(1+O190)*N190)-((BD190/(1+M190))*'Entrada e Saida'!$G$65),((Produtos!N190-'Entrada e Saida'!$G$65)*Produtos!BD190)))),0),0)</f>
        <v>0</v>
      </c>
      <c r="BM190" s="2" t="e">
        <f t="shared" si="95"/>
        <v>#DIV/0!</v>
      </c>
    </row>
    <row r="191" spans="1:65" s="1" customFormat="1">
      <c r="A191" s="127"/>
      <c r="B191" s="114"/>
      <c r="C191" s="116"/>
      <c r="D191" s="146"/>
      <c r="E191" s="115">
        <f>IFERROR(VLOOKUP(A191,'Master Modelo'!A:I,9,FALSE),0)</f>
        <v>0</v>
      </c>
      <c r="F191" s="189">
        <f>IFERROR(VLOOKUP(A191,'Master Modelo'!A:I,8,FALSE),0)</f>
        <v>0</v>
      </c>
      <c r="G191" s="189">
        <f>IFERROR(VLOOKUP(A191,'Master Modelo'!A:K,11,FALSE),0)</f>
        <v>0</v>
      </c>
      <c r="H191" s="114" t="e">
        <f t="shared" si="78"/>
        <v>#DIV/0!</v>
      </c>
      <c r="I191" s="150">
        <f>IFERROR(VLOOKUP(A191,'Master Modelo'!A:I,3,FALSE),0)</f>
        <v>0</v>
      </c>
      <c r="J191" s="151">
        <f>IFERROR(VLOOKUP(A191,'Master Modelo'!A:I,5,FALSE),0)</f>
        <v>0</v>
      </c>
      <c r="K191" s="151">
        <f>IFERROR(VLOOKUP(A191,'Master Modelo'!A:I,6,FALSE),0)</f>
        <v>0</v>
      </c>
      <c r="L191" s="152" t="e">
        <f>VLOOKUP(A191,'Master Modelo'!A:J,10,FALSE)</f>
        <v>#N/A</v>
      </c>
      <c r="M191" s="150">
        <f>IFERROR(VLOOKUP(A191,'Master Modelo'!A:I,4,FALSE),0)</f>
        <v>0</v>
      </c>
      <c r="N191" s="128"/>
      <c r="O191" s="129"/>
      <c r="P191" s="9">
        <f t="shared" si="79"/>
        <v>0</v>
      </c>
      <c r="Q191" s="177">
        <f t="shared" si="77"/>
        <v>0</v>
      </c>
      <c r="R191" s="3">
        <f>D191*E191*'Entrada e Saida'!$K$8</f>
        <v>0</v>
      </c>
      <c r="S191" s="179" t="e">
        <f>'Entrada e Saida'!$H$21*'Entrada e Saida'!$K$8*(P191/(SUM(P:P)))</f>
        <v>#DIV/0!</v>
      </c>
      <c r="T191" s="179" t="e">
        <f>'Entrada e Saida'!$H$21*'Entrada e Saida'!$K$8*(Q191/(SUM(Q:Q)))</f>
        <v>#DIV/0!</v>
      </c>
      <c r="U191" s="179" t="e">
        <f>'Entrada e Saida'!$H$22*(P191/(SUM(P:P)))</f>
        <v>#DIV/0!</v>
      </c>
      <c r="V191" s="179" t="e">
        <f>'Entrada e Saida'!$H$22*(Q191/(SUM(Q:Q)))</f>
        <v>#DIV/0!</v>
      </c>
      <c r="W191" s="8" t="e">
        <f t="shared" si="80"/>
        <v>#DIV/0!</v>
      </c>
      <c r="X191" s="179" t="e">
        <f>'Entrada e Saida'!$H$26*(IF('Entrada e Saida'!$H$15="PESO",(P191/(SUM(P:P))),(Q191/(SUM(Q:Q)))))</f>
        <v>#DIV/0!</v>
      </c>
      <c r="Y191" s="179" t="e">
        <f>'Entrada e Saida'!$H$27*(IF('Entrada e Saida'!$H$15="PESO",(P191/(SUM(P:P))),(Q191/(SUM(Q:Q)))))</f>
        <v>#DIV/0!</v>
      </c>
      <c r="Z191" s="179" t="e">
        <f>'Entrada e Saida'!$H$28*(IF('Entrada e Saida'!$H$15="PESO",(P191/(SUM(P:P))),(Q191/(SUM(Q:Q)))))</f>
        <v>#DIV/0!</v>
      </c>
      <c r="AA191" s="10" t="e">
        <f t="shared" si="81"/>
        <v>#DIV/0!</v>
      </c>
      <c r="AB191" s="3" t="e">
        <f t="shared" si="82"/>
        <v>#DIV/0!</v>
      </c>
      <c r="AC191" s="3" t="e">
        <f t="shared" si="83"/>
        <v>#DIV/0!</v>
      </c>
      <c r="AD191" s="3" t="e">
        <f t="shared" si="84"/>
        <v>#DIV/0!</v>
      </c>
      <c r="AE191" s="9" t="e">
        <f t="shared" si="85"/>
        <v>#DIV/0!</v>
      </c>
      <c r="AF191" s="126">
        <f>IFERROR(D191*F191*L191*'Entrada e Saida'!$K$8,0)</f>
        <v>0</v>
      </c>
      <c r="AG191" s="3" t="e">
        <f>((W191+AA191+AB191+AC191+AD191+AE191+AF191)/(1-'Entrada e Saida'!$G$65))*'Entrada e Saida'!$I$66</f>
        <v>#DIV/0!</v>
      </c>
      <c r="AH191" s="8" t="e">
        <f t="shared" si="86"/>
        <v>#DIV/0!</v>
      </c>
      <c r="AI191" s="183" t="e">
        <f>'Entrada e Saida'!$K$51*(IF('Entrada e Saida'!$H$15="PESO",(P191/(SUM(P:P))),(Q191/(SUM(Q:Q)))))</f>
        <v>#DIV/0!</v>
      </c>
      <c r="AJ191" s="7">
        <f>(('Entrada e Saida'!$K$10-'Entrada e Saida'!$K$8)*E191*D191)</f>
        <v>0</v>
      </c>
      <c r="AK191" s="184" t="e">
        <f>IF('Entrada e Saida'!$H$15="PESO",W191+AA191+AH191+AI191+AJ191,W191+AA191+AH191+AI191+AJ191-S191+T191-U191+V191)</f>
        <v>#DIV/0!</v>
      </c>
      <c r="AL191" s="6" t="e">
        <f>IF('Entrada e Saida'!$H$12="REAL",AC191,0)</f>
        <v>#DIV/0!</v>
      </c>
      <c r="AM191" s="6" t="e">
        <f>IF('Entrada e Saida'!$H$12="REAL",AD191,0)</f>
        <v>#DIV/0!</v>
      </c>
      <c r="AN191" s="5" t="e">
        <f>IF('Entrada e Saida'!$H$13= "NÃO",AE191,0)</f>
        <v>#DIV/0!</v>
      </c>
      <c r="AO191" s="5" t="e">
        <f t="shared" si="87"/>
        <v>#DIV/0!</v>
      </c>
      <c r="AP191" s="4" t="e">
        <f t="shared" si="88"/>
        <v>#DIV/0!</v>
      </c>
      <c r="AQ191" s="3" t="e">
        <f>IF('Entrada e Saida'!$H$11="TRADING",AU191*'Custo Resumido'!D191,0)</f>
        <v>#DIV/0!</v>
      </c>
      <c r="AR191" s="3" t="e">
        <f>IF('Entrada e Saida'!$H$11="TRADING",AU191*'Entrada e Saida'!$G$63,0)</f>
        <v>#DIV/0!</v>
      </c>
      <c r="AS191" s="3" t="e">
        <f>IF('Entrada e Saida'!$H$11="TRADING",AU191*'Entrada e Saida'!$G$64,0)</f>
        <v>#DIV/0!</v>
      </c>
      <c r="AT191" s="3" t="e">
        <f>IF('Entrada e Saida'!$H$11="TRADING",AU191*'Entrada e Saida'!$G$65,0)</f>
        <v>#DIV/0!</v>
      </c>
      <c r="AU191" s="4" t="e">
        <f>IF('Entrada e Saida'!$H$11="TRADING",AP191/(1-(SUM('Entrada e Saida'!$G$63:$G$65)+'Custo Resumido'!D191)),0)</f>
        <v>#DIV/0!</v>
      </c>
      <c r="AV191" s="3" t="e">
        <f>IF('Entrada e Saida'!$H$13="NÃO",AU191*M191,0)</f>
        <v>#DIV/0!</v>
      </c>
      <c r="AW191" s="4" t="e">
        <f t="shared" si="89"/>
        <v>#DIV/0!</v>
      </c>
      <c r="AX191" s="3" t="e">
        <f>'Entrada e Saida'!$G$74*AU191</f>
        <v>#DIV/0!</v>
      </c>
      <c r="AY191" s="4" t="e">
        <f t="shared" si="90"/>
        <v>#DIV/0!</v>
      </c>
      <c r="AZ191" s="4" t="e">
        <f>AQ191+('Entrada e Saida'!$G$65-'Entrada e Saida'!$I$65)*AU191-AX191</f>
        <v>#DIV/0!</v>
      </c>
      <c r="BA191" s="3" t="e">
        <f>IF('Entrada e Saida'!$H$12="REAL",AZ191*'Entrada e Saida'!$G$81,AU191*'Entrada e Saida'!$G$81)</f>
        <v>#DIV/0!</v>
      </c>
      <c r="BB191" s="3" t="e">
        <f>IF('Entrada e Saida'!$H$12="REAL",AZ191*'Entrada e Saida'!$G$82,AU191*'Entrada e Saida'!$G$82)</f>
        <v>#DIV/0!</v>
      </c>
      <c r="BC191" s="4" t="e">
        <f t="shared" si="91"/>
        <v>#DIV/0!</v>
      </c>
      <c r="BD191" s="3" t="e">
        <f>IF('Entrada e Saida'!$H$11="TRADING",AW191/D191,AK191/D191)</f>
        <v>#DIV/0!</v>
      </c>
      <c r="BE191" s="3" t="e">
        <f t="shared" si="92"/>
        <v>#DIV/0!</v>
      </c>
      <c r="BF191" s="2" t="e">
        <f t="shared" si="93"/>
        <v>#DIV/0!</v>
      </c>
      <c r="BG191" s="3" t="e">
        <f>IF('Entrada e Saida'!$H$11="TRADING",AV191/D191,AN191/D191)</f>
        <v>#DIV/0!</v>
      </c>
      <c r="BH191" s="3" t="e">
        <f>IF('Entrada e Saida'!$H$11="TRADING",IF('Entrada e Saida'!$H$12="REAL",AR191/D191,0),AL191/D191)</f>
        <v>#DIV/0!</v>
      </c>
      <c r="BI191" s="3" t="e">
        <f>IF('Entrada e Saida'!$H$11="TRADING",IF('Entrada e Saida'!$H$12="REAL",AS191/D191,0),AM191/D191)</f>
        <v>#DIV/0!</v>
      </c>
      <c r="BJ191" s="3" t="e">
        <f>IF('Entrada e Saida'!$H$11="TRADING",AT191/D191,AO191/D191)</f>
        <v>#DIV/0!</v>
      </c>
      <c r="BK191" s="2" t="e">
        <f t="shared" si="94"/>
        <v>#DIV/0!</v>
      </c>
      <c r="BL191" s="2">
        <f>IF(O191&gt;0,IFERROR(IF('Entrada e Saida'!$H$11="DIRETA",0,(IF('Entrada e Saida'!$H$14="P.JURIDICA",(BD191*(1+O191)*N191)-((BD191/(1+M191))*'Entrada e Saida'!$G$65),((Produtos!N191-'Entrada e Saida'!$G$65)*Produtos!BD191)))),0),0)</f>
        <v>0</v>
      </c>
      <c r="BM191" s="2" t="e">
        <f t="shared" si="95"/>
        <v>#DIV/0!</v>
      </c>
    </row>
    <row r="192" spans="1:65" s="1" customFormat="1">
      <c r="A192" s="127"/>
      <c r="B192" s="114"/>
      <c r="C192" s="116"/>
      <c r="D192" s="146"/>
      <c r="E192" s="115">
        <f>IFERROR(VLOOKUP(A192,'Master Modelo'!A:I,9,FALSE),0)</f>
        <v>0</v>
      </c>
      <c r="F192" s="189">
        <f>IFERROR(VLOOKUP(A192,'Master Modelo'!A:I,8,FALSE),0)</f>
        <v>0</v>
      </c>
      <c r="G192" s="189">
        <f>IFERROR(VLOOKUP(A192,'Master Modelo'!A:K,11,FALSE),0)</f>
        <v>0</v>
      </c>
      <c r="H192" s="114" t="e">
        <f t="shared" si="78"/>
        <v>#DIV/0!</v>
      </c>
      <c r="I192" s="150">
        <f>IFERROR(VLOOKUP(A192,'Master Modelo'!A:I,3,FALSE),0)</f>
        <v>0</v>
      </c>
      <c r="J192" s="151">
        <f>IFERROR(VLOOKUP(A192,'Master Modelo'!A:I,5,FALSE),0)</f>
        <v>0</v>
      </c>
      <c r="K192" s="151">
        <f>IFERROR(VLOOKUP(A192,'Master Modelo'!A:I,6,FALSE),0)</f>
        <v>0</v>
      </c>
      <c r="L192" s="152" t="e">
        <f>VLOOKUP(A192,'Master Modelo'!A:J,10,FALSE)</f>
        <v>#N/A</v>
      </c>
      <c r="M192" s="150">
        <f>IFERROR(VLOOKUP(A192,'Master Modelo'!A:I,4,FALSE),0)</f>
        <v>0</v>
      </c>
      <c r="N192" s="128"/>
      <c r="O192" s="129"/>
      <c r="P192" s="9">
        <f t="shared" si="79"/>
        <v>0</v>
      </c>
      <c r="Q192" s="177">
        <f t="shared" si="77"/>
        <v>0</v>
      </c>
      <c r="R192" s="3">
        <f>D192*E192*'Entrada e Saida'!$K$8</f>
        <v>0</v>
      </c>
      <c r="S192" s="179" t="e">
        <f>'Entrada e Saida'!$H$21*'Entrada e Saida'!$K$8*(P192/(SUM(P:P)))</f>
        <v>#DIV/0!</v>
      </c>
      <c r="T192" s="179" t="e">
        <f>'Entrada e Saida'!$H$21*'Entrada e Saida'!$K$8*(Q192/(SUM(Q:Q)))</f>
        <v>#DIV/0!</v>
      </c>
      <c r="U192" s="179" t="e">
        <f>'Entrada e Saida'!$H$22*(P192/(SUM(P:P)))</f>
        <v>#DIV/0!</v>
      </c>
      <c r="V192" s="179" t="e">
        <f>'Entrada e Saida'!$H$22*(Q192/(SUM(Q:Q)))</f>
        <v>#DIV/0!</v>
      </c>
      <c r="W192" s="8" t="e">
        <f t="shared" si="80"/>
        <v>#DIV/0!</v>
      </c>
      <c r="X192" s="179" t="e">
        <f>'Entrada e Saida'!$H$26*(IF('Entrada e Saida'!$H$15="PESO",(P192/(SUM(P:P))),(Q192/(SUM(Q:Q)))))</f>
        <v>#DIV/0!</v>
      </c>
      <c r="Y192" s="179" t="e">
        <f>'Entrada e Saida'!$H$27*(IF('Entrada e Saida'!$H$15="PESO",(P192/(SUM(P:P))),(Q192/(SUM(Q:Q)))))</f>
        <v>#DIV/0!</v>
      </c>
      <c r="Z192" s="179" t="e">
        <f>'Entrada e Saida'!$H$28*(IF('Entrada e Saida'!$H$15="PESO",(P192/(SUM(P:P))),(Q192/(SUM(Q:Q)))))</f>
        <v>#DIV/0!</v>
      </c>
      <c r="AA192" s="10" t="e">
        <f t="shared" si="81"/>
        <v>#DIV/0!</v>
      </c>
      <c r="AB192" s="3" t="e">
        <f t="shared" si="82"/>
        <v>#DIV/0!</v>
      </c>
      <c r="AC192" s="3" t="e">
        <f t="shared" si="83"/>
        <v>#DIV/0!</v>
      </c>
      <c r="AD192" s="3" t="e">
        <f t="shared" si="84"/>
        <v>#DIV/0!</v>
      </c>
      <c r="AE192" s="9" t="e">
        <f t="shared" si="85"/>
        <v>#DIV/0!</v>
      </c>
      <c r="AF192" s="126">
        <f>IFERROR(D192*F192*L192*'Entrada e Saida'!$K$8,0)</f>
        <v>0</v>
      </c>
      <c r="AG192" s="3" t="e">
        <f>((W192+AA192+AB192+AC192+AD192+AE192+AF192)/(1-'Entrada e Saida'!$G$65))*'Entrada e Saida'!$I$66</f>
        <v>#DIV/0!</v>
      </c>
      <c r="AH192" s="8" t="e">
        <f t="shared" si="86"/>
        <v>#DIV/0!</v>
      </c>
      <c r="AI192" s="183" t="e">
        <f>'Entrada e Saida'!$K$51*(IF('Entrada e Saida'!$H$15="PESO",(P192/(SUM(P:P))),(Q192/(SUM(Q:Q)))))</f>
        <v>#DIV/0!</v>
      </c>
      <c r="AJ192" s="7">
        <f>(('Entrada e Saida'!$K$10-'Entrada e Saida'!$K$8)*E192*D192)</f>
        <v>0</v>
      </c>
      <c r="AK192" s="184" t="e">
        <f>IF('Entrada e Saida'!$H$15="PESO",W192+AA192+AH192+AI192+AJ192,W192+AA192+AH192+AI192+AJ192-S192+T192-U192+V192)</f>
        <v>#DIV/0!</v>
      </c>
      <c r="AL192" s="6" t="e">
        <f>IF('Entrada e Saida'!$H$12="REAL",AC192,0)</f>
        <v>#DIV/0!</v>
      </c>
      <c r="AM192" s="6" t="e">
        <f>IF('Entrada e Saida'!$H$12="REAL",AD192,0)</f>
        <v>#DIV/0!</v>
      </c>
      <c r="AN192" s="5" t="e">
        <f>IF('Entrada e Saida'!$H$13= "NÃO",AE192,0)</f>
        <v>#DIV/0!</v>
      </c>
      <c r="AO192" s="5" t="e">
        <f t="shared" si="87"/>
        <v>#DIV/0!</v>
      </c>
      <c r="AP192" s="4" t="e">
        <f t="shared" si="88"/>
        <v>#DIV/0!</v>
      </c>
      <c r="AQ192" s="3" t="e">
        <f>IF('Entrada e Saida'!$H$11="TRADING",AU192*'Custo Resumido'!D192,0)</f>
        <v>#DIV/0!</v>
      </c>
      <c r="AR192" s="3" t="e">
        <f>IF('Entrada e Saida'!$H$11="TRADING",AU192*'Entrada e Saida'!$G$63,0)</f>
        <v>#DIV/0!</v>
      </c>
      <c r="AS192" s="3" t="e">
        <f>IF('Entrada e Saida'!$H$11="TRADING",AU192*'Entrada e Saida'!$G$64,0)</f>
        <v>#DIV/0!</v>
      </c>
      <c r="AT192" s="3" t="e">
        <f>IF('Entrada e Saida'!$H$11="TRADING",AU192*'Entrada e Saida'!$G$65,0)</f>
        <v>#DIV/0!</v>
      </c>
      <c r="AU192" s="4" t="e">
        <f>IF('Entrada e Saida'!$H$11="TRADING",AP192/(1-(SUM('Entrada e Saida'!$G$63:$G$65)+'Custo Resumido'!D192)),0)</f>
        <v>#DIV/0!</v>
      </c>
      <c r="AV192" s="3" t="e">
        <f>IF('Entrada e Saida'!$H$13="NÃO",AU192*M192,0)</f>
        <v>#DIV/0!</v>
      </c>
      <c r="AW192" s="4" t="e">
        <f t="shared" si="89"/>
        <v>#DIV/0!</v>
      </c>
      <c r="AX192" s="3" t="e">
        <f>'Entrada e Saida'!$G$74*AU192</f>
        <v>#DIV/0!</v>
      </c>
      <c r="AY192" s="4" t="e">
        <f t="shared" si="90"/>
        <v>#DIV/0!</v>
      </c>
      <c r="AZ192" s="4" t="e">
        <f>AQ192+('Entrada e Saida'!$G$65-'Entrada e Saida'!$I$65)*AU192-AX192</f>
        <v>#DIV/0!</v>
      </c>
      <c r="BA192" s="3" t="e">
        <f>IF('Entrada e Saida'!$H$12="REAL",AZ192*'Entrada e Saida'!$G$81,AU192*'Entrada e Saida'!$G$81)</f>
        <v>#DIV/0!</v>
      </c>
      <c r="BB192" s="3" t="e">
        <f>IF('Entrada e Saida'!$H$12="REAL",AZ192*'Entrada e Saida'!$G$82,AU192*'Entrada e Saida'!$G$82)</f>
        <v>#DIV/0!</v>
      </c>
      <c r="BC192" s="4" t="e">
        <f t="shared" si="91"/>
        <v>#DIV/0!</v>
      </c>
      <c r="BD192" s="3" t="e">
        <f>IF('Entrada e Saida'!$H$11="TRADING",AW192/D192,AK192/D192)</f>
        <v>#DIV/0!</v>
      </c>
      <c r="BE192" s="3" t="e">
        <f t="shared" si="92"/>
        <v>#DIV/0!</v>
      </c>
      <c r="BF192" s="2" t="e">
        <f t="shared" si="93"/>
        <v>#DIV/0!</v>
      </c>
      <c r="BG192" s="3" t="e">
        <f>IF('Entrada e Saida'!$H$11="TRADING",AV192/D192,AN192/D192)</f>
        <v>#DIV/0!</v>
      </c>
      <c r="BH192" s="3" t="e">
        <f>IF('Entrada e Saida'!$H$11="TRADING",IF('Entrada e Saida'!$H$12="REAL",AR192/D192,0),AL192/D192)</f>
        <v>#DIV/0!</v>
      </c>
      <c r="BI192" s="3" t="e">
        <f>IF('Entrada e Saida'!$H$11="TRADING",IF('Entrada e Saida'!$H$12="REAL",AS192/D192,0),AM192/D192)</f>
        <v>#DIV/0!</v>
      </c>
      <c r="BJ192" s="3" t="e">
        <f>IF('Entrada e Saida'!$H$11="TRADING",AT192/D192,AO192/D192)</f>
        <v>#DIV/0!</v>
      </c>
      <c r="BK192" s="2" t="e">
        <f t="shared" si="94"/>
        <v>#DIV/0!</v>
      </c>
      <c r="BL192" s="2">
        <f>IF(O192&gt;0,IFERROR(IF('Entrada e Saida'!$H$11="DIRETA",0,(IF('Entrada e Saida'!$H$14="P.JURIDICA",(BD192*(1+O192)*N192)-((BD192/(1+M192))*'Entrada e Saida'!$G$65),((Produtos!N192-'Entrada e Saida'!$G$65)*Produtos!BD192)))),0),0)</f>
        <v>0</v>
      </c>
      <c r="BM192" s="2" t="e">
        <f t="shared" si="95"/>
        <v>#DIV/0!</v>
      </c>
    </row>
    <row r="193" spans="1:65" s="1" customFormat="1">
      <c r="A193" s="127"/>
      <c r="B193" s="114"/>
      <c r="C193" s="116"/>
      <c r="D193" s="146"/>
      <c r="E193" s="115">
        <f>IFERROR(VLOOKUP(A193,'Master Modelo'!A:I,9,FALSE),0)</f>
        <v>0</v>
      </c>
      <c r="F193" s="189">
        <f>IFERROR(VLOOKUP(A193,'Master Modelo'!A:I,8,FALSE),0)</f>
        <v>0</v>
      </c>
      <c r="G193" s="189">
        <f>IFERROR(VLOOKUP(A193,'Master Modelo'!A:K,11,FALSE),0)</f>
        <v>0</v>
      </c>
      <c r="H193" s="114" t="e">
        <f t="shared" si="78"/>
        <v>#DIV/0!</v>
      </c>
      <c r="I193" s="150">
        <f>IFERROR(VLOOKUP(A193,'Master Modelo'!A:I,3,FALSE),0)</f>
        <v>0</v>
      </c>
      <c r="J193" s="151">
        <f>IFERROR(VLOOKUP(A193,'Master Modelo'!A:I,5,FALSE),0)</f>
        <v>0</v>
      </c>
      <c r="K193" s="151">
        <f>IFERROR(VLOOKUP(A193,'Master Modelo'!A:I,6,FALSE),0)</f>
        <v>0</v>
      </c>
      <c r="L193" s="152" t="e">
        <f>VLOOKUP(A193,'Master Modelo'!A:J,10,FALSE)</f>
        <v>#N/A</v>
      </c>
      <c r="M193" s="150">
        <f>IFERROR(VLOOKUP(A193,'Master Modelo'!A:I,4,FALSE),0)</f>
        <v>0</v>
      </c>
      <c r="N193" s="128"/>
      <c r="O193" s="129"/>
      <c r="P193" s="9">
        <f t="shared" si="79"/>
        <v>0</v>
      </c>
      <c r="Q193" s="177">
        <f t="shared" ref="Q193:Q256" si="96">D193*G193</f>
        <v>0</v>
      </c>
      <c r="R193" s="3">
        <f>D193*E193*'Entrada e Saida'!$K$8</f>
        <v>0</v>
      </c>
      <c r="S193" s="179" t="e">
        <f>'Entrada e Saida'!$H$21*'Entrada e Saida'!$K$8*(P193/(SUM(P:P)))</f>
        <v>#DIV/0!</v>
      </c>
      <c r="T193" s="179" t="e">
        <f>'Entrada e Saida'!$H$21*'Entrada e Saida'!$K$8*(Q193/(SUM(Q:Q)))</f>
        <v>#DIV/0!</v>
      </c>
      <c r="U193" s="179" t="e">
        <f>'Entrada e Saida'!$H$22*(P193/(SUM(P:P)))</f>
        <v>#DIV/0!</v>
      </c>
      <c r="V193" s="179" t="e">
        <f>'Entrada e Saida'!$H$22*(Q193/(SUM(Q:Q)))</f>
        <v>#DIV/0!</v>
      </c>
      <c r="W193" s="8" t="e">
        <f t="shared" si="80"/>
        <v>#DIV/0!</v>
      </c>
      <c r="X193" s="179" t="e">
        <f>'Entrada e Saida'!$H$26*(IF('Entrada e Saida'!$H$15="PESO",(P193/(SUM(P:P))),(Q193/(SUM(Q:Q)))))</f>
        <v>#DIV/0!</v>
      </c>
      <c r="Y193" s="179" t="e">
        <f>'Entrada e Saida'!$H$27*(IF('Entrada e Saida'!$H$15="PESO",(P193/(SUM(P:P))),(Q193/(SUM(Q:Q)))))</f>
        <v>#DIV/0!</v>
      </c>
      <c r="Z193" s="179" t="e">
        <f>'Entrada e Saida'!$H$28*(IF('Entrada e Saida'!$H$15="PESO",(P193/(SUM(P:P))),(Q193/(SUM(Q:Q)))))</f>
        <v>#DIV/0!</v>
      </c>
      <c r="AA193" s="10" t="e">
        <f t="shared" si="81"/>
        <v>#DIV/0!</v>
      </c>
      <c r="AB193" s="3" t="e">
        <f t="shared" si="82"/>
        <v>#DIV/0!</v>
      </c>
      <c r="AC193" s="3" t="e">
        <f t="shared" si="83"/>
        <v>#DIV/0!</v>
      </c>
      <c r="AD193" s="3" t="e">
        <f t="shared" si="84"/>
        <v>#DIV/0!</v>
      </c>
      <c r="AE193" s="9" t="e">
        <f t="shared" si="85"/>
        <v>#DIV/0!</v>
      </c>
      <c r="AF193" s="126">
        <f>IFERROR(D193*F193*L193*'Entrada e Saida'!$K$8,0)</f>
        <v>0</v>
      </c>
      <c r="AG193" s="3" t="e">
        <f>((W193+AA193+AB193+AC193+AD193+AE193+AF193)/(1-'Entrada e Saida'!$G$65))*'Entrada e Saida'!$I$66</f>
        <v>#DIV/0!</v>
      </c>
      <c r="AH193" s="8" t="e">
        <f t="shared" si="86"/>
        <v>#DIV/0!</v>
      </c>
      <c r="AI193" s="183" t="e">
        <f>'Entrada e Saida'!$K$51*(IF('Entrada e Saida'!$H$15="PESO",(P193/(SUM(P:P))),(Q193/(SUM(Q:Q)))))</f>
        <v>#DIV/0!</v>
      </c>
      <c r="AJ193" s="7">
        <f>(('Entrada e Saida'!$K$10-'Entrada e Saida'!$K$8)*E193*D193)</f>
        <v>0</v>
      </c>
      <c r="AK193" s="184" t="e">
        <f>IF('Entrada e Saida'!$H$15="PESO",W193+AA193+AH193+AI193+AJ193,W193+AA193+AH193+AI193+AJ193-S193+T193-U193+V193)</f>
        <v>#DIV/0!</v>
      </c>
      <c r="AL193" s="6" t="e">
        <f>IF('Entrada e Saida'!$H$12="REAL",AC193,0)</f>
        <v>#DIV/0!</v>
      </c>
      <c r="AM193" s="6" t="e">
        <f>IF('Entrada e Saida'!$H$12="REAL",AD193,0)</f>
        <v>#DIV/0!</v>
      </c>
      <c r="AN193" s="5" t="e">
        <f>IF('Entrada e Saida'!$H$13= "NÃO",AE193,0)</f>
        <v>#DIV/0!</v>
      </c>
      <c r="AO193" s="5" t="e">
        <f t="shared" si="87"/>
        <v>#DIV/0!</v>
      </c>
      <c r="AP193" s="4" t="e">
        <f t="shared" si="88"/>
        <v>#DIV/0!</v>
      </c>
      <c r="AQ193" s="3" t="e">
        <f>IF('Entrada e Saida'!$H$11="TRADING",AU193*'Custo Resumido'!D193,0)</f>
        <v>#DIV/0!</v>
      </c>
      <c r="AR193" s="3" t="e">
        <f>IF('Entrada e Saida'!$H$11="TRADING",AU193*'Entrada e Saida'!$G$63,0)</f>
        <v>#DIV/0!</v>
      </c>
      <c r="AS193" s="3" t="e">
        <f>IF('Entrada e Saida'!$H$11="TRADING",AU193*'Entrada e Saida'!$G$64,0)</f>
        <v>#DIV/0!</v>
      </c>
      <c r="AT193" s="3" t="e">
        <f>IF('Entrada e Saida'!$H$11="TRADING",AU193*'Entrada e Saida'!$G$65,0)</f>
        <v>#DIV/0!</v>
      </c>
      <c r="AU193" s="4" t="e">
        <f>IF('Entrada e Saida'!$H$11="TRADING",AP193/(1-(SUM('Entrada e Saida'!$G$63:$G$65)+'Custo Resumido'!D193)),0)</f>
        <v>#DIV/0!</v>
      </c>
      <c r="AV193" s="3" t="e">
        <f>IF('Entrada e Saida'!$H$13="NÃO",AU193*M193,0)</f>
        <v>#DIV/0!</v>
      </c>
      <c r="AW193" s="4" t="e">
        <f t="shared" si="89"/>
        <v>#DIV/0!</v>
      </c>
      <c r="AX193" s="3" t="e">
        <f>'Entrada e Saida'!$G$74*AU193</f>
        <v>#DIV/0!</v>
      </c>
      <c r="AY193" s="4" t="e">
        <f t="shared" si="90"/>
        <v>#DIV/0!</v>
      </c>
      <c r="AZ193" s="4" t="e">
        <f>AQ193+('Entrada e Saida'!$G$65-'Entrada e Saida'!$I$65)*AU193-AX193</f>
        <v>#DIV/0!</v>
      </c>
      <c r="BA193" s="3" t="e">
        <f>IF('Entrada e Saida'!$H$12="REAL",AZ193*'Entrada e Saida'!$G$81,AU193*'Entrada e Saida'!$G$81)</f>
        <v>#DIV/0!</v>
      </c>
      <c r="BB193" s="3" t="e">
        <f>IF('Entrada e Saida'!$H$12="REAL",AZ193*'Entrada e Saida'!$G$82,AU193*'Entrada e Saida'!$G$82)</f>
        <v>#DIV/0!</v>
      </c>
      <c r="BC193" s="4" t="e">
        <f t="shared" si="91"/>
        <v>#DIV/0!</v>
      </c>
      <c r="BD193" s="3" t="e">
        <f>IF('Entrada e Saida'!$H$11="TRADING",AW193/D193,AK193/D193)</f>
        <v>#DIV/0!</v>
      </c>
      <c r="BE193" s="3" t="e">
        <f t="shared" si="92"/>
        <v>#DIV/0!</v>
      </c>
      <c r="BF193" s="2" t="e">
        <f t="shared" si="93"/>
        <v>#DIV/0!</v>
      </c>
      <c r="BG193" s="3" t="e">
        <f>IF('Entrada e Saida'!$H$11="TRADING",AV193/D193,AN193/D193)</f>
        <v>#DIV/0!</v>
      </c>
      <c r="BH193" s="3" t="e">
        <f>IF('Entrada e Saida'!$H$11="TRADING",IF('Entrada e Saida'!$H$12="REAL",AR193/D193,0),AL193/D193)</f>
        <v>#DIV/0!</v>
      </c>
      <c r="BI193" s="3" t="e">
        <f>IF('Entrada e Saida'!$H$11="TRADING",IF('Entrada e Saida'!$H$12="REAL",AS193/D193,0),AM193/D193)</f>
        <v>#DIV/0!</v>
      </c>
      <c r="BJ193" s="3" t="e">
        <f>IF('Entrada e Saida'!$H$11="TRADING",AT193/D193,AO193/D193)</f>
        <v>#DIV/0!</v>
      </c>
      <c r="BK193" s="2" t="e">
        <f t="shared" si="94"/>
        <v>#DIV/0!</v>
      </c>
      <c r="BL193" s="2">
        <f>IF(O193&gt;0,IFERROR(IF('Entrada e Saida'!$H$11="DIRETA",0,(IF('Entrada e Saida'!$H$14="P.JURIDICA",(BD193*(1+O193)*N193)-((BD193/(1+M193))*'Entrada e Saida'!$G$65),((Produtos!N193-'Entrada e Saida'!$G$65)*Produtos!BD193)))),0),0)</f>
        <v>0</v>
      </c>
      <c r="BM193" s="2" t="e">
        <f t="shared" si="95"/>
        <v>#DIV/0!</v>
      </c>
    </row>
    <row r="194" spans="1:65" s="1" customFormat="1">
      <c r="A194" s="127"/>
      <c r="B194" s="114"/>
      <c r="C194" s="116"/>
      <c r="D194" s="146"/>
      <c r="E194" s="115">
        <f>IFERROR(VLOOKUP(A194,'Master Modelo'!A:I,9,FALSE),0)</f>
        <v>0</v>
      </c>
      <c r="F194" s="189">
        <f>IFERROR(VLOOKUP(A194,'Master Modelo'!A:I,8,FALSE),0)</f>
        <v>0</v>
      </c>
      <c r="G194" s="189">
        <f>IFERROR(VLOOKUP(A194,'Master Modelo'!A:K,11,FALSE),0)</f>
        <v>0</v>
      </c>
      <c r="H194" s="114" t="e">
        <f t="shared" si="78"/>
        <v>#DIV/0!</v>
      </c>
      <c r="I194" s="150">
        <f>IFERROR(VLOOKUP(A194,'Master Modelo'!A:I,3,FALSE),0)</f>
        <v>0</v>
      </c>
      <c r="J194" s="151">
        <f>IFERROR(VLOOKUP(A194,'Master Modelo'!A:I,5,FALSE),0)</f>
        <v>0</v>
      </c>
      <c r="K194" s="151">
        <f>IFERROR(VLOOKUP(A194,'Master Modelo'!A:I,6,FALSE),0)</f>
        <v>0</v>
      </c>
      <c r="L194" s="152" t="e">
        <f>VLOOKUP(A194,'Master Modelo'!A:J,10,FALSE)</f>
        <v>#N/A</v>
      </c>
      <c r="M194" s="150">
        <f>IFERROR(VLOOKUP(A194,'Master Modelo'!A:I,4,FALSE),0)</f>
        <v>0</v>
      </c>
      <c r="N194" s="128"/>
      <c r="O194" s="129"/>
      <c r="P194" s="9">
        <f t="shared" si="79"/>
        <v>0</v>
      </c>
      <c r="Q194" s="177">
        <f t="shared" si="96"/>
        <v>0</v>
      </c>
      <c r="R194" s="3">
        <f>D194*E194*'Entrada e Saida'!$K$8</f>
        <v>0</v>
      </c>
      <c r="S194" s="179" t="e">
        <f>'Entrada e Saida'!$H$21*'Entrada e Saida'!$K$8*(P194/(SUM(P:P)))</f>
        <v>#DIV/0!</v>
      </c>
      <c r="T194" s="179" t="e">
        <f>'Entrada e Saida'!$H$21*'Entrada e Saida'!$K$8*(Q194/(SUM(Q:Q)))</f>
        <v>#DIV/0!</v>
      </c>
      <c r="U194" s="179" t="e">
        <f>'Entrada e Saida'!$H$22*(P194/(SUM(P:P)))</f>
        <v>#DIV/0!</v>
      </c>
      <c r="V194" s="179" t="e">
        <f>'Entrada e Saida'!$H$22*(Q194/(SUM(Q:Q)))</f>
        <v>#DIV/0!</v>
      </c>
      <c r="W194" s="8" t="e">
        <f t="shared" si="80"/>
        <v>#DIV/0!</v>
      </c>
      <c r="X194" s="179" t="e">
        <f>'Entrada e Saida'!$H$26*(IF('Entrada e Saida'!$H$15="PESO",(P194/(SUM(P:P))),(Q194/(SUM(Q:Q)))))</f>
        <v>#DIV/0!</v>
      </c>
      <c r="Y194" s="179" t="e">
        <f>'Entrada e Saida'!$H$27*(IF('Entrada e Saida'!$H$15="PESO",(P194/(SUM(P:P))),(Q194/(SUM(Q:Q)))))</f>
        <v>#DIV/0!</v>
      </c>
      <c r="Z194" s="179" t="e">
        <f>'Entrada e Saida'!$H$28*(IF('Entrada e Saida'!$H$15="PESO",(P194/(SUM(P:P))),(Q194/(SUM(Q:Q)))))</f>
        <v>#DIV/0!</v>
      </c>
      <c r="AA194" s="10" t="e">
        <f t="shared" si="81"/>
        <v>#DIV/0!</v>
      </c>
      <c r="AB194" s="3" t="e">
        <f t="shared" si="82"/>
        <v>#DIV/0!</v>
      </c>
      <c r="AC194" s="3" t="e">
        <f t="shared" si="83"/>
        <v>#DIV/0!</v>
      </c>
      <c r="AD194" s="3" t="e">
        <f t="shared" si="84"/>
        <v>#DIV/0!</v>
      </c>
      <c r="AE194" s="9" t="e">
        <f t="shared" si="85"/>
        <v>#DIV/0!</v>
      </c>
      <c r="AF194" s="126">
        <f>IFERROR(D194*F194*L194*'Entrada e Saida'!$K$8,0)</f>
        <v>0</v>
      </c>
      <c r="AG194" s="3" t="e">
        <f>((W194+AA194+AB194+AC194+AD194+AE194+AF194)/(1-'Entrada e Saida'!$G$65))*'Entrada e Saida'!$I$66</f>
        <v>#DIV/0!</v>
      </c>
      <c r="AH194" s="8" t="e">
        <f t="shared" si="86"/>
        <v>#DIV/0!</v>
      </c>
      <c r="AI194" s="183" t="e">
        <f>'Entrada e Saida'!$K$51*(IF('Entrada e Saida'!$H$15="PESO",(P194/(SUM(P:P))),(Q194/(SUM(Q:Q)))))</f>
        <v>#DIV/0!</v>
      </c>
      <c r="AJ194" s="7">
        <f>(('Entrada e Saida'!$K$10-'Entrada e Saida'!$K$8)*E194*D194)</f>
        <v>0</v>
      </c>
      <c r="AK194" s="184" t="e">
        <f>IF('Entrada e Saida'!$H$15="PESO",W194+AA194+AH194+AI194+AJ194,W194+AA194+AH194+AI194+AJ194-S194+T194-U194+V194)</f>
        <v>#DIV/0!</v>
      </c>
      <c r="AL194" s="6" t="e">
        <f>IF('Entrada e Saida'!$H$12="REAL",AC194,0)</f>
        <v>#DIV/0!</v>
      </c>
      <c r="AM194" s="6" t="e">
        <f>IF('Entrada e Saida'!$H$12="REAL",AD194,0)</f>
        <v>#DIV/0!</v>
      </c>
      <c r="AN194" s="5" t="e">
        <f>IF('Entrada e Saida'!$H$13= "NÃO",AE194,0)</f>
        <v>#DIV/0!</v>
      </c>
      <c r="AO194" s="5" t="e">
        <f t="shared" si="87"/>
        <v>#DIV/0!</v>
      </c>
      <c r="AP194" s="4" t="e">
        <f t="shared" si="88"/>
        <v>#DIV/0!</v>
      </c>
      <c r="AQ194" s="3" t="e">
        <f>IF('Entrada e Saida'!$H$11="TRADING",AU194*'Custo Resumido'!D194,0)</f>
        <v>#DIV/0!</v>
      </c>
      <c r="AR194" s="3" t="e">
        <f>IF('Entrada e Saida'!$H$11="TRADING",AU194*'Entrada e Saida'!$G$63,0)</f>
        <v>#DIV/0!</v>
      </c>
      <c r="AS194" s="3" t="e">
        <f>IF('Entrada e Saida'!$H$11="TRADING",AU194*'Entrada e Saida'!$G$64,0)</f>
        <v>#DIV/0!</v>
      </c>
      <c r="AT194" s="3" t="e">
        <f>IF('Entrada e Saida'!$H$11="TRADING",AU194*'Entrada e Saida'!$G$65,0)</f>
        <v>#DIV/0!</v>
      </c>
      <c r="AU194" s="4" t="e">
        <f>IF('Entrada e Saida'!$H$11="TRADING",AP194/(1-(SUM('Entrada e Saida'!$G$63:$G$65)+'Custo Resumido'!D194)),0)</f>
        <v>#DIV/0!</v>
      </c>
      <c r="AV194" s="3" t="e">
        <f>IF('Entrada e Saida'!$H$13="NÃO",AU194*M194,0)</f>
        <v>#DIV/0!</v>
      </c>
      <c r="AW194" s="4" t="e">
        <f t="shared" si="89"/>
        <v>#DIV/0!</v>
      </c>
      <c r="AX194" s="3" t="e">
        <f>'Entrada e Saida'!$G$74*AU194</f>
        <v>#DIV/0!</v>
      </c>
      <c r="AY194" s="4" t="e">
        <f t="shared" si="90"/>
        <v>#DIV/0!</v>
      </c>
      <c r="AZ194" s="4" t="e">
        <f>AQ194+('Entrada e Saida'!$G$65-'Entrada e Saida'!$I$65)*AU194-AX194</f>
        <v>#DIV/0!</v>
      </c>
      <c r="BA194" s="3" t="e">
        <f>IF('Entrada e Saida'!$H$12="REAL",AZ194*'Entrada e Saida'!$G$81,AU194*'Entrada e Saida'!$G$81)</f>
        <v>#DIV/0!</v>
      </c>
      <c r="BB194" s="3" t="e">
        <f>IF('Entrada e Saida'!$H$12="REAL",AZ194*'Entrada e Saida'!$G$82,AU194*'Entrada e Saida'!$G$82)</f>
        <v>#DIV/0!</v>
      </c>
      <c r="BC194" s="4" t="e">
        <f t="shared" si="91"/>
        <v>#DIV/0!</v>
      </c>
      <c r="BD194" s="3" t="e">
        <f>IF('Entrada e Saida'!$H$11="TRADING",AW194/D194,AK194/D194)</f>
        <v>#DIV/0!</v>
      </c>
      <c r="BE194" s="3" t="e">
        <f t="shared" si="92"/>
        <v>#DIV/0!</v>
      </c>
      <c r="BF194" s="2" t="e">
        <f t="shared" si="93"/>
        <v>#DIV/0!</v>
      </c>
      <c r="BG194" s="3" t="e">
        <f>IF('Entrada e Saida'!$H$11="TRADING",AV194/D194,AN194/D194)</f>
        <v>#DIV/0!</v>
      </c>
      <c r="BH194" s="3" t="e">
        <f>IF('Entrada e Saida'!$H$11="TRADING",IF('Entrada e Saida'!$H$12="REAL",AR194/D194,0),AL194/D194)</f>
        <v>#DIV/0!</v>
      </c>
      <c r="BI194" s="3" t="e">
        <f>IF('Entrada e Saida'!$H$11="TRADING",IF('Entrada e Saida'!$H$12="REAL",AS194/D194,0),AM194/D194)</f>
        <v>#DIV/0!</v>
      </c>
      <c r="BJ194" s="3" t="e">
        <f>IF('Entrada e Saida'!$H$11="TRADING",AT194/D194,AO194/D194)</f>
        <v>#DIV/0!</v>
      </c>
      <c r="BK194" s="2" t="e">
        <f t="shared" si="94"/>
        <v>#DIV/0!</v>
      </c>
      <c r="BL194" s="2">
        <f>IF(O194&gt;0,IFERROR(IF('Entrada e Saida'!$H$11="DIRETA",0,(IF('Entrada e Saida'!$H$14="P.JURIDICA",(BD194*(1+O194)*N194)-((BD194/(1+M194))*'Entrada e Saida'!$G$65),((Produtos!N194-'Entrada e Saida'!$G$65)*Produtos!BD194)))),0),0)</f>
        <v>0</v>
      </c>
      <c r="BM194" s="2" t="e">
        <f t="shared" si="95"/>
        <v>#DIV/0!</v>
      </c>
    </row>
    <row r="195" spans="1:65" s="1" customFormat="1">
      <c r="A195" s="127"/>
      <c r="B195" s="114"/>
      <c r="C195" s="116"/>
      <c r="D195" s="146"/>
      <c r="E195" s="115">
        <f>IFERROR(VLOOKUP(A195,'Master Modelo'!A:I,9,FALSE),0)</f>
        <v>0</v>
      </c>
      <c r="F195" s="189">
        <f>IFERROR(VLOOKUP(A195,'Master Modelo'!A:I,8,FALSE),0)</f>
        <v>0</v>
      </c>
      <c r="G195" s="189">
        <f>IFERROR(VLOOKUP(A195,'Master Modelo'!A:K,11,FALSE),0)</f>
        <v>0</v>
      </c>
      <c r="H195" s="114" t="e">
        <f t="shared" si="78"/>
        <v>#DIV/0!</v>
      </c>
      <c r="I195" s="150">
        <f>IFERROR(VLOOKUP(A195,'Master Modelo'!A:I,3,FALSE),0)</f>
        <v>0</v>
      </c>
      <c r="J195" s="151">
        <f>IFERROR(VLOOKUP(A195,'Master Modelo'!A:I,5,FALSE),0)</f>
        <v>0</v>
      </c>
      <c r="K195" s="151">
        <f>IFERROR(VLOOKUP(A195,'Master Modelo'!A:I,6,FALSE),0)</f>
        <v>0</v>
      </c>
      <c r="L195" s="152" t="e">
        <f>VLOOKUP(A195,'Master Modelo'!A:J,10,FALSE)</f>
        <v>#N/A</v>
      </c>
      <c r="M195" s="150">
        <f>IFERROR(VLOOKUP(A195,'Master Modelo'!A:I,4,FALSE),0)</f>
        <v>0</v>
      </c>
      <c r="N195" s="128"/>
      <c r="O195" s="129"/>
      <c r="P195" s="9">
        <f t="shared" si="79"/>
        <v>0</v>
      </c>
      <c r="Q195" s="177">
        <f t="shared" si="96"/>
        <v>0</v>
      </c>
      <c r="R195" s="3">
        <f>D195*E195*'Entrada e Saida'!$K$8</f>
        <v>0</v>
      </c>
      <c r="S195" s="179" t="e">
        <f>'Entrada e Saida'!$H$21*'Entrada e Saida'!$K$8*(P195/(SUM(P:P)))</f>
        <v>#DIV/0!</v>
      </c>
      <c r="T195" s="179" t="e">
        <f>'Entrada e Saida'!$H$21*'Entrada e Saida'!$K$8*(Q195/(SUM(Q:Q)))</f>
        <v>#DIV/0!</v>
      </c>
      <c r="U195" s="179" t="e">
        <f>'Entrada e Saida'!$H$22*(P195/(SUM(P:P)))</f>
        <v>#DIV/0!</v>
      </c>
      <c r="V195" s="179" t="e">
        <f>'Entrada e Saida'!$H$22*(Q195/(SUM(Q:Q)))</f>
        <v>#DIV/0!</v>
      </c>
      <c r="W195" s="8" t="e">
        <f t="shared" si="80"/>
        <v>#DIV/0!</v>
      </c>
      <c r="X195" s="179" t="e">
        <f>'Entrada e Saida'!$H$26*(IF('Entrada e Saida'!$H$15="PESO",(P195/(SUM(P:P))),(Q195/(SUM(Q:Q)))))</f>
        <v>#DIV/0!</v>
      </c>
      <c r="Y195" s="179" t="e">
        <f>'Entrada e Saida'!$H$27*(IF('Entrada e Saida'!$H$15="PESO",(P195/(SUM(P:P))),(Q195/(SUM(Q:Q)))))</f>
        <v>#DIV/0!</v>
      </c>
      <c r="Z195" s="179" t="e">
        <f>'Entrada e Saida'!$H$28*(IF('Entrada e Saida'!$H$15="PESO",(P195/(SUM(P:P))),(Q195/(SUM(Q:Q)))))</f>
        <v>#DIV/0!</v>
      </c>
      <c r="AA195" s="10" t="e">
        <f t="shared" si="81"/>
        <v>#DIV/0!</v>
      </c>
      <c r="AB195" s="3" t="e">
        <f t="shared" si="82"/>
        <v>#DIV/0!</v>
      </c>
      <c r="AC195" s="3" t="e">
        <f t="shared" si="83"/>
        <v>#DIV/0!</v>
      </c>
      <c r="AD195" s="3" t="e">
        <f t="shared" si="84"/>
        <v>#DIV/0!</v>
      </c>
      <c r="AE195" s="9" t="e">
        <f t="shared" si="85"/>
        <v>#DIV/0!</v>
      </c>
      <c r="AF195" s="126">
        <f>IFERROR(D195*F195*L195*'Entrada e Saida'!$K$8,0)</f>
        <v>0</v>
      </c>
      <c r="AG195" s="3" t="e">
        <f>((W195+AA195+AB195+AC195+AD195+AE195+AF195)/(1-'Entrada e Saida'!$G$65))*'Entrada e Saida'!$I$66</f>
        <v>#DIV/0!</v>
      </c>
      <c r="AH195" s="8" t="e">
        <f t="shared" si="86"/>
        <v>#DIV/0!</v>
      </c>
      <c r="AI195" s="183" t="e">
        <f>'Entrada e Saida'!$K$51*(IF('Entrada e Saida'!$H$15="PESO",(P195/(SUM(P:P))),(Q195/(SUM(Q:Q)))))</f>
        <v>#DIV/0!</v>
      </c>
      <c r="AJ195" s="7">
        <f>(('Entrada e Saida'!$K$10-'Entrada e Saida'!$K$8)*E195*D195)</f>
        <v>0</v>
      </c>
      <c r="AK195" s="184" t="e">
        <f>IF('Entrada e Saida'!$H$15="PESO",W195+AA195+AH195+AI195+AJ195,W195+AA195+AH195+AI195+AJ195-S195+T195-U195+V195)</f>
        <v>#DIV/0!</v>
      </c>
      <c r="AL195" s="6" t="e">
        <f>IF('Entrada e Saida'!$H$12="REAL",AC195,0)</f>
        <v>#DIV/0!</v>
      </c>
      <c r="AM195" s="6" t="e">
        <f>IF('Entrada e Saida'!$H$12="REAL",AD195,0)</f>
        <v>#DIV/0!</v>
      </c>
      <c r="AN195" s="5" t="e">
        <f>IF('Entrada e Saida'!$H$13= "NÃO",AE195,0)</f>
        <v>#DIV/0!</v>
      </c>
      <c r="AO195" s="5" t="e">
        <f t="shared" si="87"/>
        <v>#DIV/0!</v>
      </c>
      <c r="AP195" s="4" t="e">
        <f t="shared" si="88"/>
        <v>#DIV/0!</v>
      </c>
      <c r="AQ195" s="3" t="e">
        <f>IF('Entrada e Saida'!$H$11="TRADING",AU195*'Custo Resumido'!D195,0)</f>
        <v>#DIV/0!</v>
      </c>
      <c r="AR195" s="3" t="e">
        <f>IF('Entrada e Saida'!$H$11="TRADING",AU195*'Entrada e Saida'!$G$63,0)</f>
        <v>#DIV/0!</v>
      </c>
      <c r="AS195" s="3" t="e">
        <f>IF('Entrada e Saida'!$H$11="TRADING",AU195*'Entrada e Saida'!$G$64,0)</f>
        <v>#DIV/0!</v>
      </c>
      <c r="AT195" s="3" t="e">
        <f>IF('Entrada e Saida'!$H$11="TRADING",AU195*'Entrada e Saida'!$G$65,0)</f>
        <v>#DIV/0!</v>
      </c>
      <c r="AU195" s="4" t="e">
        <f>IF('Entrada e Saida'!$H$11="TRADING",AP195/(1-(SUM('Entrada e Saida'!$G$63:$G$65)+'Custo Resumido'!D195)),0)</f>
        <v>#DIV/0!</v>
      </c>
      <c r="AV195" s="3" t="e">
        <f>IF('Entrada e Saida'!$H$13="NÃO",AU195*M195,0)</f>
        <v>#DIV/0!</v>
      </c>
      <c r="AW195" s="4" t="e">
        <f t="shared" si="89"/>
        <v>#DIV/0!</v>
      </c>
      <c r="AX195" s="3" t="e">
        <f>'Entrada e Saida'!$G$74*AU195</f>
        <v>#DIV/0!</v>
      </c>
      <c r="AY195" s="4" t="e">
        <f t="shared" si="90"/>
        <v>#DIV/0!</v>
      </c>
      <c r="AZ195" s="4" t="e">
        <f>AQ195+('Entrada e Saida'!$G$65-'Entrada e Saida'!$I$65)*AU195-AX195</f>
        <v>#DIV/0!</v>
      </c>
      <c r="BA195" s="3" t="e">
        <f>IF('Entrada e Saida'!$H$12="REAL",AZ195*'Entrada e Saida'!$G$81,AU195*'Entrada e Saida'!$G$81)</f>
        <v>#DIV/0!</v>
      </c>
      <c r="BB195" s="3" t="e">
        <f>IF('Entrada e Saida'!$H$12="REAL",AZ195*'Entrada e Saida'!$G$82,AU195*'Entrada e Saida'!$G$82)</f>
        <v>#DIV/0!</v>
      </c>
      <c r="BC195" s="4" t="e">
        <f t="shared" si="91"/>
        <v>#DIV/0!</v>
      </c>
      <c r="BD195" s="3" t="e">
        <f>IF('Entrada e Saida'!$H$11="TRADING",AW195/D195,AK195/D195)</f>
        <v>#DIV/0!</v>
      </c>
      <c r="BE195" s="3" t="e">
        <f t="shared" si="92"/>
        <v>#DIV/0!</v>
      </c>
      <c r="BF195" s="2" t="e">
        <f t="shared" si="93"/>
        <v>#DIV/0!</v>
      </c>
      <c r="BG195" s="3" t="e">
        <f>IF('Entrada e Saida'!$H$11="TRADING",AV195/D195,AN195/D195)</f>
        <v>#DIV/0!</v>
      </c>
      <c r="BH195" s="3" t="e">
        <f>IF('Entrada e Saida'!$H$11="TRADING",IF('Entrada e Saida'!$H$12="REAL",AR195/D195,0),AL195/D195)</f>
        <v>#DIV/0!</v>
      </c>
      <c r="BI195" s="3" t="e">
        <f>IF('Entrada e Saida'!$H$11="TRADING",IF('Entrada e Saida'!$H$12="REAL",AS195/D195,0),AM195/D195)</f>
        <v>#DIV/0!</v>
      </c>
      <c r="BJ195" s="3" t="e">
        <f>IF('Entrada e Saida'!$H$11="TRADING",AT195/D195,AO195/D195)</f>
        <v>#DIV/0!</v>
      </c>
      <c r="BK195" s="2" t="e">
        <f t="shared" si="94"/>
        <v>#DIV/0!</v>
      </c>
      <c r="BL195" s="2">
        <f>IF(O195&gt;0,IFERROR(IF('Entrada e Saida'!$H$11="DIRETA",0,(IF('Entrada e Saida'!$H$14="P.JURIDICA",(BD195*(1+O195)*N195)-((BD195/(1+M195))*'Entrada e Saida'!$G$65),((Produtos!N195-'Entrada e Saida'!$G$65)*Produtos!BD195)))),0),0)</f>
        <v>0</v>
      </c>
      <c r="BM195" s="2" t="e">
        <f t="shared" si="95"/>
        <v>#DIV/0!</v>
      </c>
    </row>
    <row r="196" spans="1:65" s="1" customFormat="1">
      <c r="A196" s="127"/>
      <c r="B196" s="114"/>
      <c r="C196" s="116"/>
      <c r="D196" s="146"/>
      <c r="E196" s="115">
        <f>IFERROR(VLOOKUP(A196,'Master Modelo'!A:I,9,FALSE),0)</f>
        <v>0</v>
      </c>
      <c r="F196" s="189">
        <f>IFERROR(VLOOKUP(A196,'Master Modelo'!A:I,8,FALSE),0)</f>
        <v>0</v>
      </c>
      <c r="G196" s="189">
        <f>IFERROR(VLOOKUP(A196,'Master Modelo'!A:K,11,FALSE),0)</f>
        <v>0</v>
      </c>
      <c r="H196" s="114" t="e">
        <f t="shared" si="78"/>
        <v>#DIV/0!</v>
      </c>
      <c r="I196" s="150">
        <f>IFERROR(VLOOKUP(A196,'Master Modelo'!A:I,3,FALSE),0)</f>
        <v>0</v>
      </c>
      <c r="J196" s="151">
        <f>IFERROR(VLOOKUP(A196,'Master Modelo'!A:I,5,FALSE),0)</f>
        <v>0</v>
      </c>
      <c r="K196" s="151">
        <f>IFERROR(VLOOKUP(A196,'Master Modelo'!A:I,6,FALSE),0)</f>
        <v>0</v>
      </c>
      <c r="L196" s="152" t="e">
        <f>VLOOKUP(A196,'Master Modelo'!A:J,10,FALSE)</f>
        <v>#N/A</v>
      </c>
      <c r="M196" s="150">
        <f>IFERROR(VLOOKUP(A196,'Master Modelo'!A:I,4,FALSE),0)</f>
        <v>0</v>
      </c>
      <c r="N196" s="128"/>
      <c r="O196" s="129"/>
      <c r="P196" s="9">
        <f t="shared" si="79"/>
        <v>0</v>
      </c>
      <c r="Q196" s="177">
        <f t="shared" si="96"/>
        <v>0</v>
      </c>
      <c r="R196" s="3">
        <f>D196*E196*'Entrada e Saida'!$K$8</f>
        <v>0</v>
      </c>
      <c r="S196" s="179" t="e">
        <f>'Entrada e Saida'!$H$21*'Entrada e Saida'!$K$8*(P196/(SUM(P:P)))</f>
        <v>#DIV/0!</v>
      </c>
      <c r="T196" s="179" t="e">
        <f>'Entrada e Saida'!$H$21*'Entrada e Saida'!$K$8*(Q196/(SUM(Q:Q)))</f>
        <v>#DIV/0!</v>
      </c>
      <c r="U196" s="179" t="e">
        <f>'Entrada e Saida'!$H$22*(P196/(SUM(P:P)))</f>
        <v>#DIV/0!</v>
      </c>
      <c r="V196" s="179" t="e">
        <f>'Entrada e Saida'!$H$22*(Q196/(SUM(Q:Q)))</f>
        <v>#DIV/0!</v>
      </c>
      <c r="W196" s="8" t="e">
        <f t="shared" si="80"/>
        <v>#DIV/0!</v>
      </c>
      <c r="X196" s="179" t="e">
        <f>'Entrada e Saida'!$H$26*(IF('Entrada e Saida'!$H$15="PESO",(P196/(SUM(P:P))),(Q196/(SUM(Q:Q)))))</f>
        <v>#DIV/0!</v>
      </c>
      <c r="Y196" s="179" t="e">
        <f>'Entrada e Saida'!$H$27*(IF('Entrada e Saida'!$H$15="PESO",(P196/(SUM(P:P))),(Q196/(SUM(Q:Q)))))</f>
        <v>#DIV/0!</v>
      </c>
      <c r="Z196" s="179" t="e">
        <f>'Entrada e Saida'!$H$28*(IF('Entrada e Saida'!$H$15="PESO",(P196/(SUM(P:P))),(Q196/(SUM(Q:Q)))))</f>
        <v>#DIV/0!</v>
      </c>
      <c r="AA196" s="10" t="e">
        <f t="shared" si="81"/>
        <v>#DIV/0!</v>
      </c>
      <c r="AB196" s="3" t="e">
        <f t="shared" si="82"/>
        <v>#DIV/0!</v>
      </c>
      <c r="AC196" s="3" t="e">
        <f t="shared" si="83"/>
        <v>#DIV/0!</v>
      </c>
      <c r="AD196" s="3" t="e">
        <f t="shared" si="84"/>
        <v>#DIV/0!</v>
      </c>
      <c r="AE196" s="9" t="e">
        <f t="shared" si="85"/>
        <v>#DIV/0!</v>
      </c>
      <c r="AF196" s="126">
        <f>IFERROR(D196*F196*L196*'Entrada e Saida'!$K$8,0)</f>
        <v>0</v>
      </c>
      <c r="AG196" s="3" t="e">
        <f>((W196+AA196+AB196+AC196+AD196+AE196+AF196)/(1-'Entrada e Saida'!$G$65))*'Entrada e Saida'!$I$66</f>
        <v>#DIV/0!</v>
      </c>
      <c r="AH196" s="8" t="e">
        <f t="shared" si="86"/>
        <v>#DIV/0!</v>
      </c>
      <c r="AI196" s="183" t="e">
        <f>'Entrada e Saida'!$K$51*(IF('Entrada e Saida'!$H$15="PESO",(P196/(SUM(P:P))),(Q196/(SUM(Q:Q)))))</f>
        <v>#DIV/0!</v>
      </c>
      <c r="AJ196" s="7">
        <f>(('Entrada e Saida'!$K$10-'Entrada e Saida'!$K$8)*E196*D196)</f>
        <v>0</v>
      </c>
      <c r="AK196" s="184" t="e">
        <f>IF('Entrada e Saida'!$H$15="PESO",W196+AA196+AH196+AI196+AJ196,W196+AA196+AH196+AI196+AJ196-S196+T196-U196+V196)</f>
        <v>#DIV/0!</v>
      </c>
      <c r="AL196" s="6" t="e">
        <f>IF('Entrada e Saida'!$H$12="REAL",AC196,0)</f>
        <v>#DIV/0!</v>
      </c>
      <c r="AM196" s="6" t="e">
        <f>IF('Entrada e Saida'!$H$12="REAL",AD196,0)</f>
        <v>#DIV/0!</v>
      </c>
      <c r="AN196" s="5" t="e">
        <f>IF('Entrada e Saida'!$H$13= "NÃO",AE196,0)</f>
        <v>#DIV/0!</v>
      </c>
      <c r="AO196" s="5" t="e">
        <f t="shared" si="87"/>
        <v>#DIV/0!</v>
      </c>
      <c r="AP196" s="4" t="e">
        <f t="shared" si="88"/>
        <v>#DIV/0!</v>
      </c>
      <c r="AQ196" s="3" t="e">
        <f>IF('Entrada e Saida'!$H$11="TRADING",AU196*'Custo Resumido'!D196,0)</f>
        <v>#DIV/0!</v>
      </c>
      <c r="AR196" s="3" t="e">
        <f>IF('Entrada e Saida'!$H$11="TRADING",AU196*'Entrada e Saida'!$G$63,0)</f>
        <v>#DIV/0!</v>
      </c>
      <c r="AS196" s="3" t="e">
        <f>IF('Entrada e Saida'!$H$11="TRADING",AU196*'Entrada e Saida'!$G$64,0)</f>
        <v>#DIV/0!</v>
      </c>
      <c r="AT196" s="3" t="e">
        <f>IF('Entrada e Saida'!$H$11="TRADING",AU196*'Entrada e Saida'!$G$65,0)</f>
        <v>#DIV/0!</v>
      </c>
      <c r="AU196" s="4" t="e">
        <f>IF('Entrada e Saida'!$H$11="TRADING",AP196/(1-(SUM('Entrada e Saida'!$G$63:$G$65)+'Custo Resumido'!D196)),0)</f>
        <v>#DIV/0!</v>
      </c>
      <c r="AV196" s="3" t="e">
        <f>IF('Entrada e Saida'!$H$13="NÃO",AU196*M196,0)</f>
        <v>#DIV/0!</v>
      </c>
      <c r="AW196" s="4" t="e">
        <f t="shared" si="89"/>
        <v>#DIV/0!</v>
      </c>
      <c r="AX196" s="3" t="e">
        <f>'Entrada e Saida'!$G$74*AU196</f>
        <v>#DIV/0!</v>
      </c>
      <c r="AY196" s="4" t="e">
        <f t="shared" si="90"/>
        <v>#DIV/0!</v>
      </c>
      <c r="AZ196" s="4" t="e">
        <f>AQ196+('Entrada e Saida'!$G$65-'Entrada e Saida'!$I$65)*AU196-AX196</f>
        <v>#DIV/0!</v>
      </c>
      <c r="BA196" s="3" t="e">
        <f>IF('Entrada e Saida'!$H$12="REAL",AZ196*'Entrada e Saida'!$G$81,AU196*'Entrada e Saida'!$G$81)</f>
        <v>#DIV/0!</v>
      </c>
      <c r="BB196" s="3" t="e">
        <f>IF('Entrada e Saida'!$H$12="REAL",AZ196*'Entrada e Saida'!$G$82,AU196*'Entrada e Saida'!$G$82)</f>
        <v>#DIV/0!</v>
      </c>
      <c r="BC196" s="4" t="e">
        <f t="shared" si="91"/>
        <v>#DIV/0!</v>
      </c>
      <c r="BD196" s="3" t="e">
        <f>IF('Entrada e Saida'!$H$11="TRADING",AW196/D196,AK196/D196)</f>
        <v>#DIV/0!</v>
      </c>
      <c r="BE196" s="3" t="e">
        <f t="shared" si="92"/>
        <v>#DIV/0!</v>
      </c>
      <c r="BF196" s="2" t="e">
        <f t="shared" si="93"/>
        <v>#DIV/0!</v>
      </c>
      <c r="BG196" s="3" t="e">
        <f>IF('Entrada e Saida'!$H$11="TRADING",AV196/D196,AN196/D196)</f>
        <v>#DIV/0!</v>
      </c>
      <c r="BH196" s="3" t="e">
        <f>IF('Entrada e Saida'!$H$11="TRADING",IF('Entrada e Saida'!$H$12="REAL",AR196/D196,0),AL196/D196)</f>
        <v>#DIV/0!</v>
      </c>
      <c r="BI196" s="3" t="e">
        <f>IF('Entrada e Saida'!$H$11="TRADING",IF('Entrada e Saida'!$H$12="REAL",AS196/D196,0),AM196/D196)</f>
        <v>#DIV/0!</v>
      </c>
      <c r="BJ196" s="3" t="e">
        <f>IF('Entrada e Saida'!$H$11="TRADING",AT196/D196,AO196/D196)</f>
        <v>#DIV/0!</v>
      </c>
      <c r="BK196" s="2" t="e">
        <f t="shared" si="94"/>
        <v>#DIV/0!</v>
      </c>
      <c r="BL196" s="2">
        <f>IF(O196&gt;0,IFERROR(IF('Entrada e Saida'!$H$11="DIRETA",0,(IF('Entrada e Saida'!$H$14="P.JURIDICA",(BD196*(1+O196)*N196)-((BD196/(1+M196))*'Entrada e Saida'!$G$65),((Produtos!N196-'Entrada e Saida'!$G$65)*Produtos!BD196)))),0),0)</f>
        <v>0</v>
      </c>
      <c r="BM196" s="2" t="e">
        <f t="shared" si="95"/>
        <v>#DIV/0!</v>
      </c>
    </row>
    <row r="197" spans="1:65" s="1" customFormat="1">
      <c r="A197" s="127"/>
      <c r="B197" s="114"/>
      <c r="C197" s="116"/>
      <c r="D197" s="146"/>
      <c r="E197" s="115">
        <f>IFERROR(VLOOKUP(A197,'Master Modelo'!A:I,9,FALSE),0)</f>
        <v>0</v>
      </c>
      <c r="F197" s="189">
        <f>IFERROR(VLOOKUP(A197,'Master Modelo'!A:I,8,FALSE),0)</f>
        <v>0</v>
      </c>
      <c r="G197" s="189">
        <f>IFERROR(VLOOKUP(A197,'Master Modelo'!A:K,11,FALSE),0)</f>
        <v>0</v>
      </c>
      <c r="H197" s="114" t="e">
        <f t="shared" si="78"/>
        <v>#DIV/0!</v>
      </c>
      <c r="I197" s="150">
        <f>IFERROR(VLOOKUP(A197,'Master Modelo'!A:I,3,FALSE),0)</f>
        <v>0</v>
      </c>
      <c r="J197" s="151">
        <f>IFERROR(VLOOKUP(A197,'Master Modelo'!A:I,5,FALSE),0)</f>
        <v>0</v>
      </c>
      <c r="K197" s="151">
        <f>IFERROR(VLOOKUP(A197,'Master Modelo'!A:I,6,FALSE),0)</f>
        <v>0</v>
      </c>
      <c r="L197" s="152" t="e">
        <f>VLOOKUP(A197,'Master Modelo'!A:J,10,FALSE)</f>
        <v>#N/A</v>
      </c>
      <c r="M197" s="150">
        <f>IFERROR(VLOOKUP(A197,'Master Modelo'!A:I,4,FALSE),0)</f>
        <v>0</v>
      </c>
      <c r="N197" s="128"/>
      <c r="O197" s="129"/>
      <c r="P197" s="9">
        <f t="shared" si="79"/>
        <v>0</v>
      </c>
      <c r="Q197" s="177">
        <f t="shared" si="96"/>
        <v>0</v>
      </c>
      <c r="R197" s="3">
        <f>D197*E197*'Entrada e Saida'!$K$8</f>
        <v>0</v>
      </c>
      <c r="S197" s="179" t="e">
        <f>'Entrada e Saida'!$H$21*'Entrada e Saida'!$K$8*(P197/(SUM(P:P)))</f>
        <v>#DIV/0!</v>
      </c>
      <c r="T197" s="179" t="e">
        <f>'Entrada e Saida'!$H$21*'Entrada e Saida'!$K$8*(Q197/(SUM(Q:Q)))</f>
        <v>#DIV/0!</v>
      </c>
      <c r="U197" s="179" t="e">
        <f>'Entrada e Saida'!$H$22*(P197/(SUM(P:P)))</f>
        <v>#DIV/0!</v>
      </c>
      <c r="V197" s="179" t="e">
        <f>'Entrada e Saida'!$H$22*(Q197/(SUM(Q:Q)))</f>
        <v>#DIV/0!</v>
      </c>
      <c r="W197" s="8" t="e">
        <f t="shared" si="80"/>
        <v>#DIV/0!</v>
      </c>
      <c r="X197" s="179" t="e">
        <f>'Entrada e Saida'!$H$26*(IF('Entrada e Saida'!$H$15="PESO",(P197/(SUM(P:P))),(Q197/(SUM(Q:Q)))))</f>
        <v>#DIV/0!</v>
      </c>
      <c r="Y197" s="179" t="e">
        <f>'Entrada e Saida'!$H$27*(IF('Entrada e Saida'!$H$15="PESO",(P197/(SUM(P:P))),(Q197/(SUM(Q:Q)))))</f>
        <v>#DIV/0!</v>
      </c>
      <c r="Z197" s="179" t="e">
        <f>'Entrada e Saida'!$H$28*(IF('Entrada e Saida'!$H$15="PESO",(P197/(SUM(P:P))),(Q197/(SUM(Q:Q)))))</f>
        <v>#DIV/0!</v>
      </c>
      <c r="AA197" s="10" t="e">
        <f t="shared" si="81"/>
        <v>#DIV/0!</v>
      </c>
      <c r="AB197" s="3" t="e">
        <f t="shared" si="82"/>
        <v>#DIV/0!</v>
      </c>
      <c r="AC197" s="3" t="e">
        <f t="shared" si="83"/>
        <v>#DIV/0!</v>
      </c>
      <c r="AD197" s="3" t="e">
        <f t="shared" si="84"/>
        <v>#DIV/0!</v>
      </c>
      <c r="AE197" s="9" t="e">
        <f t="shared" si="85"/>
        <v>#DIV/0!</v>
      </c>
      <c r="AF197" s="126">
        <f>IFERROR(D197*F197*L197*'Entrada e Saida'!$K$8,0)</f>
        <v>0</v>
      </c>
      <c r="AG197" s="3" t="e">
        <f>((W197+AA197+AB197+AC197+AD197+AE197+AF197)/(1-'Entrada e Saida'!$G$65))*'Entrada e Saida'!$I$66</f>
        <v>#DIV/0!</v>
      </c>
      <c r="AH197" s="8" t="e">
        <f t="shared" si="86"/>
        <v>#DIV/0!</v>
      </c>
      <c r="AI197" s="183" t="e">
        <f>'Entrada e Saida'!$K$51*(IF('Entrada e Saida'!$H$15="PESO",(P197/(SUM(P:P))),(Q197/(SUM(Q:Q)))))</f>
        <v>#DIV/0!</v>
      </c>
      <c r="AJ197" s="7">
        <f>(('Entrada e Saida'!$K$10-'Entrada e Saida'!$K$8)*E197*D197)</f>
        <v>0</v>
      </c>
      <c r="AK197" s="184" t="e">
        <f>IF('Entrada e Saida'!$H$15="PESO",W197+AA197+AH197+AI197+AJ197,W197+AA197+AH197+AI197+AJ197-S197+T197-U197+V197)</f>
        <v>#DIV/0!</v>
      </c>
      <c r="AL197" s="6" t="e">
        <f>IF('Entrada e Saida'!$H$12="REAL",AC197,0)</f>
        <v>#DIV/0!</v>
      </c>
      <c r="AM197" s="6" t="e">
        <f>IF('Entrada e Saida'!$H$12="REAL",AD197,0)</f>
        <v>#DIV/0!</v>
      </c>
      <c r="AN197" s="5" t="e">
        <f>IF('Entrada e Saida'!$H$13= "NÃO",AE197,0)</f>
        <v>#DIV/0!</v>
      </c>
      <c r="AO197" s="5" t="e">
        <f t="shared" si="87"/>
        <v>#DIV/0!</v>
      </c>
      <c r="AP197" s="4" t="e">
        <f t="shared" si="88"/>
        <v>#DIV/0!</v>
      </c>
      <c r="AQ197" s="3" t="e">
        <f>IF('Entrada e Saida'!$H$11="TRADING",AU197*'Custo Resumido'!D197,0)</f>
        <v>#DIV/0!</v>
      </c>
      <c r="AR197" s="3" t="e">
        <f>IF('Entrada e Saida'!$H$11="TRADING",AU197*'Entrada e Saida'!$G$63,0)</f>
        <v>#DIV/0!</v>
      </c>
      <c r="AS197" s="3" t="e">
        <f>IF('Entrada e Saida'!$H$11="TRADING",AU197*'Entrada e Saida'!$G$64,0)</f>
        <v>#DIV/0!</v>
      </c>
      <c r="AT197" s="3" t="e">
        <f>IF('Entrada e Saida'!$H$11="TRADING",AU197*'Entrada e Saida'!$G$65,0)</f>
        <v>#DIV/0!</v>
      </c>
      <c r="AU197" s="4" t="e">
        <f>IF('Entrada e Saida'!$H$11="TRADING",AP197/(1-(SUM('Entrada e Saida'!$G$63:$G$65)+'Custo Resumido'!D197)),0)</f>
        <v>#DIV/0!</v>
      </c>
      <c r="AV197" s="3" t="e">
        <f>IF('Entrada e Saida'!$H$13="NÃO",AU197*M197,0)</f>
        <v>#DIV/0!</v>
      </c>
      <c r="AW197" s="4" t="e">
        <f t="shared" si="89"/>
        <v>#DIV/0!</v>
      </c>
      <c r="AX197" s="3" t="e">
        <f>'Entrada e Saida'!$G$74*AU197</f>
        <v>#DIV/0!</v>
      </c>
      <c r="AY197" s="4" t="e">
        <f t="shared" si="90"/>
        <v>#DIV/0!</v>
      </c>
      <c r="AZ197" s="4" t="e">
        <f>AQ197+('Entrada e Saida'!$G$65-'Entrada e Saida'!$I$65)*AU197-AX197</f>
        <v>#DIV/0!</v>
      </c>
      <c r="BA197" s="3" t="e">
        <f>IF('Entrada e Saida'!$H$12="REAL",AZ197*'Entrada e Saida'!$G$81,AU197*'Entrada e Saida'!$G$81)</f>
        <v>#DIV/0!</v>
      </c>
      <c r="BB197" s="3" t="e">
        <f>IF('Entrada e Saida'!$H$12="REAL",AZ197*'Entrada e Saida'!$G$82,AU197*'Entrada e Saida'!$G$82)</f>
        <v>#DIV/0!</v>
      </c>
      <c r="BC197" s="4" t="e">
        <f t="shared" si="91"/>
        <v>#DIV/0!</v>
      </c>
      <c r="BD197" s="3" t="e">
        <f>IF('Entrada e Saida'!$H$11="TRADING",AW197/D197,AK197/D197)</f>
        <v>#DIV/0!</v>
      </c>
      <c r="BE197" s="3" t="e">
        <f t="shared" si="92"/>
        <v>#DIV/0!</v>
      </c>
      <c r="BF197" s="2" t="e">
        <f t="shared" si="93"/>
        <v>#DIV/0!</v>
      </c>
      <c r="BG197" s="3" t="e">
        <f>IF('Entrada e Saida'!$H$11="TRADING",AV197/D197,AN197/D197)</f>
        <v>#DIV/0!</v>
      </c>
      <c r="BH197" s="3" t="e">
        <f>IF('Entrada e Saida'!$H$11="TRADING",IF('Entrada e Saida'!$H$12="REAL",AR197/D197,0),AL197/D197)</f>
        <v>#DIV/0!</v>
      </c>
      <c r="BI197" s="3" t="e">
        <f>IF('Entrada e Saida'!$H$11="TRADING",IF('Entrada e Saida'!$H$12="REAL",AS197/D197,0),AM197/D197)</f>
        <v>#DIV/0!</v>
      </c>
      <c r="BJ197" s="3" t="e">
        <f>IF('Entrada e Saida'!$H$11="TRADING",AT197/D197,AO197/D197)</f>
        <v>#DIV/0!</v>
      </c>
      <c r="BK197" s="2" t="e">
        <f t="shared" si="94"/>
        <v>#DIV/0!</v>
      </c>
      <c r="BL197" s="2">
        <f>IF(O197&gt;0,IFERROR(IF('Entrada e Saida'!$H$11="DIRETA",0,(IF('Entrada e Saida'!$H$14="P.JURIDICA",(BD197*(1+O197)*N197)-((BD197/(1+M197))*'Entrada e Saida'!$G$65),((Produtos!N197-'Entrada e Saida'!$G$65)*Produtos!BD197)))),0),0)</f>
        <v>0</v>
      </c>
      <c r="BM197" s="2" t="e">
        <f t="shared" si="95"/>
        <v>#DIV/0!</v>
      </c>
    </row>
    <row r="198" spans="1:65" s="1" customFormat="1">
      <c r="A198" s="127"/>
      <c r="B198" s="114"/>
      <c r="C198" s="116"/>
      <c r="D198" s="146"/>
      <c r="E198" s="115">
        <f>IFERROR(VLOOKUP(A198,'Master Modelo'!A:I,9,FALSE),0)</f>
        <v>0</v>
      </c>
      <c r="F198" s="189">
        <f>IFERROR(VLOOKUP(A198,'Master Modelo'!A:I,8,FALSE),0)</f>
        <v>0</v>
      </c>
      <c r="G198" s="189">
        <f>IFERROR(VLOOKUP(A198,'Master Modelo'!A:K,11,FALSE),0)</f>
        <v>0</v>
      </c>
      <c r="H198" s="114" t="e">
        <f t="shared" si="78"/>
        <v>#DIV/0!</v>
      </c>
      <c r="I198" s="150">
        <f>IFERROR(VLOOKUP(A198,'Master Modelo'!A:I,3,FALSE),0)</f>
        <v>0</v>
      </c>
      <c r="J198" s="151">
        <f>IFERROR(VLOOKUP(A198,'Master Modelo'!A:I,5,FALSE),0)</f>
        <v>0</v>
      </c>
      <c r="K198" s="151">
        <f>IFERROR(VLOOKUP(A198,'Master Modelo'!A:I,6,FALSE),0)</f>
        <v>0</v>
      </c>
      <c r="L198" s="152" t="e">
        <f>VLOOKUP(A198,'Master Modelo'!A:J,10,FALSE)</f>
        <v>#N/A</v>
      </c>
      <c r="M198" s="150">
        <f>IFERROR(VLOOKUP(A198,'Master Modelo'!A:I,4,FALSE),0)</f>
        <v>0</v>
      </c>
      <c r="N198" s="128"/>
      <c r="O198" s="129"/>
      <c r="P198" s="9">
        <f t="shared" si="79"/>
        <v>0</v>
      </c>
      <c r="Q198" s="177">
        <f t="shared" si="96"/>
        <v>0</v>
      </c>
      <c r="R198" s="3">
        <f>D198*E198*'Entrada e Saida'!$K$8</f>
        <v>0</v>
      </c>
      <c r="S198" s="179" t="e">
        <f>'Entrada e Saida'!$H$21*'Entrada e Saida'!$K$8*(P198/(SUM(P:P)))</f>
        <v>#DIV/0!</v>
      </c>
      <c r="T198" s="179" t="e">
        <f>'Entrada e Saida'!$H$21*'Entrada e Saida'!$K$8*(Q198/(SUM(Q:Q)))</f>
        <v>#DIV/0!</v>
      </c>
      <c r="U198" s="179" t="e">
        <f>'Entrada e Saida'!$H$22*(P198/(SUM(P:P)))</f>
        <v>#DIV/0!</v>
      </c>
      <c r="V198" s="179" t="e">
        <f>'Entrada e Saida'!$H$22*(Q198/(SUM(Q:Q)))</f>
        <v>#DIV/0!</v>
      </c>
      <c r="W198" s="8" t="e">
        <f t="shared" si="80"/>
        <v>#DIV/0!</v>
      </c>
      <c r="X198" s="179" t="e">
        <f>'Entrada e Saida'!$H$26*(IF('Entrada e Saida'!$H$15="PESO",(P198/(SUM(P:P))),(Q198/(SUM(Q:Q)))))</f>
        <v>#DIV/0!</v>
      </c>
      <c r="Y198" s="179" t="e">
        <f>'Entrada e Saida'!$H$27*(IF('Entrada e Saida'!$H$15="PESO",(P198/(SUM(P:P))),(Q198/(SUM(Q:Q)))))</f>
        <v>#DIV/0!</v>
      </c>
      <c r="Z198" s="179" t="e">
        <f>'Entrada e Saida'!$H$28*(IF('Entrada e Saida'!$H$15="PESO",(P198/(SUM(P:P))),(Q198/(SUM(Q:Q)))))</f>
        <v>#DIV/0!</v>
      </c>
      <c r="AA198" s="10" t="e">
        <f t="shared" si="81"/>
        <v>#DIV/0!</v>
      </c>
      <c r="AB198" s="3" t="e">
        <f t="shared" si="82"/>
        <v>#DIV/0!</v>
      </c>
      <c r="AC198" s="3" t="e">
        <f t="shared" si="83"/>
        <v>#DIV/0!</v>
      </c>
      <c r="AD198" s="3" t="e">
        <f t="shared" si="84"/>
        <v>#DIV/0!</v>
      </c>
      <c r="AE198" s="9" t="e">
        <f t="shared" si="85"/>
        <v>#DIV/0!</v>
      </c>
      <c r="AF198" s="126">
        <f>IFERROR(D198*F198*L198*'Entrada e Saida'!$K$8,0)</f>
        <v>0</v>
      </c>
      <c r="AG198" s="3" t="e">
        <f>((W198+AA198+AB198+AC198+AD198+AE198+AF198)/(1-'Entrada e Saida'!$G$65))*'Entrada e Saida'!$I$66</f>
        <v>#DIV/0!</v>
      </c>
      <c r="AH198" s="8" t="e">
        <f t="shared" si="86"/>
        <v>#DIV/0!</v>
      </c>
      <c r="AI198" s="183" t="e">
        <f>'Entrada e Saida'!$K$51*(IF('Entrada e Saida'!$H$15="PESO",(P198/(SUM(P:P))),(Q198/(SUM(Q:Q)))))</f>
        <v>#DIV/0!</v>
      </c>
      <c r="AJ198" s="7">
        <f>(('Entrada e Saida'!$K$10-'Entrada e Saida'!$K$8)*E198*D198)</f>
        <v>0</v>
      </c>
      <c r="AK198" s="184" t="e">
        <f>IF('Entrada e Saida'!$H$15="PESO",W198+AA198+AH198+AI198+AJ198,W198+AA198+AH198+AI198+AJ198-S198+T198-U198+V198)</f>
        <v>#DIV/0!</v>
      </c>
      <c r="AL198" s="6" t="e">
        <f>IF('Entrada e Saida'!$H$12="REAL",AC198,0)</f>
        <v>#DIV/0!</v>
      </c>
      <c r="AM198" s="6" t="e">
        <f>IF('Entrada e Saida'!$H$12="REAL",AD198,0)</f>
        <v>#DIV/0!</v>
      </c>
      <c r="AN198" s="5" t="e">
        <f>IF('Entrada e Saida'!$H$13= "NÃO",AE198,0)</f>
        <v>#DIV/0!</v>
      </c>
      <c r="AO198" s="5" t="e">
        <f t="shared" si="87"/>
        <v>#DIV/0!</v>
      </c>
      <c r="AP198" s="4" t="e">
        <f t="shared" si="88"/>
        <v>#DIV/0!</v>
      </c>
      <c r="AQ198" s="3" t="e">
        <f>IF('Entrada e Saida'!$H$11="TRADING",AU198*'Custo Resumido'!D198,0)</f>
        <v>#DIV/0!</v>
      </c>
      <c r="AR198" s="3" t="e">
        <f>IF('Entrada e Saida'!$H$11="TRADING",AU198*'Entrada e Saida'!$G$63,0)</f>
        <v>#DIV/0!</v>
      </c>
      <c r="AS198" s="3" t="e">
        <f>IF('Entrada e Saida'!$H$11="TRADING",AU198*'Entrada e Saida'!$G$64,0)</f>
        <v>#DIV/0!</v>
      </c>
      <c r="AT198" s="3" t="e">
        <f>IF('Entrada e Saida'!$H$11="TRADING",AU198*'Entrada e Saida'!$G$65,0)</f>
        <v>#DIV/0!</v>
      </c>
      <c r="AU198" s="4" t="e">
        <f>IF('Entrada e Saida'!$H$11="TRADING",AP198/(1-(SUM('Entrada e Saida'!$G$63:$G$65)+'Custo Resumido'!D198)),0)</f>
        <v>#DIV/0!</v>
      </c>
      <c r="AV198" s="3" t="e">
        <f>IF('Entrada e Saida'!$H$13="NÃO",AU198*M198,0)</f>
        <v>#DIV/0!</v>
      </c>
      <c r="AW198" s="4" t="e">
        <f t="shared" si="89"/>
        <v>#DIV/0!</v>
      </c>
      <c r="AX198" s="3" t="e">
        <f>'Entrada e Saida'!$G$74*AU198</f>
        <v>#DIV/0!</v>
      </c>
      <c r="AY198" s="4" t="e">
        <f t="shared" si="90"/>
        <v>#DIV/0!</v>
      </c>
      <c r="AZ198" s="4" t="e">
        <f>AQ198+('Entrada e Saida'!$G$65-'Entrada e Saida'!$I$65)*AU198-AX198</f>
        <v>#DIV/0!</v>
      </c>
      <c r="BA198" s="3" t="e">
        <f>IF('Entrada e Saida'!$H$12="REAL",AZ198*'Entrada e Saida'!$G$81,AU198*'Entrada e Saida'!$G$81)</f>
        <v>#DIV/0!</v>
      </c>
      <c r="BB198" s="3" t="e">
        <f>IF('Entrada e Saida'!$H$12="REAL",AZ198*'Entrada e Saida'!$G$82,AU198*'Entrada e Saida'!$G$82)</f>
        <v>#DIV/0!</v>
      </c>
      <c r="BC198" s="4" t="e">
        <f t="shared" si="91"/>
        <v>#DIV/0!</v>
      </c>
      <c r="BD198" s="3" t="e">
        <f>IF('Entrada e Saida'!$H$11="TRADING",AW198/D198,AK198/D198)</f>
        <v>#DIV/0!</v>
      </c>
      <c r="BE198" s="3" t="e">
        <f t="shared" si="92"/>
        <v>#DIV/0!</v>
      </c>
      <c r="BF198" s="2" t="e">
        <f t="shared" si="93"/>
        <v>#DIV/0!</v>
      </c>
      <c r="BG198" s="3" t="e">
        <f>IF('Entrada e Saida'!$H$11="TRADING",AV198/D198,AN198/D198)</f>
        <v>#DIV/0!</v>
      </c>
      <c r="BH198" s="3" t="e">
        <f>IF('Entrada e Saida'!$H$11="TRADING",IF('Entrada e Saida'!$H$12="REAL",AR198/D198,0),AL198/D198)</f>
        <v>#DIV/0!</v>
      </c>
      <c r="BI198" s="3" t="e">
        <f>IF('Entrada e Saida'!$H$11="TRADING",IF('Entrada e Saida'!$H$12="REAL",AS198/D198,0),AM198/D198)</f>
        <v>#DIV/0!</v>
      </c>
      <c r="BJ198" s="3" t="e">
        <f>IF('Entrada e Saida'!$H$11="TRADING",AT198/D198,AO198/D198)</f>
        <v>#DIV/0!</v>
      </c>
      <c r="BK198" s="2" t="e">
        <f t="shared" si="94"/>
        <v>#DIV/0!</v>
      </c>
      <c r="BL198" s="2">
        <f>IF(O198&gt;0,IFERROR(IF('Entrada e Saida'!$H$11="DIRETA",0,(IF('Entrada e Saida'!$H$14="P.JURIDICA",(BD198*(1+O198)*N198)-((BD198/(1+M198))*'Entrada e Saida'!$G$65),((Produtos!N198-'Entrada e Saida'!$G$65)*Produtos!BD198)))),0),0)</f>
        <v>0</v>
      </c>
      <c r="BM198" s="2" t="e">
        <f t="shared" si="95"/>
        <v>#DIV/0!</v>
      </c>
    </row>
    <row r="199" spans="1:65" s="1" customFormat="1">
      <c r="A199" s="127"/>
      <c r="B199" s="114"/>
      <c r="C199" s="116"/>
      <c r="D199" s="146"/>
      <c r="E199" s="115">
        <f>IFERROR(VLOOKUP(A199,'Master Modelo'!A:I,9,FALSE),0)</f>
        <v>0</v>
      </c>
      <c r="F199" s="189">
        <f>IFERROR(VLOOKUP(A199,'Master Modelo'!A:I,8,FALSE),0)</f>
        <v>0</v>
      </c>
      <c r="G199" s="189">
        <f>IFERROR(VLOOKUP(A199,'Master Modelo'!A:K,11,FALSE),0)</f>
        <v>0</v>
      </c>
      <c r="H199" s="114" t="e">
        <f t="shared" ref="H199:H204" si="97">(D199*E199)/(D199*F199)</f>
        <v>#DIV/0!</v>
      </c>
      <c r="I199" s="150">
        <f>IFERROR(VLOOKUP(A199,'Master Modelo'!A:I,3,FALSE),0)</f>
        <v>0</v>
      </c>
      <c r="J199" s="151">
        <f>IFERROR(VLOOKUP(A199,'Master Modelo'!A:I,5,FALSE),0)</f>
        <v>0</v>
      </c>
      <c r="K199" s="151">
        <f>IFERROR(VLOOKUP(A199,'Master Modelo'!A:I,6,FALSE),0)</f>
        <v>0</v>
      </c>
      <c r="L199" s="152" t="e">
        <f>VLOOKUP(A199,'Master Modelo'!A:J,10,FALSE)</f>
        <v>#N/A</v>
      </c>
      <c r="M199" s="150">
        <f>IFERROR(VLOOKUP(A199,'Master Modelo'!A:I,4,FALSE),0)</f>
        <v>0</v>
      </c>
      <c r="N199" s="128"/>
      <c r="O199" s="129"/>
      <c r="P199" s="9">
        <f t="shared" ref="P199:P204" si="98">D199*F199</f>
        <v>0</v>
      </c>
      <c r="Q199" s="177">
        <f t="shared" si="96"/>
        <v>0</v>
      </c>
      <c r="R199" s="3">
        <f>D199*E199*'Entrada e Saida'!$K$8</f>
        <v>0</v>
      </c>
      <c r="S199" s="179" t="e">
        <f>'Entrada e Saida'!$H$21*'Entrada e Saida'!$K$8*(P199/(SUM(P:P)))</f>
        <v>#DIV/0!</v>
      </c>
      <c r="T199" s="179" t="e">
        <f>'Entrada e Saida'!$H$21*'Entrada e Saida'!$K$8*(Q199/(SUM(Q:Q)))</f>
        <v>#DIV/0!</v>
      </c>
      <c r="U199" s="179" t="e">
        <f>'Entrada e Saida'!$H$22*(P199/(SUM(P:P)))</f>
        <v>#DIV/0!</v>
      </c>
      <c r="V199" s="179" t="e">
        <f>'Entrada e Saida'!$H$22*(Q199/(SUM(Q:Q)))</f>
        <v>#DIV/0!</v>
      </c>
      <c r="W199" s="8" t="e">
        <f t="shared" ref="W199:W204" si="99">R199+S199+U199</f>
        <v>#DIV/0!</v>
      </c>
      <c r="X199" s="179" t="e">
        <f>'Entrada e Saida'!$H$26*(IF('Entrada e Saida'!$H$15="PESO",(P199/(SUM(P:P))),(Q199/(SUM(Q:Q)))))</f>
        <v>#DIV/0!</v>
      </c>
      <c r="Y199" s="179" t="e">
        <f>'Entrada e Saida'!$H$27*(IF('Entrada e Saida'!$H$15="PESO",(P199/(SUM(P:P))),(Q199/(SUM(Q:Q)))))</f>
        <v>#DIV/0!</v>
      </c>
      <c r="Z199" s="179" t="e">
        <f>'Entrada e Saida'!$H$28*(IF('Entrada e Saida'!$H$15="PESO",(P199/(SUM(P:P))),(Q199/(SUM(Q:Q)))))</f>
        <v>#DIV/0!</v>
      </c>
      <c r="AA199" s="10" t="e">
        <f t="shared" ref="AA199:AA204" si="100">X199+Y199+Z199</f>
        <v>#DIV/0!</v>
      </c>
      <c r="AB199" s="3" t="e">
        <f t="shared" ref="AB199:AB204" si="101">W199*I199</f>
        <v>#DIV/0!</v>
      </c>
      <c r="AC199" s="3" t="e">
        <f t="shared" ref="AC199:AC204" si="102">W199*J199</f>
        <v>#DIV/0!</v>
      </c>
      <c r="AD199" s="3" t="e">
        <f t="shared" ref="AD199:AD204" si="103">W199*K199</f>
        <v>#DIV/0!</v>
      </c>
      <c r="AE199" s="9" t="e">
        <f t="shared" ref="AE199:AE204" si="104">(W199+AB199)*M199</f>
        <v>#DIV/0!</v>
      </c>
      <c r="AF199" s="126">
        <f>IFERROR(D199*F199*L199*'Entrada e Saida'!$K$8,0)</f>
        <v>0</v>
      </c>
      <c r="AG199" s="3" t="e">
        <f>((W199+AA199+AB199+AC199+AD199+AE199+AF199)/(1-'Entrada e Saida'!$G$65))*'Entrada e Saida'!$I$66</f>
        <v>#DIV/0!</v>
      </c>
      <c r="AH199" s="8" t="e">
        <f t="shared" ref="AH199:AH204" si="105">SUM(AB199:AG199)</f>
        <v>#DIV/0!</v>
      </c>
      <c r="AI199" s="183" t="e">
        <f>'Entrada e Saida'!$K$51*(IF('Entrada e Saida'!$H$15="PESO",(P199/(SUM(P:P))),(Q199/(SUM(Q:Q)))))</f>
        <v>#DIV/0!</v>
      </c>
      <c r="AJ199" s="7">
        <f>(('Entrada e Saida'!$K$10-'Entrada e Saida'!$K$8)*E199*D199)</f>
        <v>0</v>
      </c>
      <c r="AK199" s="184" t="e">
        <f>IF('Entrada e Saida'!$H$15="PESO",W199+AA199+AH199+AI199+AJ199,W199+AA199+AH199+AI199+AJ199-S199+T199-U199+V199)</f>
        <v>#DIV/0!</v>
      </c>
      <c r="AL199" s="6" t="e">
        <f>IF('Entrada e Saida'!$H$12="REAL",AC199,0)</f>
        <v>#DIV/0!</v>
      </c>
      <c r="AM199" s="6" t="e">
        <f>IF('Entrada e Saida'!$H$12="REAL",AD199,0)</f>
        <v>#DIV/0!</v>
      </c>
      <c r="AN199" s="5" t="e">
        <f>IF('Entrada e Saida'!$H$13= "NÃO",AE199,0)</f>
        <v>#DIV/0!</v>
      </c>
      <c r="AO199" s="5" t="e">
        <f t="shared" ref="AO199:AO204" si="106">AG199</f>
        <v>#DIV/0!</v>
      </c>
      <c r="AP199" s="4" t="e">
        <f t="shared" ref="AP199:AP204" si="107">AK199-SUM(AL199:AO199)</f>
        <v>#DIV/0!</v>
      </c>
      <c r="AQ199" s="3" t="e">
        <f>IF('Entrada e Saida'!$H$11="TRADING",AU199*'Custo Resumido'!D199,0)</f>
        <v>#DIV/0!</v>
      </c>
      <c r="AR199" s="3" t="e">
        <f>IF('Entrada e Saida'!$H$11="TRADING",AU199*'Entrada e Saida'!$G$63,0)</f>
        <v>#DIV/0!</v>
      </c>
      <c r="AS199" s="3" t="e">
        <f>IF('Entrada e Saida'!$H$11="TRADING",AU199*'Entrada e Saida'!$G$64,0)</f>
        <v>#DIV/0!</v>
      </c>
      <c r="AT199" s="3" t="e">
        <f>IF('Entrada e Saida'!$H$11="TRADING",AU199*'Entrada e Saida'!$G$65,0)</f>
        <v>#DIV/0!</v>
      </c>
      <c r="AU199" s="4" t="e">
        <f>IF('Entrada e Saida'!$H$11="TRADING",AP199/(1-(SUM('Entrada e Saida'!$G$63:$G$65)+'Custo Resumido'!D199)),0)</f>
        <v>#DIV/0!</v>
      </c>
      <c r="AV199" s="3" t="e">
        <f>IF('Entrada e Saida'!$H$13="NÃO",AU199*M199,0)</f>
        <v>#DIV/0!</v>
      </c>
      <c r="AW199" s="4" t="e">
        <f t="shared" ref="AW199:AW204" si="108">AU199+AV199</f>
        <v>#DIV/0!</v>
      </c>
      <c r="AX199" s="3" t="e">
        <f>'Entrada e Saida'!$G$74*AU199</f>
        <v>#DIV/0!</v>
      </c>
      <c r="AY199" s="4" t="e">
        <f t="shared" ref="AY199:AY204" si="109">AW199-AX199</f>
        <v>#DIV/0!</v>
      </c>
      <c r="AZ199" s="4" t="e">
        <f>AQ199+('Entrada e Saida'!$G$65-'Entrada e Saida'!$I$65)*AU199-AX199</f>
        <v>#DIV/0!</v>
      </c>
      <c r="BA199" s="3" t="e">
        <f>IF('Entrada e Saida'!$H$12="REAL",AZ199*'Entrada e Saida'!$G$81,AU199*'Entrada e Saida'!$G$81)</f>
        <v>#DIV/0!</v>
      </c>
      <c r="BB199" s="3" t="e">
        <f>IF('Entrada e Saida'!$H$12="REAL",AZ199*'Entrada e Saida'!$G$82,AU199*'Entrada e Saida'!$G$82)</f>
        <v>#DIV/0!</v>
      </c>
      <c r="BC199" s="4" t="e">
        <f t="shared" ref="BC199:BC204" si="110">AZ199-BA199-BB199</f>
        <v>#DIV/0!</v>
      </c>
      <c r="BD199" s="3" t="e">
        <f>IF('Entrada e Saida'!$H$11="TRADING",AW199/D199,AK199/D199)</f>
        <v>#DIV/0!</v>
      </c>
      <c r="BE199" s="3" t="e">
        <f t="shared" ref="BE199:BE204" si="111">AX199/D199</f>
        <v>#DIV/0!</v>
      </c>
      <c r="BF199" s="2" t="e">
        <f t="shared" ref="BF199:BF204" si="112">BD199-BE199</f>
        <v>#DIV/0!</v>
      </c>
      <c r="BG199" s="3" t="e">
        <f>IF('Entrada e Saida'!$H$11="TRADING",AV199/D199,AN199/D199)</f>
        <v>#DIV/0!</v>
      </c>
      <c r="BH199" s="3" t="e">
        <f>IF('Entrada e Saida'!$H$11="TRADING",IF('Entrada e Saida'!$H$12="REAL",AR199/D199,0),AL199/D199)</f>
        <v>#DIV/0!</v>
      </c>
      <c r="BI199" s="3" t="e">
        <f>IF('Entrada e Saida'!$H$11="TRADING",IF('Entrada e Saida'!$H$12="REAL",AS199/D199,0),AM199/D199)</f>
        <v>#DIV/0!</v>
      </c>
      <c r="BJ199" s="3" t="e">
        <f>IF('Entrada e Saida'!$H$11="TRADING",AT199/D199,AO199/D199)</f>
        <v>#DIV/0!</v>
      </c>
      <c r="BK199" s="2" t="e">
        <f t="shared" ref="BK199:BK204" si="113">BF199-SUM(BG199:BJ199)</f>
        <v>#DIV/0!</v>
      </c>
      <c r="BL199" s="2">
        <f>IF(O199&gt;0,IFERROR(IF('Entrada e Saida'!$H$11="DIRETA",0,(IF('Entrada e Saida'!$H$14="P.JURIDICA",(BD199*(1+O199)*N199)-((BD199/(1+M199))*'Entrada e Saida'!$G$65),((Produtos!N199-'Entrada e Saida'!$G$65)*Produtos!BD199)))),0),0)</f>
        <v>0</v>
      </c>
      <c r="BM199" s="2" t="e">
        <f t="shared" ref="BM199:BM204" si="114">BF199+BL199</f>
        <v>#DIV/0!</v>
      </c>
    </row>
    <row r="200" spans="1:65" s="1" customFormat="1">
      <c r="A200" s="127"/>
      <c r="B200" s="114"/>
      <c r="C200" s="116"/>
      <c r="D200" s="146"/>
      <c r="E200" s="115">
        <f>IFERROR(VLOOKUP(A200,'Master Modelo'!A:I,9,FALSE),0)</f>
        <v>0</v>
      </c>
      <c r="F200" s="189">
        <f>IFERROR(VLOOKUP(A200,'Master Modelo'!A:I,8,FALSE),0)</f>
        <v>0</v>
      </c>
      <c r="G200" s="189">
        <f>IFERROR(VLOOKUP(A200,'Master Modelo'!A:K,11,FALSE),0)</f>
        <v>0</v>
      </c>
      <c r="H200" s="114" t="e">
        <f t="shared" si="97"/>
        <v>#DIV/0!</v>
      </c>
      <c r="I200" s="150">
        <f>IFERROR(VLOOKUP(A200,'Master Modelo'!A:I,3,FALSE),0)</f>
        <v>0</v>
      </c>
      <c r="J200" s="151">
        <f>IFERROR(VLOOKUP(A200,'Master Modelo'!A:I,5,FALSE),0)</f>
        <v>0</v>
      </c>
      <c r="K200" s="151">
        <f>IFERROR(VLOOKUP(A200,'Master Modelo'!A:I,6,FALSE),0)</f>
        <v>0</v>
      </c>
      <c r="L200" s="152" t="e">
        <f>VLOOKUP(A200,'Master Modelo'!A:J,10,FALSE)</f>
        <v>#N/A</v>
      </c>
      <c r="M200" s="150">
        <f>IFERROR(VLOOKUP(A200,'Master Modelo'!A:I,4,FALSE),0)</f>
        <v>0</v>
      </c>
      <c r="N200" s="128"/>
      <c r="O200" s="129"/>
      <c r="P200" s="9">
        <f t="shared" si="98"/>
        <v>0</v>
      </c>
      <c r="Q200" s="177">
        <f t="shared" si="96"/>
        <v>0</v>
      </c>
      <c r="R200" s="3">
        <f>D200*E200*'Entrada e Saida'!$K$8</f>
        <v>0</v>
      </c>
      <c r="S200" s="179" t="e">
        <f>'Entrada e Saida'!$H$21*'Entrada e Saida'!$K$8*(P200/(SUM(P:P)))</f>
        <v>#DIV/0!</v>
      </c>
      <c r="T200" s="179" t="e">
        <f>'Entrada e Saida'!$H$21*'Entrada e Saida'!$K$8*(Q200/(SUM(Q:Q)))</f>
        <v>#DIV/0!</v>
      </c>
      <c r="U200" s="179" t="e">
        <f>'Entrada e Saida'!$H$22*(P200/(SUM(P:P)))</f>
        <v>#DIV/0!</v>
      </c>
      <c r="V200" s="179" t="e">
        <f>'Entrada e Saida'!$H$22*(Q200/(SUM(Q:Q)))</f>
        <v>#DIV/0!</v>
      </c>
      <c r="W200" s="8" t="e">
        <f t="shared" si="99"/>
        <v>#DIV/0!</v>
      </c>
      <c r="X200" s="179" t="e">
        <f>'Entrada e Saida'!$H$26*(IF('Entrada e Saida'!$H$15="PESO",(P200/(SUM(P:P))),(Q200/(SUM(Q:Q)))))</f>
        <v>#DIV/0!</v>
      </c>
      <c r="Y200" s="179" t="e">
        <f>'Entrada e Saida'!$H$27*(IF('Entrada e Saida'!$H$15="PESO",(P200/(SUM(P:P))),(Q200/(SUM(Q:Q)))))</f>
        <v>#DIV/0!</v>
      </c>
      <c r="Z200" s="179" t="e">
        <f>'Entrada e Saida'!$H$28*(IF('Entrada e Saida'!$H$15="PESO",(P200/(SUM(P:P))),(Q200/(SUM(Q:Q)))))</f>
        <v>#DIV/0!</v>
      </c>
      <c r="AA200" s="10" t="e">
        <f t="shared" si="100"/>
        <v>#DIV/0!</v>
      </c>
      <c r="AB200" s="3" t="e">
        <f t="shared" si="101"/>
        <v>#DIV/0!</v>
      </c>
      <c r="AC200" s="3" t="e">
        <f t="shared" si="102"/>
        <v>#DIV/0!</v>
      </c>
      <c r="AD200" s="3" t="e">
        <f t="shared" si="103"/>
        <v>#DIV/0!</v>
      </c>
      <c r="AE200" s="9" t="e">
        <f t="shared" si="104"/>
        <v>#DIV/0!</v>
      </c>
      <c r="AF200" s="126">
        <f>IFERROR(D200*F200*L200*'Entrada e Saida'!$K$8,0)</f>
        <v>0</v>
      </c>
      <c r="AG200" s="3" t="e">
        <f>((W200+AA200+AB200+AC200+AD200+AE200+AF200)/(1-'Entrada e Saida'!$G$65))*'Entrada e Saida'!$I$66</f>
        <v>#DIV/0!</v>
      </c>
      <c r="AH200" s="8" t="e">
        <f t="shared" si="105"/>
        <v>#DIV/0!</v>
      </c>
      <c r="AI200" s="183" t="e">
        <f>'Entrada e Saida'!$K$51*(IF('Entrada e Saida'!$H$15="PESO",(P200/(SUM(P:P))),(Q200/(SUM(Q:Q)))))</f>
        <v>#DIV/0!</v>
      </c>
      <c r="AJ200" s="7">
        <f>(('Entrada e Saida'!$K$10-'Entrada e Saida'!$K$8)*E200*D200)</f>
        <v>0</v>
      </c>
      <c r="AK200" s="184" t="e">
        <f>IF('Entrada e Saida'!$H$15="PESO",W200+AA200+AH200+AI200+AJ200,W200+AA200+AH200+AI200+AJ200-S200+T200-U200+V200)</f>
        <v>#DIV/0!</v>
      </c>
      <c r="AL200" s="6" t="e">
        <f>IF('Entrada e Saida'!$H$12="REAL",AC200,0)</f>
        <v>#DIV/0!</v>
      </c>
      <c r="AM200" s="6" t="e">
        <f>IF('Entrada e Saida'!$H$12="REAL",AD200,0)</f>
        <v>#DIV/0!</v>
      </c>
      <c r="AN200" s="5" t="e">
        <f>IF('Entrada e Saida'!$H$13= "NÃO",AE200,0)</f>
        <v>#DIV/0!</v>
      </c>
      <c r="AO200" s="5" t="e">
        <f t="shared" si="106"/>
        <v>#DIV/0!</v>
      </c>
      <c r="AP200" s="4" t="e">
        <f t="shared" si="107"/>
        <v>#DIV/0!</v>
      </c>
      <c r="AQ200" s="3" t="e">
        <f>IF('Entrada e Saida'!$H$11="TRADING",AU200*'Custo Resumido'!D200,0)</f>
        <v>#DIV/0!</v>
      </c>
      <c r="AR200" s="3" t="e">
        <f>IF('Entrada e Saida'!$H$11="TRADING",AU200*'Entrada e Saida'!$G$63,0)</f>
        <v>#DIV/0!</v>
      </c>
      <c r="AS200" s="3" t="e">
        <f>IF('Entrada e Saida'!$H$11="TRADING",AU200*'Entrada e Saida'!$G$64,0)</f>
        <v>#DIV/0!</v>
      </c>
      <c r="AT200" s="3" t="e">
        <f>IF('Entrada e Saida'!$H$11="TRADING",AU200*'Entrada e Saida'!$G$65,0)</f>
        <v>#DIV/0!</v>
      </c>
      <c r="AU200" s="4" t="e">
        <f>IF('Entrada e Saida'!$H$11="TRADING",AP200/(1-(SUM('Entrada e Saida'!$G$63:$G$65)+'Custo Resumido'!D200)),0)</f>
        <v>#DIV/0!</v>
      </c>
      <c r="AV200" s="3" t="e">
        <f>IF('Entrada e Saida'!$H$13="NÃO",AU200*M200,0)</f>
        <v>#DIV/0!</v>
      </c>
      <c r="AW200" s="4" t="e">
        <f t="shared" si="108"/>
        <v>#DIV/0!</v>
      </c>
      <c r="AX200" s="3" t="e">
        <f>'Entrada e Saida'!$G$74*AU200</f>
        <v>#DIV/0!</v>
      </c>
      <c r="AY200" s="4" t="e">
        <f t="shared" si="109"/>
        <v>#DIV/0!</v>
      </c>
      <c r="AZ200" s="4" t="e">
        <f>AQ200+('Entrada e Saida'!$G$65-'Entrada e Saida'!$I$65)*AU200-AX200</f>
        <v>#DIV/0!</v>
      </c>
      <c r="BA200" s="3" t="e">
        <f>IF('Entrada e Saida'!$H$12="REAL",AZ200*'Entrada e Saida'!$G$81,AU200*'Entrada e Saida'!$G$81)</f>
        <v>#DIV/0!</v>
      </c>
      <c r="BB200" s="3" t="e">
        <f>IF('Entrada e Saida'!$H$12="REAL",AZ200*'Entrada e Saida'!$G$82,AU200*'Entrada e Saida'!$G$82)</f>
        <v>#DIV/0!</v>
      </c>
      <c r="BC200" s="4" t="e">
        <f t="shared" si="110"/>
        <v>#DIV/0!</v>
      </c>
      <c r="BD200" s="3" t="e">
        <f>IF('Entrada e Saida'!$H$11="TRADING",AW200/D200,AK200/D200)</f>
        <v>#DIV/0!</v>
      </c>
      <c r="BE200" s="3" t="e">
        <f t="shared" si="111"/>
        <v>#DIV/0!</v>
      </c>
      <c r="BF200" s="2" t="e">
        <f t="shared" si="112"/>
        <v>#DIV/0!</v>
      </c>
      <c r="BG200" s="3" t="e">
        <f>IF('Entrada e Saida'!$H$11="TRADING",AV200/D200,AN200/D200)</f>
        <v>#DIV/0!</v>
      </c>
      <c r="BH200" s="3" t="e">
        <f>IF('Entrada e Saida'!$H$11="TRADING",IF('Entrada e Saida'!$H$12="REAL",AR200/D200,0),AL200/D200)</f>
        <v>#DIV/0!</v>
      </c>
      <c r="BI200" s="3" t="e">
        <f>IF('Entrada e Saida'!$H$11="TRADING",IF('Entrada e Saida'!$H$12="REAL",AS200/D200,0),AM200/D200)</f>
        <v>#DIV/0!</v>
      </c>
      <c r="BJ200" s="3" t="e">
        <f>IF('Entrada e Saida'!$H$11="TRADING",AT200/D200,AO200/D200)</f>
        <v>#DIV/0!</v>
      </c>
      <c r="BK200" s="2" t="e">
        <f t="shared" si="113"/>
        <v>#DIV/0!</v>
      </c>
      <c r="BL200" s="2">
        <f>IF(O200&gt;0,IFERROR(IF('Entrada e Saida'!$H$11="DIRETA",0,(IF('Entrada e Saida'!$H$14="P.JURIDICA",(BD200*(1+O200)*N200)-((BD200/(1+M200))*'Entrada e Saida'!$G$65),((Produtos!N200-'Entrada e Saida'!$G$65)*Produtos!BD200)))),0),0)</f>
        <v>0</v>
      </c>
      <c r="BM200" s="2" t="e">
        <f t="shared" si="114"/>
        <v>#DIV/0!</v>
      </c>
    </row>
    <row r="201" spans="1:65" s="1" customFormat="1">
      <c r="A201" s="127"/>
      <c r="B201" s="114"/>
      <c r="C201" s="116"/>
      <c r="D201" s="146"/>
      <c r="E201" s="115">
        <f>IFERROR(VLOOKUP(A201,'Master Modelo'!A:I,9,FALSE),0)</f>
        <v>0</v>
      </c>
      <c r="F201" s="189">
        <f>IFERROR(VLOOKUP(A201,'Master Modelo'!A:I,8,FALSE),0)</f>
        <v>0</v>
      </c>
      <c r="G201" s="189">
        <f>IFERROR(VLOOKUP(A201,'Master Modelo'!A:K,11,FALSE),0)</f>
        <v>0</v>
      </c>
      <c r="H201" s="114" t="e">
        <f t="shared" si="97"/>
        <v>#DIV/0!</v>
      </c>
      <c r="I201" s="150">
        <f>IFERROR(VLOOKUP(A201,'Master Modelo'!A:I,3,FALSE),0)</f>
        <v>0</v>
      </c>
      <c r="J201" s="151">
        <f>IFERROR(VLOOKUP(A201,'Master Modelo'!A:I,5,FALSE),0)</f>
        <v>0</v>
      </c>
      <c r="K201" s="151">
        <f>IFERROR(VLOOKUP(A201,'Master Modelo'!A:I,6,FALSE),0)</f>
        <v>0</v>
      </c>
      <c r="L201" s="152" t="e">
        <f>VLOOKUP(A201,'Master Modelo'!A:J,10,FALSE)</f>
        <v>#N/A</v>
      </c>
      <c r="M201" s="150">
        <f>IFERROR(VLOOKUP(A201,'Master Modelo'!A:I,4,FALSE),0)</f>
        <v>0</v>
      </c>
      <c r="N201" s="128"/>
      <c r="O201" s="129"/>
      <c r="P201" s="9">
        <f t="shared" si="98"/>
        <v>0</v>
      </c>
      <c r="Q201" s="177">
        <f t="shared" si="96"/>
        <v>0</v>
      </c>
      <c r="R201" s="3">
        <f>D201*E201*'Entrada e Saida'!$K$8</f>
        <v>0</v>
      </c>
      <c r="S201" s="179" t="e">
        <f>'Entrada e Saida'!$H$21*'Entrada e Saida'!$K$8*(P201/(SUM(P:P)))</f>
        <v>#DIV/0!</v>
      </c>
      <c r="T201" s="179" t="e">
        <f>'Entrada e Saida'!$H$21*'Entrada e Saida'!$K$8*(Q201/(SUM(Q:Q)))</f>
        <v>#DIV/0!</v>
      </c>
      <c r="U201" s="179" t="e">
        <f>'Entrada e Saida'!$H$22*(P201/(SUM(P:P)))</f>
        <v>#DIV/0!</v>
      </c>
      <c r="V201" s="179" t="e">
        <f>'Entrada e Saida'!$H$22*(Q201/(SUM(Q:Q)))</f>
        <v>#DIV/0!</v>
      </c>
      <c r="W201" s="8" t="e">
        <f t="shared" si="99"/>
        <v>#DIV/0!</v>
      </c>
      <c r="X201" s="179" t="e">
        <f>'Entrada e Saida'!$H$26*(IF('Entrada e Saida'!$H$15="PESO",(P201/(SUM(P:P))),(Q201/(SUM(Q:Q)))))</f>
        <v>#DIV/0!</v>
      </c>
      <c r="Y201" s="179" t="e">
        <f>'Entrada e Saida'!$H$27*(IF('Entrada e Saida'!$H$15="PESO",(P201/(SUM(P:P))),(Q201/(SUM(Q:Q)))))</f>
        <v>#DIV/0!</v>
      </c>
      <c r="Z201" s="179" t="e">
        <f>'Entrada e Saida'!$H$28*(IF('Entrada e Saida'!$H$15="PESO",(P201/(SUM(P:P))),(Q201/(SUM(Q:Q)))))</f>
        <v>#DIV/0!</v>
      </c>
      <c r="AA201" s="10" t="e">
        <f t="shared" si="100"/>
        <v>#DIV/0!</v>
      </c>
      <c r="AB201" s="3" t="e">
        <f t="shared" si="101"/>
        <v>#DIV/0!</v>
      </c>
      <c r="AC201" s="3" t="e">
        <f t="shared" si="102"/>
        <v>#DIV/0!</v>
      </c>
      <c r="AD201" s="3" t="e">
        <f t="shared" si="103"/>
        <v>#DIV/0!</v>
      </c>
      <c r="AE201" s="9" t="e">
        <f t="shared" si="104"/>
        <v>#DIV/0!</v>
      </c>
      <c r="AF201" s="126">
        <f>IFERROR(D201*F201*L201*'Entrada e Saida'!$K$8,0)</f>
        <v>0</v>
      </c>
      <c r="AG201" s="3" t="e">
        <f>((W201+AA201+AB201+AC201+AD201+AE201+AF201)/(1-'Entrada e Saida'!$G$65))*'Entrada e Saida'!$I$66</f>
        <v>#DIV/0!</v>
      </c>
      <c r="AH201" s="8" t="e">
        <f t="shared" si="105"/>
        <v>#DIV/0!</v>
      </c>
      <c r="AI201" s="183" t="e">
        <f>'Entrada e Saida'!$K$51*(IF('Entrada e Saida'!$H$15="PESO",(P201/(SUM(P:P))),(Q201/(SUM(Q:Q)))))</f>
        <v>#DIV/0!</v>
      </c>
      <c r="AJ201" s="7">
        <f>(('Entrada e Saida'!$K$10-'Entrada e Saida'!$K$8)*E201*D201)</f>
        <v>0</v>
      </c>
      <c r="AK201" s="184" t="e">
        <f>IF('Entrada e Saida'!$H$15="PESO",W201+AA201+AH201+AI201+AJ201,W201+AA201+AH201+AI201+AJ201-S201+T201-U201+V201)</f>
        <v>#DIV/0!</v>
      </c>
      <c r="AL201" s="6" t="e">
        <f>IF('Entrada e Saida'!$H$12="REAL",AC201,0)</f>
        <v>#DIV/0!</v>
      </c>
      <c r="AM201" s="6" t="e">
        <f>IF('Entrada e Saida'!$H$12="REAL",AD201,0)</f>
        <v>#DIV/0!</v>
      </c>
      <c r="AN201" s="5" t="e">
        <f>IF('Entrada e Saida'!$H$13= "NÃO",AE201,0)</f>
        <v>#DIV/0!</v>
      </c>
      <c r="AO201" s="5" t="e">
        <f t="shared" si="106"/>
        <v>#DIV/0!</v>
      </c>
      <c r="AP201" s="4" t="e">
        <f t="shared" si="107"/>
        <v>#DIV/0!</v>
      </c>
      <c r="AQ201" s="3" t="e">
        <f>IF('Entrada e Saida'!$H$11="TRADING",AU201*'Custo Resumido'!D201,0)</f>
        <v>#DIV/0!</v>
      </c>
      <c r="AR201" s="3" t="e">
        <f>IF('Entrada e Saida'!$H$11="TRADING",AU201*'Entrada e Saida'!$G$63,0)</f>
        <v>#DIV/0!</v>
      </c>
      <c r="AS201" s="3" t="e">
        <f>IF('Entrada e Saida'!$H$11="TRADING",AU201*'Entrada e Saida'!$G$64,0)</f>
        <v>#DIV/0!</v>
      </c>
      <c r="AT201" s="3" t="e">
        <f>IF('Entrada e Saida'!$H$11="TRADING",AU201*'Entrada e Saida'!$G$65,0)</f>
        <v>#DIV/0!</v>
      </c>
      <c r="AU201" s="4" t="e">
        <f>IF('Entrada e Saida'!$H$11="TRADING",AP201/(1-(SUM('Entrada e Saida'!$G$63:$G$65)+'Custo Resumido'!D201)),0)</f>
        <v>#DIV/0!</v>
      </c>
      <c r="AV201" s="3" t="e">
        <f>IF('Entrada e Saida'!$H$13="NÃO",AU201*M201,0)</f>
        <v>#DIV/0!</v>
      </c>
      <c r="AW201" s="4" t="e">
        <f t="shared" si="108"/>
        <v>#DIV/0!</v>
      </c>
      <c r="AX201" s="3" t="e">
        <f>'Entrada e Saida'!$G$74*AU201</f>
        <v>#DIV/0!</v>
      </c>
      <c r="AY201" s="4" t="e">
        <f t="shared" si="109"/>
        <v>#DIV/0!</v>
      </c>
      <c r="AZ201" s="4" t="e">
        <f>AQ201+('Entrada e Saida'!$G$65-'Entrada e Saida'!$I$65)*AU201-AX201</f>
        <v>#DIV/0!</v>
      </c>
      <c r="BA201" s="3" t="e">
        <f>IF('Entrada e Saida'!$H$12="REAL",AZ201*'Entrada e Saida'!$G$81,AU201*'Entrada e Saida'!$G$81)</f>
        <v>#DIV/0!</v>
      </c>
      <c r="BB201" s="3" t="e">
        <f>IF('Entrada e Saida'!$H$12="REAL",AZ201*'Entrada e Saida'!$G$82,AU201*'Entrada e Saida'!$G$82)</f>
        <v>#DIV/0!</v>
      </c>
      <c r="BC201" s="4" t="e">
        <f t="shared" si="110"/>
        <v>#DIV/0!</v>
      </c>
      <c r="BD201" s="3" t="e">
        <f>IF('Entrada e Saida'!$H$11="TRADING",AW201/D201,AK201/D201)</f>
        <v>#DIV/0!</v>
      </c>
      <c r="BE201" s="3" t="e">
        <f t="shared" si="111"/>
        <v>#DIV/0!</v>
      </c>
      <c r="BF201" s="2" t="e">
        <f t="shared" si="112"/>
        <v>#DIV/0!</v>
      </c>
      <c r="BG201" s="3" t="e">
        <f>IF('Entrada e Saida'!$H$11="TRADING",AV201/D201,AN201/D201)</f>
        <v>#DIV/0!</v>
      </c>
      <c r="BH201" s="3" t="e">
        <f>IF('Entrada e Saida'!$H$11="TRADING",IF('Entrada e Saida'!$H$12="REAL",AR201/D201,0),AL201/D201)</f>
        <v>#DIV/0!</v>
      </c>
      <c r="BI201" s="3" t="e">
        <f>IF('Entrada e Saida'!$H$11="TRADING",IF('Entrada e Saida'!$H$12="REAL",AS201/D201,0),AM201/D201)</f>
        <v>#DIV/0!</v>
      </c>
      <c r="BJ201" s="3" t="e">
        <f>IF('Entrada e Saida'!$H$11="TRADING",AT201/D201,AO201/D201)</f>
        <v>#DIV/0!</v>
      </c>
      <c r="BK201" s="2" t="e">
        <f t="shared" si="113"/>
        <v>#DIV/0!</v>
      </c>
      <c r="BL201" s="2">
        <f>IF(O201&gt;0,IFERROR(IF('Entrada e Saida'!$H$11="DIRETA",0,(IF('Entrada e Saida'!$H$14="P.JURIDICA",(BD201*(1+O201)*N201)-((BD201/(1+M201))*'Entrada e Saida'!$G$65),((Produtos!N201-'Entrada e Saida'!$G$65)*Produtos!BD201)))),0),0)</f>
        <v>0</v>
      </c>
      <c r="BM201" s="2" t="e">
        <f t="shared" si="114"/>
        <v>#DIV/0!</v>
      </c>
    </row>
    <row r="202" spans="1:65" s="1" customFormat="1">
      <c r="A202" s="127"/>
      <c r="B202" s="114"/>
      <c r="C202" s="116"/>
      <c r="D202" s="146"/>
      <c r="E202" s="115">
        <f>IFERROR(VLOOKUP(A202,'Master Modelo'!A:I,9,FALSE),0)</f>
        <v>0</v>
      </c>
      <c r="F202" s="189">
        <f>IFERROR(VLOOKUP(A202,'Master Modelo'!A:I,8,FALSE),0)</f>
        <v>0</v>
      </c>
      <c r="G202" s="189">
        <f>IFERROR(VLOOKUP(A202,'Master Modelo'!A:K,11,FALSE),0)</f>
        <v>0</v>
      </c>
      <c r="H202" s="114" t="e">
        <f t="shared" si="97"/>
        <v>#DIV/0!</v>
      </c>
      <c r="I202" s="150">
        <f>IFERROR(VLOOKUP(A202,'Master Modelo'!A:I,3,FALSE),0)</f>
        <v>0</v>
      </c>
      <c r="J202" s="151">
        <f>IFERROR(VLOOKUP(A202,'Master Modelo'!A:I,5,FALSE),0)</f>
        <v>0</v>
      </c>
      <c r="K202" s="151">
        <f>IFERROR(VLOOKUP(A202,'Master Modelo'!A:I,6,FALSE),0)</f>
        <v>0</v>
      </c>
      <c r="L202" s="152" t="e">
        <f>VLOOKUP(A202,'Master Modelo'!A:J,10,FALSE)</f>
        <v>#N/A</v>
      </c>
      <c r="M202" s="150">
        <f>IFERROR(VLOOKUP(A202,'Master Modelo'!A:I,4,FALSE),0)</f>
        <v>0</v>
      </c>
      <c r="N202" s="128"/>
      <c r="O202" s="129"/>
      <c r="P202" s="9">
        <f t="shared" si="98"/>
        <v>0</v>
      </c>
      <c r="Q202" s="177">
        <f t="shared" si="96"/>
        <v>0</v>
      </c>
      <c r="R202" s="3">
        <f>D202*E202*'Entrada e Saida'!$K$8</f>
        <v>0</v>
      </c>
      <c r="S202" s="179" t="e">
        <f>'Entrada e Saida'!$H$21*'Entrada e Saida'!$K$8*(P202/(SUM(P:P)))</f>
        <v>#DIV/0!</v>
      </c>
      <c r="T202" s="179" t="e">
        <f>'Entrada e Saida'!$H$21*'Entrada e Saida'!$K$8*(Q202/(SUM(Q:Q)))</f>
        <v>#DIV/0!</v>
      </c>
      <c r="U202" s="179" t="e">
        <f>'Entrada e Saida'!$H$22*(P202/(SUM(P:P)))</f>
        <v>#DIV/0!</v>
      </c>
      <c r="V202" s="179" t="e">
        <f>'Entrada e Saida'!$H$22*(Q202/(SUM(Q:Q)))</f>
        <v>#DIV/0!</v>
      </c>
      <c r="W202" s="8" t="e">
        <f t="shared" si="99"/>
        <v>#DIV/0!</v>
      </c>
      <c r="X202" s="179" t="e">
        <f>'Entrada e Saida'!$H$26*(IF('Entrada e Saida'!$H$15="PESO",(P202/(SUM(P:P))),(Q202/(SUM(Q:Q)))))</f>
        <v>#DIV/0!</v>
      </c>
      <c r="Y202" s="179" t="e">
        <f>'Entrada e Saida'!$H$27*(IF('Entrada e Saida'!$H$15="PESO",(P202/(SUM(P:P))),(Q202/(SUM(Q:Q)))))</f>
        <v>#DIV/0!</v>
      </c>
      <c r="Z202" s="179" t="e">
        <f>'Entrada e Saida'!$H$28*(IF('Entrada e Saida'!$H$15="PESO",(P202/(SUM(P:P))),(Q202/(SUM(Q:Q)))))</f>
        <v>#DIV/0!</v>
      </c>
      <c r="AA202" s="10" t="e">
        <f t="shared" si="100"/>
        <v>#DIV/0!</v>
      </c>
      <c r="AB202" s="3" t="e">
        <f t="shared" si="101"/>
        <v>#DIV/0!</v>
      </c>
      <c r="AC202" s="3" t="e">
        <f t="shared" si="102"/>
        <v>#DIV/0!</v>
      </c>
      <c r="AD202" s="3" t="e">
        <f t="shared" si="103"/>
        <v>#DIV/0!</v>
      </c>
      <c r="AE202" s="9" t="e">
        <f t="shared" si="104"/>
        <v>#DIV/0!</v>
      </c>
      <c r="AF202" s="126">
        <f>IFERROR(D202*F202*L202*'Entrada e Saida'!$K$8,0)</f>
        <v>0</v>
      </c>
      <c r="AG202" s="3" t="e">
        <f>((W202+AA202+AB202+AC202+AD202+AE202+AF202)/(1-'Entrada e Saida'!$G$65))*'Entrada e Saida'!$I$66</f>
        <v>#DIV/0!</v>
      </c>
      <c r="AH202" s="8" t="e">
        <f t="shared" si="105"/>
        <v>#DIV/0!</v>
      </c>
      <c r="AI202" s="183" t="e">
        <f>'Entrada e Saida'!$K$51*(IF('Entrada e Saida'!$H$15="PESO",(P202/(SUM(P:P))),(Q202/(SUM(Q:Q)))))</f>
        <v>#DIV/0!</v>
      </c>
      <c r="AJ202" s="7">
        <f>(('Entrada e Saida'!$K$10-'Entrada e Saida'!$K$8)*E202*D202)</f>
        <v>0</v>
      </c>
      <c r="AK202" s="184" t="e">
        <f>IF('Entrada e Saida'!$H$15="PESO",W202+AA202+AH202+AI202+AJ202,W202+AA202+AH202+AI202+AJ202-S202+T202-U202+V202)</f>
        <v>#DIV/0!</v>
      </c>
      <c r="AL202" s="6" t="e">
        <f>IF('Entrada e Saida'!$H$12="REAL",AC202,0)</f>
        <v>#DIV/0!</v>
      </c>
      <c r="AM202" s="6" t="e">
        <f>IF('Entrada e Saida'!$H$12="REAL",AD202,0)</f>
        <v>#DIV/0!</v>
      </c>
      <c r="AN202" s="5" t="e">
        <f>IF('Entrada e Saida'!$H$13= "NÃO",AE202,0)</f>
        <v>#DIV/0!</v>
      </c>
      <c r="AO202" s="5" t="e">
        <f t="shared" si="106"/>
        <v>#DIV/0!</v>
      </c>
      <c r="AP202" s="4" t="e">
        <f t="shared" si="107"/>
        <v>#DIV/0!</v>
      </c>
      <c r="AQ202" s="3" t="e">
        <f>IF('Entrada e Saida'!$H$11="TRADING",AU202*'Custo Resumido'!D202,0)</f>
        <v>#DIV/0!</v>
      </c>
      <c r="AR202" s="3" t="e">
        <f>IF('Entrada e Saida'!$H$11="TRADING",AU202*'Entrada e Saida'!$G$63,0)</f>
        <v>#DIV/0!</v>
      </c>
      <c r="AS202" s="3" t="e">
        <f>IF('Entrada e Saida'!$H$11="TRADING",AU202*'Entrada e Saida'!$G$64,0)</f>
        <v>#DIV/0!</v>
      </c>
      <c r="AT202" s="3" t="e">
        <f>IF('Entrada e Saida'!$H$11="TRADING",AU202*'Entrada e Saida'!$G$65,0)</f>
        <v>#DIV/0!</v>
      </c>
      <c r="AU202" s="4" t="e">
        <f>IF('Entrada e Saida'!$H$11="TRADING",AP202/(1-(SUM('Entrada e Saida'!$G$63:$G$65)+'Custo Resumido'!D202)),0)</f>
        <v>#DIV/0!</v>
      </c>
      <c r="AV202" s="3" t="e">
        <f>IF('Entrada e Saida'!$H$13="NÃO",AU202*M202,0)</f>
        <v>#DIV/0!</v>
      </c>
      <c r="AW202" s="4" t="e">
        <f t="shared" si="108"/>
        <v>#DIV/0!</v>
      </c>
      <c r="AX202" s="3" t="e">
        <f>'Entrada e Saida'!$G$74*AU202</f>
        <v>#DIV/0!</v>
      </c>
      <c r="AY202" s="4" t="e">
        <f t="shared" si="109"/>
        <v>#DIV/0!</v>
      </c>
      <c r="AZ202" s="4" t="e">
        <f>AQ202+('Entrada e Saida'!$G$65-'Entrada e Saida'!$I$65)*AU202-AX202</f>
        <v>#DIV/0!</v>
      </c>
      <c r="BA202" s="3" t="e">
        <f>IF('Entrada e Saida'!$H$12="REAL",AZ202*'Entrada e Saida'!$G$81,AU202*'Entrada e Saida'!$G$81)</f>
        <v>#DIV/0!</v>
      </c>
      <c r="BB202" s="3" t="e">
        <f>IF('Entrada e Saida'!$H$12="REAL",AZ202*'Entrada e Saida'!$G$82,AU202*'Entrada e Saida'!$G$82)</f>
        <v>#DIV/0!</v>
      </c>
      <c r="BC202" s="4" t="e">
        <f t="shared" si="110"/>
        <v>#DIV/0!</v>
      </c>
      <c r="BD202" s="3" t="e">
        <f>IF('Entrada e Saida'!$H$11="TRADING",AW202/D202,AK202/D202)</f>
        <v>#DIV/0!</v>
      </c>
      <c r="BE202" s="3" t="e">
        <f t="shared" si="111"/>
        <v>#DIV/0!</v>
      </c>
      <c r="BF202" s="2" t="e">
        <f t="shared" si="112"/>
        <v>#DIV/0!</v>
      </c>
      <c r="BG202" s="3" t="e">
        <f>IF('Entrada e Saida'!$H$11="TRADING",AV202/D202,AN202/D202)</f>
        <v>#DIV/0!</v>
      </c>
      <c r="BH202" s="3" t="e">
        <f>IF('Entrada e Saida'!$H$11="TRADING",IF('Entrada e Saida'!$H$12="REAL",AR202/D202,0),AL202/D202)</f>
        <v>#DIV/0!</v>
      </c>
      <c r="BI202" s="3" t="e">
        <f>IF('Entrada e Saida'!$H$11="TRADING",IF('Entrada e Saida'!$H$12="REAL",AS202/D202,0),AM202/D202)</f>
        <v>#DIV/0!</v>
      </c>
      <c r="BJ202" s="3" t="e">
        <f>IF('Entrada e Saida'!$H$11="TRADING",AT202/D202,AO202/D202)</f>
        <v>#DIV/0!</v>
      </c>
      <c r="BK202" s="2" t="e">
        <f t="shared" si="113"/>
        <v>#DIV/0!</v>
      </c>
      <c r="BL202" s="2">
        <f>IF(O202&gt;0,IFERROR(IF('Entrada e Saida'!$H$11="DIRETA",0,(IF('Entrada e Saida'!$H$14="P.JURIDICA",(BD202*(1+O202)*N202)-((BD202/(1+M202))*'Entrada e Saida'!$G$65),((Produtos!N202-'Entrada e Saida'!$G$65)*Produtos!BD202)))),0),0)</f>
        <v>0</v>
      </c>
      <c r="BM202" s="2" t="e">
        <f t="shared" si="114"/>
        <v>#DIV/0!</v>
      </c>
    </row>
    <row r="203" spans="1:65" s="1" customFormat="1">
      <c r="A203" s="127"/>
      <c r="B203" s="114"/>
      <c r="C203" s="116"/>
      <c r="D203" s="146"/>
      <c r="E203" s="115">
        <f>IFERROR(VLOOKUP(A203,'Master Modelo'!A:I,9,FALSE),0)</f>
        <v>0</v>
      </c>
      <c r="F203" s="189">
        <f>IFERROR(VLOOKUP(A203,'Master Modelo'!A:I,8,FALSE),0)</f>
        <v>0</v>
      </c>
      <c r="G203" s="189">
        <f>IFERROR(VLOOKUP(A203,'Master Modelo'!A:K,11,FALSE),0)</f>
        <v>0</v>
      </c>
      <c r="H203" s="114" t="e">
        <f t="shared" si="97"/>
        <v>#DIV/0!</v>
      </c>
      <c r="I203" s="150">
        <f>IFERROR(VLOOKUP(A203,'Master Modelo'!A:I,3,FALSE),0)</f>
        <v>0</v>
      </c>
      <c r="J203" s="151">
        <f>IFERROR(VLOOKUP(A203,'Master Modelo'!A:I,5,FALSE),0)</f>
        <v>0</v>
      </c>
      <c r="K203" s="151">
        <f>IFERROR(VLOOKUP(A203,'Master Modelo'!A:I,6,FALSE),0)</f>
        <v>0</v>
      </c>
      <c r="L203" s="152" t="e">
        <f>VLOOKUP(A203,'Master Modelo'!A:J,10,FALSE)</f>
        <v>#N/A</v>
      </c>
      <c r="M203" s="150">
        <f>IFERROR(VLOOKUP(A203,'Master Modelo'!A:I,4,FALSE),0)</f>
        <v>0</v>
      </c>
      <c r="N203" s="128"/>
      <c r="O203" s="129"/>
      <c r="P203" s="9">
        <f t="shared" si="98"/>
        <v>0</v>
      </c>
      <c r="Q203" s="177">
        <f t="shared" si="96"/>
        <v>0</v>
      </c>
      <c r="R203" s="3">
        <f>D203*E203*'Entrada e Saida'!$K$8</f>
        <v>0</v>
      </c>
      <c r="S203" s="179" t="e">
        <f>'Entrada e Saida'!$H$21*'Entrada e Saida'!$K$8*(P203/(SUM(P:P)))</f>
        <v>#DIV/0!</v>
      </c>
      <c r="T203" s="179" t="e">
        <f>'Entrada e Saida'!$H$21*'Entrada e Saida'!$K$8*(Q203/(SUM(Q:Q)))</f>
        <v>#DIV/0!</v>
      </c>
      <c r="U203" s="179" t="e">
        <f>'Entrada e Saida'!$H$22*(P203/(SUM(P:P)))</f>
        <v>#DIV/0!</v>
      </c>
      <c r="V203" s="179" t="e">
        <f>'Entrada e Saida'!$H$22*(Q203/(SUM(Q:Q)))</f>
        <v>#DIV/0!</v>
      </c>
      <c r="W203" s="8" t="e">
        <f t="shared" si="99"/>
        <v>#DIV/0!</v>
      </c>
      <c r="X203" s="179" t="e">
        <f>'Entrada e Saida'!$H$26*(IF('Entrada e Saida'!$H$15="PESO",(P203/(SUM(P:P))),(Q203/(SUM(Q:Q)))))</f>
        <v>#DIV/0!</v>
      </c>
      <c r="Y203" s="179" t="e">
        <f>'Entrada e Saida'!$H$27*(IF('Entrada e Saida'!$H$15="PESO",(P203/(SUM(P:P))),(Q203/(SUM(Q:Q)))))</f>
        <v>#DIV/0!</v>
      </c>
      <c r="Z203" s="179" t="e">
        <f>'Entrada e Saida'!$H$28*(IF('Entrada e Saida'!$H$15="PESO",(P203/(SUM(P:P))),(Q203/(SUM(Q:Q)))))</f>
        <v>#DIV/0!</v>
      </c>
      <c r="AA203" s="10" t="e">
        <f t="shared" si="100"/>
        <v>#DIV/0!</v>
      </c>
      <c r="AB203" s="3" t="e">
        <f t="shared" si="101"/>
        <v>#DIV/0!</v>
      </c>
      <c r="AC203" s="3" t="e">
        <f t="shared" si="102"/>
        <v>#DIV/0!</v>
      </c>
      <c r="AD203" s="3" t="e">
        <f t="shared" si="103"/>
        <v>#DIV/0!</v>
      </c>
      <c r="AE203" s="9" t="e">
        <f t="shared" si="104"/>
        <v>#DIV/0!</v>
      </c>
      <c r="AF203" s="126">
        <f>IFERROR(D203*F203*L203*'Entrada e Saida'!$K$8,0)</f>
        <v>0</v>
      </c>
      <c r="AG203" s="3" t="e">
        <f>((W203+AA203+AB203+AC203+AD203+AE203+AF203)/(1-'Entrada e Saida'!$G$65))*'Entrada e Saida'!$I$66</f>
        <v>#DIV/0!</v>
      </c>
      <c r="AH203" s="8" t="e">
        <f t="shared" si="105"/>
        <v>#DIV/0!</v>
      </c>
      <c r="AI203" s="183" t="e">
        <f>'Entrada e Saida'!$K$51*(IF('Entrada e Saida'!$H$15="PESO",(P203/(SUM(P:P))),(Q203/(SUM(Q:Q)))))</f>
        <v>#DIV/0!</v>
      </c>
      <c r="AJ203" s="7">
        <f>(('Entrada e Saida'!$K$10-'Entrada e Saida'!$K$8)*E203*D203)</f>
        <v>0</v>
      </c>
      <c r="AK203" s="184" t="e">
        <f>IF('Entrada e Saida'!$H$15="PESO",W203+AA203+AH203+AI203+AJ203,W203+AA203+AH203+AI203+AJ203-S203+T203-U203+V203)</f>
        <v>#DIV/0!</v>
      </c>
      <c r="AL203" s="6" t="e">
        <f>IF('Entrada e Saida'!$H$12="REAL",AC203,0)</f>
        <v>#DIV/0!</v>
      </c>
      <c r="AM203" s="6" t="e">
        <f>IF('Entrada e Saida'!$H$12="REAL",AD203,0)</f>
        <v>#DIV/0!</v>
      </c>
      <c r="AN203" s="5" t="e">
        <f>IF('Entrada e Saida'!$H$13= "NÃO",AE203,0)</f>
        <v>#DIV/0!</v>
      </c>
      <c r="AO203" s="5" t="e">
        <f t="shared" si="106"/>
        <v>#DIV/0!</v>
      </c>
      <c r="AP203" s="4" t="e">
        <f t="shared" si="107"/>
        <v>#DIV/0!</v>
      </c>
      <c r="AQ203" s="3" t="e">
        <f>IF('Entrada e Saida'!$H$11="TRADING",AU203*'Custo Resumido'!D203,0)</f>
        <v>#DIV/0!</v>
      </c>
      <c r="AR203" s="3" t="e">
        <f>IF('Entrada e Saida'!$H$11="TRADING",AU203*'Entrada e Saida'!$G$63,0)</f>
        <v>#DIV/0!</v>
      </c>
      <c r="AS203" s="3" t="e">
        <f>IF('Entrada e Saida'!$H$11="TRADING",AU203*'Entrada e Saida'!$G$64,0)</f>
        <v>#DIV/0!</v>
      </c>
      <c r="AT203" s="3" t="e">
        <f>IF('Entrada e Saida'!$H$11="TRADING",AU203*'Entrada e Saida'!$G$65,0)</f>
        <v>#DIV/0!</v>
      </c>
      <c r="AU203" s="4" t="e">
        <f>IF('Entrada e Saida'!$H$11="TRADING",AP203/(1-(SUM('Entrada e Saida'!$G$63:$G$65)+'Custo Resumido'!D203)),0)</f>
        <v>#DIV/0!</v>
      </c>
      <c r="AV203" s="3" t="e">
        <f>IF('Entrada e Saida'!$H$13="NÃO",AU203*M203,0)</f>
        <v>#DIV/0!</v>
      </c>
      <c r="AW203" s="4" t="e">
        <f t="shared" si="108"/>
        <v>#DIV/0!</v>
      </c>
      <c r="AX203" s="3" t="e">
        <f>'Entrada e Saida'!$G$74*AU203</f>
        <v>#DIV/0!</v>
      </c>
      <c r="AY203" s="4" t="e">
        <f t="shared" si="109"/>
        <v>#DIV/0!</v>
      </c>
      <c r="AZ203" s="4" t="e">
        <f>AQ203+('Entrada e Saida'!$G$65-'Entrada e Saida'!$I$65)*AU203-AX203</f>
        <v>#DIV/0!</v>
      </c>
      <c r="BA203" s="3" t="e">
        <f>IF('Entrada e Saida'!$H$12="REAL",AZ203*'Entrada e Saida'!$G$81,AU203*'Entrada e Saida'!$G$81)</f>
        <v>#DIV/0!</v>
      </c>
      <c r="BB203" s="3" t="e">
        <f>IF('Entrada e Saida'!$H$12="REAL",AZ203*'Entrada e Saida'!$G$82,AU203*'Entrada e Saida'!$G$82)</f>
        <v>#DIV/0!</v>
      </c>
      <c r="BC203" s="4" t="e">
        <f t="shared" si="110"/>
        <v>#DIV/0!</v>
      </c>
      <c r="BD203" s="3" t="e">
        <f>IF('Entrada e Saida'!$H$11="TRADING",AW203/D203,AK203/D203)</f>
        <v>#DIV/0!</v>
      </c>
      <c r="BE203" s="3" t="e">
        <f t="shared" si="111"/>
        <v>#DIV/0!</v>
      </c>
      <c r="BF203" s="2" t="e">
        <f t="shared" si="112"/>
        <v>#DIV/0!</v>
      </c>
      <c r="BG203" s="3" t="e">
        <f>IF('Entrada e Saida'!$H$11="TRADING",AV203/D203,AN203/D203)</f>
        <v>#DIV/0!</v>
      </c>
      <c r="BH203" s="3" t="e">
        <f>IF('Entrada e Saida'!$H$11="TRADING",IF('Entrada e Saida'!$H$12="REAL",AR203/D203,0),AL203/D203)</f>
        <v>#DIV/0!</v>
      </c>
      <c r="BI203" s="3" t="e">
        <f>IF('Entrada e Saida'!$H$11="TRADING",IF('Entrada e Saida'!$H$12="REAL",AS203/D203,0),AM203/D203)</f>
        <v>#DIV/0!</v>
      </c>
      <c r="BJ203" s="3" t="e">
        <f>IF('Entrada e Saida'!$H$11="TRADING",AT203/D203,AO203/D203)</f>
        <v>#DIV/0!</v>
      </c>
      <c r="BK203" s="2" t="e">
        <f t="shared" si="113"/>
        <v>#DIV/0!</v>
      </c>
      <c r="BL203" s="2">
        <f>IF(O203&gt;0,IFERROR(IF('Entrada e Saida'!$H$11="DIRETA",0,(IF('Entrada e Saida'!$H$14="P.JURIDICA",(BD203*(1+O203)*N203)-((BD203/(1+M203))*'Entrada e Saida'!$G$65),((Produtos!N203-'Entrada e Saida'!$G$65)*Produtos!BD203)))),0),0)</f>
        <v>0</v>
      </c>
      <c r="BM203" s="2" t="e">
        <f t="shared" si="114"/>
        <v>#DIV/0!</v>
      </c>
    </row>
    <row r="204" spans="1:65" s="1" customFormat="1">
      <c r="A204" s="127"/>
      <c r="B204" s="114"/>
      <c r="C204" s="116"/>
      <c r="D204" s="146"/>
      <c r="E204" s="115">
        <f>IFERROR(VLOOKUP(A204,'Master Modelo'!A:I,9,FALSE),0)</f>
        <v>0</v>
      </c>
      <c r="F204" s="189">
        <f>IFERROR(VLOOKUP(A204,'Master Modelo'!A:I,8,FALSE),0)</f>
        <v>0</v>
      </c>
      <c r="G204" s="189">
        <f>IFERROR(VLOOKUP(A204,'Master Modelo'!A:K,11,FALSE),0)</f>
        <v>0</v>
      </c>
      <c r="H204" s="114" t="e">
        <f t="shared" si="97"/>
        <v>#DIV/0!</v>
      </c>
      <c r="I204" s="150">
        <f>IFERROR(VLOOKUP(A204,'Master Modelo'!A:I,3,FALSE),0)</f>
        <v>0</v>
      </c>
      <c r="J204" s="151">
        <f>IFERROR(VLOOKUP(A204,'Master Modelo'!A:I,5,FALSE),0)</f>
        <v>0</v>
      </c>
      <c r="K204" s="151">
        <f>IFERROR(VLOOKUP(A204,'Master Modelo'!A:I,6,FALSE),0)</f>
        <v>0</v>
      </c>
      <c r="L204" s="152" t="e">
        <f>VLOOKUP(A204,'Master Modelo'!A:J,10,FALSE)</f>
        <v>#N/A</v>
      </c>
      <c r="M204" s="150">
        <f>IFERROR(VLOOKUP(A204,'Master Modelo'!A:I,4,FALSE),0)</f>
        <v>0</v>
      </c>
      <c r="N204" s="128"/>
      <c r="O204" s="129"/>
      <c r="P204" s="9">
        <f t="shared" si="98"/>
        <v>0</v>
      </c>
      <c r="Q204" s="177">
        <f t="shared" si="96"/>
        <v>0</v>
      </c>
      <c r="R204" s="3">
        <f>D204*E204*'Entrada e Saida'!$K$8</f>
        <v>0</v>
      </c>
      <c r="S204" s="179" t="e">
        <f>'Entrada e Saida'!$H$21*'Entrada e Saida'!$K$8*(P204/(SUM(P:P)))</f>
        <v>#DIV/0!</v>
      </c>
      <c r="T204" s="179" t="e">
        <f>'Entrada e Saida'!$H$21*'Entrada e Saida'!$K$8*(Q204/(SUM(Q:Q)))</f>
        <v>#DIV/0!</v>
      </c>
      <c r="U204" s="179" t="e">
        <f>'Entrada e Saida'!$H$22*(P204/(SUM(P:P)))</f>
        <v>#DIV/0!</v>
      </c>
      <c r="V204" s="179" t="e">
        <f>'Entrada e Saida'!$H$22*(Q204/(SUM(Q:Q)))</f>
        <v>#DIV/0!</v>
      </c>
      <c r="W204" s="8" t="e">
        <f t="shared" si="99"/>
        <v>#DIV/0!</v>
      </c>
      <c r="X204" s="179" t="e">
        <f>'Entrada e Saida'!$H$26*(IF('Entrada e Saida'!$H$15="PESO",(P204/(SUM(P:P))),(Q204/(SUM(Q:Q)))))</f>
        <v>#DIV/0!</v>
      </c>
      <c r="Y204" s="179" t="e">
        <f>'Entrada e Saida'!$H$27*(IF('Entrada e Saida'!$H$15="PESO",(P204/(SUM(P:P))),(Q204/(SUM(Q:Q)))))</f>
        <v>#DIV/0!</v>
      </c>
      <c r="Z204" s="179" t="e">
        <f>'Entrada e Saida'!$H$28*(IF('Entrada e Saida'!$H$15="PESO",(P204/(SUM(P:P))),(Q204/(SUM(Q:Q)))))</f>
        <v>#DIV/0!</v>
      </c>
      <c r="AA204" s="10" t="e">
        <f t="shared" si="100"/>
        <v>#DIV/0!</v>
      </c>
      <c r="AB204" s="3" t="e">
        <f t="shared" si="101"/>
        <v>#DIV/0!</v>
      </c>
      <c r="AC204" s="3" t="e">
        <f t="shared" si="102"/>
        <v>#DIV/0!</v>
      </c>
      <c r="AD204" s="3" t="e">
        <f t="shared" si="103"/>
        <v>#DIV/0!</v>
      </c>
      <c r="AE204" s="9" t="e">
        <f t="shared" si="104"/>
        <v>#DIV/0!</v>
      </c>
      <c r="AF204" s="126">
        <f>IFERROR(D204*F204*L204*'Entrada e Saida'!$K$8,0)</f>
        <v>0</v>
      </c>
      <c r="AG204" s="3" t="e">
        <f>((W204+AA204+AB204+AC204+AD204+AE204+AF204)/(1-'Entrada e Saida'!$G$65))*'Entrada e Saida'!$I$66</f>
        <v>#DIV/0!</v>
      </c>
      <c r="AH204" s="8" t="e">
        <f t="shared" si="105"/>
        <v>#DIV/0!</v>
      </c>
      <c r="AI204" s="183" t="e">
        <f>'Entrada e Saida'!$K$51*(IF('Entrada e Saida'!$H$15="PESO",(P204/(SUM(P:P))),(Q204/(SUM(Q:Q)))))</f>
        <v>#DIV/0!</v>
      </c>
      <c r="AJ204" s="7">
        <f>(('Entrada e Saida'!$K$10-'Entrada e Saida'!$K$8)*E204*D204)</f>
        <v>0</v>
      </c>
      <c r="AK204" s="184" t="e">
        <f>IF('Entrada e Saida'!$H$15="PESO",W204+AA204+AH204+AI204+AJ204,W204+AA204+AH204+AI204+AJ204-S204+T204-U204+V204)</f>
        <v>#DIV/0!</v>
      </c>
      <c r="AL204" s="6" t="e">
        <f>IF('Entrada e Saida'!$H$12="REAL",AC204,0)</f>
        <v>#DIV/0!</v>
      </c>
      <c r="AM204" s="6" t="e">
        <f>IF('Entrada e Saida'!$H$12="REAL",AD204,0)</f>
        <v>#DIV/0!</v>
      </c>
      <c r="AN204" s="5" t="e">
        <f>IF('Entrada e Saida'!$H$13= "NÃO",AE204,0)</f>
        <v>#DIV/0!</v>
      </c>
      <c r="AO204" s="5" t="e">
        <f t="shared" si="106"/>
        <v>#DIV/0!</v>
      </c>
      <c r="AP204" s="4" t="e">
        <f t="shared" si="107"/>
        <v>#DIV/0!</v>
      </c>
      <c r="AQ204" s="3" t="e">
        <f>IF('Entrada e Saida'!$H$11="TRADING",AU204*'Custo Resumido'!D204,0)</f>
        <v>#DIV/0!</v>
      </c>
      <c r="AR204" s="3" t="e">
        <f>IF('Entrada e Saida'!$H$11="TRADING",AU204*'Entrada e Saida'!$G$63,0)</f>
        <v>#DIV/0!</v>
      </c>
      <c r="AS204" s="3" t="e">
        <f>IF('Entrada e Saida'!$H$11="TRADING",AU204*'Entrada e Saida'!$G$64,0)</f>
        <v>#DIV/0!</v>
      </c>
      <c r="AT204" s="3" t="e">
        <f>IF('Entrada e Saida'!$H$11="TRADING",AU204*'Entrada e Saida'!$G$65,0)</f>
        <v>#DIV/0!</v>
      </c>
      <c r="AU204" s="4" t="e">
        <f>IF('Entrada e Saida'!$H$11="TRADING",AP204/(1-(SUM('Entrada e Saida'!$G$63:$G$65)+'Custo Resumido'!D204)),0)</f>
        <v>#DIV/0!</v>
      </c>
      <c r="AV204" s="3" t="e">
        <f>IF('Entrada e Saida'!$H$13="NÃO",AU204*M204,0)</f>
        <v>#DIV/0!</v>
      </c>
      <c r="AW204" s="4" t="e">
        <f t="shared" si="108"/>
        <v>#DIV/0!</v>
      </c>
      <c r="AX204" s="3" t="e">
        <f>'Entrada e Saida'!$G$74*AU204</f>
        <v>#DIV/0!</v>
      </c>
      <c r="AY204" s="4" t="e">
        <f t="shared" si="109"/>
        <v>#DIV/0!</v>
      </c>
      <c r="AZ204" s="4" t="e">
        <f>AQ204+('Entrada e Saida'!$G$65-'Entrada e Saida'!$I$65)*AU204-AX204</f>
        <v>#DIV/0!</v>
      </c>
      <c r="BA204" s="3" t="e">
        <f>IF('Entrada e Saida'!$H$12="REAL",AZ204*'Entrada e Saida'!$G$81,AU204*'Entrada e Saida'!$G$81)</f>
        <v>#DIV/0!</v>
      </c>
      <c r="BB204" s="3" t="e">
        <f>IF('Entrada e Saida'!$H$12="REAL",AZ204*'Entrada e Saida'!$G$82,AU204*'Entrada e Saida'!$G$82)</f>
        <v>#DIV/0!</v>
      </c>
      <c r="BC204" s="4" t="e">
        <f t="shared" si="110"/>
        <v>#DIV/0!</v>
      </c>
      <c r="BD204" s="3" t="e">
        <f>IF('Entrada e Saida'!$H$11="TRADING",AW204/D204,AK204/D204)</f>
        <v>#DIV/0!</v>
      </c>
      <c r="BE204" s="3" t="e">
        <f t="shared" si="111"/>
        <v>#DIV/0!</v>
      </c>
      <c r="BF204" s="2" t="e">
        <f t="shared" si="112"/>
        <v>#DIV/0!</v>
      </c>
      <c r="BG204" s="3" t="e">
        <f>IF('Entrada e Saida'!$H$11="TRADING",AV204/D204,AN204/D204)</f>
        <v>#DIV/0!</v>
      </c>
      <c r="BH204" s="3" t="e">
        <f>IF('Entrada e Saida'!$H$11="TRADING",IF('Entrada e Saida'!$H$12="REAL",AR204/D204,0),AL204/D204)</f>
        <v>#DIV/0!</v>
      </c>
      <c r="BI204" s="3" t="e">
        <f>IF('Entrada e Saida'!$H$11="TRADING",IF('Entrada e Saida'!$H$12="REAL",AS204/D204,0),AM204/D204)</f>
        <v>#DIV/0!</v>
      </c>
      <c r="BJ204" s="3" t="e">
        <f>IF('Entrada e Saida'!$H$11="TRADING",AT204/D204,AO204/D204)</f>
        <v>#DIV/0!</v>
      </c>
      <c r="BK204" s="2" t="e">
        <f t="shared" si="113"/>
        <v>#DIV/0!</v>
      </c>
      <c r="BL204" s="2">
        <f>IF(O204&gt;0,IFERROR(IF('Entrada e Saida'!$H$11="DIRETA",0,(IF('Entrada e Saida'!$H$14="P.JURIDICA",(BD204*(1+O204)*N204)-((BD204/(1+M204))*'Entrada e Saida'!$G$65),((Produtos!N204-'Entrada e Saida'!$G$65)*Produtos!BD204)))),0),0)</f>
        <v>0</v>
      </c>
      <c r="BM204" s="2" t="e">
        <f t="shared" si="114"/>
        <v>#DIV/0!</v>
      </c>
    </row>
    <row r="205" spans="1:65" s="1" customFormat="1">
      <c r="A205" s="127"/>
      <c r="B205" s="114"/>
      <c r="C205" s="116"/>
      <c r="D205" s="146"/>
      <c r="E205" s="115">
        <f>IFERROR(VLOOKUP(A205,'Master Modelo'!A:I,9,FALSE),0)</f>
        <v>0</v>
      </c>
      <c r="F205" s="189">
        <f>IFERROR(VLOOKUP(A205,'Master Modelo'!A:I,8,FALSE),0)</f>
        <v>0</v>
      </c>
      <c r="G205" s="189">
        <f>IFERROR(VLOOKUP(A205,'Master Modelo'!A:K,11,FALSE),0)</f>
        <v>0</v>
      </c>
      <c r="H205" s="114" t="e">
        <f t="shared" ref="H205:H268" si="115">(D205*E205)/(D205*F205)</f>
        <v>#DIV/0!</v>
      </c>
      <c r="I205" s="150">
        <f>IFERROR(VLOOKUP(A205,'Master Modelo'!A:I,3,FALSE),0)</f>
        <v>0</v>
      </c>
      <c r="J205" s="151">
        <f>IFERROR(VLOOKUP(A205,'Master Modelo'!A:I,5,FALSE),0)</f>
        <v>0</v>
      </c>
      <c r="K205" s="151">
        <f>IFERROR(VLOOKUP(A205,'Master Modelo'!A:I,6,FALSE),0)</f>
        <v>0</v>
      </c>
      <c r="L205" s="152" t="e">
        <f>VLOOKUP(A205,'Master Modelo'!A:J,10,FALSE)</f>
        <v>#N/A</v>
      </c>
      <c r="M205" s="150">
        <f>IFERROR(VLOOKUP(A205,'Master Modelo'!A:I,4,FALSE),0)</f>
        <v>0</v>
      </c>
      <c r="N205" s="128"/>
      <c r="O205" s="129"/>
      <c r="P205" s="9">
        <f t="shared" ref="P205:P268" si="116">D205*F205</f>
        <v>0</v>
      </c>
      <c r="Q205" s="177">
        <f t="shared" si="96"/>
        <v>0</v>
      </c>
      <c r="R205" s="3">
        <f>D205*E205*'Entrada e Saida'!$K$8</f>
        <v>0</v>
      </c>
      <c r="S205" s="179" t="e">
        <f>'Entrada e Saida'!$H$21*'Entrada e Saida'!$K$8*(P205/(SUM(P:P)))</f>
        <v>#DIV/0!</v>
      </c>
      <c r="T205" s="179" t="e">
        <f>'Entrada e Saida'!$H$21*'Entrada e Saida'!$K$8*(Q205/(SUM(Q:Q)))</f>
        <v>#DIV/0!</v>
      </c>
      <c r="U205" s="179" t="e">
        <f>'Entrada e Saida'!$H$22*(P205/(SUM(P:P)))</f>
        <v>#DIV/0!</v>
      </c>
      <c r="V205" s="179" t="e">
        <f>'Entrada e Saida'!$H$22*(Q205/(SUM(Q:Q)))</f>
        <v>#DIV/0!</v>
      </c>
      <c r="W205" s="8" t="e">
        <f t="shared" ref="W205:W268" si="117">R205+S205+U205</f>
        <v>#DIV/0!</v>
      </c>
      <c r="X205" s="179" t="e">
        <f>'Entrada e Saida'!$H$26*(IF('Entrada e Saida'!$H$15="PESO",(P205/(SUM(P:P))),(Q205/(SUM(Q:Q)))))</f>
        <v>#DIV/0!</v>
      </c>
      <c r="Y205" s="179" t="e">
        <f>'Entrada e Saida'!$H$27*(IF('Entrada e Saida'!$H$15="PESO",(P205/(SUM(P:P))),(Q205/(SUM(Q:Q)))))</f>
        <v>#DIV/0!</v>
      </c>
      <c r="Z205" s="179" t="e">
        <f>'Entrada e Saida'!$H$28*(IF('Entrada e Saida'!$H$15="PESO",(P205/(SUM(P:P))),(Q205/(SUM(Q:Q)))))</f>
        <v>#DIV/0!</v>
      </c>
      <c r="AA205" s="10" t="e">
        <f t="shared" ref="AA205:AA268" si="118">X205+Y205+Z205</f>
        <v>#DIV/0!</v>
      </c>
      <c r="AB205" s="3" t="e">
        <f t="shared" ref="AB205:AB268" si="119">W205*I205</f>
        <v>#DIV/0!</v>
      </c>
      <c r="AC205" s="3" t="e">
        <f t="shared" ref="AC205:AC268" si="120">W205*J205</f>
        <v>#DIV/0!</v>
      </c>
      <c r="AD205" s="3" t="e">
        <f t="shared" ref="AD205:AD268" si="121">W205*K205</f>
        <v>#DIV/0!</v>
      </c>
      <c r="AE205" s="9" t="e">
        <f t="shared" ref="AE205:AE268" si="122">(W205+AB205)*M205</f>
        <v>#DIV/0!</v>
      </c>
      <c r="AF205" s="126">
        <f>IFERROR(D205*F205*L205*'Entrada e Saida'!$K$8,0)</f>
        <v>0</v>
      </c>
      <c r="AG205" s="3" t="e">
        <f>((W205+AA205+AB205+AC205+AD205+AE205+AF205)/(1-'Entrada e Saida'!$G$65))*'Entrada e Saida'!$I$66</f>
        <v>#DIV/0!</v>
      </c>
      <c r="AH205" s="8" t="e">
        <f t="shared" ref="AH205:AH268" si="123">SUM(AB205:AG205)</f>
        <v>#DIV/0!</v>
      </c>
      <c r="AI205" s="183" t="e">
        <f>'Entrada e Saida'!$K$51*(IF('Entrada e Saida'!$H$15="PESO",(P205/(SUM(P:P))),(Q205/(SUM(Q:Q)))))</f>
        <v>#DIV/0!</v>
      </c>
      <c r="AJ205" s="7">
        <f>(('Entrada e Saida'!$K$10-'Entrada e Saida'!$K$8)*E205*D205)</f>
        <v>0</v>
      </c>
      <c r="AK205" s="184" t="e">
        <f>IF('Entrada e Saida'!$H$15="PESO",W205+AA205+AH205+AI205+AJ205,W205+AA205+AH205+AI205+AJ205-S205+T205-U205+V205)</f>
        <v>#DIV/0!</v>
      </c>
      <c r="AL205" s="6" t="e">
        <f>IF('Entrada e Saida'!$H$12="REAL",AC205,0)</f>
        <v>#DIV/0!</v>
      </c>
      <c r="AM205" s="6" t="e">
        <f>IF('Entrada e Saida'!$H$12="REAL",AD205,0)</f>
        <v>#DIV/0!</v>
      </c>
      <c r="AN205" s="5" t="e">
        <f>IF('Entrada e Saida'!$H$13= "NÃO",AE205,0)</f>
        <v>#DIV/0!</v>
      </c>
      <c r="AO205" s="5" t="e">
        <f t="shared" ref="AO205:AO268" si="124">AG205</f>
        <v>#DIV/0!</v>
      </c>
      <c r="AP205" s="4" t="e">
        <f t="shared" ref="AP205:AP268" si="125">AK205-SUM(AL205:AO205)</f>
        <v>#DIV/0!</v>
      </c>
      <c r="AQ205" s="3" t="e">
        <f>IF('Entrada e Saida'!$H$11="TRADING",AU205*'Custo Resumido'!D205,0)</f>
        <v>#DIV/0!</v>
      </c>
      <c r="AR205" s="3" t="e">
        <f>IF('Entrada e Saida'!$H$11="TRADING",AU205*'Entrada e Saida'!$G$63,0)</f>
        <v>#DIV/0!</v>
      </c>
      <c r="AS205" s="3" t="e">
        <f>IF('Entrada e Saida'!$H$11="TRADING",AU205*'Entrada e Saida'!$G$64,0)</f>
        <v>#DIV/0!</v>
      </c>
      <c r="AT205" s="3" t="e">
        <f>IF('Entrada e Saida'!$H$11="TRADING",AU205*'Entrada e Saida'!$G$65,0)</f>
        <v>#DIV/0!</v>
      </c>
      <c r="AU205" s="4" t="e">
        <f>IF('Entrada e Saida'!$H$11="TRADING",AP205/(1-(SUM('Entrada e Saida'!$G$63:$G$65)+'Custo Resumido'!D205)),0)</f>
        <v>#DIV/0!</v>
      </c>
      <c r="AV205" s="3" t="e">
        <f>IF('Entrada e Saida'!$H$13="NÃO",AU205*M205,0)</f>
        <v>#DIV/0!</v>
      </c>
      <c r="AW205" s="4" t="e">
        <f t="shared" ref="AW205:AW268" si="126">AU205+AV205</f>
        <v>#DIV/0!</v>
      </c>
      <c r="AX205" s="3" t="e">
        <f>'Entrada e Saida'!$G$74*AU205</f>
        <v>#DIV/0!</v>
      </c>
      <c r="AY205" s="4" t="e">
        <f t="shared" ref="AY205:AY268" si="127">AW205-AX205</f>
        <v>#DIV/0!</v>
      </c>
      <c r="AZ205" s="4" t="e">
        <f>AQ205+('Entrada e Saida'!$G$65-'Entrada e Saida'!$I$65)*AU205-AX205</f>
        <v>#DIV/0!</v>
      </c>
      <c r="BA205" s="3" t="e">
        <f>IF('Entrada e Saida'!$H$12="REAL",AZ205*'Entrada e Saida'!$G$81,AU205*'Entrada e Saida'!$G$81)</f>
        <v>#DIV/0!</v>
      </c>
      <c r="BB205" s="3" t="e">
        <f>IF('Entrada e Saida'!$H$12="REAL",AZ205*'Entrada e Saida'!$G$82,AU205*'Entrada e Saida'!$G$82)</f>
        <v>#DIV/0!</v>
      </c>
      <c r="BC205" s="4" t="e">
        <f t="shared" ref="BC205:BC268" si="128">AZ205-BA205-BB205</f>
        <v>#DIV/0!</v>
      </c>
      <c r="BD205" s="3" t="e">
        <f>IF('Entrada e Saida'!$H$11="TRADING",AW205/D205,AK205/D205)</f>
        <v>#DIV/0!</v>
      </c>
      <c r="BE205" s="3" t="e">
        <f t="shared" ref="BE205:BE268" si="129">AX205/D205</f>
        <v>#DIV/0!</v>
      </c>
      <c r="BF205" s="2" t="e">
        <f t="shared" ref="BF205:BF268" si="130">BD205-BE205</f>
        <v>#DIV/0!</v>
      </c>
      <c r="BG205" s="3" t="e">
        <f>IF('Entrada e Saida'!$H$11="TRADING",AV205/D205,AN205/D205)</f>
        <v>#DIV/0!</v>
      </c>
      <c r="BH205" s="3" t="e">
        <f>IF('Entrada e Saida'!$H$11="TRADING",IF('Entrada e Saida'!$H$12="REAL",AR205/D205,0),AL205/D205)</f>
        <v>#DIV/0!</v>
      </c>
      <c r="BI205" s="3" t="e">
        <f>IF('Entrada e Saida'!$H$11="TRADING",IF('Entrada e Saida'!$H$12="REAL",AS205/D205,0),AM205/D205)</f>
        <v>#DIV/0!</v>
      </c>
      <c r="BJ205" s="3" t="e">
        <f>IF('Entrada e Saida'!$H$11="TRADING",AT205/D205,AO205/D205)</f>
        <v>#DIV/0!</v>
      </c>
      <c r="BK205" s="2" t="e">
        <f t="shared" ref="BK205:BK268" si="131">BF205-SUM(BG205:BJ205)</f>
        <v>#DIV/0!</v>
      </c>
      <c r="BL205" s="2">
        <f>IF(O205&gt;0,IFERROR(IF('Entrada e Saida'!$H$11="DIRETA",0,(IF('Entrada e Saida'!$H$14="P.JURIDICA",(BD205*(1+O205)*N205)-((BD205/(1+M205))*'Entrada e Saida'!$G$65),((Produtos!N205-'Entrada e Saida'!$G$65)*Produtos!BD205)))),0),0)</f>
        <v>0</v>
      </c>
      <c r="BM205" s="2" t="e">
        <f t="shared" ref="BM205:BM268" si="132">BF205+BL205</f>
        <v>#DIV/0!</v>
      </c>
    </row>
    <row r="206" spans="1:65" s="1" customFormat="1">
      <c r="A206" s="127"/>
      <c r="B206" s="114"/>
      <c r="C206" s="116"/>
      <c r="D206" s="146"/>
      <c r="E206" s="115">
        <f>IFERROR(VLOOKUP(A206,'Master Modelo'!A:I,9,FALSE),0)</f>
        <v>0</v>
      </c>
      <c r="F206" s="189">
        <f>IFERROR(VLOOKUP(A206,'Master Modelo'!A:I,8,FALSE),0)</f>
        <v>0</v>
      </c>
      <c r="G206" s="189">
        <f>IFERROR(VLOOKUP(A206,'Master Modelo'!A:K,11,FALSE),0)</f>
        <v>0</v>
      </c>
      <c r="H206" s="114" t="e">
        <f t="shared" si="115"/>
        <v>#DIV/0!</v>
      </c>
      <c r="I206" s="150">
        <f>IFERROR(VLOOKUP(A206,'Master Modelo'!A:I,3,FALSE),0)</f>
        <v>0</v>
      </c>
      <c r="J206" s="151">
        <f>IFERROR(VLOOKUP(A206,'Master Modelo'!A:I,5,FALSE),0)</f>
        <v>0</v>
      </c>
      <c r="K206" s="151">
        <f>IFERROR(VLOOKUP(A206,'Master Modelo'!A:I,6,FALSE),0)</f>
        <v>0</v>
      </c>
      <c r="L206" s="152" t="e">
        <f>VLOOKUP(A206,'Master Modelo'!A:J,10,FALSE)</f>
        <v>#N/A</v>
      </c>
      <c r="M206" s="150">
        <f>IFERROR(VLOOKUP(A206,'Master Modelo'!A:I,4,FALSE),0)</f>
        <v>0</v>
      </c>
      <c r="N206" s="128"/>
      <c r="O206" s="129"/>
      <c r="P206" s="9">
        <f t="shared" si="116"/>
        <v>0</v>
      </c>
      <c r="Q206" s="177">
        <f t="shared" si="96"/>
        <v>0</v>
      </c>
      <c r="R206" s="3">
        <f>D206*E206*'Entrada e Saida'!$K$8</f>
        <v>0</v>
      </c>
      <c r="S206" s="179" t="e">
        <f>'Entrada e Saida'!$H$21*'Entrada e Saida'!$K$8*(P206/(SUM(P:P)))</f>
        <v>#DIV/0!</v>
      </c>
      <c r="T206" s="179" t="e">
        <f>'Entrada e Saida'!$H$21*'Entrada e Saida'!$K$8*(Q206/(SUM(Q:Q)))</f>
        <v>#DIV/0!</v>
      </c>
      <c r="U206" s="179" t="e">
        <f>'Entrada e Saida'!$H$22*(P206/(SUM(P:P)))</f>
        <v>#DIV/0!</v>
      </c>
      <c r="V206" s="179" t="e">
        <f>'Entrada e Saida'!$H$22*(Q206/(SUM(Q:Q)))</f>
        <v>#DIV/0!</v>
      </c>
      <c r="W206" s="8" t="e">
        <f t="shared" si="117"/>
        <v>#DIV/0!</v>
      </c>
      <c r="X206" s="179" t="e">
        <f>'Entrada e Saida'!$H$26*(IF('Entrada e Saida'!$H$15="PESO",(P206/(SUM(P:P))),(Q206/(SUM(Q:Q)))))</f>
        <v>#DIV/0!</v>
      </c>
      <c r="Y206" s="179" t="e">
        <f>'Entrada e Saida'!$H$27*(IF('Entrada e Saida'!$H$15="PESO",(P206/(SUM(P:P))),(Q206/(SUM(Q:Q)))))</f>
        <v>#DIV/0!</v>
      </c>
      <c r="Z206" s="179" t="e">
        <f>'Entrada e Saida'!$H$28*(IF('Entrada e Saida'!$H$15="PESO",(P206/(SUM(P:P))),(Q206/(SUM(Q:Q)))))</f>
        <v>#DIV/0!</v>
      </c>
      <c r="AA206" s="10" t="e">
        <f t="shared" si="118"/>
        <v>#DIV/0!</v>
      </c>
      <c r="AB206" s="3" t="e">
        <f t="shared" si="119"/>
        <v>#DIV/0!</v>
      </c>
      <c r="AC206" s="3" t="e">
        <f t="shared" si="120"/>
        <v>#DIV/0!</v>
      </c>
      <c r="AD206" s="3" t="e">
        <f t="shared" si="121"/>
        <v>#DIV/0!</v>
      </c>
      <c r="AE206" s="9" t="e">
        <f t="shared" si="122"/>
        <v>#DIV/0!</v>
      </c>
      <c r="AF206" s="126">
        <f>IFERROR(D206*F206*L206*'Entrada e Saida'!$K$8,0)</f>
        <v>0</v>
      </c>
      <c r="AG206" s="3" t="e">
        <f>((W206+AA206+AB206+AC206+AD206+AE206+AF206)/(1-'Entrada e Saida'!$G$65))*'Entrada e Saida'!$I$66</f>
        <v>#DIV/0!</v>
      </c>
      <c r="AH206" s="8" t="e">
        <f t="shared" si="123"/>
        <v>#DIV/0!</v>
      </c>
      <c r="AI206" s="183" t="e">
        <f>'Entrada e Saida'!$K$51*(IF('Entrada e Saida'!$H$15="PESO",(P206/(SUM(P:P))),(Q206/(SUM(Q:Q)))))</f>
        <v>#DIV/0!</v>
      </c>
      <c r="AJ206" s="7">
        <f>(('Entrada e Saida'!$K$10-'Entrada e Saida'!$K$8)*E206*D206)</f>
        <v>0</v>
      </c>
      <c r="AK206" s="184" t="e">
        <f>IF('Entrada e Saida'!$H$15="PESO",W206+AA206+AH206+AI206+AJ206,W206+AA206+AH206+AI206+AJ206-S206+T206-U206+V206)</f>
        <v>#DIV/0!</v>
      </c>
      <c r="AL206" s="6" t="e">
        <f>IF('Entrada e Saida'!$H$12="REAL",AC206,0)</f>
        <v>#DIV/0!</v>
      </c>
      <c r="AM206" s="6" t="e">
        <f>IF('Entrada e Saida'!$H$12="REAL",AD206,0)</f>
        <v>#DIV/0!</v>
      </c>
      <c r="AN206" s="5" t="e">
        <f>IF('Entrada e Saida'!$H$13= "NÃO",AE206,0)</f>
        <v>#DIV/0!</v>
      </c>
      <c r="AO206" s="5" t="e">
        <f t="shared" si="124"/>
        <v>#DIV/0!</v>
      </c>
      <c r="AP206" s="4" t="e">
        <f t="shared" si="125"/>
        <v>#DIV/0!</v>
      </c>
      <c r="AQ206" s="3" t="e">
        <f>IF('Entrada e Saida'!$H$11="TRADING",AU206*'Custo Resumido'!D206,0)</f>
        <v>#DIV/0!</v>
      </c>
      <c r="AR206" s="3" t="e">
        <f>IF('Entrada e Saida'!$H$11="TRADING",AU206*'Entrada e Saida'!$G$63,0)</f>
        <v>#DIV/0!</v>
      </c>
      <c r="AS206" s="3" t="e">
        <f>IF('Entrada e Saida'!$H$11="TRADING",AU206*'Entrada e Saida'!$G$64,0)</f>
        <v>#DIV/0!</v>
      </c>
      <c r="AT206" s="3" t="e">
        <f>IF('Entrada e Saida'!$H$11="TRADING",AU206*'Entrada e Saida'!$G$65,0)</f>
        <v>#DIV/0!</v>
      </c>
      <c r="AU206" s="4" t="e">
        <f>IF('Entrada e Saida'!$H$11="TRADING",AP206/(1-(SUM('Entrada e Saida'!$G$63:$G$65)+'Custo Resumido'!D206)),0)</f>
        <v>#DIV/0!</v>
      </c>
      <c r="AV206" s="3" t="e">
        <f>IF('Entrada e Saida'!$H$13="NÃO",AU206*M206,0)</f>
        <v>#DIV/0!</v>
      </c>
      <c r="AW206" s="4" t="e">
        <f t="shared" si="126"/>
        <v>#DIV/0!</v>
      </c>
      <c r="AX206" s="3" t="e">
        <f>'Entrada e Saida'!$G$74*AU206</f>
        <v>#DIV/0!</v>
      </c>
      <c r="AY206" s="4" t="e">
        <f t="shared" si="127"/>
        <v>#DIV/0!</v>
      </c>
      <c r="AZ206" s="4" t="e">
        <f>AQ206+('Entrada e Saida'!$G$65-'Entrada e Saida'!$I$65)*AU206-AX206</f>
        <v>#DIV/0!</v>
      </c>
      <c r="BA206" s="3" t="e">
        <f>IF('Entrada e Saida'!$H$12="REAL",AZ206*'Entrada e Saida'!$G$81,AU206*'Entrada e Saida'!$G$81)</f>
        <v>#DIV/0!</v>
      </c>
      <c r="BB206" s="3" t="e">
        <f>IF('Entrada e Saida'!$H$12="REAL",AZ206*'Entrada e Saida'!$G$82,AU206*'Entrada e Saida'!$G$82)</f>
        <v>#DIV/0!</v>
      </c>
      <c r="BC206" s="4" t="e">
        <f t="shared" si="128"/>
        <v>#DIV/0!</v>
      </c>
      <c r="BD206" s="3" t="e">
        <f>IF('Entrada e Saida'!$H$11="TRADING",AW206/D206,AK206/D206)</f>
        <v>#DIV/0!</v>
      </c>
      <c r="BE206" s="3" t="e">
        <f t="shared" si="129"/>
        <v>#DIV/0!</v>
      </c>
      <c r="BF206" s="2" t="e">
        <f t="shared" si="130"/>
        <v>#DIV/0!</v>
      </c>
      <c r="BG206" s="3" t="e">
        <f>IF('Entrada e Saida'!$H$11="TRADING",AV206/D206,AN206/D206)</f>
        <v>#DIV/0!</v>
      </c>
      <c r="BH206" s="3" t="e">
        <f>IF('Entrada e Saida'!$H$11="TRADING",IF('Entrada e Saida'!$H$12="REAL",AR206/D206,0),AL206/D206)</f>
        <v>#DIV/0!</v>
      </c>
      <c r="BI206" s="3" t="e">
        <f>IF('Entrada e Saida'!$H$11="TRADING",IF('Entrada e Saida'!$H$12="REAL",AS206/D206,0),AM206/D206)</f>
        <v>#DIV/0!</v>
      </c>
      <c r="BJ206" s="3" t="e">
        <f>IF('Entrada e Saida'!$H$11="TRADING",AT206/D206,AO206/D206)</f>
        <v>#DIV/0!</v>
      </c>
      <c r="BK206" s="2" t="e">
        <f t="shared" si="131"/>
        <v>#DIV/0!</v>
      </c>
      <c r="BL206" s="2">
        <f>IF(O206&gt;0,IFERROR(IF('Entrada e Saida'!$H$11="DIRETA",0,(IF('Entrada e Saida'!$H$14="P.JURIDICA",(BD206*(1+O206)*N206)-((BD206/(1+M206))*'Entrada e Saida'!$G$65),((Produtos!N206-'Entrada e Saida'!$G$65)*Produtos!BD206)))),0),0)</f>
        <v>0</v>
      </c>
      <c r="BM206" s="2" t="e">
        <f t="shared" si="132"/>
        <v>#DIV/0!</v>
      </c>
    </row>
    <row r="207" spans="1:65" s="1" customFormat="1">
      <c r="A207" s="127"/>
      <c r="B207" s="114"/>
      <c r="C207" s="116"/>
      <c r="D207" s="146"/>
      <c r="E207" s="115">
        <f>IFERROR(VLOOKUP(A207,'Master Modelo'!A:I,9,FALSE),0)</f>
        <v>0</v>
      </c>
      <c r="F207" s="189">
        <f>IFERROR(VLOOKUP(A207,'Master Modelo'!A:I,8,FALSE),0)</f>
        <v>0</v>
      </c>
      <c r="G207" s="189">
        <f>IFERROR(VLOOKUP(A207,'Master Modelo'!A:K,11,FALSE),0)</f>
        <v>0</v>
      </c>
      <c r="H207" s="114" t="e">
        <f t="shared" si="115"/>
        <v>#DIV/0!</v>
      </c>
      <c r="I207" s="150">
        <f>IFERROR(VLOOKUP(A207,'Master Modelo'!A:I,3,FALSE),0)</f>
        <v>0</v>
      </c>
      <c r="J207" s="151">
        <f>IFERROR(VLOOKUP(A207,'Master Modelo'!A:I,5,FALSE),0)</f>
        <v>0</v>
      </c>
      <c r="K207" s="151">
        <f>IFERROR(VLOOKUP(A207,'Master Modelo'!A:I,6,FALSE),0)</f>
        <v>0</v>
      </c>
      <c r="L207" s="152" t="e">
        <f>VLOOKUP(A207,'Master Modelo'!A:J,10,FALSE)</f>
        <v>#N/A</v>
      </c>
      <c r="M207" s="150">
        <f>IFERROR(VLOOKUP(A207,'Master Modelo'!A:I,4,FALSE),0)</f>
        <v>0</v>
      </c>
      <c r="N207" s="128"/>
      <c r="O207" s="129"/>
      <c r="P207" s="9">
        <f t="shared" si="116"/>
        <v>0</v>
      </c>
      <c r="Q207" s="177">
        <f t="shared" si="96"/>
        <v>0</v>
      </c>
      <c r="R207" s="3">
        <f>D207*E207*'Entrada e Saida'!$K$8</f>
        <v>0</v>
      </c>
      <c r="S207" s="179" t="e">
        <f>'Entrada e Saida'!$H$21*'Entrada e Saida'!$K$8*(P207/(SUM(P:P)))</f>
        <v>#DIV/0!</v>
      </c>
      <c r="T207" s="179" t="e">
        <f>'Entrada e Saida'!$H$21*'Entrada e Saida'!$K$8*(Q207/(SUM(Q:Q)))</f>
        <v>#DIV/0!</v>
      </c>
      <c r="U207" s="179" t="e">
        <f>'Entrada e Saida'!$H$22*(P207/(SUM(P:P)))</f>
        <v>#DIV/0!</v>
      </c>
      <c r="V207" s="179" t="e">
        <f>'Entrada e Saida'!$H$22*(Q207/(SUM(Q:Q)))</f>
        <v>#DIV/0!</v>
      </c>
      <c r="W207" s="8" t="e">
        <f t="shared" si="117"/>
        <v>#DIV/0!</v>
      </c>
      <c r="X207" s="179" t="e">
        <f>'Entrada e Saida'!$H$26*(IF('Entrada e Saida'!$H$15="PESO",(P207/(SUM(P:P))),(Q207/(SUM(Q:Q)))))</f>
        <v>#DIV/0!</v>
      </c>
      <c r="Y207" s="179" t="e">
        <f>'Entrada e Saida'!$H$27*(IF('Entrada e Saida'!$H$15="PESO",(P207/(SUM(P:P))),(Q207/(SUM(Q:Q)))))</f>
        <v>#DIV/0!</v>
      </c>
      <c r="Z207" s="179" t="e">
        <f>'Entrada e Saida'!$H$28*(IF('Entrada e Saida'!$H$15="PESO",(P207/(SUM(P:P))),(Q207/(SUM(Q:Q)))))</f>
        <v>#DIV/0!</v>
      </c>
      <c r="AA207" s="10" t="e">
        <f t="shared" si="118"/>
        <v>#DIV/0!</v>
      </c>
      <c r="AB207" s="3" t="e">
        <f t="shared" si="119"/>
        <v>#DIV/0!</v>
      </c>
      <c r="AC207" s="3" t="e">
        <f t="shared" si="120"/>
        <v>#DIV/0!</v>
      </c>
      <c r="AD207" s="3" t="e">
        <f t="shared" si="121"/>
        <v>#DIV/0!</v>
      </c>
      <c r="AE207" s="9" t="e">
        <f t="shared" si="122"/>
        <v>#DIV/0!</v>
      </c>
      <c r="AF207" s="126">
        <f>IFERROR(D207*F207*L207*'Entrada e Saida'!$K$8,0)</f>
        <v>0</v>
      </c>
      <c r="AG207" s="3" t="e">
        <f>((W207+AA207+AB207+AC207+AD207+AE207+AF207)/(1-'Entrada e Saida'!$G$65))*'Entrada e Saida'!$I$66</f>
        <v>#DIV/0!</v>
      </c>
      <c r="AH207" s="8" t="e">
        <f t="shared" si="123"/>
        <v>#DIV/0!</v>
      </c>
      <c r="AI207" s="183" t="e">
        <f>'Entrada e Saida'!$K$51*(IF('Entrada e Saida'!$H$15="PESO",(P207/(SUM(P:P))),(Q207/(SUM(Q:Q)))))</f>
        <v>#DIV/0!</v>
      </c>
      <c r="AJ207" s="7">
        <f>(('Entrada e Saida'!$K$10-'Entrada e Saida'!$K$8)*E207*D207)</f>
        <v>0</v>
      </c>
      <c r="AK207" s="184" t="e">
        <f>IF('Entrada e Saida'!$H$15="PESO",W207+AA207+AH207+AI207+AJ207,W207+AA207+AH207+AI207+AJ207-S207+T207-U207+V207)</f>
        <v>#DIV/0!</v>
      </c>
      <c r="AL207" s="6" t="e">
        <f>IF('Entrada e Saida'!$H$12="REAL",AC207,0)</f>
        <v>#DIV/0!</v>
      </c>
      <c r="AM207" s="6" t="e">
        <f>IF('Entrada e Saida'!$H$12="REAL",AD207,0)</f>
        <v>#DIV/0!</v>
      </c>
      <c r="AN207" s="5" t="e">
        <f>IF('Entrada e Saida'!$H$13= "NÃO",AE207,0)</f>
        <v>#DIV/0!</v>
      </c>
      <c r="AO207" s="5" t="e">
        <f t="shared" si="124"/>
        <v>#DIV/0!</v>
      </c>
      <c r="AP207" s="4" t="e">
        <f t="shared" si="125"/>
        <v>#DIV/0!</v>
      </c>
      <c r="AQ207" s="3" t="e">
        <f>IF('Entrada e Saida'!$H$11="TRADING",AU207*'Custo Resumido'!D207,0)</f>
        <v>#DIV/0!</v>
      </c>
      <c r="AR207" s="3" t="e">
        <f>IF('Entrada e Saida'!$H$11="TRADING",AU207*'Entrada e Saida'!$G$63,0)</f>
        <v>#DIV/0!</v>
      </c>
      <c r="AS207" s="3" t="e">
        <f>IF('Entrada e Saida'!$H$11="TRADING",AU207*'Entrada e Saida'!$G$64,0)</f>
        <v>#DIV/0!</v>
      </c>
      <c r="AT207" s="3" t="e">
        <f>IF('Entrada e Saida'!$H$11="TRADING",AU207*'Entrada e Saida'!$G$65,0)</f>
        <v>#DIV/0!</v>
      </c>
      <c r="AU207" s="4" t="e">
        <f>IF('Entrada e Saida'!$H$11="TRADING",AP207/(1-(SUM('Entrada e Saida'!$G$63:$G$65)+'Custo Resumido'!D207)),0)</f>
        <v>#DIV/0!</v>
      </c>
      <c r="AV207" s="3" t="e">
        <f>IF('Entrada e Saida'!$H$13="NÃO",AU207*M207,0)</f>
        <v>#DIV/0!</v>
      </c>
      <c r="AW207" s="4" t="e">
        <f t="shared" si="126"/>
        <v>#DIV/0!</v>
      </c>
      <c r="AX207" s="3" t="e">
        <f>'Entrada e Saida'!$G$74*AU207</f>
        <v>#DIV/0!</v>
      </c>
      <c r="AY207" s="4" t="e">
        <f t="shared" si="127"/>
        <v>#DIV/0!</v>
      </c>
      <c r="AZ207" s="4" t="e">
        <f>AQ207+('Entrada e Saida'!$G$65-'Entrada e Saida'!$I$65)*AU207-AX207</f>
        <v>#DIV/0!</v>
      </c>
      <c r="BA207" s="3" t="e">
        <f>IF('Entrada e Saida'!$H$12="REAL",AZ207*'Entrada e Saida'!$G$81,AU207*'Entrada e Saida'!$G$81)</f>
        <v>#DIV/0!</v>
      </c>
      <c r="BB207" s="3" t="e">
        <f>IF('Entrada e Saida'!$H$12="REAL",AZ207*'Entrada e Saida'!$G$82,AU207*'Entrada e Saida'!$G$82)</f>
        <v>#DIV/0!</v>
      </c>
      <c r="BC207" s="4" t="e">
        <f t="shared" si="128"/>
        <v>#DIV/0!</v>
      </c>
      <c r="BD207" s="3" t="e">
        <f>IF('Entrada e Saida'!$H$11="TRADING",AW207/D207,AK207/D207)</f>
        <v>#DIV/0!</v>
      </c>
      <c r="BE207" s="3" t="e">
        <f t="shared" si="129"/>
        <v>#DIV/0!</v>
      </c>
      <c r="BF207" s="2" t="e">
        <f t="shared" si="130"/>
        <v>#DIV/0!</v>
      </c>
      <c r="BG207" s="3" t="e">
        <f>IF('Entrada e Saida'!$H$11="TRADING",AV207/D207,AN207/D207)</f>
        <v>#DIV/0!</v>
      </c>
      <c r="BH207" s="3" t="e">
        <f>IF('Entrada e Saida'!$H$11="TRADING",IF('Entrada e Saida'!$H$12="REAL",AR207/D207,0),AL207/D207)</f>
        <v>#DIV/0!</v>
      </c>
      <c r="BI207" s="3" t="e">
        <f>IF('Entrada e Saida'!$H$11="TRADING",IF('Entrada e Saida'!$H$12="REAL",AS207/D207,0),AM207/D207)</f>
        <v>#DIV/0!</v>
      </c>
      <c r="BJ207" s="3" t="e">
        <f>IF('Entrada e Saida'!$H$11="TRADING",AT207/D207,AO207/D207)</f>
        <v>#DIV/0!</v>
      </c>
      <c r="BK207" s="2" t="e">
        <f t="shared" si="131"/>
        <v>#DIV/0!</v>
      </c>
      <c r="BL207" s="2">
        <f>IF(O207&gt;0,IFERROR(IF('Entrada e Saida'!$H$11="DIRETA",0,(IF('Entrada e Saida'!$H$14="P.JURIDICA",(BD207*(1+O207)*N207)-((BD207/(1+M207))*'Entrada e Saida'!$G$65),((Produtos!N207-'Entrada e Saida'!$G$65)*Produtos!BD207)))),0),0)</f>
        <v>0</v>
      </c>
      <c r="BM207" s="2" t="e">
        <f t="shared" si="132"/>
        <v>#DIV/0!</v>
      </c>
    </row>
    <row r="208" spans="1:65" s="1" customFormat="1">
      <c r="A208" s="127"/>
      <c r="B208" s="114"/>
      <c r="C208" s="116"/>
      <c r="D208" s="146"/>
      <c r="E208" s="115">
        <f>IFERROR(VLOOKUP(A208,'Master Modelo'!A:I,9,FALSE),0)</f>
        <v>0</v>
      </c>
      <c r="F208" s="189">
        <f>IFERROR(VLOOKUP(A208,'Master Modelo'!A:I,8,FALSE),0)</f>
        <v>0</v>
      </c>
      <c r="G208" s="189">
        <f>IFERROR(VLOOKUP(A208,'Master Modelo'!A:K,11,FALSE),0)</f>
        <v>0</v>
      </c>
      <c r="H208" s="114" t="e">
        <f t="shared" si="115"/>
        <v>#DIV/0!</v>
      </c>
      <c r="I208" s="150">
        <f>IFERROR(VLOOKUP(A208,'Master Modelo'!A:I,3,FALSE),0)</f>
        <v>0</v>
      </c>
      <c r="J208" s="151">
        <f>IFERROR(VLOOKUP(A208,'Master Modelo'!A:I,5,FALSE),0)</f>
        <v>0</v>
      </c>
      <c r="K208" s="151">
        <f>IFERROR(VLOOKUP(A208,'Master Modelo'!A:I,6,FALSE),0)</f>
        <v>0</v>
      </c>
      <c r="L208" s="152" t="e">
        <f>VLOOKUP(A208,'Master Modelo'!A:J,10,FALSE)</f>
        <v>#N/A</v>
      </c>
      <c r="M208" s="150">
        <f>IFERROR(VLOOKUP(A208,'Master Modelo'!A:I,4,FALSE),0)</f>
        <v>0</v>
      </c>
      <c r="N208" s="128"/>
      <c r="O208" s="129"/>
      <c r="P208" s="9">
        <f t="shared" si="116"/>
        <v>0</v>
      </c>
      <c r="Q208" s="177">
        <f t="shared" si="96"/>
        <v>0</v>
      </c>
      <c r="R208" s="3">
        <f>D208*E208*'Entrada e Saida'!$K$8</f>
        <v>0</v>
      </c>
      <c r="S208" s="179" t="e">
        <f>'Entrada e Saida'!$H$21*'Entrada e Saida'!$K$8*(P208/(SUM(P:P)))</f>
        <v>#DIV/0!</v>
      </c>
      <c r="T208" s="179" t="e">
        <f>'Entrada e Saida'!$H$21*'Entrada e Saida'!$K$8*(Q208/(SUM(Q:Q)))</f>
        <v>#DIV/0!</v>
      </c>
      <c r="U208" s="179" t="e">
        <f>'Entrada e Saida'!$H$22*(P208/(SUM(P:P)))</f>
        <v>#DIV/0!</v>
      </c>
      <c r="V208" s="179" t="e">
        <f>'Entrada e Saida'!$H$22*(Q208/(SUM(Q:Q)))</f>
        <v>#DIV/0!</v>
      </c>
      <c r="W208" s="8" t="e">
        <f t="shared" si="117"/>
        <v>#DIV/0!</v>
      </c>
      <c r="X208" s="179" t="e">
        <f>'Entrada e Saida'!$H$26*(IF('Entrada e Saida'!$H$15="PESO",(P208/(SUM(P:P))),(Q208/(SUM(Q:Q)))))</f>
        <v>#DIV/0!</v>
      </c>
      <c r="Y208" s="179" t="e">
        <f>'Entrada e Saida'!$H$27*(IF('Entrada e Saida'!$H$15="PESO",(P208/(SUM(P:P))),(Q208/(SUM(Q:Q)))))</f>
        <v>#DIV/0!</v>
      </c>
      <c r="Z208" s="179" t="e">
        <f>'Entrada e Saida'!$H$28*(IF('Entrada e Saida'!$H$15="PESO",(P208/(SUM(P:P))),(Q208/(SUM(Q:Q)))))</f>
        <v>#DIV/0!</v>
      </c>
      <c r="AA208" s="10" t="e">
        <f t="shared" si="118"/>
        <v>#DIV/0!</v>
      </c>
      <c r="AB208" s="3" t="e">
        <f t="shared" si="119"/>
        <v>#DIV/0!</v>
      </c>
      <c r="AC208" s="3" t="e">
        <f t="shared" si="120"/>
        <v>#DIV/0!</v>
      </c>
      <c r="AD208" s="3" t="e">
        <f t="shared" si="121"/>
        <v>#DIV/0!</v>
      </c>
      <c r="AE208" s="9" t="e">
        <f t="shared" si="122"/>
        <v>#DIV/0!</v>
      </c>
      <c r="AF208" s="126">
        <f>IFERROR(D208*F208*L208*'Entrada e Saida'!$K$8,0)</f>
        <v>0</v>
      </c>
      <c r="AG208" s="3" t="e">
        <f>((W208+AA208+AB208+AC208+AD208+AE208+AF208)/(1-'Entrada e Saida'!$G$65))*'Entrada e Saida'!$I$66</f>
        <v>#DIV/0!</v>
      </c>
      <c r="AH208" s="8" t="e">
        <f t="shared" si="123"/>
        <v>#DIV/0!</v>
      </c>
      <c r="AI208" s="183" t="e">
        <f>'Entrada e Saida'!$K$51*(IF('Entrada e Saida'!$H$15="PESO",(P208/(SUM(P:P))),(Q208/(SUM(Q:Q)))))</f>
        <v>#DIV/0!</v>
      </c>
      <c r="AJ208" s="7">
        <f>(('Entrada e Saida'!$K$10-'Entrada e Saida'!$K$8)*E208*D208)</f>
        <v>0</v>
      </c>
      <c r="AK208" s="184" t="e">
        <f>IF('Entrada e Saida'!$H$15="PESO",W208+AA208+AH208+AI208+AJ208,W208+AA208+AH208+AI208+AJ208-S208+T208-U208+V208)</f>
        <v>#DIV/0!</v>
      </c>
      <c r="AL208" s="6" t="e">
        <f>IF('Entrada e Saida'!$H$12="REAL",AC208,0)</f>
        <v>#DIV/0!</v>
      </c>
      <c r="AM208" s="6" t="e">
        <f>IF('Entrada e Saida'!$H$12="REAL",AD208,0)</f>
        <v>#DIV/0!</v>
      </c>
      <c r="AN208" s="5" t="e">
        <f>IF('Entrada e Saida'!$H$13= "NÃO",AE208,0)</f>
        <v>#DIV/0!</v>
      </c>
      <c r="AO208" s="5" t="e">
        <f t="shared" si="124"/>
        <v>#DIV/0!</v>
      </c>
      <c r="AP208" s="4" t="e">
        <f t="shared" si="125"/>
        <v>#DIV/0!</v>
      </c>
      <c r="AQ208" s="3" t="e">
        <f>IF('Entrada e Saida'!$H$11="TRADING",AU208*'Custo Resumido'!D208,0)</f>
        <v>#DIV/0!</v>
      </c>
      <c r="AR208" s="3" t="e">
        <f>IF('Entrada e Saida'!$H$11="TRADING",AU208*'Entrada e Saida'!$G$63,0)</f>
        <v>#DIV/0!</v>
      </c>
      <c r="AS208" s="3" t="e">
        <f>IF('Entrada e Saida'!$H$11="TRADING",AU208*'Entrada e Saida'!$G$64,0)</f>
        <v>#DIV/0!</v>
      </c>
      <c r="AT208" s="3" t="e">
        <f>IF('Entrada e Saida'!$H$11="TRADING",AU208*'Entrada e Saida'!$G$65,0)</f>
        <v>#DIV/0!</v>
      </c>
      <c r="AU208" s="4" t="e">
        <f>IF('Entrada e Saida'!$H$11="TRADING",AP208/(1-(SUM('Entrada e Saida'!$G$63:$G$65)+'Custo Resumido'!D208)),0)</f>
        <v>#DIV/0!</v>
      </c>
      <c r="AV208" s="3" t="e">
        <f>IF('Entrada e Saida'!$H$13="NÃO",AU208*M208,0)</f>
        <v>#DIV/0!</v>
      </c>
      <c r="AW208" s="4" t="e">
        <f t="shared" si="126"/>
        <v>#DIV/0!</v>
      </c>
      <c r="AX208" s="3" t="e">
        <f>'Entrada e Saida'!$G$74*AU208</f>
        <v>#DIV/0!</v>
      </c>
      <c r="AY208" s="4" t="e">
        <f t="shared" si="127"/>
        <v>#DIV/0!</v>
      </c>
      <c r="AZ208" s="4" t="e">
        <f>AQ208+('Entrada e Saida'!$G$65-'Entrada e Saida'!$I$65)*AU208-AX208</f>
        <v>#DIV/0!</v>
      </c>
      <c r="BA208" s="3" t="e">
        <f>IF('Entrada e Saida'!$H$12="REAL",AZ208*'Entrada e Saida'!$G$81,AU208*'Entrada e Saida'!$G$81)</f>
        <v>#DIV/0!</v>
      </c>
      <c r="BB208" s="3" t="e">
        <f>IF('Entrada e Saida'!$H$12="REAL",AZ208*'Entrada e Saida'!$G$82,AU208*'Entrada e Saida'!$G$82)</f>
        <v>#DIV/0!</v>
      </c>
      <c r="BC208" s="4" t="e">
        <f t="shared" si="128"/>
        <v>#DIV/0!</v>
      </c>
      <c r="BD208" s="3" t="e">
        <f>IF('Entrada e Saida'!$H$11="TRADING",AW208/D208,AK208/D208)</f>
        <v>#DIV/0!</v>
      </c>
      <c r="BE208" s="3" t="e">
        <f t="shared" si="129"/>
        <v>#DIV/0!</v>
      </c>
      <c r="BF208" s="2" t="e">
        <f t="shared" si="130"/>
        <v>#DIV/0!</v>
      </c>
      <c r="BG208" s="3" t="e">
        <f>IF('Entrada e Saida'!$H$11="TRADING",AV208/D208,AN208/D208)</f>
        <v>#DIV/0!</v>
      </c>
      <c r="BH208" s="3" t="e">
        <f>IF('Entrada e Saida'!$H$11="TRADING",IF('Entrada e Saida'!$H$12="REAL",AR208/D208,0),AL208/D208)</f>
        <v>#DIV/0!</v>
      </c>
      <c r="BI208" s="3" t="e">
        <f>IF('Entrada e Saida'!$H$11="TRADING",IF('Entrada e Saida'!$H$12="REAL",AS208/D208,0),AM208/D208)</f>
        <v>#DIV/0!</v>
      </c>
      <c r="BJ208" s="3" t="e">
        <f>IF('Entrada e Saida'!$H$11="TRADING",AT208/D208,AO208/D208)</f>
        <v>#DIV/0!</v>
      </c>
      <c r="BK208" s="2" t="e">
        <f t="shared" si="131"/>
        <v>#DIV/0!</v>
      </c>
      <c r="BL208" s="2">
        <f>IF(O208&gt;0,IFERROR(IF('Entrada e Saida'!$H$11="DIRETA",0,(IF('Entrada e Saida'!$H$14="P.JURIDICA",(BD208*(1+O208)*N208)-((BD208/(1+M208))*'Entrada e Saida'!$G$65),((Produtos!N208-'Entrada e Saida'!$G$65)*Produtos!BD208)))),0),0)</f>
        <v>0</v>
      </c>
      <c r="BM208" s="2" t="e">
        <f t="shared" si="132"/>
        <v>#DIV/0!</v>
      </c>
    </row>
    <row r="209" spans="1:65" s="1" customFormat="1">
      <c r="A209" s="127"/>
      <c r="B209" s="114"/>
      <c r="C209" s="116"/>
      <c r="D209" s="146"/>
      <c r="E209" s="115">
        <f>IFERROR(VLOOKUP(A209,'Master Modelo'!A:I,9,FALSE),0)</f>
        <v>0</v>
      </c>
      <c r="F209" s="189">
        <f>IFERROR(VLOOKUP(A209,'Master Modelo'!A:I,8,FALSE),0)</f>
        <v>0</v>
      </c>
      <c r="G209" s="189">
        <f>IFERROR(VLOOKUP(A209,'Master Modelo'!A:K,11,FALSE),0)</f>
        <v>0</v>
      </c>
      <c r="H209" s="114" t="e">
        <f t="shared" si="115"/>
        <v>#DIV/0!</v>
      </c>
      <c r="I209" s="150">
        <f>IFERROR(VLOOKUP(A209,'Master Modelo'!A:I,3,FALSE),0)</f>
        <v>0</v>
      </c>
      <c r="J209" s="151">
        <f>IFERROR(VLOOKUP(A209,'Master Modelo'!A:I,5,FALSE),0)</f>
        <v>0</v>
      </c>
      <c r="K209" s="151">
        <f>IFERROR(VLOOKUP(A209,'Master Modelo'!A:I,6,FALSE),0)</f>
        <v>0</v>
      </c>
      <c r="L209" s="152" t="e">
        <f>VLOOKUP(A209,'Master Modelo'!A:J,10,FALSE)</f>
        <v>#N/A</v>
      </c>
      <c r="M209" s="150">
        <f>IFERROR(VLOOKUP(A209,'Master Modelo'!A:I,4,FALSE),0)</f>
        <v>0</v>
      </c>
      <c r="N209" s="128"/>
      <c r="O209" s="129"/>
      <c r="P209" s="9">
        <f t="shared" si="116"/>
        <v>0</v>
      </c>
      <c r="Q209" s="177">
        <f t="shared" si="96"/>
        <v>0</v>
      </c>
      <c r="R209" s="3">
        <f>D209*E209*'Entrada e Saida'!$K$8</f>
        <v>0</v>
      </c>
      <c r="S209" s="179" t="e">
        <f>'Entrada e Saida'!$H$21*'Entrada e Saida'!$K$8*(P209/(SUM(P:P)))</f>
        <v>#DIV/0!</v>
      </c>
      <c r="T209" s="179" t="e">
        <f>'Entrada e Saida'!$H$21*'Entrada e Saida'!$K$8*(Q209/(SUM(Q:Q)))</f>
        <v>#DIV/0!</v>
      </c>
      <c r="U209" s="179" t="e">
        <f>'Entrada e Saida'!$H$22*(P209/(SUM(P:P)))</f>
        <v>#DIV/0!</v>
      </c>
      <c r="V209" s="179" t="e">
        <f>'Entrada e Saida'!$H$22*(Q209/(SUM(Q:Q)))</f>
        <v>#DIV/0!</v>
      </c>
      <c r="W209" s="8" t="e">
        <f t="shared" si="117"/>
        <v>#DIV/0!</v>
      </c>
      <c r="X209" s="179" t="e">
        <f>'Entrada e Saida'!$H$26*(IF('Entrada e Saida'!$H$15="PESO",(P209/(SUM(P:P))),(Q209/(SUM(Q:Q)))))</f>
        <v>#DIV/0!</v>
      </c>
      <c r="Y209" s="179" t="e">
        <f>'Entrada e Saida'!$H$27*(IF('Entrada e Saida'!$H$15="PESO",(P209/(SUM(P:P))),(Q209/(SUM(Q:Q)))))</f>
        <v>#DIV/0!</v>
      </c>
      <c r="Z209" s="179" t="e">
        <f>'Entrada e Saida'!$H$28*(IF('Entrada e Saida'!$H$15="PESO",(P209/(SUM(P:P))),(Q209/(SUM(Q:Q)))))</f>
        <v>#DIV/0!</v>
      </c>
      <c r="AA209" s="10" t="e">
        <f t="shared" si="118"/>
        <v>#DIV/0!</v>
      </c>
      <c r="AB209" s="3" t="e">
        <f t="shared" si="119"/>
        <v>#DIV/0!</v>
      </c>
      <c r="AC209" s="3" t="e">
        <f t="shared" si="120"/>
        <v>#DIV/0!</v>
      </c>
      <c r="AD209" s="3" t="e">
        <f t="shared" si="121"/>
        <v>#DIV/0!</v>
      </c>
      <c r="AE209" s="9" t="e">
        <f t="shared" si="122"/>
        <v>#DIV/0!</v>
      </c>
      <c r="AF209" s="126">
        <f>IFERROR(D209*F209*L209*'Entrada e Saida'!$K$8,0)</f>
        <v>0</v>
      </c>
      <c r="AG209" s="3" t="e">
        <f>((W209+AA209+AB209+AC209+AD209+AE209+AF209)/(1-'Entrada e Saida'!$G$65))*'Entrada e Saida'!$I$66</f>
        <v>#DIV/0!</v>
      </c>
      <c r="AH209" s="8" t="e">
        <f t="shared" si="123"/>
        <v>#DIV/0!</v>
      </c>
      <c r="AI209" s="183" t="e">
        <f>'Entrada e Saida'!$K$51*(IF('Entrada e Saida'!$H$15="PESO",(P209/(SUM(P:P))),(Q209/(SUM(Q:Q)))))</f>
        <v>#DIV/0!</v>
      </c>
      <c r="AJ209" s="7">
        <f>(('Entrada e Saida'!$K$10-'Entrada e Saida'!$K$8)*E209*D209)</f>
        <v>0</v>
      </c>
      <c r="AK209" s="184" t="e">
        <f>IF('Entrada e Saida'!$H$15="PESO",W209+AA209+AH209+AI209+AJ209,W209+AA209+AH209+AI209+AJ209-S209+T209-U209+V209)</f>
        <v>#DIV/0!</v>
      </c>
      <c r="AL209" s="6" t="e">
        <f>IF('Entrada e Saida'!$H$12="REAL",AC209,0)</f>
        <v>#DIV/0!</v>
      </c>
      <c r="AM209" s="6" t="e">
        <f>IF('Entrada e Saida'!$H$12="REAL",AD209,0)</f>
        <v>#DIV/0!</v>
      </c>
      <c r="AN209" s="5" t="e">
        <f>IF('Entrada e Saida'!$H$13= "NÃO",AE209,0)</f>
        <v>#DIV/0!</v>
      </c>
      <c r="AO209" s="5" t="e">
        <f t="shared" si="124"/>
        <v>#DIV/0!</v>
      </c>
      <c r="AP209" s="4" t="e">
        <f t="shared" si="125"/>
        <v>#DIV/0!</v>
      </c>
      <c r="AQ209" s="3" t="e">
        <f>IF('Entrada e Saida'!$H$11="TRADING",AU209*'Custo Resumido'!D209,0)</f>
        <v>#DIV/0!</v>
      </c>
      <c r="AR209" s="3" t="e">
        <f>IF('Entrada e Saida'!$H$11="TRADING",AU209*'Entrada e Saida'!$G$63,0)</f>
        <v>#DIV/0!</v>
      </c>
      <c r="AS209" s="3" t="e">
        <f>IF('Entrada e Saida'!$H$11="TRADING",AU209*'Entrada e Saida'!$G$64,0)</f>
        <v>#DIV/0!</v>
      </c>
      <c r="AT209" s="3" t="e">
        <f>IF('Entrada e Saida'!$H$11="TRADING",AU209*'Entrada e Saida'!$G$65,0)</f>
        <v>#DIV/0!</v>
      </c>
      <c r="AU209" s="4" t="e">
        <f>IF('Entrada e Saida'!$H$11="TRADING",AP209/(1-(SUM('Entrada e Saida'!$G$63:$G$65)+'Custo Resumido'!D209)),0)</f>
        <v>#DIV/0!</v>
      </c>
      <c r="AV209" s="3" t="e">
        <f>IF('Entrada e Saida'!$H$13="NÃO",AU209*M209,0)</f>
        <v>#DIV/0!</v>
      </c>
      <c r="AW209" s="4" t="e">
        <f t="shared" si="126"/>
        <v>#DIV/0!</v>
      </c>
      <c r="AX209" s="3" t="e">
        <f>'Entrada e Saida'!$G$74*AU209</f>
        <v>#DIV/0!</v>
      </c>
      <c r="AY209" s="4" t="e">
        <f t="shared" si="127"/>
        <v>#DIV/0!</v>
      </c>
      <c r="AZ209" s="4" t="e">
        <f>AQ209+('Entrada e Saida'!$G$65-'Entrada e Saida'!$I$65)*AU209-AX209</f>
        <v>#DIV/0!</v>
      </c>
      <c r="BA209" s="3" t="e">
        <f>IF('Entrada e Saida'!$H$12="REAL",AZ209*'Entrada e Saida'!$G$81,AU209*'Entrada e Saida'!$G$81)</f>
        <v>#DIV/0!</v>
      </c>
      <c r="BB209" s="3" t="e">
        <f>IF('Entrada e Saida'!$H$12="REAL",AZ209*'Entrada e Saida'!$G$82,AU209*'Entrada e Saida'!$G$82)</f>
        <v>#DIV/0!</v>
      </c>
      <c r="BC209" s="4" t="e">
        <f t="shared" si="128"/>
        <v>#DIV/0!</v>
      </c>
      <c r="BD209" s="3" t="e">
        <f>IF('Entrada e Saida'!$H$11="TRADING",AW209/D209,AK209/D209)</f>
        <v>#DIV/0!</v>
      </c>
      <c r="BE209" s="3" t="e">
        <f t="shared" si="129"/>
        <v>#DIV/0!</v>
      </c>
      <c r="BF209" s="2" t="e">
        <f t="shared" si="130"/>
        <v>#DIV/0!</v>
      </c>
      <c r="BG209" s="3" t="e">
        <f>IF('Entrada e Saida'!$H$11="TRADING",AV209/D209,AN209/D209)</f>
        <v>#DIV/0!</v>
      </c>
      <c r="BH209" s="3" t="e">
        <f>IF('Entrada e Saida'!$H$11="TRADING",IF('Entrada e Saida'!$H$12="REAL",AR209/D209,0),AL209/D209)</f>
        <v>#DIV/0!</v>
      </c>
      <c r="BI209" s="3" t="e">
        <f>IF('Entrada e Saida'!$H$11="TRADING",IF('Entrada e Saida'!$H$12="REAL",AS209/D209,0),AM209/D209)</f>
        <v>#DIV/0!</v>
      </c>
      <c r="BJ209" s="3" t="e">
        <f>IF('Entrada e Saida'!$H$11="TRADING",AT209/D209,AO209/D209)</f>
        <v>#DIV/0!</v>
      </c>
      <c r="BK209" s="2" t="e">
        <f t="shared" si="131"/>
        <v>#DIV/0!</v>
      </c>
      <c r="BL209" s="2">
        <f>IF(O209&gt;0,IFERROR(IF('Entrada e Saida'!$H$11="DIRETA",0,(IF('Entrada e Saida'!$H$14="P.JURIDICA",(BD209*(1+O209)*N209)-((BD209/(1+M209))*'Entrada e Saida'!$G$65),((Produtos!N209-'Entrada e Saida'!$G$65)*Produtos!BD209)))),0),0)</f>
        <v>0</v>
      </c>
      <c r="BM209" s="2" t="e">
        <f t="shared" si="132"/>
        <v>#DIV/0!</v>
      </c>
    </row>
    <row r="210" spans="1:65" s="1" customFormat="1">
      <c r="A210" s="127"/>
      <c r="B210" s="114"/>
      <c r="C210" s="116"/>
      <c r="D210" s="146"/>
      <c r="E210" s="115">
        <f>IFERROR(VLOOKUP(A210,'Master Modelo'!A:I,9,FALSE),0)</f>
        <v>0</v>
      </c>
      <c r="F210" s="189">
        <f>IFERROR(VLOOKUP(A210,'Master Modelo'!A:I,8,FALSE),0)</f>
        <v>0</v>
      </c>
      <c r="G210" s="189">
        <f>IFERROR(VLOOKUP(A210,'Master Modelo'!A:K,11,FALSE),0)</f>
        <v>0</v>
      </c>
      <c r="H210" s="114" t="e">
        <f t="shared" si="115"/>
        <v>#DIV/0!</v>
      </c>
      <c r="I210" s="150">
        <f>IFERROR(VLOOKUP(A210,'Master Modelo'!A:I,3,FALSE),0)</f>
        <v>0</v>
      </c>
      <c r="J210" s="151">
        <f>IFERROR(VLOOKUP(A210,'Master Modelo'!A:I,5,FALSE),0)</f>
        <v>0</v>
      </c>
      <c r="K210" s="151">
        <f>IFERROR(VLOOKUP(A210,'Master Modelo'!A:I,6,FALSE),0)</f>
        <v>0</v>
      </c>
      <c r="L210" s="152" t="e">
        <f>VLOOKUP(A210,'Master Modelo'!A:J,10,FALSE)</f>
        <v>#N/A</v>
      </c>
      <c r="M210" s="150">
        <f>IFERROR(VLOOKUP(A210,'Master Modelo'!A:I,4,FALSE),0)</f>
        <v>0</v>
      </c>
      <c r="N210" s="128"/>
      <c r="O210" s="129"/>
      <c r="P210" s="9">
        <f t="shared" si="116"/>
        <v>0</v>
      </c>
      <c r="Q210" s="177">
        <f t="shared" si="96"/>
        <v>0</v>
      </c>
      <c r="R210" s="3">
        <f>D210*E210*'Entrada e Saida'!$K$8</f>
        <v>0</v>
      </c>
      <c r="S210" s="179" t="e">
        <f>'Entrada e Saida'!$H$21*'Entrada e Saida'!$K$8*(P210/(SUM(P:P)))</f>
        <v>#DIV/0!</v>
      </c>
      <c r="T210" s="179" t="e">
        <f>'Entrada e Saida'!$H$21*'Entrada e Saida'!$K$8*(Q210/(SUM(Q:Q)))</f>
        <v>#DIV/0!</v>
      </c>
      <c r="U210" s="179" t="e">
        <f>'Entrada e Saida'!$H$22*(P210/(SUM(P:P)))</f>
        <v>#DIV/0!</v>
      </c>
      <c r="V210" s="179" t="e">
        <f>'Entrada e Saida'!$H$22*(Q210/(SUM(Q:Q)))</f>
        <v>#DIV/0!</v>
      </c>
      <c r="W210" s="8" t="e">
        <f t="shared" si="117"/>
        <v>#DIV/0!</v>
      </c>
      <c r="X210" s="179" t="e">
        <f>'Entrada e Saida'!$H$26*(IF('Entrada e Saida'!$H$15="PESO",(P210/(SUM(P:P))),(Q210/(SUM(Q:Q)))))</f>
        <v>#DIV/0!</v>
      </c>
      <c r="Y210" s="179" t="e">
        <f>'Entrada e Saida'!$H$27*(IF('Entrada e Saida'!$H$15="PESO",(P210/(SUM(P:P))),(Q210/(SUM(Q:Q)))))</f>
        <v>#DIV/0!</v>
      </c>
      <c r="Z210" s="179" t="e">
        <f>'Entrada e Saida'!$H$28*(IF('Entrada e Saida'!$H$15="PESO",(P210/(SUM(P:P))),(Q210/(SUM(Q:Q)))))</f>
        <v>#DIV/0!</v>
      </c>
      <c r="AA210" s="10" t="e">
        <f t="shared" si="118"/>
        <v>#DIV/0!</v>
      </c>
      <c r="AB210" s="3" t="e">
        <f t="shared" si="119"/>
        <v>#DIV/0!</v>
      </c>
      <c r="AC210" s="3" t="e">
        <f t="shared" si="120"/>
        <v>#DIV/0!</v>
      </c>
      <c r="AD210" s="3" t="e">
        <f t="shared" si="121"/>
        <v>#DIV/0!</v>
      </c>
      <c r="AE210" s="9" t="e">
        <f t="shared" si="122"/>
        <v>#DIV/0!</v>
      </c>
      <c r="AF210" s="126">
        <f>IFERROR(D210*F210*L210*'Entrada e Saida'!$K$8,0)</f>
        <v>0</v>
      </c>
      <c r="AG210" s="3" t="e">
        <f>((W210+AA210+AB210+AC210+AD210+AE210+AF210)/(1-'Entrada e Saida'!$G$65))*'Entrada e Saida'!$I$66</f>
        <v>#DIV/0!</v>
      </c>
      <c r="AH210" s="8" t="e">
        <f t="shared" si="123"/>
        <v>#DIV/0!</v>
      </c>
      <c r="AI210" s="183" t="e">
        <f>'Entrada e Saida'!$K$51*(IF('Entrada e Saida'!$H$15="PESO",(P210/(SUM(P:P))),(Q210/(SUM(Q:Q)))))</f>
        <v>#DIV/0!</v>
      </c>
      <c r="AJ210" s="7">
        <f>(('Entrada e Saida'!$K$10-'Entrada e Saida'!$K$8)*E210*D210)</f>
        <v>0</v>
      </c>
      <c r="AK210" s="184" t="e">
        <f>IF('Entrada e Saida'!$H$15="PESO",W210+AA210+AH210+AI210+AJ210,W210+AA210+AH210+AI210+AJ210-S210+T210-U210+V210)</f>
        <v>#DIV/0!</v>
      </c>
      <c r="AL210" s="6" t="e">
        <f>IF('Entrada e Saida'!$H$12="REAL",AC210,0)</f>
        <v>#DIV/0!</v>
      </c>
      <c r="AM210" s="6" t="e">
        <f>IF('Entrada e Saida'!$H$12="REAL",AD210,0)</f>
        <v>#DIV/0!</v>
      </c>
      <c r="AN210" s="5" t="e">
        <f>IF('Entrada e Saida'!$H$13= "NÃO",AE210,0)</f>
        <v>#DIV/0!</v>
      </c>
      <c r="AO210" s="5" t="e">
        <f t="shared" si="124"/>
        <v>#DIV/0!</v>
      </c>
      <c r="AP210" s="4" t="e">
        <f t="shared" si="125"/>
        <v>#DIV/0!</v>
      </c>
      <c r="AQ210" s="3" t="e">
        <f>IF('Entrada e Saida'!$H$11="TRADING",AU210*'Custo Resumido'!D210,0)</f>
        <v>#DIV/0!</v>
      </c>
      <c r="AR210" s="3" t="e">
        <f>IF('Entrada e Saida'!$H$11="TRADING",AU210*'Entrada e Saida'!$G$63,0)</f>
        <v>#DIV/0!</v>
      </c>
      <c r="AS210" s="3" t="e">
        <f>IF('Entrada e Saida'!$H$11="TRADING",AU210*'Entrada e Saida'!$G$64,0)</f>
        <v>#DIV/0!</v>
      </c>
      <c r="AT210" s="3" t="e">
        <f>IF('Entrada e Saida'!$H$11="TRADING",AU210*'Entrada e Saida'!$G$65,0)</f>
        <v>#DIV/0!</v>
      </c>
      <c r="AU210" s="4" t="e">
        <f>IF('Entrada e Saida'!$H$11="TRADING",AP210/(1-(SUM('Entrada e Saida'!$G$63:$G$65)+'Custo Resumido'!D210)),0)</f>
        <v>#DIV/0!</v>
      </c>
      <c r="AV210" s="3" t="e">
        <f>IF('Entrada e Saida'!$H$13="NÃO",AU210*M210,0)</f>
        <v>#DIV/0!</v>
      </c>
      <c r="AW210" s="4" t="e">
        <f t="shared" si="126"/>
        <v>#DIV/0!</v>
      </c>
      <c r="AX210" s="3" t="e">
        <f>'Entrada e Saida'!$G$74*AU210</f>
        <v>#DIV/0!</v>
      </c>
      <c r="AY210" s="4" t="e">
        <f t="shared" si="127"/>
        <v>#DIV/0!</v>
      </c>
      <c r="AZ210" s="4" t="e">
        <f>AQ210+('Entrada e Saida'!$G$65-'Entrada e Saida'!$I$65)*AU210-AX210</f>
        <v>#DIV/0!</v>
      </c>
      <c r="BA210" s="3" t="e">
        <f>IF('Entrada e Saida'!$H$12="REAL",AZ210*'Entrada e Saida'!$G$81,AU210*'Entrada e Saida'!$G$81)</f>
        <v>#DIV/0!</v>
      </c>
      <c r="BB210" s="3" t="e">
        <f>IF('Entrada e Saida'!$H$12="REAL",AZ210*'Entrada e Saida'!$G$82,AU210*'Entrada e Saida'!$G$82)</f>
        <v>#DIV/0!</v>
      </c>
      <c r="BC210" s="4" t="e">
        <f t="shared" si="128"/>
        <v>#DIV/0!</v>
      </c>
      <c r="BD210" s="3" t="e">
        <f>IF('Entrada e Saida'!$H$11="TRADING",AW210/D210,AK210/D210)</f>
        <v>#DIV/0!</v>
      </c>
      <c r="BE210" s="3" t="e">
        <f t="shared" si="129"/>
        <v>#DIV/0!</v>
      </c>
      <c r="BF210" s="2" t="e">
        <f t="shared" si="130"/>
        <v>#DIV/0!</v>
      </c>
      <c r="BG210" s="3" t="e">
        <f>IF('Entrada e Saida'!$H$11="TRADING",AV210/D210,AN210/D210)</f>
        <v>#DIV/0!</v>
      </c>
      <c r="BH210" s="3" t="e">
        <f>IF('Entrada e Saida'!$H$11="TRADING",IF('Entrada e Saida'!$H$12="REAL",AR210/D210,0),AL210/D210)</f>
        <v>#DIV/0!</v>
      </c>
      <c r="BI210" s="3" t="e">
        <f>IF('Entrada e Saida'!$H$11="TRADING",IF('Entrada e Saida'!$H$12="REAL",AS210/D210,0),AM210/D210)</f>
        <v>#DIV/0!</v>
      </c>
      <c r="BJ210" s="3" t="e">
        <f>IF('Entrada e Saida'!$H$11="TRADING",AT210/D210,AO210/D210)</f>
        <v>#DIV/0!</v>
      </c>
      <c r="BK210" s="2" t="e">
        <f t="shared" si="131"/>
        <v>#DIV/0!</v>
      </c>
      <c r="BL210" s="2">
        <f>IF(O210&gt;0,IFERROR(IF('Entrada e Saida'!$H$11="DIRETA",0,(IF('Entrada e Saida'!$H$14="P.JURIDICA",(BD210*(1+O210)*N210)-((BD210/(1+M210))*'Entrada e Saida'!$G$65),((Produtos!N210-'Entrada e Saida'!$G$65)*Produtos!BD210)))),0),0)</f>
        <v>0</v>
      </c>
      <c r="BM210" s="2" t="e">
        <f t="shared" si="132"/>
        <v>#DIV/0!</v>
      </c>
    </row>
    <row r="211" spans="1:65" s="1" customFormat="1">
      <c r="A211" s="127"/>
      <c r="B211" s="114"/>
      <c r="C211" s="116"/>
      <c r="D211" s="146"/>
      <c r="E211" s="115">
        <f>IFERROR(VLOOKUP(A211,'Master Modelo'!A:I,9,FALSE),0)</f>
        <v>0</v>
      </c>
      <c r="F211" s="189">
        <f>IFERROR(VLOOKUP(A211,'Master Modelo'!A:I,8,FALSE),0)</f>
        <v>0</v>
      </c>
      <c r="G211" s="189">
        <f>IFERROR(VLOOKUP(A211,'Master Modelo'!A:K,11,FALSE),0)</f>
        <v>0</v>
      </c>
      <c r="H211" s="114" t="e">
        <f t="shared" si="115"/>
        <v>#DIV/0!</v>
      </c>
      <c r="I211" s="150">
        <f>IFERROR(VLOOKUP(A211,'Master Modelo'!A:I,3,FALSE),0)</f>
        <v>0</v>
      </c>
      <c r="J211" s="151">
        <f>IFERROR(VLOOKUP(A211,'Master Modelo'!A:I,5,FALSE),0)</f>
        <v>0</v>
      </c>
      <c r="K211" s="151">
        <f>IFERROR(VLOOKUP(A211,'Master Modelo'!A:I,6,FALSE),0)</f>
        <v>0</v>
      </c>
      <c r="L211" s="152" t="e">
        <f>VLOOKUP(A211,'Master Modelo'!A:J,10,FALSE)</f>
        <v>#N/A</v>
      </c>
      <c r="M211" s="150">
        <f>IFERROR(VLOOKUP(A211,'Master Modelo'!A:I,4,FALSE),0)</f>
        <v>0</v>
      </c>
      <c r="N211" s="128"/>
      <c r="O211" s="129"/>
      <c r="P211" s="9">
        <f t="shared" si="116"/>
        <v>0</v>
      </c>
      <c r="Q211" s="177">
        <f t="shared" si="96"/>
        <v>0</v>
      </c>
      <c r="R211" s="3">
        <f>D211*E211*'Entrada e Saida'!$K$8</f>
        <v>0</v>
      </c>
      <c r="S211" s="179" t="e">
        <f>'Entrada e Saida'!$H$21*'Entrada e Saida'!$K$8*(P211/(SUM(P:P)))</f>
        <v>#DIV/0!</v>
      </c>
      <c r="T211" s="179" t="e">
        <f>'Entrada e Saida'!$H$21*'Entrada e Saida'!$K$8*(Q211/(SUM(Q:Q)))</f>
        <v>#DIV/0!</v>
      </c>
      <c r="U211" s="179" t="e">
        <f>'Entrada e Saida'!$H$22*(P211/(SUM(P:P)))</f>
        <v>#DIV/0!</v>
      </c>
      <c r="V211" s="179" t="e">
        <f>'Entrada e Saida'!$H$22*(Q211/(SUM(Q:Q)))</f>
        <v>#DIV/0!</v>
      </c>
      <c r="W211" s="8" t="e">
        <f t="shared" si="117"/>
        <v>#DIV/0!</v>
      </c>
      <c r="X211" s="179" t="e">
        <f>'Entrada e Saida'!$H$26*(IF('Entrada e Saida'!$H$15="PESO",(P211/(SUM(P:P))),(Q211/(SUM(Q:Q)))))</f>
        <v>#DIV/0!</v>
      </c>
      <c r="Y211" s="179" t="e">
        <f>'Entrada e Saida'!$H$27*(IF('Entrada e Saida'!$H$15="PESO",(P211/(SUM(P:P))),(Q211/(SUM(Q:Q)))))</f>
        <v>#DIV/0!</v>
      </c>
      <c r="Z211" s="179" t="e">
        <f>'Entrada e Saida'!$H$28*(IF('Entrada e Saida'!$H$15="PESO",(P211/(SUM(P:P))),(Q211/(SUM(Q:Q)))))</f>
        <v>#DIV/0!</v>
      </c>
      <c r="AA211" s="10" t="e">
        <f t="shared" si="118"/>
        <v>#DIV/0!</v>
      </c>
      <c r="AB211" s="3" t="e">
        <f t="shared" si="119"/>
        <v>#DIV/0!</v>
      </c>
      <c r="AC211" s="3" t="e">
        <f t="shared" si="120"/>
        <v>#DIV/0!</v>
      </c>
      <c r="AD211" s="3" t="e">
        <f t="shared" si="121"/>
        <v>#DIV/0!</v>
      </c>
      <c r="AE211" s="9" t="e">
        <f t="shared" si="122"/>
        <v>#DIV/0!</v>
      </c>
      <c r="AF211" s="126">
        <f>IFERROR(D211*F211*L211*'Entrada e Saida'!$K$8,0)</f>
        <v>0</v>
      </c>
      <c r="AG211" s="3" t="e">
        <f>((W211+AA211+AB211+AC211+AD211+AE211+AF211)/(1-'Entrada e Saida'!$G$65))*'Entrada e Saida'!$I$66</f>
        <v>#DIV/0!</v>
      </c>
      <c r="AH211" s="8" t="e">
        <f t="shared" si="123"/>
        <v>#DIV/0!</v>
      </c>
      <c r="AI211" s="183" t="e">
        <f>'Entrada e Saida'!$K$51*(IF('Entrada e Saida'!$H$15="PESO",(P211/(SUM(P:P))),(Q211/(SUM(Q:Q)))))</f>
        <v>#DIV/0!</v>
      </c>
      <c r="AJ211" s="7">
        <f>(('Entrada e Saida'!$K$10-'Entrada e Saida'!$K$8)*E211*D211)</f>
        <v>0</v>
      </c>
      <c r="AK211" s="184" t="e">
        <f>IF('Entrada e Saida'!$H$15="PESO",W211+AA211+AH211+AI211+AJ211,W211+AA211+AH211+AI211+AJ211-S211+T211-U211+V211)</f>
        <v>#DIV/0!</v>
      </c>
      <c r="AL211" s="6" t="e">
        <f>IF('Entrada e Saida'!$H$12="REAL",AC211,0)</f>
        <v>#DIV/0!</v>
      </c>
      <c r="AM211" s="6" t="e">
        <f>IF('Entrada e Saida'!$H$12="REAL",AD211,0)</f>
        <v>#DIV/0!</v>
      </c>
      <c r="AN211" s="5" t="e">
        <f>IF('Entrada e Saida'!$H$13= "NÃO",AE211,0)</f>
        <v>#DIV/0!</v>
      </c>
      <c r="AO211" s="5" t="e">
        <f t="shared" si="124"/>
        <v>#DIV/0!</v>
      </c>
      <c r="AP211" s="4" t="e">
        <f t="shared" si="125"/>
        <v>#DIV/0!</v>
      </c>
      <c r="AQ211" s="3" t="e">
        <f>IF('Entrada e Saida'!$H$11="TRADING",AU211*'Custo Resumido'!D211,0)</f>
        <v>#DIV/0!</v>
      </c>
      <c r="AR211" s="3" t="e">
        <f>IF('Entrada e Saida'!$H$11="TRADING",AU211*'Entrada e Saida'!$G$63,0)</f>
        <v>#DIV/0!</v>
      </c>
      <c r="AS211" s="3" t="e">
        <f>IF('Entrada e Saida'!$H$11="TRADING",AU211*'Entrada e Saida'!$G$64,0)</f>
        <v>#DIV/0!</v>
      </c>
      <c r="AT211" s="3" t="e">
        <f>IF('Entrada e Saida'!$H$11="TRADING",AU211*'Entrada e Saida'!$G$65,0)</f>
        <v>#DIV/0!</v>
      </c>
      <c r="AU211" s="4" t="e">
        <f>IF('Entrada e Saida'!$H$11="TRADING",AP211/(1-(SUM('Entrada e Saida'!$G$63:$G$65)+'Custo Resumido'!D211)),0)</f>
        <v>#DIV/0!</v>
      </c>
      <c r="AV211" s="3" t="e">
        <f>IF('Entrada e Saida'!$H$13="NÃO",AU211*M211,0)</f>
        <v>#DIV/0!</v>
      </c>
      <c r="AW211" s="4" t="e">
        <f t="shared" si="126"/>
        <v>#DIV/0!</v>
      </c>
      <c r="AX211" s="3" t="e">
        <f>'Entrada e Saida'!$G$74*AU211</f>
        <v>#DIV/0!</v>
      </c>
      <c r="AY211" s="4" t="e">
        <f t="shared" si="127"/>
        <v>#DIV/0!</v>
      </c>
      <c r="AZ211" s="4" t="e">
        <f>AQ211+('Entrada e Saida'!$G$65-'Entrada e Saida'!$I$65)*AU211-AX211</f>
        <v>#DIV/0!</v>
      </c>
      <c r="BA211" s="3" t="e">
        <f>IF('Entrada e Saida'!$H$12="REAL",AZ211*'Entrada e Saida'!$G$81,AU211*'Entrada e Saida'!$G$81)</f>
        <v>#DIV/0!</v>
      </c>
      <c r="BB211" s="3" t="e">
        <f>IF('Entrada e Saida'!$H$12="REAL",AZ211*'Entrada e Saida'!$G$82,AU211*'Entrada e Saida'!$G$82)</f>
        <v>#DIV/0!</v>
      </c>
      <c r="BC211" s="4" t="e">
        <f t="shared" si="128"/>
        <v>#DIV/0!</v>
      </c>
      <c r="BD211" s="3" t="e">
        <f>IF('Entrada e Saida'!$H$11="TRADING",AW211/D211,AK211/D211)</f>
        <v>#DIV/0!</v>
      </c>
      <c r="BE211" s="3" t="e">
        <f t="shared" si="129"/>
        <v>#DIV/0!</v>
      </c>
      <c r="BF211" s="2" t="e">
        <f t="shared" si="130"/>
        <v>#DIV/0!</v>
      </c>
      <c r="BG211" s="3" t="e">
        <f>IF('Entrada e Saida'!$H$11="TRADING",AV211/D211,AN211/D211)</f>
        <v>#DIV/0!</v>
      </c>
      <c r="BH211" s="3" t="e">
        <f>IF('Entrada e Saida'!$H$11="TRADING",IF('Entrada e Saida'!$H$12="REAL",AR211/D211,0),AL211/D211)</f>
        <v>#DIV/0!</v>
      </c>
      <c r="BI211" s="3" t="e">
        <f>IF('Entrada e Saida'!$H$11="TRADING",IF('Entrada e Saida'!$H$12="REAL",AS211/D211,0),AM211/D211)</f>
        <v>#DIV/0!</v>
      </c>
      <c r="BJ211" s="3" t="e">
        <f>IF('Entrada e Saida'!$H$11="TRADING",AT211/D211,AO211/D211)</f>
        <v>#DIV/0!</v>
      </c>
      <c r="BK211" s="2" t="e">
        <f t="shared" si="131"/>
        <v>#DIV/0!</v>
      </c>
      <c r="BL211" s="2">
        <f>IF(O211&gt;0,IFERROR(IF('Entrada e Saida'!$H$11="DIRETA",0,(IF('Entrada e Saida'!$H$14="P.JURIDICA",(BD211*(1+O211)*N211)-((BD211/(1+M211))*'Entrada e Saida'!$G$65),((Produtos!N211-'Entrada e Saida'!$G$65)*Produtos!BD211)))),0),0)</f>
        <v>0</v>
      </c>
      <c r="BM211" s="2" t="e">
        <f t="shared" si="132"/>
        <v>#DIV/0!</v>
      </c>
    </row>
    <row r="212" spans="1:65" s="1" customFormat="1">
      <c r="A212" s="127"/>
      <c r="B212" s="114"/>
      <c r="C212" s="116"/>
      <c r="D212" s="146"/>
      <c r="E212" s="115">
        <f>IFERROR(VLOOKUP(A212,'Master Modelo'!A:I,9,FALSE),0)</f>
        <v>0</v>
      </c>
      <c r="F212" s="189">
        <f>IFERROR(VLOOKUP(A212,'Master Modelo'!A:I,8,FALSE),0)</f>
        <v>0</v>
      </c>
      <c r="G212" s="189">
        <f>IFERROR(VLOOKUP(A212,'Master Modelo'!A:K,11,FALSE),0)</f>
        <v>0</v>
      </c>
      <c r="H212" s="114" t="e">
        <f t="shared" si="115"/>
        <v>#DIV/0!</v>
      </c>
      <c r="I212" s="150">
        <f>IFERROR(VLOOKUP(A212,'Master Modelo'!A:I,3,FALSE),0)</f>
        <v>0</v>
      </c>
      <c r="J212" s="151">
        <f>IFERROR(VLOOKUP(A212,'Master Modelo'!A:I,5,FALSE),0)</f>
        <v>0</v>
      </c>
      <c r="K212" s="151">
        <f>IFERROR(VLOOKUP(A212,'Master Modelo'!A:I,6,FALSE),0)</f>
        <v>0</v>
      </c>
      <c r="L212" s="152" t="e">
        <f>VLOOKUP(A212,'Master Modelo'!A:J,10,FALSE)</f>
        <v>#N/A</v>
      </c>
      <c r="M212" s="150">
        <f>IFERROR(VLOOKUP(A212,'Master Modelo'!A:I,4,FALSE),0)</f>
        <v>0</v>
      </c>
      <c r="N212" s="128"/>
      <c r="O212" s="129"/>
      <c r="P212" s="9">
        <f t="shared" si="116"/>
        <v>0</v>
      </c>
      <c r="Q212" s="177">
        <f t="shared" si="96"/>
        <v>0</v>
      </c>
      <c r="R212" s="3">
        <f>D212*E212*'Entrada e Saida'!$K$8</f>
        <v>0</v>
      </c>
      <c r="S212" s="179" t="e">
        <f>'Entrada e Saida'!$H$21*'Entrada e Saida'!$K$8*(P212/(SUM(P:P)))</f>
        <v>#DIV/0!</v>
      </c>
      <c r="T212" s="179" t="e">
        <f>'Entrada e Saida'!$H$21*'Entrada e Saida'!$K$8*(Q212/(SUM(Q:Q)))</f>
        <v>#DIV/0!</v>
      </c>
      <c r="U212" s="179" t="e">
        <f>'Entrada e Saida'!$H$22*(P212/(SUM(P:P)))</f>
        <v>#DIV/0!</v>
      </c>
      <c r="V212" s="179" t="e">
        <f>'Entrada e Saida'!$H$22*(Q212/(SUM(Q:Q)))</f>
        <v>#DIV/0!</v>
      </c>
      <c r="W212" s="8" t="e">
        <f t="shared" si="117"/>
        <v>#DIV/0!</v>
      </c>
      <c r="X212" s="179" t="e">
        <f>'Entrada e Saida'!$H$26*(IF('Entrada e Saida'!$H$15="PESO",(P212/(SUM(P:P))),(Q212/(SUM(Q:Q)))))</f>
        <v>#DIV/0!</v>
      </c>
      <c r="Y212" s="179" t="e">
        <f>'Entrada e Saida'!$H$27*(IF('Entrada e Saida'!$H$15="PESO",(P212/(SUM(P:P))),(Q212/(SUM(Q:Q)))))</f>
        <v>#DIV/0!</v>
      </c>
      <c r="Z212" s="179" t="e">
        <f>'Entrada e Saida'!$H$28*(IF('Entrada e Saida'!$H$15="PESO",(P212/(SUM(P:P))),(Q212/(SUM(Q:Q)))))</f>
        <v>#DIV/0!</v>
      </c>
      <c r="AA212" s="10" t="e">
        <f t="shared" si="118"/>
        <v>#DIV/0!</v>
      </c>
      <c r="AB212" s="3" t="e">
        <f t="shared" si="119"/>
        <v>#DIV/0!</v>
      </c>
      <c r="AC212" s="3" t="e">
        <f t="shared" si="120"/>
        <v>#DIV/0!</v>
      </c>
      <c r="AD212" s="3" t="e">
        <f t="shared" si="121"/>
        <v>#DIV/0!</v>
      </c>
      <c r="AE212" s="9" t="e">
        <f t="shared" si="122"/>
        <v>#DIV/0!</v>
      </c>
      <c r="AF212" s="126">
        <f>IFERROR(D212*F212*L212*'Entrada e Saida'!$K$8,0)</f>
        <v>0</v>
      </c>
      <c r="AG212" s="3" t="e">
        <f>((W212+AA212+AB212+AC212+AD212+AE212+AF212)/(1-'Entrada e Saida'!$G$65))*'Entrada e Saida'!$I$66</f>
        <v>#DIV/0!</v>
      </c>
      <c r="AH212" s="8" t="e">
        <f t="shared" si="123"/>
        <v>#DIV/0!</v>
      </c>
      <c r="AI212" s="183" t="e">
        <f>'Entrada e Saida'!$K$51*(IF('Entrada e Saida'!$H$15="PESO",(P212/(SUM(P:P))),(Q212/(SUM(Q:Q)))))</f>
        <v>#DIV/0!</v>
      </c>
      <c r="AJ212" s="7">
        <f>(('Entrada e Saida'!$K$10-'Entrada e Saida'!$K$8)*E212*D212)</f>
        <v>0</v>
      </c>
      <c r="AK212" s="184" t="e">
        <f>IF('Entrada e Saida'!$H$15="PESO",W212+AA212+AH212+AI212+AJ212,W212+AA212+AH212+AI212+AJ212-S212+T212-U212+V212)</f>
        <v>#DIV/0!</v>
      </c>
      <c r="AL212" s="6" t="e">
        <f>IF('Entrada e Saida'!$H$12="REAL",AC212,0)</f>
        <v>#DIV/0!</v>
      </c>
      <c r="AM212" s="6" t="e">
        <f>IF('Entrada e Saida'!$H$12="REAL",AD212,0)</f>
        <v>#DIV/0!</v>
      </c>
      <c r="AN212" s="5" t="e">
        <f>IF('Entrada e Saida'!$H$13= "NÃO",AE212,0)</f>
        <v>#DIV/0!</v>
      </c>
      <c r="AO212" s="5" t="e">
        <f t="shared" si="124"/>
        <v>#DIV/0!</v>
      </c>
      <c r="AP212" s="4" t="e">
        <f t="shared" si="125"/>
        <v>#DIV/0!</v>
      </c>
      <c r="AQ212" s="3" t="e">
        <f>IF('Entrada e Saida'!$H$11="TRADING",AU212*'Custo Resumido'!D212,0)</f>
        <v>#DIV/0!</v>
      </c>
      <c r="AR212" s="3" t="e">
        <f>IF('Entrada e Saida'!$H$11="TRADING",AU212*'Entrada e Saida'!$G$63,0)</f>
        <v>#DIV/0!</v>
      </c>
      <c r="AS212" s="3" t="e">
        <f>IF('Entrada e Saida'!$H$11="TRADING",AU212*'Entrada e Saida'!$G$64,0)</f>
        <v>#DIV/0!</v>
      </c>
      <c r="AT212" s="3" t="e">
        <f>IF('Entrada e Saida'!$H$11="TRADING",AU212*'Entrada e Saida'!$G$65,0)</f>
        <v>#DIV/0!</v>
      </c>
      <c r="AU212" s="4" t="e">
        <f>IF('Entrada e Saida'!$H$11="TRADING",AP212/(1-(SUM('Entrada e Saida'!$G$63:$G$65)+'Custo Resumido'!D212)),0)</f>
        <v>#DIV/0!</v>
      </c>
      <c r="AV212" s="3" t="e">
        <f>IF('Entrada e Saida'!$H$13="NÃO",AU212*M212,0)</f>
        <v>#DIV/0!</v>
      </c>
      <c r="AW212" s="4" t="e">
        <f t="shared" si="126"/>
        <v>#DIV/0!</v>
      </c>
      <c r="AX212" s="3" t="e">
        <f>'Entrada e Saida'!$G$74*AU212</f>
        <v>#DIV/0!</v>
      </c>
      <c r="AY212" s="4" t="e">
        <f t="shared" si="127"/>
        <v>#DIV/0!</v>
      </c>
      <c r="AZ212" s="4" t="e">
        <f>AQ212+('Entrada e Saida'!$G$65-'Entrada e Saida'!$I$65)*AU212-AX212</f>
        <v>#DIV/0!</v>
      </c>
      <c r="BA212" s="3" t="e">
        <f>IF('Entrada e Saida'!$H$12="REAL",AZ212*'Entrada e Saida'!$G$81,AU212*'Entrada e Saida'!$G$81)</f>
        <v>#DIV/0!</v>
      </c>
      <c r="BB212" s="3" t="e">
        <f>IF('Entrada e Saida'!$H$12="REAL",AZ212*'Entrada e Saida'!$G$82,AU212*'Entrada e Saida'!$G$82)</f>
        <v>#DIV/0!</v>
      </c>
      <c r="BC212" s="4" t="e">
        <f t="shared" si="128"/>
        <v>#DIV/0!</v>
      </c>
      <c r="BD212" s="3" t="e">
        <f>IF('Entrada e Saida'!$H$11="TRADING",AW212/D212,AK212/D212)</f>
        <v>#DIV/0!</v>
      </c>
      <c r="BE212" s="3" t="e">
        <f t="shared" si="129"/>
        <v>#DIV/0!</v>
      </c>
      <c r="BF212" s="2" t="e">
        <f t="shared" si="130"/>
        <v>#DIV/0!</v>
      </c>
      <c r="BG212" s="3" t="e">
        <f>IF('Entrada e Saida'!$H$11="TRADING",AV212/D212,AN212/D212)</f>
        <v>#DIV/0!</v>
      </c>
      <c r="BH212" s="3" t="e">
        <f>IF('Entrada e Saida'!$H$11="TRADING",IF('Entrada e Saida'!$H$12="REAL",AR212/D212,0),AL212/D212)</f>
        <v>#DIV/0!</v>
      </c>
      <c r="BI212" s="3" t="e">
        <f>IF('Entrada e Saida'!$H$11="TRADING",IF('Entrada e Saida'!$H$12="REAL",AS212/D212,0),AM212/D212)</f>
        <v>#DIV/0!</v>
      </c>
      <c r="BJ212" s="3" t="e">
        <f>IF('Entrada e Saida'!$H$11="TRADING",AT212/D212,AO212/D212)</f>
        <v>#DIV/0!</v>
      </c>
      <c r="BK212" s="2" t="e">
        <f t="shared" si="131"/>
        <v>#DIV/0!</v>
      </c>
      <c r="BL212" s="2">
        <f>IF(O212&gt;0,IFERROR(IF('Entrada e Saida'!$H$11="DIRETA",0,(IF('Entrada e Saida'!$H$14="P.JURIDICA",(BD212*(1+O212)*N212)-((BD212/(1+M212))*'Entrada e Saida'!$G$65),((Produtos!N212-'Entrada e Saida'!$G$65)*Produtos!BD212)))),0),0)</f>
        <v>0</v>
      </c>
      <c r="BM212" s="2" t="e">
        <f t="shared" si="132"/>
        <v>#DIV/0!</v>
      </c>
    </row>
    <row r="213" spans="1:65" s="1" customFormat="1">
      <c r="A213" s="127"/>
      <c r="B213" s="114"/>
      <c r="C213" s="116"/>
      <c r="D213" s="146"/>
      <c r="E213" s="115">
        <f>IFERROR(VLOOKUP(A213,'Master Modelo'!A:I,9,FALSE),0)</f>
        <v>0</v>
      </c>
      <c r="F213" s="189">
        <f>IFERROR(VLOOKUP(A213,'Master Modelo'!A:I,8,FALSE),0)</f>
        <v>0</v>
      </c>
      <c r="G213" s="189">
        <f>IFERROR(VLOOKUP(A213,'Master Modelo'!A:K,11,FALSE),0)</f>
        <v>0</v>
      </c>
      <c r="H213" s="114" t="e">
        <f t="shared" si="115"/>
        <v>#DIV/0!</v>
      </c>
      <c r="I213" s="150">
        <f>IFERROR(VLOOKUP(A213,'Master Modelo'!A:I,3,FALSE),0)</f>
        <v>0</v>
      </c>
      <c r="J213" s="151">
        <f>IFERROR(VLOOKUP(A213,'Master Modelo'!A:I,5,FALSE),0)</f>
        <v>0</v>
      </c>
      <c r="K213" s="151">
        <f>IFERROR(VLOOKUP(A213,'Master Modelo'!A:I,6,FALSE),0)</f>
        <v>0</v>
      </c>
      <c r="L213" s="152" t="e">
        <f>VLOOKUP(A213,'Master Modelo'!A:J,10,FALSE)</f>
        <v>#N/A</v>
      </c>
      <c r="M213" s="150">
        <f>IFERROR(VLOOKUP(A213,'Master Modelo'!A:I,4,FALSE),0)</f>
        <v>0</v>
      </c>
      <c r="N213" s="128"/>
      <c r="O213" s="129"/>
      <c r="P213" s="9">
        <f t="shared" si="116"/>
        <v>0</v>
      </c>
      <c r="Q213" s="177">
        <f t="shared" si="96"/>
        <v>0</v>
      </c>
      <c r="R213" s="3">
        <f>D213*E213*'Entrada e Saida'!$K$8</f>
        <v>0</v>
      </c>
      <c r="S213" s="179" t="e">
        <f>'Entrada e Saida'!$H$21*'Entrada e Saida'!$K$8*(P213/(SUM(P:P)))</f>
        <v>#DIV/0!</v>
      </c>
      <c r="T213" s="179" t="e">
        <f>'Entrada e Saida'!$H$21*'Entrada e Saida'!$K$8*(Q213/(SUM(Q:Q)))</f>
        <v>#DIV/0!</v>
      </c>
      <c r="U213" s="179" t="e">
        <f>'Entrada e Saida'!$H$22*(P213/(SUM(P:P)))</f>
        <v>#DIV/0!</v>
      </c>
      <c r="V213" s="179" t="e">
        <f>'Entrada e Saida'!$H$22*(Q213/(SUM(Q:Q)))</f>
        <v>#DIV/0!</v>
      </c>
      <c r="W213" s="8" t="e">
        <f t="shared" si="117"/>
        <v>#DIV/0!</v>
      </c>
      <c r="X213" s="179" t="e">
        <f>'Entrada e Saida'!$H$26*(IF('Entrada e Saida'!$H$15="PESO",(P213/(SUM(P:P))),(Q213/(SUM(Q:Q)))))</f>
        <v>#DIV/0!</v>
      </c>
      <c r="Y213" s="179" t="e">
        <f>'Entrada e Saida'!$H$27*(IF('Entrada e Saida'!$H$15="PESO",(P213/(SUM(P:P))),(Q213/(SUM(Q:Q)))))</f>
        <v>#DIV/0!</v>
      </c>
      <c r="Z213" s="179" t="e">
        <f>'Entrada e Saida'!$H$28*(IF('Entrada e Saida'!$H$15="PESO",(P213/(SUM(P:P))),(Q213/(SUM(Q:Q)))))</f>
        <v>#DIV/0!</v>
      </c>
      <c r="AA213" s="10" t="e">
        <f t="shared" si="118"/>
        <v>#DIV/0!</v>
      </c>
      <c r="AB213" s="3" t="e">
        <f t="shared" si="119"/>
        <v>#DIV/0!</v>
      </c>
      <c r="AC213" s="3" t="e">
        <f t="shared" si="120"/>
        <v>#DIV/0!</v>
      </c>
      <c r="AD213" s="3" t="e">
        <f t="shared" si="121"/>
        <v>#DIV/0!</v>
      </c>
      <c r="AE213" s="9" t="e">
        <f t="shared" si="122"/>
        <v>#DIV/0!</v>
      </c>
      <c r="AF213" s="126">
        <f>IFERROR(D213*F213*L213*'Entrada e Saida'!$K$8,0)</f>
        <v>0</v>
      </c>
      <c r="AG213" s="3" t="e">
        <f>((W213+AA213+AB213+AC213+AD213+AE213+AF213)/(1-'Entrada e Saida'!$G$65))*'Entrada e Saida'!$I$66</f>
        <v>#DIV/0!</v>
      </c>
      <c r="AH213" s="8" t="e">
        <f t="shared" si="123"/>
        <v>#DIV/0!</v>
      </c>
      <c r="AI213" s="183" t="e">
        <f>'Entrada e Saida'!$K$51*(IF('Entrada e Saida'!$H$15="PESO",(P213/(SUM(P:P))),(Q213/(SUM(Q:Q)))))</f>
        <v>#DIV/0!</v>
      </c>
      <c r="AJ213" s="7">
        <f>(('Entrada e Saida'!$K$10-'Entrada e Saida'!$K$8)*E213*D213)</f>
        <v>0</v>
      </c>
      <c r="AK213" s="184" t="e">
        <f>IF('Entrada e Saida'!$H$15="PESO",W213+AA213+AH213+AI213+AJ213,W213+AA213+AH213+AI213+AJ213-S213+T213-U213+V213)</f>
        <v>#DIV/0!</v>
      </c>
      <c r="AL213" s="6" t="e">
        <f>IF('Entrada e Saida'!$H$12="REAL",AC213,0)</f>
        <v>#DIV/0!</v>
      </c>
      <c r="AM213" s="6" t="e">
        <f>IF('Entrada e Saida'!$H$12="REAL",AD213,0)</f>
        <v>#DIV/0!</v>
      </c>
      <c r="AN213" s="5" t="e">
        <f>IF('Entrada e Saida'!$H$13= "NÃO",AE213,0)</f>
        <v>#DIV/0!</v>
      </c>
      <c r="AO213" s="5" t="e">
        <f t="shared" si="124"/>
        <v>#DIV/0!</v>
      </c>
      <c r="AP213" s="4" t="e">
        <f t="shared" si="125"/>
        <v>#DIV/0!</v>
      </c>
      <c r="AQ213" s="3" t="e">
        <f>IF('Entrada e Saida'!$H$11="TRADING",AU213*'Custo Resumido'!D213,0)</f>
        <v>#DIV/0!</v>
      </c>
      <c r="AR213" s="3" t="e">
        <f>IF('Entrada e Saida'!$H$11="TRADING",AU213*'Entrada e Saida'!$G$63,0)</f>
        <v>#DIV/0!</v>
      </c>
      <c r="AS213" s="3" t="e">
        <f>IF('Entrada e Saida'!$H$11="TRADING",AU213*'Entrada e Saida'!$G$64,0)</f>
        <v>#DIV/0!</v>
      </c>
      <c r="AT213" s="3" t="e">
        <f>IF('Entrada e Saida'!$H$11="TRADING",AU213*'Entrada e Saida'!$G$65,0)</f>
        <v>#DIV/0!</v>
      </c>
      <c r="AU213" s="4" t="e">
        <f>IF('Entrada e Saida'!$H$11="TRADING",AP213/(1-(SUM('Entrada e Saida'!$G$63:$G$65)+'Custo Resumido'!D213)),0)</f>
        <v>#DIV/0!</v>
      </c>
      <c r="AV213" s="3" t="e">
        <f>IF('Entrada e Saida'!$H$13="NÃO",AU213*M213,0)</f>
        <v>#DIV/0!</v>
      </c>
      <c r="AW213" s="4" t="e">
        <f t="shared" si="126"/>
        <v>#DIV/0!</v>
      </c>
      <c r="AX213" s="3" t="e">
        <f>'Entrada e Saida'!$G$74*AU213</f>
        <v>#DIV/0!</v>
      </c>
      <c r="AY213" s="4" t="e">
        <f t="shared" si="127"/>
        <v>#DIV/0!</v>
      </c>
      <c r="AZ213" s="4" t="e">
        <f>AQ213+('Entrada e Saida'!$G$65-'Entrada e Saida'!$I$65)*AU213-AX213</f>
        <v>#DIV/0!</v>
      </c>
      <c r="BA213" s="3" t="e">
        <f>IF('Entrada e Saida'!$H$12="REAL",AZ213*'Entrada e Saida'!$G$81,AU213*'Entrada e Saida'!$G$81)</f>
        <v>#DIV/0!</v>
      </c>
      <c r="BB213" s="3" t="e">
        <f>IF('Entrada e Saida'!$H$12="REAL",AZ213*'Entrada e Saida'!$G$82,AU213*'Entrada e Saida'!$G$82)</f>
        <v>#DIV/0!</v>
      </c>
      <c r="BC213" s="4" t="e">
        <f t="shared" si="128"/>
        <v>#DIV/0!</v>
      </c>
      <c r="BD213" s="3" t="e">
        <f>IF('Entrada e Saida'!$H$11="TRADING",AW213/D213,AK213/D213)</f>
        <v>#DIV/0!</v>
      </c>
      <c r="BE213" s="3" t="e">
        <f t="shared" si="129"/>
        <v>#DIV/0!</v>
      </c>
      <c r="BF213" s="2" t="e">
        <f t="shared" si="130"/>
        <v>#DIV/0!</v>
      </c>
      <c r="BG213" s="3" t="e">
        <f>IF('Entrada e Saida'!$H$11="TRADING",AV213/D213,AN213/D213)</f>
        <v>#DIV/0!</v>
      </c>
      <c r="BH213" s="3" t="e">
        <f>IF('Entrada e Saida'!$H$11="TRADING",IF('Entrada e Saida'!$H$12="REAL",AR213/D213,0),AL213/D213)</f>
        <v>#DIV/0!</v>
      </c>
      <c r="BI213" s="3" t="e">
        <f>IF('Entrada e Saida'!$H$11="TRADING",IF('Entrada e Saida'!$H$12="REAL",AS213/D213,0),AM213/D213)</f>
        <v>#DIV/0!</v>
      </c>
      <c r="BJ213" s="3" t="e">
        <f>IF('Entrada e Saida'!$H$11="TRADING",AT213/D213,AO213/D213)</f>
        <v>#DIV/0!</v>
      </c>
      <c r="BK213" s="2" t="e">
        <f t="shared" si="131"/>
        <v>#DIV/0!</v>
      </c>
      <c r="BL213" s="2">
        <f>IF(O213&gt;0,IFERROR(IF('Entrada e Saida'!$H$11="DIRETA",0,(IF('Entrada e Saida'!$H$14="P.JURIDICA",(BD213*(1+O213)*N213)-((BD213/(1+M213))*'Entrada e Saida'!$G$65),((Produtos!N213-'Entrada e Saida'!$G$65)*Produtos!BD213)))),0),0)</f>
        <v>0</v>
      </c>
      <c r="BM213" s="2" t="e">
        <f t="shared" si="132"/>
        <v>#DIV/0!</v>
      </c>
    </row>
    <row r="214" spans="1:65" s="1" customFormat="1">
      <c r="A214" s="127"/>
      <c r="B214" s="114"/>
      <c r="C214" s="116"/>
      <c r="D214" s="146"/>
      <c r="E214" s="115">
        <f>IFERROR(VLOOKUP(A214,'Master Modelo'!A:I,9,FALSE),0)</f>
        <v>0</v>
      </c>
      <c r="F214" s="189">
        <f>IFERROR(VLOOKUP(A214,'Master Modelo'!A:I,8,FALSE),0)</f>
        <v>0</v>
      </c>
      <c r="G214" s="189">
        <f>IFERROR(VLOOKUP(A214,'Master Modelo'!A:K,11,FALSE),0)</f>
        <v>0</v>
      </c>
      <c r="H214" s="114" t="e">
        <f t="shared" si="115"/>
        <v>#DIV/0!</v>
      </c>
      <c r="I214" s="150">
        <f>IFERROR(VLOOKUP(A214,'Master Modelo'!A:I,3,FALSE),0)</f>
        <v>0</v>
      </c>
      <c r="J214" s="151">
        <f>IFERROR(VLOOKUP(A214,'Master Modelo'!A:I,5,FALSE),0)</f>
        <v>0</v>
      </c>
      <c r="K214" s="151">
        <f>IFERROR(VLOOKUP(A214,'Master Modelo'!A:I,6,FALSE),0)</f>
        <v>0</v>
      </c>
      <c r="L214" s="152" t="e">
        <f>VLOOKUP(A214,'Master Modelo'!A:J,10,FALSE)</f>
        <v>#N/A</v>
      </c>
      <c r="M214" s="150">
        <f>IFERROR(VLOOKUP(A214,'Master Modelo'!A:I,4,FALSE),0)</f>
        <v>0</v>
      </c>
      <c r="N214" s="128"/>
      <c r="O214" s="129"/>
      <c r="P214" s="9">
        <f t="shared" si="116"/>
        <v>0</v>
      </c>
      <c r="Q214" s="177">
        <f t="shared" si="96"/>
        <v>0</v>
      </c>
      <c r="R214" s="3">
        <f>D214*E214*'Entrada e Saida'!$K$8</f>
        <v>0</v>
      </c>
      <c r="S214" s="179" t="e">
        <f>'Entrada e Saida'!$H$21*'Entrada e Saida'!$K$8*(P214/(SUM(P:P)))</f>
        <v>#DIV/0!</v>
      </c>
      <c r="T214" s="179" t="e">
        <f>'Entrada e Saida'!$H$21*'Entrada e Saida'!$K$8*(Q214/(SUM(Q:Q)))</f>
        <v>#DIV/0!</v>
      </c>
      <c r="U214" s="179" t="e">
        <f>'Entrada e Saida'!$H$22*(P214/(SUM(P:P)))</f>
        <v>#DIV/0!</v>
      </c>
      <c r="V214" s="179" t="e">
        <f>'Entrada e Saida'!$H$22*(Q214/(SUM(Q:Q)))</f>
        <v>#DIV/0!</v>
      </c>
      <c r="W214" s="8" t="e">
        <f t="shared" si="117"/>
        <v>#DIV/0!</v>
      </c>
      <c r="X214" s="179" t="e">
        <f>'Entrada e Saida'!$H$26*(IF('Entrada e Saida'!$H$15="PESO",(P214/(SUM(P:P))),(Q214/(SUM(Q:Q)))))</f>
        <v>#DIV/0!</v>
      </c>
      <c r="Y214" s="179" t="e">
        <f>'Entrada e Saida'!$H$27*(IF('Entrada e Saida'!$H$15="PESO",(P214/(SUM(P:P))),(Q214/(SUM(Q:Q)))))</f>
        <v>#DIV/0!</v>
      </c>
      <c r="Z214" s="179" t="e">
        <f>'Entrada e Saida'!$H$28*(IF('Entrada e Saida'!$H$15="PESO",(P214/(SUM(P:P))),(Q214/(SUM(Q:Q)))))</f>
        <v>#DIV/0!</v>
      </c>
      <c r="AA214" s="10" t="e">
        <f t="shared" si="118"/>
        <v>#DIV/0!</v>
      </c>
      <c r="AB214" s="3" t="e">
        <f t="shared" si="119"/>
        <v>#DIV/0!</v>
      </c>
      <c r="AC214" s="3" t="e">
        <f t="shared" si="120"/>
        <v>#DIV/0!</v>
      </c>
      <c r="AD214" s="3" t="e">
        <f t="shared" si="121"/>
        <v>#DIV/0!</v>
      </c>
      <c r="AE214" s="9" t="e">
        <f t="shared" si="122"/>
        <v>#DIV/0!</v>
      </c>
      <c r="AF214" s="126">
        <f>IFERROR(D214*F214*L214*'Entrada e Saida'!$K$8,0)</f>
        <v>0</v>
      </c>
      <c r="AG214" s="3" t="e">
        <f>((W214+AA214+AB214+AC214+AD214+AE214+AF214)/(1-'Entrada e Saida'!$G$65))*'Entrada e Saida'!$I$66</f>
        <v>#DIV/0!</v>
      </c>
      <c r="AH214" s="8" t="e">
        <f t="shared" si="123"/>
        <v>#DIV/0!</v>
      </c>
      <c r="AI214" s="183" t="e">
        <f>'Entrada e Saida'!$K$51*(IF('Entrada e Saida'!$H$15="PESO",(P214/(SUM(P:P))),(Q214/(SUM(Q:Q)))))</f>
        <v>#DIV/0!</v>
      </c>
      <c r="AJ214" s="7">
        <f>(('Entrada e Saida'!$K$10-'Entrada e Saida'!$K$8)*E214*D214)</f>
        <v>0</v>
      </c>
      <c r="AK214" s="184" t="e">
        <f>IF('Entrada e Saida'!$H$15="PESO",W214+AA214+AH214+AI214+AJ214,W214+AA214+AH214+AI214+AJ214-S214+T214-U214+V214)</f>
        <v>#DIV/0!</v>
      </c>
      <c r="AL214" s="6" t="e">
        <f>IF('Entrada e Saida'!$H$12="REAL",AC214,0)</f>
        <v>#DIV/0!</v>
      </c>
      <c r="AM214" s="6" t="e">
        <f>IF('Entrada e Saida'!$H$12="REAL",AD214,0)</f>
        <v>#DIV/0!</v>
      </c>
      <c r="AN214" s="5" t="e">
        <f>IF('Entrada e Saida'!$H$13= "NÃO",AE214,0)</f>
        <v>#DIV/0!</v>
      </c>
      <c r="AO214" s="5" t="e">
        <f t="shared" si="124"/>
        <v>#DIV/0!</v>
      </c>
      <c r="AP214" s="4" t="e">
        <f t="shared" si="125"/>
        <v>#DIV/0!</v>
      </c>
      <c r="AQ214" s="3" t="e">
        <f>IF('Entrada e Saida'!$H$11="TRADING",AU214*'Custo Resumido'!D214,0)</f>
        <v>#DIV/0!</v>
      </c>
      <c r="AR214" s="3" t="e">
        <f>IF('Entrada e Saida'!$H$11="TRADING",AU214*'Entrada e Saida'!$G$63,0)</f>
        <v>#DIV/0!</v>
      </c>
      <c r="AS214" s="3" t="e">
        <f>IF('Entrada e Saida'!$H$11="TRADING",AU214*'Entrada e Saida'!$G$64,0)</f>
        <v>#DIV/0!</v>
      </c>
      <c r="AT214" s="3" t="e">
        <f>IF('Entrada e Saida'!$H$11="TRADING",AU214*'Entrada e Saida'!$G$65,0)</f>
        <v>#DIV/0!</v>
      </c>
      <c r="AU214" s="4" t="e">
        <f>IF('Entrada e Saida'!$H$11="TRADING",AP214/(1-(SUM('Entrada e Saida'!$G$63:$G$65)+'Custo Resumido'!D214)),0)</f>
        <v>#DIV/0!</v>
      </c>
      <c r="AV214" s="3" t="e">
        <f>IF('Entrada e Saida'!$H$13="NÃO",AU214*M214,0)</f>
        <v>#DIV/0!</v>
      </c>
      <c r="AW214" s="4" t="e">
        <f t="shared" si="126"/>
        <v>#DIV/0!</v>
      </c>
      <c r="AX214" s="3" t="e">
        <f>'Entrada e Saida'!$G$74*AU214</f>
        <v>#DIV/0!</v>
      </c>
      <c r="AY214" s="4" t="e">
        <f t="shared" si="127"/>
        <v>#DIV/0!</v>
      </c>
      <c r="AZ214" s="4" t="e">
        <f>AQ214+('Entrada e Saida'!$G$65-'Entrada e Saida'!$I$65)*AU214-AX214</f>
        <v>#DIV/0!</v>
      </c>
      <c r="BA214" s="3" t="e">
        <f>IF('Entrada e Saida'!$H$12="REAL",AZ214*'Entrada e Saida'!$G$81,AU214*'Entrada e Saida'!$G$81)</f>
        <v>#DIV/0!</v>
      </c>
      <c r="BB214" s="3" t="e">
        <f>IF('Entrada e Saida'!$H$12="REAL",AZ214*'Entrada e Saida'!$G$82,AU214*'Entrada e Saida'!$G$82)</f>
        <v>#DIV/0!</v>
      </c>
      <c r="BC214" s="4" t="e">
        <f t="shared" si="128"/>
        <v>#DIV/0!</v>
      </c>
      <c r="BD214" s="3" t="e">
        <f>IF('Entrada e Saida'!$H$11="TRADING",AW214/D214,AK214/D214)</f>
        <v>#DIV/0!</v>
      </c>
      <c r="BE214" s="3" t="e">
        <f t="shared" si="129"/>
        <v>#DIV/0!</v>
      </c>
      <c r="BF214" s="2" t="e">
        <f t="shared" si="130"/>
        <v>#DIV/0!</v>
      </c>
      <c r="BG214" s="3" t="e">
        <f>IF('Entrada e Saida'!$H$11="TRADING",AV214/D214,AN214/D214)</f>
        <v>#DIV/0!</v>
      </c>
      <c r="BH214" s="3" t="e">
        <f>IF('Entrada e Saida'!$H$11="TRADING",IF('Entrada e Saida'!$H$12="REAL",AR214/D214,0),AL214/D214)</f>
        <v>#DIV/0!</v>
      </c>
      <c r="BI214" s="3" t="e">
        <f>IF('Entrada e Saida'!$H$11="TRADING",IF('Entrada e Saida'!$H$12="REAL",AS214/D214,0),AM214/D214)</f>
        <v>#DIV/0!</v>
      </c>
      <c r="BJ214" s="3" t="e">
        <f>IF('Entrada e Saida'!$H$11="TRADING",AT214/D214,AO214/D214)</f>
        <v>#DIV/0!</v>
      </c>
      <c r="BK214" s="2" t="e">
        <f t="shared" si="131"/>
        <v>#DIV/0!</v>
      </c>
      <c r="BL214" s="2">
        <f>IF(O214&gt;0,IFERROR(IF('Entrada e Saida'!$H$11="DIRETA",0,(IF('Entrada e Saida'!$H$14="P.JURIDICA",(BD214*(1+O214)*N214)-((BD214/(1+M214))*'Entrada e Saida'!$G$65),((Produtos!N214-'Entrada e Saida'!$G$65)*Produtos!BD214)))),0),0)</f>
        <v>0</v>
      </c>
      <c r="BM214" s="2" t="e">
        <f t="shared" si="132"/>
        <v>#DIV/0!</v>
      </c>
    </row>
    <row r="215" spans="1:65" s="1" customFormat="1">
      <c r="A215" s="127"/>
      <c r="B215" s="114"/>
      <c r="C215" s="116"/>
      <c r="D215" s="146"/>
      <c r="E215" s="115">
        <f>IFERROR(VLOOKUP(A215,'Master Modelo'!A:I,9,FALSE),0)</f>
        <v>0</v>
      </c>
      <c r="F215" s="189">
        <f>IFERROR(VLOOKUP(A215,'Master Modelo'!A:I,8,FALSE),0)</f>
        <v>0</v>
      </c>
      <c r="G215" s="189">
        <f>IFERROR(VLOOKUP(A215,'Master Modelo'!A:K,11,FALSE),0)</f>
        <v>0</v>
      </c>
      <c r="H215" s="114" t="e">
        <f t="shared" si="115"/>
        <v>#DIV/0!</v>
      </c>
      <c r="I215" s="150">
        <f>IFERROR(VLOOKUP(A215,'Master Modelo'!A:I,3,FALSE),0)</f>
        <v>0</v>
      </c>
      <c r="J215" s="151">
        <f>IFERROR(VLOOKUP(A215,'Master Modelo'!A:I,5,FALSE),0)</f>
        <v>0</v>
      </c>
      <c r="K215" s="151">
        <f>IFERROR(VLOOKUP(A215,'Master Modelo'!A:I,6,FALSE),0)</f>
        <v>0</v>
      </c>
      <c r="L215" s="152" t="e">
        <f>VLOOKUP(A215,'Master Modelo'!A:J,10,FALSE)</f>
        <v>#N/A</v>
      </c>
      <c r="M215" s="150">
        <f>IFERROR(VLOOKUP(A215,'Master Modelo'!A:I,4,FALSE),0)</f>
        <v>0</v>
      </c>
      <c r="N215" s="128"/>
      <c r="O215" s="129"/>
      <c r="P215" s="9">
        <f t="shared" si="116"/>
        <v>0</v>
      </c>
      <c r="Q215" s="177">
        <f t="shared" si="96"/>
        <v>0</v>
      </c>
      <c r="R215" s="3">
        <f>D215*E215*'Entrada e Saida'!$K$8</f>
        <v>0</v>
      </c>
      <c r="S215" s="179" t="e">
        <f>'Entrada e Saida'!$H$21*'Entrada e Saida'!$K$8*(P215/(SUM(P:P)))</f>
        <v>#DIV/0!</v>
      </c>
      <c r="T215" s="179" t="e">
        <f>'Entrada e Saida'!$H$21*'Entrada e Saida'!$K$8*(Q215/(SUM(Q:Q)))</f>
        <v>#DIV/0!</v>
      </c>
      <c r="U215" s="179" t="e">
        <f>'Entrada e Saida'!$H$22*(P215/(SUM(P:P)))</f>
        <v>#DIV/0!</v>
      </c>
      <c r="V215" s="179" t="e">
        <f>'Entrada e Saida'!$H$22*(Q215/(SUM(Q:Q)))</f>
        <v>#DIV/0!</v>
      </c>
      <c r="W215" s="8" t="e">
        <f t="shared" si="117"/>
        <v>#DIV/0!</v>
      </c>
      <c r="X215" s="179" t="e">
        <f>'Entrada e Saida'!$H$26*(IF('Entrada e Saida'!$H$15="PESO",(P215/(SUM(P:P))),(Q215/(SUM(Q:Q)))))</f>
        <v>#DIV/0!</v>
      </c>
      <c r="Y215" s="179" t="e">
        <f>'Entrada e Saida'!$H$27*(IF('Entrada e Saida'!$H$15="PESO",(P215/(SUM(P:P))),(Q215/(SUM(Q:Q)))))</f>
        <v>#DIV/0!</v>
      </c>
      <c r="Z215" s="179" t="e">
        <f>'Entrada e Saida'!$H$28*(IF('Entrada e Saida'!$H$15="PESO",(P215/(SUM(P:P))),(Q215/(SUM(Q:Q)))))</f>
        <v>#DIV/0!</v>
      </c>
      <c r="AA215" s="10" t="e">
        <f t="shared" si="118"/>
        <v>#DIV/0!</v>
      </c>
      <c r="AB215" s="3" t="e">
        <f t="shared" si="119"/>
        <v>#DIV/0!</v>
      </c>
      <c r="AC215" s="3" t="e">
        <f t="shared" si="120"/>
        <v>#DIV/0!</v>
      </c>
      <c r="AD215" s="3" t="e">
        <f t="shared" si="121"/>
        <v>#DIV/0!</v>
      </c>
      <c r="AE215" s="9" t="e">
        <f t="shared" si="122"/>
        <v>#DIV/0!</v>
      </c>
      <c r="AF215" s="126">
        <f>IFERROR(D215*F215*L215*'Entrada e Saida'!$K$8,0)</f>
        <v>0</v>
      </c>
      <c r="AG215" s="3" t="e">
        <f>((W215+AA215+AB215+AC215+AD215+AE215+AF215)/(1-'Entrada e Saida'!$G$65))*'Entrada e Saida'!$I$66</f>
        <v>#DIV/0!</v>
      </c>
      <c r="AH215" s="8" t="e">
        <f t="shared" si="123"/>
        <v>#DIV/0!</v>
      </c>
      <c r="AI215" s="183" t="e">
        <f>'Entrada e Saida'!$K$51*(IF('Entrada e Saida'!$H$15="PESO",(P215/(SUM(P:P))),(Q215/(SUM(Q:Q)))))</f>
        <v>#DIV/0!</v>
      </c>
      <c r="AJ215" s="7">
        <f>(('Entrada e Saida'!$K$10-'Entrada e Saida'!$K$8)*E215*D215)</f>
        <v>0</v>
      </c>
      <c r="AK215" s="184" t="e">
        <f>IF('Entrada e Saida'!$H$15="PESO",W215+AA215+AH215+AI215+AJ215,W215+AA215+AH215+AI215+AJ215-S215+T215-U215+V215)</f>
        <v>#DIV/0!</v>
      </c>
      <c r="AL215" s="6" t="e">
        <f>IF('Entrada e Saida'!$H$12="REAL",AC215,0)</f>
        <v>#DIV/0!</v>
      </c>
      <c r="AM215" s="6" t="e">
        <f>IF('Entrada e Saida'!$H$12="REAL",AD215,0)</f>
        <v>#DIV/0!</v>
      </c>
      <c r="AN215" s="5" t="e">
        <f>IF('Entrada e Saida'!$H$13= "NÃO",AE215,0)</f>
        <v>#DIV/0!</v>
      </c>
      <c r="AO215" s="5" t="e">
        <f t="shared" si="124"/>
        <v>#DIV/0!</v>
      </c>
      <c r="AP215" s="4" t="e">
        <f t="shared" si="125"/>
        <v>#DIV/0!</v>
      </c>
      <c r="AQ215" s="3" t="e">
        <f>IF('Entrada e Saida'!$H$11="TRADING",AU215*'Custo Resumido'!D215,0)</f>
        <v>#DIV/0!</v>
      </c>
      <c r="AR215" s="3" t="e">
        <f>IF('Entrada e Saida'!$H$11="TRADING",AU215*'Entrada e Saida'!$G$63,0)</f>
        <v>#DIV/0!</v>
      </c>
      <c r="AS215" s="3" t="e">
        <f>IF('Entrada e Saida'!$H$11="TRADING",AU215*'Entrada e Saida'!$G$64,0)</f>
        <v>#DIV/0!</v>
      </c>
      <c r="AT215" s="3" t="e">
        <f>IF('Entrada e Saida'!$H$11="TRADING",AU215*'Entrada e Saida'!$G$65,0)</f>
        <v>#DIV/0!</v>
      </c>
      <c r="AU215" s="4" t="e">
        <f>IF('Entrada e Saida'!$H$11="TRADING",AP215/(1-(SUM('Entrada e Saida'!$G$63:$G$65)+'Custo Resumido'!D215)),0)</f>
        <v>#DIV/0!</v>
      </c>
      <c r="AV215" s="3" t="e">
        <f>IF('Entrada e Saida'!$H$13="NÃO",AU215*M215,0)</f>
        <v>#DIV/0!</v>
      </c>
      <c r="AW215" s="4" t="e">
        <f t="shared" si="126"/>
        <v>#DIV/0!</v>
      </c>
      <c r="AX215" s="3" t="e">
        <f>'Entrada e Saida'!$G$74*AU215</f>
        <v>#DIV/0!</v>
      </c>
      <c r="AY215" s="4" t="e">
        <f t="shared" si="127"/>
        <v>#DIV/0!</v>
      </c>
      <c r="AZ215" s="4" t="e">
        <f>AQ215+('Entrada e Saida'!$G$65-'Entrada e Saida'!$I$65)*AU215-AX215</f>
        <v>#DIV/0!</v>
      </c>
      <c r="BA215" s="3" t="e">
        <f>IF('Entrada e Saida'!$H$12="REAL",AZ215*'Entrada e Saida'!$G$81,AU215*'Entrada e Saida'!$G$81)</f>
        <v>#DIV/0!</v>
      </c>
      <c r="BB215" s="3" t="e">
        <f>IF('Entrada e Saida'!$H$12="REAL",AZ215*'Entrada e Saida'!$G$82,AU215*'Entrada e Saida'!$G$82)</f>
        <v>#DIV/0!</v>
      </c>
      <c r="BC215" s="4" t="e">
        <f t="shared" si="128"/>
        <v>#DIV/0!</v>
      </c>
      <c r="BD215" s="3" t="e">
        <f>IF('Entrada e Saida'!$H$11="TRADING",AW215/D215,AK215/D215)</f>
        <v>#DIV/0!</v>
      </c>
      <c r="BE215" s="3" t="e">
        <f t="shared" si="129"/>
        <v>#DIV/0!</v>
      </c>
      <c r="BF215" s="2" t="e">
        <f t="shared" si="130"/>
        <v>#DIV/0!</v>
      </c>
      <c r="BG215" s="3" t="e">
        <f>IF('Entrada e Saida'!$H$11="TRADING",AV215/D215,AN215/D215)</f>
        <v>#DIV/0!</v>
      </c>
      <c r="BH215" s="3" t="e">
        <f>IF('Entrada e Saida'!$H$11="TRADING",IF('Entrada e Saida'!$H$12="REAL",AR215/D215,0),AL215/D215)</f>
        <v>#DIV/0!</v>
      </c>
      <c r="BI215" s="3" t="e">
        <f>IF('Entrada e Saida'!$H$11="TRADING",IF('Entrada e Saida'!$H$12="REAL",AS215/D215,0),AM215/D215)</f>
        <v>#DIV/0!</v>
      </c>
      <c r="BJ215" s="3" t="e">
        <f>IF('Entrada e Saida'!$H$11="TRADING",AT215/D215,AO215/D215)</f>
        <v>#DIV/0!</v>
      </c>
      <c r="BK215" s="2" t="e">
        <f t="shared" si="131"/>
        <v>#DIV/0!</v>
      </c>
      <c r="BL215" s="2">
        <f>IF(O215&gt;0,IFERROR(IF('Entrada e Saida'!$H$11="DIRETA",0,(IF('Entrada e Saida'!$H$14="P.JURIDICA",(BD215*(1+O215)*N215)-((BD215/(1+M215))*'Entrada e Saida'!$G$65),((Produtos!N215-'Entrada e Saida'!$G$65)*Produtos!BD215)))),0),0)</f>
        <v>0</v>
      </c>
      <c r="BM215" s="2" t="e">
        <f t="shared" si="132"/>
        <v>#DIV/0!</v>
      </c>
    </row>
    <row r="216" spans="1:65" s="1" customFormat="1">
      <c r="A216" s="127"/>
      <c r="B216" s="114"/>
      <c r="C216" s="116"/>
      <c r="D216" s="146"/>
      <c r="E216" s="115">
        <f>IFERROR(VLOOKUP(A216,'Master Modelo'!A:I,9,FALSE),0)</f>
        <v>0</v>
      </c>
      <c r="F216" s="189">
        <f>IFERROR(VLOOKUP(A216,'Master Modelo'!A:I,8,FALSE),0)</f>
        <v>0</v>
      </c>
      <c r="G216" s="189">
        <f>IFERROR(VLOOKUP(A216,'Master Modelo'!A:K,11,FALSE),0)</f>
        <v>0</v>
      </c>
      <c r="H216" s="114" t="e">
        <f t="shared" si="115"/>
        <v>#DIV/0!</v>
      </c>
      <c r="I216" s="150">
        <f>IFERROR(VLOOKUP(A216,'Master Modelo'!A:I,3,FALSE),0)</f>
        <v>0</v>
      </c>
      <c r="J216" s="151">
        <f>IFERROR(VLOOKUP(A216,'Master Modelo'!A:I,5,FALSE),0)</f>
        <v>0</v>
      </c>
      <c r="K216" s="151">
        <f>IFERROR(VLOOKUP(A216,'Master Modelo'!A:I,6,FALSE),0)</f>
        <v>0</v>
      </c>
      <c r="L216" s="152" t="e">
        <f>VLOOKUP(A216,'Master Modelo'!A:J,10,FALSE)</f>
        <v>#N/A</v>
      </c>
      <c r="M216" s="150">
        <f>IFERROR(VLOOKUP(A216,'Master Modelo'!A:I,4,FALSE),0)</f>
        <v>0</v>
      </c>
      <c r="N216" s="128"/>
      <c r="O216" s="129"/>
      <c r="P216" s="9">
        <f t="shared" si="116"/>
        <v>0</v>
      </c>
      <c r="Q216" s="177">
        <f t="shared" si="96"/>
        <v>0</v>
      </c>
      <c r="R216" s="3">
        <f>D216*E216*'Entrada e Saida'!$K$8</f>
        <v>0</v>
      </c>
      <c r="S216" s="179" t="e">
        <f>'Entrada e Saida'!$H$21*'Entrada e Saida'!$K$8*(P216/(SUM(P:P)))</f>
        <v>#DIV/0!</v>
      </c>
      <c r="T216" s="179" t="e">
        <f>'Entrada e Saida'!$H$21*'Entrada e Saida'!$K$8*(Q216/(SUM(Q:Q)))</f>
        <v>#DIV/0!</v>
      </c>
      <c r="U216" s="179" t="e">
        <f>'Entrada e Saida'!$H$22*(P216/(SUM(P:P)))</f>
        <v>#DIV/0!</v>
      </c>
      <c r="V216" s="179" t="e">
        <f>'Entrada e Saida'!$H$22*(Q216/(SUM(Q:Q)))</f>
        <v>#DIV/0!</v>
      </c>
      <c r="W216" s="8" t="e">
        <f t="shared" si="117"/>
        <v>#DIV/0!</v>
      </c>
      <c r="X216" s="179" t="e">
        <f>'Entrada e Saida'!$H$26*(IF('Entrada e Saida'!$H$15="PESO",(P216/(SUM(P:P))),(Q216/(SUM(Q:Q)))))</f>
        <v>#DIV/0!</v>
      </c>
      <c r="Y216" s="179" t="e">
        <f>'Entrada e Saida'!$H$27*(IF('Entrada e Saida'!$H$15="PESO",(P216/(SUM(P:P))),(Q216/(SUM(Q:Q)))))</f>
        <v>#DIV/0!</v>
      </c>
      <c r="Z216" s="179" t="e">
        <f>'Entrada e Saida'!$H$28*(IF('Entrada e Saida'!$H$15="PESO",(P216/(SUM(P:P))),(Q216/(SUM(Q:Q)))))</f>
        <v>#DIV/0!</v>
      </c>
      <c r="AA216" s="10" t="e">
        <f t="shared" si="118"/>
        <v>#DIV/0!</v>
      </c>
      <c r="AB216" s="3" t="e">
        <f t="shared" si="119"/>
        <v>#DIV/0!</v>
      </c>
      <c r="AC216" s="3" t="e">
        <f t="shared" si="120"/>
        <v>#DIV/0!</v>
      </c>
      <c r="AD216" s="3" t="e">
        <f t="shared" si="121"/>
        <v>#DIV/0!</v>
      </c>
      <c r="AE216" s="9" t="e">
        <f t="shared" si="122"/>
        <v>#DIV/0!</v>
      </c>
      <c r="AF216" s="126">
        <f>IFERROR(D216*F216*L216*'Entrada e Saida'!$K$8,0)</f>
        <v>0</v>
      </c>
      <c r="AG216" s="3" t="e">
        <f>((W216+AA216+AB216+AC216+AD216+AE216+AF216)/(1-'Entrada e Saida'!$G$65))*'Entrada e Saida'!$I$66</f>
        <v>#DIV/0!</v>
      </c>
      <c r="AH216" s="8" t="e">
        <f t="shared" si="123"/>
        <v>#DIV/0!</v>
      </c>
      <c r="AI216" s="183" t="e">
        <f>'Entrada e Saida'!$K$51*(IF('Entrada e Saida'!$H$15="PESO",(P216/(SUM(P:P))),(Q216/(SUM(Q:Q)))))</f>
        <v>#DIV/0!</v>
      </c>
      <c r="AJ216" s="7">
        <f>(('Entrada e Saida'!$K$10-'Entrada e Saida'!$K$8)*E216*D216)</f>
        <v>0</v>
      </c>
      <c r="AK216" s="184" t="e">
        <f>IF('Entrada e Saida'!$H$15="PESO",W216+AA216+AH216+AI216+AJ216,W216+AA216+AH216+AI216+AJ216-S216+T216-U216+V216)</f>
        <v>#DIV/0!</v>
      </c>
      <c r="AL216" s="6" t="e">
        <f>IF('Entrada e Saida'!$H$12="REAL",AC216,0)</f>
        <v>#DIV/0!</v>
      </c>
      <c r="AM216" s="6" t="e">
        <f>IF('Entrada e Saida'!$H$12="REAL",AD216,0)</f>
        <v>#DIV/0!</v>
      </c>
      <c r="AN216" s="5" t="e">
        <f>IF('Entrada e Saida'!$H$13= "NÃO",AE216,0)</f>
        <v>#DIV/0!</v>
      </c>
      <c r="AO216" s="5" t="e">
        <f t="shared" si="124"/>
        <v>#DIV/0!</v>
      </c>
      <c r="AP216" s="4" t="e">
        <f t="shared" si="125"/>
        <v>#DIV/0!</v>
      </c>
      <c r="AQ216" s="3" t="e">
        <f>IF('Entrada e Saida'!$H$11="TRADING",AU216*'Custo Resumido'!D216,0)</f>
        <v>#DIV/0!</v>
      </c>
      <c r="AR216" s="3" t="e">
        <f>IF('Entrada e Saida'!$H$11="TRADING",AU216*'Entrada e Saida'!$G$63,0)</f>
        <v>#DIV/0!</v>
      </c>
      <c r="AS216" s="3" t="e">
        <f>IF('Entrada e Saida'!$H$11="TRADING",AU216*'Entrada e Saida'!$G$64,0)</f>
        <v>#DIV/0!</v>
      </c>
      <c r="AT216" s="3" t="e">
        <f>IF('Entrada e Saida'!$H$11="TRADING",AU216*'Entrada e Saida'!$G$65,0)</f>
        <v>#DIV/0!</v>
      </c>
      <c r="AU216" s="4" t="e">
        <f>IF('Entrada e Saida'!$H$11="TRADING",AP216/(1-(SUM('Entrada e Saida'!$G$63:$G$65)+'Custo Resumido'!D216)),0)</f>
        <v>#DIV/0!</v>
      </c>
      <c r="AV216" s="3" t="e">
        <f>IF('Entrada e Saida'!$H$13="NÃO",AU216*M216,0)</f>
        <v>#DIV/0!</v>
      </c>
      <c r="AW216" s="4" t="e">
        <f t="shared" si="126"/>
        <v>#DIV/0!</v>
      </c>
      <c r="AX216" s="3" t="e">
        <f>'Entrada e Saida'!$G$74*AU216</f>
        <v>#DIV/0!</v>
      </c>
      <c r="AY216" s="4" t="e">
        <f t="shared" si="127"/>
        <v>#DIV/0!</v>
      </c>
      <c r="AZ216" s="4" t="e">
        <f>AQ216+('Entrada e Saida'!$G$65-'Entrada e Saida'!$I$65)*AU216-AX216</f>
        <v>#DIV/0!</v>
      </c>
      <c r="BA216" s="3" t="e">
        <f>IF('Entrada e Saida'!$H$12="REAL",AZ216*'Entrada e Saida'!$G$81,AU216*'Entrada e Saida'!$G$81)</f>
        <v>#DIV/0!</v>
      </c>
      <c r="BB216" s="3" t="e">
        <f>IF('Entrada e Saida'!$H$12="REAL",AZ216*'Entrada e Saida'!$G$82,AU216*'Entrada e Saida'!$G$82)</f>
        <v>#DIV/0!</v>
      </c>
      <c r="BC216" s="4" t="e">
        <f t="shared" si="128"/>
        <v>#DIV/0!</v>
      </c>
      <c r="BD216" s="3" t="e">
        <f>IF('Entrada e Saida'!$H$11="TRADING",AW216/D216,AK216/D216)</f>
        <v>#DIV/0!</v>
      </c>
      <c r="BE216" s="3" t="e">
        <f t="shared" si="129"/>
        <v>#DIV/0!</v>
      </c>
      <c r="BF216" s="2" t="e">
        <f t="shared" si="130"/>
        <v>#DIV/0!</v>
      </c>
      <c r="BG216" s="3" t="e">
        <f>IF('Entrada e Saida'!$H$11="TRADING",AV216/D216,AN216/D216)</f>
        <v>#DIV/0!</v>
      </c>
      <c r="BH216" s="3" t="e">
        <f>IF('Entrada e Saida'!$H$11="TRADING",IF('Entrada e Saida'!$H$12="REAL",AR216/D216,0),AL216/D216)</f>
        <v>#DIV/0!</v>
      </c>
      <c r="BI216" s="3" t="e">
        <f>IF('Entrada e Saida'!$H$11="TRADING",IF('Entrada e Saida'!$H$12="REAL",AS216/D216,0),AM216/D216)</f>
        <v>#DIV/0!</v>
      </c>
      <c r="BJ216" s="3" t="e">
        <f>IF('Entrada e Saida'!$H$11="TRADING",AT216/D216,AO216/D216)</f>
        <v>#DIV/0!</v>
      </c>
      <c r="BK216" s="2" t="e">
        <f t="shared" si="131"/>
        <v>#DIV/0!</v>
      </c>
      <c r="BL216" s="2">
        <f>IF(O216&gt;0,IFERROR(IF('Entrada e Saida'!$H$11="DIRETA",0,(IF('Entrada e Saida'!$H$14="P.JURIDICA",(BD216*(1+O216)*N216)-((BD216/(1+M216))*'Entrada e Saida'!$G$65),((Produtos!N216-'Entrada e Saida'!$G$65)*Produtos!BD216)))),0),0)</f>
        <v>0</v>
      </c>
      <c r="BM216" s="2" t="e">
        <f t="shared" si="132"/>
        <v>#DIV/0!</v>
      </c>
    </row>
    <row r="217" spans="1:65" s="1" customFormat="1">
      <c r="A217" s="127"/>
      <c r="B217" s="114"/>
      <c r="C217" s="116"/>
      <c r="D217" s="146"/>
      <c r="E217" s="115">
        <f>IFERROR(VLOOKUP(A217,'Master Modelo'!A:I,9,FALSE),0)</f>
        <v>0</v>
      </c>
      <c r="F217" s="189">
        <f>IFERROR(VLOOKUP(A217,'Master Modelo'!A:I,8,FALSE),0)</f>
        <v>0</v>
      </c>
      <c r="G217" s="189">
        <f>IFERROR(VLOOKUP(A217,'Master Modelo'!A:K,11,FALSE),0)</f>
        <v>0</v>
      </c>
      <c r="H217" s="114" t="e">
        <f t="shared" si="115"/>
        <v>#DIV/0!</v>
      </c>
      <c r="I217" s="150">
        <f>IFERROR(VLOOKUP(A217,'Master Modelo'!A:I,3,FALSE),0)</f>
        <v>0</v>
      </c>
      <c r="J217" s="151">
        <f>IFERROR(VLOOKUP(A217,'Master Modelo'!A:I,5,FALSE),0)</f>
        <v>0</v>
      </c>
      <c r="K217" s="151">
        <f>IFERROR(VLOOKUP(A217,'Master Modelo'!A:I,6,FALSE),0)</f>
        <v>0</v>
      </c>
      <c r="L217" s="152" t="e">
        <f>VLOOKUP(A217,'Master Modelo'!A:J,10,FALSE)</f>
        <v>#N/A</v>
      </c>
      <c r="M217" s="150">
        <f>IFERROR(VLOOKUP(A217,'Master Modelo'!A:I,4,FALSE),0)</f>
        <v>0</v>
      </c>
      <c r="N217" s="128"/>
      <c r="O217" s="129"/>
      <c r="P217" s="9">
        <f t="shared" si="116"/>
        <v>0</v>
      </c>
      <c r="Q217" s="177">
        <f t="shared" si="96"/>
        <v>0</v>
      </c>
      <c r="R217" s="3">
        <f>D217*E217*'Entrada e Saida'!$K$8</f>
        <v>0</v>
      </c>
      <c r="S217" s="179" t="e">
        <f>'Entrada e Saida'!$H$21*'Entrada e Saida'!$K$8*(P217/(SUM(P:P)))</f>
        <v>#DIV/0!</v>
      </c>
      <c r="T217" s="179" t="e">
        <f>'Entrada e Saida'!$H$21*'Entrada e Saida'!$K$8*(Q217/(SUM(Q:Q)))</f>
        <v>#DIV/0!</v>
      </c>
      <c r="U217" s="179" t="e">
        <f>'Entrada e Saida'!$H$22*(P217/(SUM(P:P)))</f>
        <v>#DIV/0!</v>
      </c>
      <c r="V217" s="179" t="e">
        <f>'Entrada e Saida'!$H$22*(Q217/(SUM(Q:Q)))</f>
        <v>#DIV/0!</v>
      </c>
      <c r="W217" s="8" t="e">
        <f t="shared" si="117"/>
        <v>#DIV/0!</v>
      </c>
      <c r="X217" s="179" t="e">
        <f>'Entrada e Saida'!$H$26*(IF('Entrada e Saida'!$H$15="PESO",(P217/(SUM(P:P))),(Q217/(SUM(Q:Q)))))</f>
        <v>#DIV/0!</v>
      </c>
      <c r="Y217" s="179" t="e">
        <f>'Entrada e Saida'!$H$27*(IF('Entrada e Saida'!$H$15="PESO",(P217/(SUM(P:P))),(Q217/(SUM(Q:Q)))))</f>
        <v>#DIV/0!</v>
      </c>
      <c r="Z217" s="179" t="e">
        <f>'Entrada e Saida'!$H$28*(IF('Entrada e Saida'!$H$15="PESO",(P217/(SUM(P:P))),(Q217/(SUM(Q:Q)))))</f>
        <v>#DIV/0!</v>
      </c>
      <c r="AA217" s="10" t="e">
        <f t="shared" si="118"/>
        <v>#DIV/0!</v>
      </c>
      <c r="AB217" s="3" t="e">
        <f t="shared" si="119"/>
        <v>#DIV/0!</v>
      </c>
      <c r="AC217" s="3" t="e">
        <f t="shared" si="120"/>
        <v>#DIV/0!</v>
      </c>
      <c r="AD217" s="3" t="e">
        <f t="shared" si="121"/>
        <v>#DIV/0!</v>
      </c>
      <c r="AE217" s="9" t="e">
        <f t="shared" si="122"/>
        <v>#DIV/0!</v>
      </c>
      <c r="AF217" s="126">
        <f>IFERROR(D217*F217*L217*'Entrada e Saida'!$K$8,0)</f>
        <v>0</v>
      </c>
      <c r="AG217" s="3" t="e">
        <f>((W217+AA217+AB217+AC217+AD217+AE217+AF217)/(1-'Entrada e Saida'!$G$65))*'Entrada e Saida'!$I$66</f>
        <v>#DIV/0!</v>
      </c>
      <c r="AH217" s="8" t="e">
        <f t="shared" si="123"/>
        <v>#DIV/0!</v>
      </c>
      <c r="AI217" s="183" t="e">
        <f>'Entrada e Saida'!$K$51*(IF('Entrada e Saida'!$H$15="PESO",(P217/(SUM(P:P))),(Q217/(SUM(Q:Q)))))</f>
        <v>#DIV/0!</v>
      </c>
      <c r="AJ217" s="7">
        <f>(('Entrada e Saida'!$K$10-'Entrada e Saida'!$K$8)*E217*D217)</f>
        <v>0</v>
      </c>
      <c r="AK217" s="184" t="e">
        <f>IF('Entrada e Saida'!$H$15="PESO",W217+AA217+AH217+AI217+AJ217,W217+AA217+AH217+AI217+AJ217-S217+T217-U217+V217)</f>
        <v>#DIV/0!</v>
      </c>
      <c r="AL217" s="6" t="e">
        <f>IF('Entrada e Saida'!$H$12="REAL",AC217,0)</f>
        <v>#DIV/0!</v>
      </c>
      <c r="AM217" s="6" t="e">
        <f>IF('Entrada e Saida'!$H$12="REAL",AD217,0)</f>
        <v>#DIV/0!</v>
      </c>
      <c r="AN217" s="5" t="e">
        <f>IF('Entrada e Saida'!$H$13= "NÃO",AE217,0)</f>
        <v>#DIV/0!</v>
      </c>
      <c r="AO217" s="5" t="e">
        <f t="shared" si="124"/>
        <v>#DIV/0!</v>
      </c>
      <c r="AP217" s="4" t="e">
        <f t="shared" si="125"/>
        <v>#DIV/0!</v>
      </c>
      <c r="AQ217" s="3" t="e">
        <f>IF('Entrada e Saida'!$H$11="TRADING",AU217*'Custo Resumido'!D217,0)</f>
        <v>#DIV/0!</v>
      </c>
      <c r="AR217" s="3" t="e">
        <f>IF('Entrada e Saida'!$H$11="TRADING",AU217*'Entrada e Saida'!$G$63,0)</f>
        <v>#DIV/0!</v>
      </c>
      <c r="AS217" s="3" t="e">
        <f>IF('Entrada e Saida'!$H$11="TRADING",AU217*'Entrada e Saida'!$G$64,0)</f>
        <v>#DIV/0!</v>
      </c>
      <c r="AT217" s="3" t="e">
        <f>IF('Entrada e Saida'!$H$11="TRADING",AU217*'Entrada e Saida'!$G$65,0)</f>
        <v>#DIV/0!</v>
      </c>
      <c r="AU217" s="4" t="e">
        <f>IF('Entrada e Saida'!$H$11="TRADING",AP217/(1-(SUM('Entrada e Saida'!$G$63:$G$65)+'Custo Resumido'!D217)),0)</f>
        <v>#DIV/0!</v>
      </c>
      <c r="AV217" s="3" t="e">
        <f>IF('Entrada e Saida'!$H$13="NÃO",AU217*M217,0)</f>
        <v>#DIV/0!</v>
      </c>
      <c r="AW217" s="4" t="e">
        <f t="shared" si="126"/>
        <v>#DIV/0!</v>
      </c>
      <c r="AX217" s="3" t="e">
        <f>'Entrada e Saida'!$G$74*AU217</f>
        <v>#DIV/0!</v>
      </c>
      <c r="AY217" s="4" t="e">
        <f t="shared" si="127"/>
        <v>#DIV/0!</v>
      </c>
      <c r="AZ217" s="4" t="e">
        <f>AQ217+('Entrada e Saida'!$G$65-'Entrada e Saida'!$I$65)*AU217-AX217</f>
        <v>#DIV/0!</v>
      </c>
      <c r="BA217" s="3" t="e">
        <f>IF('Entrada e Saida'!$H$12="REAL",AZ217*'Entrada e Saida'!$G$81,AU217*'Entrada e Saida'!$G$81)</f>
        <v>#DIV/0!</v>
      </c>
      <c r="BB217" s="3" t="e">
        <f>IF('Entrada e Saida'!$H$12="REAL",AZ217*'Entrada e Saida'!$G$82,AU217*'Entrada e Saida'!$G$82)</f>
        <v>#DIV/0!</v>
      </c>
      <c r="BC217" s="4" t="e">
        <f t="shared" si="128"/>
        <v>#DIV/0!</v>
      </c>
      <c r="BD217" s="3" t="e">
        <f>IF('Entrada e Saida'!$H$11="TRADING",AW217/D217,AK217/D217)</f>
        <v>#DIV/0!</v>
      </c>
      <c r="BE217" s="3" t="e">
        <f t="shared" si="129"/>
        <v>#DIV/0!</v>
      </c>
      <c r="BF217" s="2" t="e">
        <f t="shared" si="130"/>
        <v>#DIV/0!</v>
      </c>
      <c r="BG217" s="3" t="e">
        <f>IF('Entrada e Saida'!$H$11="TRADING",AV217/D217,AN217/D217)</f>
        <v>#DIV/0!</v>
      </c>
      <c r="BH217" s="3" t="e">
        <f>IF('Entrada e Saida'!$H$11="TRADING",IF('Entrada e Saida'!$H$12="REAL",AR217/D217,0),AL217/D217)</f>
        <v>#DIV/0!</v>
      </c>
      <c r="BI217" s="3" t="e">
        <f>IF('Entrada e Saida'!$H$11="TRADING",IF('Entrada e Saida'!$H$12="REAL",AS217/D217,0),AM217/D217)</f>
        <v>#DIV/0!</v>
      </c>
      <c r="BJ217" s="3" t="e">
        <f>IF('Entrada e Saida'!$H$11="TRADING",AT217/D217,AO217/D217)</f>
        <v>#DIV/0!</v>
      </c>
      <c r="BK217" s="2" t="e">
        <f t="shared" si="131"/>
        <v>#DIV/0!</v>
      </c>
      <c r="BL217" s="2">
        <f>IF(O217&gt;0,IFERROR(IF('Entrada e Saida'!$H$11="DIRETA",0,(IF('Entrada e Saida'!$H$14="P.JURIDICA",(BD217*(1+O217)*N217)-((BD217/(1+M217))*'Entrada e Saida'!$G$65),((Produtos!N217-'Entrada e Saida'!$G$65)*Produtos!BD217)))),0),0)</f>
        <v>0</v>
      </c>
      <c r="BM217" s="2" t="e">
        <f t="shared" si="132"/>
        <v>#DIV/0!</v>
      </c>
    </row>
    <row r="218" spans="1:65" s="1" customFormat="1">
      <c r="A218" s="127"/>
      <c r="B218" s="114"/>
      <c r="C218" s="116"/>
      <c r="D218" s="146"/>
      <c r="E218" s="115">
        <f>IFERROR(VLOOKUP(A218,'Master Modelo'!A:I,9,FALSE),0)</f>
        <v>0</v>
      </c>
      <c r="F218" s="189">
        <f>IFERROR(VLOOKUP(A218,'Master Modelo'!A:I,8,FALSE),0)</f>
        <v>0</v>
      </c>
      <c r="G218" s="189">
        <f>IFERROR(VLOOKUP(A218,'Master Modelo'!A:K,11,FALSE),0)</f>
        <v>0</v>
      </c>
      <c r="H218" s="114" t="e">
        <f t="shared" si="115"/>
        <v>#DIV/0!</v>
      </c>
      <c r="I218" s="150">
        <f>IFERROR(VLOOKUP(A218,'Master Modelo'!A:I,3,FALSE),0)</f>
        <v>0</v>
      </c>
      <c r="J218" s="151">
        <f>IFERROR(VLOOKUP(A218,'Master Modelo'!A:I,5,FALSE),0)</f>
        <v>0</v>
      </c>
      <c r="K218" s="151">
        <f>IFERROR(VLOOKUP(A218,'Master Modelo'!A:I,6,FALSE),0)</f>
        <v>0</v>
      </c>
      <c r="L218" s="152" t="e">
        <f>VLOOKUP(A218,'Master Modelo'!A:J,10,FALSE)</f>
        <v>#N/A</v>
      </c>
      <c r="M218" s="150">
        <f>IFERROR(VLOOKUP(A218,'Master Modelo'!A:I,4,FALSE),0)</f>
        <v>0</v>
      </c>
      <c r="N218" s="128"/>
      <c r="O218" s="129"/>
      <c r="P218" s="9">
        <f t="shared" si="116"/>
        <v>0</v>
      </c>
      <c r="Q218" s="177">
        <f t="shared" si="96"/>
        <v>0</v>
      </c>
      <c r="R218" s="3">
        <f>D218*E218*'Entrada e Saida'!$K$8</f>
        <v>0</v>
      </c>
      <c r="S218" s="179" t="e">
        <f>'Entrada e Saida'!$H$21*'Entrada e Saida'!$K$8*(P218/(SUM(P:P)))</f>
        <v>#DIV/0!</v>
      </c>
      <c r="T218" s="179" t="e">
        <f>'Entrada e Saida'!$H$21*'Entrada e Saida'!$K$8*(Q218/(SUM(Q:Q)))</f>
        <v>#DIV/0!</v>
      </c>
      <c r="U218" s="179" t="e">
        <f>'Entrada e Saida'!$H$22*(P218/(SUM(P:P)))</f>
        <v>#DIV/0!</v>
      </c>
      <c r="V218" s="179" t="e">
        <f>'Entrada e Saida'!$H$22*(Q218/(SUM(Q:Q)))</f>
        <v>#DIV/0!</v>
      </c>
      <c r="W218" s="8" t="e">
        <f t="shared" si="117"/>
        <v>#DIV/0!</v>
      </c>
      <c r="X218" s="179" t="e">
        <f>'Entrada e Saida'!$H$26*(IF('Entrada e Saida'!$H$15="PESO",(P218/(SUM(P:P))),(Q218/(SUM(Q:Q)))))</f>
        <v>#DIV/0!</v>
      </c>
      <c r="Y218" s="179" t="e">
        <f>'Entrada e Saida'!$H$27*(IF('Entrada e Saida'!$H$15="PESO",(P218/(SUM(P:P))),(Q218/(SUM(Q:Q)))))</f>
        <v>#DIV/0!</v>
      </c>
      <c r="Z218" s="179" t="e">
        <f>'Entrada e Saida'!$H$28*(IF('Entrada e Saida'!$H$15="PESO",(P218/(SUM(P:P))),(Q218/(SUM(Q:Q)))))</f>
        <v>#DIV/0!</v>
      </c>
      <c r="AA218" s="10" t="e">
        <f t="shared" si="118"/>
        <v>#DIV/0!</v>
      </c>
      <c r="AB218" s="3" t="e">
        <f t="shared" si="119"/>
        <v>#DIV/0!</v>
      </c>
      <c r="AC218" s="3" t="e">
        <f t="shared" si="120"/>
        <v>#DIV/0!</v>
      </c>
      <c r="AD218" s="3" t="e">
        <f t="shared" si="121"/>
        <v>#DIV/0!</v>
      </c>
      <c r="AE218" s="9" t="e">
        <f t="shared" si="122"/>
        <v>#DIV/0!</v>
      </c>
      <c r="AF218" s="126">
        <f>IFERROR(D218*F218*L218*'Entrada e Saida'!$K$8,0)</f>
        <v>0</v>
      </c>
      <c r="AG218" s="3" t="e">
        <f>((W218+AA218+AB218+AC218+AD218+AE218+AF218)/(1-'Entrada e Saida'!$G$65))*'Entrada e Saida'!$I$66</f>
        <v>#DIV/0!</v>
      </c>
      <c r="AH218" s="8" t="e">
        <f t="shared" si="123"/>
        <v>#DIV/0!</v>
      </c>
      <c r="AI218" s="183" t="e">
        <f>'Entrada e Saida'!$K$51*(IF('Entrada e Saida'!$H$15="PESO",(P218/(SUM(P:P))),(Q218/(SUM(Q:Q)))))</f>
        <v>#DIV/0!</v>
      </c>
      <c r="AJ218" s="7">
        <f>(('Entrada e Saida'!$K$10-'Entrada e Saida'!$K$8)*E218*D218)</f>
        <v>0</v>
      </c>
      <c r="AK218" s="184" t="e">
        <f>IF('Entrada e Saida'!$H$15="PESO",W218+AA218+AH218+AI218+AJ218,W218+AA218+AH218+AI218+AJ218-S218+T218-U218+V218)</f>
        <v>#DIV/0!</v>
      </c>
      <c r="AL218" s="6" t="e">
        <f>IF('Entrada e Saida'!$H$12="REAL",AC218,0)</f>
        <v>#DIV/0!</v>
      </c>
      <c r="AM218" s="6" t="e">
        <f>IF('Entrada e Saida'!$H$12="REAL",AD218,0)</f>
        <v>#DIV/0!</v>
      </c>
      <c r="AN218" s="5" t="e">
        <f>IF('Entrada e Saida'!$H$13= "NÃO",AE218,0)</f>
        <v>#DIV/0!</v>
      </c>
      <c r="AO218" s="5" t="e">
        <f t="shared" si="124"/>
        <v>#DIV/0!</v>
      </c>
      <c r="AP218" s="4" t="e">
        <f t="shared" si="125"/>
        <v>#DIV/0!</v>
      </c>
      <c r="AQ218" s="3" t="e">
        <f>IF('Entrada e Saida'!$H$11="TRADING",AU218*'Custo Resumido'!D218,0)</f>
        <v>#DIV/0!</v>
      </c>
      <c r="AR218" s="3" t="e">
        <f>IF('Entrada e Saida'!$H$11="TRADING",AU218*'Entrada e Saida'!$G$63,0)</f>
        <v>#DIV/0!</v>
      </c>
      <c r="AS218" s="3" t="e">
        <f>IF('Entrada e Saida'!$H$11="TRADING",AU218*'Entrada e Saida'!$G$64,0)</f>
        <v>#DIV/0!</v>
      </c>
      <c r="AT218" s="3" t="e">
        <f>IF('Entrada e Saida'!$H$11="TRADING",AU218*'Entrada e Saida'!$G$65,0)</f>
        <v>#DIV/0!</v>
      </c>
      <c r="AU218" s="4" t="e">
        <f>IF('Entrada e Saida'!$H$11="TRADING",AP218/(1-(SUM('Entrada e Saida'!$G$63:$G$65)+'Custo Resumido'!D218)),0)</f>
        <v>#DIV/0!</v>
      </c>
      <c r="AV218" s="3" t="e">
        <f>IF('Entrada e Saida'!$H$13="NÃO",AU218*M218,0)</f>
        <v>#DIV/0!</v>
      </c>
      <c r="AW218" s="4" t="e">
        <f t="shared" si="126"/>
        <v>#DIV/0!</v>
      </c>
      <c r="AX218" s="3" t="e">
        <f>'Entrada e Saida'!$G$74*AU218</f>
        <v>#DIV/0!</v>
      </c>
      <c r="AY218" s="4" t="e">
        <f t="shared" si="127"/>
        <v>#DIV/0!</v>
      </c>
      <c r="AZ218" s="4" t="e">
        <f>AQ218+('Entrada e Saida'!$G$65-'Entrada e Saida'!$I$65)*AU218-AX218</f>
        <v>#DIV/0!</v>
      </c>
      <c r="BA218" s="3" t="e">
        <f>IF('Entrada e Saida'!$H$12="REAL",AZ218*'Entrada e Saida'!$G$81,AU218*'Entrada e Saida'!$G$81)</f>
        <v>#DIV/0!</v>
      </c>
      <c r="BB218" s="3" t="e">
        <f>IF('Entrada e Saida'!$H$12="REAL",AZ218*'Entrada e Saida'!$G$82,AU218*'Entrada e Saida'!$G$82)</f>
        <v>#DIV/0!</v>
      </c>
      <c r="BC218" s="4" t="e">
        <f t="shared" si="128"/>
        <v>#DIV/0!</v>
      </c>
      <c r="BD218" s="3" t="e">
        <f>IF('Entrada e Saida'!$H$11="TRADING",AW218/D218,AK218/D218)</f>
        <v>#DIV/0!</v>
      </c>
      <c r="BE218" s="3" t="e">
        <f t="shared" si="129"/>
        <v>#DIV/0!</v>
      </c>
      <c r="BF218" s="2" t="e">
        <f t="shared" si="130"/>
        <v>#DIV/0!</v>
      </c>
      <c r="BG218" s="3" t="e">
        <f>IF('Entrada e Saida'!$H$11="TRADING",AV218/D218,AN218/D218)</f>
        <v>#DIV/0!</v>
      </c>
      <c r="BH218" s="3" t="e">
        <f>IF('Entrada e Saida'!$H$11="TRADING",IF('Entrada e Saida'!$H$12="REAL",AR218/D218,0),AL218/D218)</f>
        <v>#DIV/0!</v>
      </c>
      <c r="BI218" s="3" t="e">
        <f>IF('Entrada e Saida'!$H$11="TRADING",IF('Entrada e Saida'!$H$12="REAL",AS218/D218,0),AM218/D218)</f>
        <v>#DIV/0!</v>
      </c>
      <c r="BJ218" s="3" t="e">
        <f>IF('Entrada e Saida'!$H$11="TRADING",AT218/D218,AO218/D218)</f>
        <v>#DIV/0!</v>
      </c>
      <c r="BK218" s="2" t="e">
        <f t="shared" si="131"/>
        <v>#DIV/0!</v>
      </c>
      <c r="BL218" s="2">
        <f>IF(O218&gt;0,IFERROR(IF('Entrada e Saida'!$H$11="DIRETA",0,(IF('Entrada e Saida'!$H$14="P.JURIDICA",(BD218*(1+O218)*N218)-((BD218/(1+M218))*'Entrada e Saida'!$G$65),((Produtos!N218-'Entrada e Saida'!$G$65)*Produtos!BD218)))),0),0)</f>
        <v>0</v>
      </c>
      <c r="BM218" s="2" t="e">
        <f t="shared" si="132"/>
        <v>#DIV/0!</v>
      </c>
    </row>
    <row r="219" spans="1:65" s="1" customFormat="1">
      <c r="A219" s="127"/>
      <c r="B219" s="114"/>
      <c r="C219" s="116"/>
      <c r="D219" s="146"/>
      <c r="E219" s="115">
        <f>IFERROR(VLOOKUP(A219,'Master Modelo'!A:I,9,FALSE),0)</f>
        <v>0</v>
      </c>
      <c r="F219" s="189">
        <f>IFERROR(VLOOKUP(A219,'Master Modelo'!A:I,8,FALSE),0)</f>
        <v>0</v>
      </c>
      <c r="G219" s="189">
        <f>IFERROR(VLOOKUP(A219,'Master Modelo'!A:K,11,FALSE),0)</f>
        <v>0</v>
      </c>
      <c r="H219" s="114" t="e">
        <f t="shared" si="115"/>
        <v>#DIV/0!</v>
      </c>
      <c r="I219" s="150">
        <f>IFERROR(VLOOKUP(A219,'Master Modelo'!A:I,3,FALSE),0)</f>
        <v>0</v>
      </c>
      <c r="J219" s="151">
        <f>IFERROR(VLOOKUP(A219,'Master Modelo'!A:I,5,FALSE),0)</f>
        <v>0</v>
      </c>
      <c r="K219" s="151">
        <f>IFERROR(VLOOKUP(A219,'Master Modelo'!A:I,6,FALSE),0)</f>
        <v>0</v>
      </c>
      <c r="L219" s="152" t="e">
        <f>VLOOKUP(A219,'Master Modelo'!A:J,10,FALSE)</f>
        <v>#N/A</v>
      </c>
      <c r="M219" s="150">
        <f>IFERROR(VLOOKUP(A219,'Master Modelo'!A:I,4,FALSE),0)</f>
        <v>0</v>
      </c>
      <c r="N219" s="128"/>
      <c r="O219" s="129"/>
      <c r="P219" s="9">
        <f t="shared" si="116"/>
        <v>0</v>
      </c>
      <c r="Q219" s="177">
        <f t="shared" si="96"/>
        <v>0</v>
      </c>
      <c r="R219" s="3">
        <f>D219*E219*'Entrada e Saida'!$K$8</f>
        <v>0</v>
      </c>
      <c r="S219" s="179" t="e">
        <f>'Entrada e Saida'!$H$21*'Entrada e Saida'!$K$8*(P219/(SUM(P:P)))</f>
        <v>#DIV/0!</v>
      </c>
      <c r="T219" s="179" t="e">
        <f>'Entrada e Saida'!$H$21*'Entrada e Saida'!$K$8*(Q219/(SUM(Q:Q)))</f>
        <v>#DIV/0!</v>
      </c>
      <c r="U219" s="179" t="e">
        <f>'Entrada e Saida'!$H$22*(P219/(SUM(P:P)))</f>
        <v>#DIV/0!</v>
      </c>
      <c r="V219" s="179" t="e">
        <f>'Entrada e Saida'!$H$22*(Q219/(SUM(Q:Q)))</f>
        <v>#DIV/0!</v>
      </c>
      <c r="W219" s="8" t="e">
        <f t="shared" si="117"/>
        <v>#DIV/0!</v>
      </c>
      <c r="X219" s="179" t="e">
        <f>'Entrada e Saida'!$H$26*(IF('Entrada e Saida'!$H$15="PESO",(P219/(SUM(P:P))),(Q219/(SUM(Q:Q)))))</f>
        <v>#DIV/0!</v>
      </c>
      <c r="Y219" s="179" t="e">
        <f>'Entrada e Saida'!$H$27*(IF('Entrada e Saida'!$H$15="PESO",(P219/(SUM(P:P))),(Q219/(SUM(Q:Q)))))</f>
        <v>#DIV/0!</v>
      </c>
      <c r="Z219" s="179" t="e">
        <f>'Entrada e Saida'!$H$28*(IF('Entrada e Saida'!$H$15="PESO",(P219/(SUM(P:P))),(Q219/(SUM(Q:Q)))))</f>
        <v>#DIV/0!</v>
      </c>
      <c r="AA219" s="10" t="e">
        <f t="shared" si="118"/>
        <v>#DIV/0!</v>
      </c>
      <c r="AB219" s="3" t="e">
        <f t="shared" si="119"/>
        <v>#DIV/0!</v>
      </c>
      <c r="AC219" s="3" t="e">
        <f t="shared" si="120"/>
        <v>#DIV/0!</v>
      </c>
      <c r="AD219" s="3" t="e">
        <f t="shared" si="121"/>
        <v>#DIV/0!</v>
      </c>
      <c r="AE219" s="9" t="e">
        <f t="shared" si="122"/>
        <v>#DIV/0!</v>
      </c>
      <c r="AF219" s="126">
        <f>IFERROR(D219*F219*L219*'Entrada e Saida'!$K$8,0)</f>
        <v>0</v>
      </c>
      <c r="AG219" s="3" t="e">
        <f>((W219+AA219+AB219+AC219+AD219+AE219+AF219)/(1-'Entrada e Saida'!$G$65))*'Entrada e Saida'!$I$66</f>
        <v>#DIV/0!</v>
      </c>
      <c r="AH219" s="8" t="e">
        <f t="shared" si="123"/>
        <v>#DIV/0!</v>
      </c>
      <c r="AI219" s="183" t="e">
        <f>'Entrada e Saida'!$K$51*(IF('Entrada e Saida'!$H$15="PESO",(P219/(SUM(P:P))),(Q219/(SUM(Q:Q)))))</f>
        <v>#DIV/0!</v>
      </c>
      <c r="AJ219" s="7">
        <f>(('Entrada e Saida'!$K$10-'Entrada e Saida'!$K$8)*E219*D219)</f>
        <v>0</v>
      </c>
      <c r="AK219" s="184" t="e">
        <f>IF('Entrada e Saida'!$H$15="PESO",W219+AA219+AH219+AI219+AJ219,W219+AA219+AH219+AI219+AJ219-S219+T219-U219+V219)</f>
        <v>#DIV/0!</v>
      </c>
      <c r="AL219" s="6" t="e">
        <f>IF('Entrada e Saida'!$H$12="REAL",AC219,0)</f>
        <v>#DIV/0!</v>
      </c>
      <c r="AM219" s="6" t="e">
        <f>IF('Entrada e Saida'!$H$12="REAL",AD219,0)</f>
        <v>#DIV/0!</v>
      </c>
      <c r="AN219" s="5" t="e">
        <f>IF('Entrada e Saida'!$H$13= "NÃO",AE219,0)</f>
        <v>#DIV/0!</v>
      </c>
      <c r="AO219" s="5" t="e">
        <f t="shared" si="124"/>
        <v>#DIV/0!</v>
      </c>
      <c r="AP219" s="4" t="e">
        <f t="shared" si="125"/>
        <v>#DIV/0!</v>
      </c>
      <c r="AQ219" s="3" t="e">
        <f>IF('Entrada e Saida'!$H$11="TRADING",AU219*'Custo Resumido'!D219,0)</f>
        <v>#DIV/0!</v>
      </c>
      <c r="AR219" s="3" t="e">
        <f>IF('Entrada e Saida'!$H$11="TRADING",AU219*'Entrada e Saida'!$G$63,0)</f>
        <v>#DIV/0!</v>
      </c>
      <c r="AS219" s="3" t="e">
        <f>IF('Entrada e Saida'!$H$11="TRADING",AU219*'Entrada e Saida'!$G$64,0)</f>
        <v>#DIV/0!</v>
      </c>
      <c r="AT219" s="3" t="e">
        <f>IF('Entrada e Saida'!$H$11="TRADING",AU219*'Entrada e Saida'!$G$65,0)</f>
        <v>#DIV/0!</v>
      </c>
      <c r="AU219" s="4" t="e">
        <f>IF('Entrada e Saida'!$H$11="TRADING",AP219/(1-(SUM('Entrada e Saida'!$G$63:$G$65)+'Custo Resumido'!D219)),0)</f>
        <v>#DIV/0!</v>
      </c>
      <c r="AV219" s="3" t="e">
        <f>IF('Entrada e Saida'!$H$13="NÃO",AU219*M219,0)</f>
        <v>#DIV/0!</v>
      </c>
      <c r="AW219" s="4" t="e">
        <f t="shared" si="126"/>
        <v>#DIV/0!</v>
      </c>
      <c r="AX219" s="3" t="e">
        <f>'Entrada e Saida'!$G$74*AU219</f>
        <v>#DIV/0!</v>
      </c>
      <c r="AY219" s="4" t="e">
        <f t="shared" si="127"/>
        <v>#DIV/0!</v>
      </c>
      <c r="AZ219" s="4" t="e">
        <f>AQ219+('Entrada e Saida'!$G$65-'Entrada e Saida'!$I$65)*AU219-AX219</f>
        <v>#DIV/0!</v>
      </c>
      <c r="BA219" s="3" t="e">
        <f>IF('Entrada e Saida'!$H$12="REAL",AZ219*'Entrada e Saida'!$G$81,AU219*'Entrada e Saida'!$G$81)</f>
        <v>#DIV/0!</v>
      </c>
      <c r="BB219" s="3" t="e">
        <f>IF('Entrada e Saida'!$H$12="REAL",AZ219*'Entrada e Saida'!$G$82,AU219*'Entrada e Saida'!$G$82)</f>
        <v>#DIV/0!</v>
      </c>
      <c r="BC219" s="4" t="e">
        <f t="shared" si="128"/>
        <v>#DIV/0!</v>
      </c>
      <c r="BD219" s="3" t="e">
        <f>IF('Entrada e Saida'!$H$11="TRADING",AW219/D219,AK219/D219)</f>
        <v>#DIV/0!</v>
      </c>
      <c r="BE219" s="3" t="e">
        <f t="shared" si="129"/>
        <v>#DIV/0!</v>
      </c>
      <c r="BF219" s="2" t="e">
        <f t="shared" si="130"/>
        <v>#DIV/0!</v>
      </c>
      <c r="BG219" s="3" t="e">
        <f>IF('Entrada e Saida'!$H$11="TRADING",AV219/D219,AN219/D219)</f>
        <v>#DIV/0!</v>
      </c>
      <c r="BH219" s="3" t="e">
        <f>IF('Entrada e Saida'!$H$11="TRADING",IF('Entrada e Saida'!$H$12="REAL",AR219/D219,0),AL219/D219)</f>
        <v>#DIV/0!</v>
      </c>
      <c r="BI219" s="3" t="e">
        <f>IF('Entrada e Saida'!$H$11="TRADING",IF('Entrada e Saida'!$H$12="REAL",AS219/D219,0),AM219/D219)</f>
        <v>#DIV/0!</v>
      </c>
      <c r="BJ219" s="3" t="e">
        <f>IF('Entrada e Saida'!$H$11="TRADING",AT219/D219,AO219/D219)</f>
        <v>#DIV/0!</v>
      </c>
      <c r="BK219" s="2" t="e">
        <f t="shared" si="131"/>
        <v>#DIV/0!</v>
      </c>
      <c r="BL219" s="2">
        <f>IF(O219&gt;0,IFERROR(IF('Entrada e Saida'!$H$11="DIRETA",0,(IF('Entrada e Saida'!$H$14="P.JURIDICA",(BD219*(1+O219)*N219)-((BD219/(1+M219))*'Entrada e Saida'!$G$65),((Produtos!N219-'Entrada e Saida'!$G$65)*Produtos!BD219)))),0),0)</f>
        <v>0</v>
      </c>
      <c r="BM219" s="2" t="e">
        <f t="shared" si="132"/>
        <v>#DIV/0!</v>
      </c>
    </row>
    <row r="220" spans="1:65" s="1" customFormat="1">
      <c r="A220" s="127"/>
      <c r="B220" s="114"/>
      <c r="C220" s="116"/>
      <c r="D220" s="146"/>
      <c r="E220" s="115">
        <f>IFERROR(VLOOKUP(A220,'Master Modelo'!A:I,9,FALSE),0)</f>
        <v>0</v>
      </c>
      <c r="F220" s="189">
        <f>IFERROR(VLOOKUP(A220,'Master Modelo'!A:I,8,FALSE),0)</f>
        <v>0</v>
      </c>
      <c r="G220" s="189">
        <f>IFERROR(VLOOKUP(A220,'Master Modelo'!A:K,11,FALSE),0)</f>
        <v>0</v>
      </c>
      <c r="H220" s="114" t="e">
        <f t="shared" si="115"/>
        <v>#DIV/0!</v>
      </c>
      <c r="I220" s="150">
        <f>IFERROR(VLOOKUP(A220,'Master Modelo'!A:I,3,FALSE),0)</f>
        <v>0</v>
      </c>
      <c r="J220" s="151">
        <f>IFERROR(VLOOKUP(A220,'Master Modelo'!A:I,5,FALSE),0)</f>
        <v>0</v>
      </c>
      <c r="K220" s="151">
        <f>IFERROR(VLOOKUP(A220,'Master Modelo'!A:I,6,FALSE),0)</f>
        <v>0</v>
      </c>
      <c r="L220" s="152" t="e">
        <f>VLOOKUP(A220,'Master Modelo'!A:J,10,FALSE)</f>
        <v>#N/A</v>
      </c>
      <c r="M220" s="150">
        <f>IFERROR(VLOOKUP(A220,'Master Modelo'!A:I,4,FALSE),0)</f>
        <v>0</v>
      </c>
      <c r="N220" s="128"/>
      <c r="O220" s="129"/>
      <c r="P220" s="9">
        <f t="shared" si="116"/>
        <v>0</v>
      </c>
      <c r="Q220" s="177">
        <f t="shared" si="96"/>
        <v>0</v>
      </c>
      <c r="R220" s="3">
        <f>D220*E220*'Entrada e Saida'!$K$8</f>
        <v>0</v>
      </c>
      <c r="S220" s="179" t="e">
        <f>'Entrada e Saida'!$H$21*'Entrada e Saida'!$K$8*(P220/(SUM(P:P)))</f>
        <v>#DIV/0!</v>
      </c>
      <c r="T220" s="179" t="e">
        <f>'Entrada e Saida'!$H$21*'Entrada e Saida'!$K$8*(Q220/(SUM(Q:Q)))</f>
        <v>#DIV/0!</v>
      </c>
      <c r="U220" s="179" t="e">
        <f>'Entrada e Saida'!$H$22*(P220/(SUM(P:P)))</f>
        <v>#DIV/0!</v>
      </c>
      <c r="V220" s="179" t="e">
        <f>'Entrada e Saida'!$H$22*(Q220/(SUM(Q:Q)))</f>
        <v>#DIV/0!</v>
      </c>
      <c r="W220" s="8" t="e">
        <f t="shared" si="117"/>
        <v>#DIV/0!</v>
      </c>
      <c r="X220" s="179" t="e">
        <f>'Entrada e Saida'!$H$26*(IF('Entrada e Saida'!$H$15="PESO",(P220/(SUM(P:P))),(Q220/(SUM(Q:Q)))))</f>
        <v>#DIV/0!</v>
      </c>
      <c r="Y220" s="179" t="e">
        <f>'Entrada e Saida'!$H$27*(IF('Entrada e Saida'!$H$15="PESO",(P220/(SUM(P:P))),(Q220/(SUM(Q:Q)))))</f>
        <v>#DIV/0!</v>
      </c>
      <c r="Z220" s="179" t="e">
        <f>'Entrada e Saida'!$H$28*(IF('Entrada e Saida'!$H$15="PESO",(P220/(SUM(P:P))),(Q220/(SUM(Q:Q)))))</f>
        <v>#DIV/0!</v>
      </c>
      <c r="AA220" s="10" t="e">
        <f t="shared" si="118"/>
        <v>#DIV/0!</v>
      </c>
      <c r="AB220" s="3" t="e">
        <f t="shared" si="119"/>
        <v>#DIV/0!</v>
      </c>
      <c r="AC220" s="3" t="e">
        <f t="shared" si="120"/>
        <v>#DIV/0!</v>
      </c>
      <c r="AD220" s="3" t="e">
        <f t="shared" si="121"/>
        <v>#DIV/0!</v>
      </c>
      <c r="AE220" s="9" t="e">
        <f t="shared" si="122"/>
        <v>#DIV/0!</v>
      </c>
      <c r="AF220" s="126">
        <f>IFERROR(D220*F220*L220*'Entrada e Saida'!$K$8,0)</f>
        <v>0</v>
      </c>
      <c r="AG220" s="3" t="e">
        <f>((W220+AA220+AB220+AC220+AD220+AE220+AF220)/(1-'Entrada e Saida'!$G$65))*'Entrada e Saida'!$I$66</f>
        <v>#DIV/0!</v>
      </c>
      <c r="AH220" s="8" t="e">
        <f t="shared" si="123"/>
        <v>#DIV/0!</v>
      </c>
      <c r="AI220" s="183" t="e">
        <f>'Entrada e Saida'!$K$51*(IF('Entrada e Saida'!$H$15="PESO",(P220/(SUM(P:P))),(Q220/(SUM(Q:Q)))))</f>
        <v>#DIV/0!</v>
      </c>
      <c r="AJ220" s="7">
        <f>(('Entrada e Saida'!$K$10-'Entrada e Saida'!$K$8)*E220*D220)</f>
        <v>0</v>
      </c>
      <c r="AK220" s="184" t="e">
        <f>IF('Entrada e Saida'!$H$15="PESO",W220+AA220+AH220+AI220+AJ220,W220+AA220+AH220+AI220+AJ220-S220+T220-U220+V220)</f>
        <v>#DIV/0!</v>
      </c>
      <c r="AL220" s="6" t="e">
        <f>IF('Entrada e Saida'!$H$12="REAL",AC220,0)</f>
        <v>#DIV/0!</v>
      </c>
      <c r="AM220" s="6" t="e">
        <f>IF('Entrada e Saida'!$H$12="REAL",AD220,0)</f>
        <v>#DIV/0!</v>
      </c>
      <c r="AN220" s="5" t="e">
        <f>IF('Entrada e Saida'!$H$13= "NÃO",AE220,0)</f>
        <v>#DIV/0!</v>
      </c>
      <c r="AO220" s="5" t="e">
        <f t="shared" si="124"/>
        <v>#DIV/0!</v>
      </c>
      <c r="AP220" s="4" t="e">
        <f t="shared" si="125"/>
        <v>#DIV/0!</v>
      </c>
      <c r="AQ220" s="3" t="e">
        <f>IF('Entrada e Saida'!$H$11="TRADING",AU220*'Custo Resumido'!D220,0)</f>
        <v>#DIV/0!</v>
      </c>
      <c r="AR220" s="3" t="e">
        <f>IF('Entrada e Saida'!$H$11="TRADING",AU220*'Entrada e Saida'!$G$63,0)</f>
        <v>#DIV/0!</v>
      </c>
      <c r="AS220" s="3" t="e">
        <f>IF('Entrada e Saida'!$H$11="TRADING",AU220*'Entrada e Saida'!$G$64,0)</f>
        <v>#DIV/0!</v>
      </c>
      <c r="AT220" s="3" t="e">
        <f>IF('Entrada e Saida'!$H$11="TRADING",AU220*'Entrada e Saida'!$G$65,0)</f>
        <v>#DIV/0!</v>
      </c>
      <c r="AU220" s="4" t="e">
        <f>IF('Entrada e Saida'!$H$11="TRADING",AP220/(1-(SUM('Entrada e Saida'!$G$63:$G$65)+'Custo Resumido'!D220)),0)</f>
        <v>#DIV/0!</v>
      </c>
      <c r="AV220" s="3" t="e">
        <f>IF('Entrada e Saida'!$H$13="NÃO",AU220*M220,0)</f>
        <v>#DIV/0!</v>
      </c>
      <c r="AW220" s="4" t="e">
        <f t="shared" si="126"/>
        <v>#DIV/0!</v>
      </c>
      <c r="AX220" s="3" t="e">
        <f>'Entrada e Saida'!$G$74*AU220</f>
        <v>#DIV/0!</v>
      </c>
      <c r="AY220" s="4" t="e">
        <f t="shared" si="127"/>
        <v>#DIV/0!</v>
      </c>
      <c r="AZ220" s="4" t="e">
        <f>AQ220+('Entrada e Saida'!$G$65-'Entrada e Saida'!$I$65)*AU220-AX220</f>
        <v>#DIV/0!</v>
      </c>
      <c r="BA220" s="3" t="e">
        <f>IF('Entrada e Saida'!$H$12="REAL",AZ220*'Entrada e Saida'!$G$81,AU220*'Entrada e Saida'!$G$81)</f>
        <v>#DIV/0!</v>
      </c>
      <c r="BB220" s="3" t="e">
        <f>IF('Entrada e Saida'!$H$12="REAL",AZ220*'Entrada e Saida'!$G$82,AU220*'Entrada e Saida'!$G$82)</f>
        <v>#DIV/0!</v>
      </c>
      <c r="BC220" s="4" t="e">
        <f t="shared" si="128"/>
        <v>#DIV/0!</v>
      </c>
      <c r="BD220" s="3" t="e">
        <f>IF('Entrada e Saida'!$H$11="TRADING",AW220/D220,AK220/D220)</f>
        <v>#DIV/0!</v>
      </c>
      <c r="BE220" s="3" t="e">
        <f t="shared" si="129"/>
        <v>#DIV/0!</v>
      </c>
      <c r="BF220" s="2" t="e">
        <f t="shared" si="130"/>
        <v>#DIV/0!</v>
      </c>
      <c r="BG220" s="3" t="e">
        <f>IF('Entrada e Saida'!$H$11="TRADING",AV220/D220,AN220/D220)</f>
        <v>#DIV/0!</v>
      </c>
      <c r="BH220" s="3" t="e">
        <f>IF('Entrada e Saida'!$H$11="TRADING",IF('Entrada e Saida'!$H$12="REAL",AR220/D220,0),AL220/D220)</f>
        <v>#DIV/0!</v>
      </c>
      <c r="BI220" s="3" t="e">
        <f>IF('Entrada e Saida'!$H$11="TRADING",IF('Entrada e Saida'!$H$12="REAL",AS220/D220,0),AM220/D220)</f>
        <v>#DIV/0!</v>
      </c>
      <c r="BJ220" s="3" t="e">
        <f>IF('Entrada e Saida'!$H$11="TRADING",AT220/D220,AO220/D220)</f>
        <v>#DIV/0!</v>
      </c>
      <c r="BK220" s="2" t="e">
        <f t="shared" si="131"/>
        <v>#DIV/0!</v>
      </c>
      <c r="BL220" s="2">
        <f>IF(O220&gt;0,IFERROR(IF('Entrada e Saida'!$H$11="DIRETA",0,(IF('Entrada e Saida'!$H$14="P.JURIDICA",(BD220*(1+O220)*N220)-((BD220/(1+M220))*'Entrada e Saida'!$G$65),((Produtos!N220-'Entrada e Saida'!$G$65)*Produtos!BD220)))),0),0)</f>
        <v>0</v>
      </c>
      <c r="BM220" s="2" t="e">
        <f t="shared" si="132"/>
        <v>#DIV/0!</v>
      </c>
    </row>
    <row r="221" spans="1:65" s="1" customFormat="1">
      <c r="A221" s="127"/>
      <c r="B221" s="114"/>
      <c r="C221" s="116"/>
      <c r="D221" s="146"/>
      <c r="E221" s="115">
        <f>IFERROR(VLOOKUP(A221,'Master Modelo'!A:I,9,FALSE),0)</f>
        <v>0</v>
      </c>
      <c r="F221" s="189">
        <f>IFERROR(VLOOKUP(A221,'Master Modelo'!A:I,8,FALSE),0)</f>
        <v>0</v>
      </c>
      <c r="G221" s="189">
        <f>IFERROR(VLOOKUP(A221,'Master Modelo'!A:K,11,FALSE),0)</f>
        <v>0</v>
      </c>
      <c r="H221" s="114" t="e">
        <f t="shared" si="115"/>
        <v>#DIV/0!</v>
      </c>
      <c r="I221" s="150">
        <f>IFERROR(VLOOKUP(A221,'Master Modelo'!A:I,3,FALSE),0)</f>
        <v>0</v>
      </c>
      <c r="J221" s="151">
        <f>IFERROR(VLOOKUP(A221,'Master Modelo'!A:I,5,FALSE),0)</f>
        <v>0</v>
      </c>
      <c r="K221" s="151">
        <f>IFERROR(VLOOKUP(A221,'Master Modelo'!A:I,6,FALSE),0)</f>
        <v>0</v>
      </c>
      <c r="L221" s="152" t="e">
        <f>VLOOKUP(A221,'Master Modelo'!A:J,10,FALSE)</f>
        <v>#N/A</v>
      </c>
      <c r="M221" s="150">
        <f>IFERROR(VLOOKUP(A221,'Master Modelo'!A:I,4,FALSE),0)</f>
        <v>0</v>
      </c>
      <c r="N221" s="128"/>
      <c r="O221" s="129"/>
      <c r="P221" s="9">
        <f t="shared" si="116"/>
        <v>0</v>
      </c>
      <c r="Q221" s="177">
        <f t="shared" si="96"/>
        <v>0</v>
      </c>
      <c r="R221" s="3">
        <f>D221*E221*'Entrada e Saida'!$K$8</f>
        <v>0</v>
      </c>
      <c r="S221" s="179" t="e">
        <f>'Entrada e Saida'!$H$21*'Entrada e Saida'!$K$8*(P221/(SUM(P:P)))</f>
        <v>#DIV/0!</v>
      </c>
      <c r="T221" s="179" t="e">
        <f>'Entrada e Saida'!$H$21*'Entrada e Saida'!$K$8*(Q221/(SUM(Q:Q)))</f>
        <v>#DIV/0!</v>
      </c>
      <c r="U221" s="179" t="e">
        <f>'Entrada e Saida'!$H$22*(P221/(SUM(P:P)))</f>
        <v>#DIV/0!</v>
      </c>
      <c r="V221" s="179" t="e">
        <f>'Entrada e Saida'!$H$22*(Q221/(SUM(Q:Q)))</f>
        <v>#DIV/0!</v>
      </c>
      <c r="W221" s="8" t="e">
        <f t="shared" si="117"/>
        <v>#DIV/0!</v>
      </c>
      <c r="X221" s="179" t="e">
        <f>'Entrada e Saida'!$H$26*(IF('Entrada e Saida'!$H$15="PESO",(P221/(SUM(P:P))),(Q221/(SUM(Q:Q)))))</f>
        <v>#DIV/0!</v>
      </c>
      <c r="Y221" s="179" t="e">
        <f>'Entrada e Saida'!$H$27*(IF('Entrada e Saida'!$H$15="PESO",(P221/(SUM(P:P))),(Q221/(SUM(Q:Q)))))</f>
        <v>#DIV/0!</v>
      </c>
      <c r="Z221" s="179" t="e">
        <f>'Entrada e Saida'!$H$28*(IF('Entrada e Saida'!$H$15="PESO",(P221/(SUM(P:P))),(Q221/(SUM(Q:Q)))))</f>
        <v>#DIV/0!</v>
      </c>
      <c r="AA221" s="10" t="e">
        <f t="shared" si="118"/>
        <v>#DIV/0!</v>
      </c>
      <c r="AB221" s="3" t="e">
        <f t="shared" si="119"/>
        <v>#DIV/0!</v>
      </c>
      <c r="AC221" s="3" t="e">
        <f t="shared" si="120"/>
        <v>#DIV/0!</v>
      </c>
      <c r="AD221" s="3" t="e">
        <f t="shared" si="121"/>
        <v>#DIV/0!</v>
      </c>
      <c r="AE221" s="9" t="e">
        <f t="shared" si="122"/>
        <v>#DIV/0!</v>
      </c>
      <c r="AF221" s="126">
        <f>IFERROR(D221*F221*L221*'Entrada e Saida'!$K$8,0)</f>
        <v>0</v>
      </c>
      <c r="AG221" s="3" t="e">
        <f>((W221+AA221+AB221+AC221+AD221+AE221+AF221)/(1-'Entrada e Saida'!$G$65))*'Entrada e Saida'!$I$66</f>
        <v>#DIV/0!</v>
      </c>
      <c r="AH221" s="8" t="e">
        <f t="shared" si="123"/>
        <v>#DIV/0!</v>
      </c>
      <c r="AI221" s="183" t="e">
        <f>'Entrada e Saida'!$K$51*(IF('Entrada e Saida'!$H$15="PESO",(P221/(SUM(P:P))),(Q221/(SUM(Q:Q)))))</f>
        <v>#DIV/0!</v>
      </c>
      <c r="AJ221" s="7">
        <f>(('Entrada e Saida'!$K$10-'Entrada e Saida'!$K$8)*E221*D221)</f>
        <v>0</v>
      </c>
      <c r="AK221" s="184" t="e">
        <f>IF('Entrada e Saida'!$H$15="PESO",W221+AA221+AH221+AI221+AJ221,W221+AA221+AH221+AI221+AJ221-S221+T221-U221+V221)</f>
        <v>#DIV/0!</v>
      </c>
      <c r="AL221" s="6" t="e">
        <f>IF('Entrada e Saida'!$H$12="REAL",AC221,0)</f>
        <v>#DIV/0!</v>
      </c>
      <c r="AM221" s="6" t="e">
        <f>IF('Entrada e Saida'!$H$12="REAL",AD221,0)</f>
        <v>#DIV/0!</v>
      </c>
      <c r="AN221" s="5" t="e">
        <f>IF('Entrada e Saida'!$H$13= "NÃO",AE221,0)</f>
        <v>#DIV/0!</v>
      </c>
      <c r="AO221" s="5" t="e">
        <f t="shared" si="124"/>
        <v>#DIV/0!</v>
      </c>
      <c r="AP221" s="4" t="e">
        <f t="shared" si="125"/>
        <v>#DIV/0!</v>
      </c>
      <c r="AQ221" s="3" t="e">
        <f>IF('Entrada e Saida'!$H$11="TRADING",AU221*'Custo Resumido'!D221,0)</f>
        <v>#DIV/0!</v>
      </c>
      <c r="AR221" s="3" t="e">
        <f>IF('Entrada e Saida'!$H$11="TRADING",AU221*'Entrada e Saida'!$G$63,0)</f>
        <v>#DIV/0!</v>
      </c>
      <c r="AS221" s="3" t="e">
        <f>IF('Entrada e Saida'!$H$11="TRADING",AU221*'Entrada e Saida'!$G$64,0)</f>
        <v>#DIV/0!</v>
      </c>
      <c r="AT221" s="3" t="e">
        <f>IF('Entrada e Saida'!$H$11="TRADING",AU221*'Entrada e Saida'!$G$65,0)</f>
        <v>#DIV/0!</v>
      </c>
      <c r="AU221" s="4" t="e">
        <f>IF('Entrada e Saida'!$H$11="TRADING",AP221/(1-(SUM('Entrada e Saida'!$G$63:$G$65)+'Custo Resumido'!D221)),0)</f>
        <v>#DIV/0!</v>
      </c>
      <c r="AV221" s="3" t="e">
        <f>IF('Entrada e Saida'!$H$13="NÃO",AU221*M221,0)</f>
        <v>#DIV/0!</v>
      </c>
      <c r="AW221" s="4" t="e">
        <f t="shared" si="126"/>
        <v>#DIV/0!</v>
      </c>
      <c r="AX221" s="3" t="e">
        <f>'Entrada e Saida'!$G$74*AU221</f>
        <v>#DIV/0!</v>
      </c>
      <c r="AY221" s="4" t="e">
        <f t="shared" si="127"/>
        <v>#DIV/0!</v>
      </c>
      <c r="AZ221" s="4" t="e">
        <f>AQ221+('Entrada e Saida'!$G$65-'Entrada e Saida'!$I$65)*AU221-AX221</f>
        <v>#DIV/0!</v>
      </c>
      <c r="BA221" s="3" t="e">
        <f>IF('Entrada e Saida'!$H$12="REAL",AZ221*'Entrada e Saida'!$G$81,AU221*'Entrada e Saida'!$G$81)</f>
        <v>#DIV/0!</v>
      </c>
      <c r="BB221" s="3" t="e">
        <f>IF('Entrada e Saida'!$H$12="REAL",AZ221*'Entrada e Saida'!$G$82,AU221*'Entrada e Saida'!$G$82)</f>
        <v>#DIV/0!</v>
      </c>
      <c r="BC221" s="4" t="e">
        <f t="shared" si="128"/>
        <v>#DIV/0!</v>
      </c>
      <c r="BD221" s="3" t="e">
        <f>IF('Entrada e Saida'!$H$11="TRADING",AW221/D221,AK221/D221)</f>
        <v>#DIV/0!</v>
      </c>
      <c r="BE221" s="3" t="e">
        <f t="shared" si="129"/>
        <v>#DIV/0!</v>
      </c>
      <c r="BF221" s="2" t="e">
        <f t="shared" si="130"/>
        <v>#DIV/0!</v>
      </c>
      <c r="BG221" s="3" t="e">
        <f>IF('Entrada e Saida'!$H$11="TRADING",AV221/D221,AN221/D221)</f>
        <v>#DIV/0!</v>
      </c>
      <c r="BH221" s="3" t="e">
        <f>IF('Entrada e Saida'!$H$11="TRADING",IF('Entrada e Saida'!$H$12="REAL",AR221/D221,0),AL221/D221)</f>
        <v>#DIV/0!</v>
      </c>
      <c r="BI221" s="3" t="e">
        <f>IF('Entrada e Saida'!$H$11="TRADING",IF('Entrada e Saida'!$H$12="REAL",AS221/D221,0),AM221/D221)</f>
        <v>#DIV/0!</v>
      </c>
      <c r="BJ221" s="3" t="e">
        <f>IF('Entrada e Saida'!$H$11="TRADING",AT221/D221,AO221/D221)</f>
        <v>#DIV/0!</v>
      </c>
      <c r="BK221" s="2" t="e">
        <f t="shared" si="131"/>
        <v>#DIV/0!</v>
      </c>
      <c r="BL221" s="2">
        <f>IF(O221&gt;0,IFERROR(IF('Entrada e Saida'!$H$11="DIRETA",0,(IF('Entrada e Saida'!$H$14="P.JURIDICA",(BD221*(1+O221)*N221)-((BD221/(1+M221))*'Entrada e Saida'!$G$65),((Produtos!N221-'Entrada e Saida'!$G$65)*Produtos!BD221)))),0),0)</f>
        <v>0</v>
      </c>
      <c r="BM221" s="2" t="e">
        <f t="shared" si="132"/>
        <v>#DIV/0!</v>
      </c>
    </row>
    <row r="222" spans="1:65" s="1" customFormat="1">
      <c r="A222" s="127"/>
      <c r="B222" s="114"/>
      <c r="C222" s="116"/>
      <c r="D222" s="146"/>
      <c r="E222" s="115">
        <f>IFERROR(VLOOKUP(A222,'Master Modelo'!A:I,9,FALSE),0)</f>
        <v>0</v>
      </c>
      <c r="F222" s="189">
        <f>IFERROR(VLOOKUP(A222,'Master Modelo'!A:I,8,FALSE),0)</f>
        <v>0</v>
      </c>
      <c r="G222" s="189">
        <f>IFERROR(VLOOKUP(A222,'Master Modelo'!A:K,11,FALSE),0)</f>
        <v>0</v>
      </c>
      <c r="H222" s="114" t="e">
        <f t="shared" si="115"/>
        <v>#DIV/0!</v>
      </c>
      <c r="I222" s="150">
        <f>IFERROR(VLOOKUP(A222,'Master Modelo'!A:I,3,FALSE),0)</f>
        <v>0</v>
      </c>
      <c r="J222" s="151">
        <f>IFERROR(VLOOKUP(A222,'Master Modelo'!A:I,5,FALSE),0)</f>
        <v>0</v>
      </c>
      <c r="K222" s="151">
        <f>IFERROR(VLOOKUP(A222,'Master Modelo'!A:I,6,FALSE),0)</f>
        <v>0</v>
      </c>
      <c r="L222" s="152" t="e">
        <f>VLOOKUP(A222,'Master Modelo'!A:J,10,FALSE)</f>
        <v>#N/A</v>
      </c>
      <c r="M222" s="150">
        <f>IFERROR(VLOOKUP(A222,'Master Modelo'!A:I,4,FALSE),0)</f>
        <v>0</v>
      </c>
      <c r="N222" s="128"/>
      <c r="O222" s="129"/>
      <c r="P222" s="9">
        <f t="shared" si="116"/>
        <v>0</v>
      </c>
      <c r="Q222" s="177">
        <f t="shared" si="96"/>
        <v>0</v>
      </c>
      <c r="R222" s="3">
        <f>D222*E222*'Entrada e Saida'!$K$8</f>
        <v>0</v>
      </c>
      <c r="S222" s="179" t="e">
        <f>'Entrada e Saida'!$H$21*'Entrada e Saida'!$K$8*(P222/(SUM(P:P)))</f>
        <v>#DIV/0!</v>
      </c>
      <c r="T222" s="179" t="e">
        <f>'Entrada e Saida'!$H$21*'Entrada e Saida'!$K$8*(Q222/(SUM(Q:Q)))</f>
        <v>#DIV/0!</v>
      </c>
      <c r="U222" s="179" t="e">
        <f>'Entrada e Saida'!$H$22*(P222/(SUM(P:P)))</f>
        <v>#DIV/0!</v>
      </c>
      <c r="V222" s="179" t="e">
        <f>'Entrada e Saida'!$H$22*(Q222/(SUM(Q:Q)))</f>
        <v>#DIV/0!</v>
      </c>
      <c r="W222" s="8" t="e">
        <f t="shared" si="117"/>
        <v>#DIV/0!</v>
      </c>
      <c r="X222" s="179" t="e">
        <f>'Entrada e Saida'!$H$26*(IF('Entrada e Saida'!$H$15="PESO",(P222/(SUM(P:P))),(Q222/(SUM(Q:Q)))))</f>
        <v>#DIV/0!</v>
      </c>
      <c r="Y222" s="179" t="e">
        <f>'Entrada e Saida'!$H$27*(IF('Entrada e Saida'!$H$15="PESO",(P222/(SUM(P:P))),(Q222/(SUM(Q:Q)))))</f>
        <v>#DIV/0!</v>
      </c>
      <c r="Z222" s="179" t="e">
        <f>'Entrada e Saida'!$H$28*(IF('Entrada e Saida'!$H$15="PESO",(P222/(SUM(P:P))),(Q222/(SUM(Q:Q)))))</f>
        <v>#DIV/0!</v>
      </c>
      <c r="AA222" s="10" t="e">
        <f t="shared" si="118"/>
        <v>#DIV/0!</v>
      </c>
      <c r="AB222" s="3" t="e">
        <f t="shared" si="119"/>
        <v>#DIV/0!</v>
      </c>
      <c r="AC222" s="3" t="e">
        <f t="shared" si="120"/>
        <v>#DIV/0!</v>
      </c>
      <c r="AD222" s="3" t="e">
        <f t="shared" si="121"/>
        <v>#DIV/0!</v>
      </c>
      <c r="AE222" s="9" t="e">
        <f t="shared" si="122"/>
        <v>#DIV/0!</v>
      </c>
      <c r="AF222" s="126">
        <f>IFERROR(D222*F222*L222*'Entrada e Saida'!$K$8,0)</f>
        <v>0</v>
      </c>
      <c r="AG222" s="3" t="e">
        <f>((W222+AA222+AB222+AC222+AD222+AE222+AF222)/(1-'Entrada e Saida'!$G$65))*'Entrada e Saida'!$I$66</f>
        <v>#DIV/0!</v>
      </c>
      <c r="AH222" s="8" t="e">
        <f t="shared" si="123"/>
        <v>#DIV/0!</v>
      </c>
      <c r="AI222" s="183" t="e">
        <f>'Entrada e Saida'!$K$51*(IF('Entrada e Saida'!$H$15="PESO",(P222/(SUM(P:P))),(Q222/(SUM(Q:Q)))))</f>
        <v>#DIV/0!</v>
      </c>
      <c r="AJ222" s="7">
        <f>(('Entrada e Saida'!$K$10-'Entrada e Saida'!$K$8)*E222*D222)</f>
        <v>0</v>
      </c>
      <c r="AK222" s="184" t="e">
        <f>IF('Entrada e Saida'!$H$15="PESO",W222+AA222+AH222+AI222+AJ222,W222+AA222+AH222+AI222+AJ222-S222+T222-U222+V222)</f>
        <v>#DIV/0!</v>
      </c>
      <c r="AL222" s="6" t="e">
        <f>IF('Entrada e Saida'!$H$12="REAL",AC222,0)</f>
        <v>#DIV/0!</v>
      </c>
      <c r="AM222" s="6" t="e">
        <f>IF('Entrada e Saida'!$H$12="REAL",AD222,0)</f>
        <v>#DIV/0!</v>
      </c>
      <c r="AN222" s="5" t="e">
        <f>IF('Entrada e Saida'!$H$13= "NÃO",AE222,0)</f>
        <v>#DIV/0!</v>
      </c>
      <c r="AO222" s="5" t="e">
        <f t="shared" si="124"/>
        <v>#DIV/0!</v>
      </c>
      <c r="AP222" s="4" t="e">
        <f t="shared" si="125"/>
        <v>#DIV/0!</v>
      </c>
      <c r="AQ222" s="3" t="e">
        <f>IF('Entrada e Saida'!$H$11="TRADING",AU222*'Custo Resumido'!D222,0)</f>
        <v>#DIV/0!</v>
      </c>
      <c r="AR222" s="3" t="e">
        <f>IF('Entrada e Saida'!$H$11="TRADING",AU222*'Entrada e Saida'!$G$63,0)</f>
        <v>#DIV/0!</v>
      </c>
      <c r="AS222" s="3" t="e">
        <f>IF('Entrada e Saida'!$H$11="TRADING",AU222*'Entrada e Saida'!$G$64,0)</f>
        <v>#DIV/0!</v>
      </c>
      <c r="AT222" s="3" t="e">
        <f>IF('Entrada e Saida'!$H$11="TRADING",AU222*'Entrada e Saida'!$G$65,0)</f>
        <v>#DIV/0!</v>
      </c>
      <c r="AU222" s="4" t="e">
        <f>IF('Entrada e Saida'!$H$11="TRADING",AP222/(1-(SUM('Entrada e Saida'!$G$63:$G$65)+'Custo Resumido'!D222)),0)</f>
        <v>#DIV/0!</v>
      </c>
      <c r="AV222" s="3" t="e">
        <f>IF('Entrada e Saida'!$H$13="NÃO",AU222*M222,0)</f>
        <v>#DIV/0!</v>
      </c>
      <c r="AW222" s="4" t="e">
        <f t="shared" si="126"/>
        <v>#DIV/0!</v>
      </c>
      <c r="AX222" s="3" t="e">
        <f>'Entrada e Saida'!$G$74*AU222</f>
        <v>#DIV/0!</v>
      </c>
      <c r="AY222" s="4" t="e">
        <f t="shared" si="127"/>
        <v>#DIV/0!</v>
      </c>
      <c r="AZ222" s="4" t="e">
        <f>AQ222+('Entrada e Saida'!$G$65-'Entrada e Saida'!$I$65)*AU222-AX222</f>
        <v>#DIV/0!</v>
      </c>
      <c r="BA222" s="3" t="e">
        <f>IF('Entrada e Saida'!$H$12="REAL",AZ222*'Entrada e Saida'!$G$81,AU222*'Entrada e Saida'!$G$81)</f>
        <v>#DIV/0!</v>
      </c>
      <c r="BB222" s="3" t="e">
        <f>IF('Entrada e Saida'!$H$12="REAL",AZ222*'Entrada e Saida'!$G$82,AU222*'Entrada e Saida'!$G$82)</f>
        <v>#DIV/0!</v>
      </c>
      <c r="BC222" s="4" t="e">
        <f t="shared" si="128"/>
        <v>#DIV/0!</v>
      </c>
      <c r="BD222" s="3" t="e">
        <f>IF('Entrada e Saida'!$H$11="TRADING",AW222/D222,AK222/D222)</f>
        <v>#DIV/0!</v>
      </c>
      <c r="BE222" s="3" t="e">
        <f t="shared" si="129"/>
        <v>#DIV/0!</v>
      </c>
      <c r="BF222" s="2" t="e">
        <f t="shared" si="130"/>
        <v>#DIV/0!</v>
      </c>
      <c r="BG222" s="3" t="e">
        <f>IF('Entrada e Saida'!$H$11="TRADING",AV222/D222,AN222/D222)</f>
        <v>#DIV/0!</v>
      </c>
      <c r="BH222" s="3" t="e">
        <f>IF('Entrada e Saida'!$H$11="TRADING",IF('Entrada e Saida'!$H$12="REAL",AR222/D222,0),AL222/D222)</f>
        <v>#DIV/0!</v>
      </c>
      <c r="BI222" s="3" t="e">
        <f>IF('Entrada e Saida'!$H$11="TRADING",IF('Entrada e Saida'!$H$12="REAL",AS222/D222,0),AM222/D222)</f>
        <v>#DIV/0!</v>
      </c>
      <c r="BJ222" s="3" t="e">
        <f>IF('Entrada e Saida'!$H$11="TRADING",AT222/D222,AO222/D222)</f>
        <v>#DIV/0!</v>
      </c>
      <c r="BK222" s="2" t="e">
        <f t="shared" si="131"/>
        <v>#DIV/0!</v>
      </c>
      <c r="BL222" s="2">
        <f>IF(O222&gt;0,IFERROR(IF('Entrada e Saida'!$H$11="DIRETA",0,(IF('Entrada e Saida'!$H$14="P.JURIDICA",(BD222*(1+O222)*N222)-((BD222/(1+M222))*'Entrada e Saida'!$G$65),((Produtos!N222-'Entrada e Saida'!$G$65)*Produtos!BD222)))),0),0)</f>
        <v>0</v>
      </c>
      <c r="BM222" s="2" t="e">
        <f t="shared" si="132"/>
        <v>#DIV/0!</v>
      </c>
    </row>
    <row r="223" spans="1:65" s="1" customFormat="1">
      <c r="A223" s="127"/>
      <c r="B223" s="114"/>
      <c r="C223" s="116"/>
      <c r="D223" s="146"/>
      <c r="E223" s="115">
        <f>IFERROR(VLOOKUP(A223,'Master Modelo'!A:I,9,FALSE),0)</f>
        <v>0</v>
      </c>
      <c r="F223" s="189">
        <f>IFERROR(VLOOKUP(A223,'Master Modelo'!A:I,8,FALSE),0)</f>
        <v>0</v>
      </c>
      <c r="G223" s="189">
        <f>IFERROR(VLOOKUP(A223,'Master Modelo'!A:K,11,FALSE),0)</f>
        <v>0</v>
      </c>
      <c r="H223" s="114" t="e">
        <f t="shared" si="115"/>
        <v>#DIV/0!</v>
      </c>
      <c r="I223" s="150">
        <f>IFERROR(VLOOKUP(A223,'Master Modelo'!A:I,3,FALSE),0)</f>
        <v>0</v>
      </c>
      <c r="J223" s="151">
        <f>IFERROR(VLOOKUP(A223,'Master Modelo'!A:I,5,FALSE),0)</f>
        <v>0</v>
      </c>
      <c r="K223" s="151">
        <f>IFERROR(VLOOKUP(A223,'Master Modelo'!A:I,6,FALSE),0)</f>
        <v>0</v>
      </c>
      <c r="L223" s="152" t="e">
        <f>VLOOKUP(A223,'Master Modelo'!A:J,10,FALSE)</f>
        <v>#N/A</v>
      </c>
      <c r="M223" s="150">
        <f>IFERROR(VLOOKUP(A223,'Master Modelo'!A:I,4,FALSE),0)</f>
        <v>0</v>
      </c>
      <c r="N223" s="128"/>
      <c r="O223" s="129"/>
      <c r="P223" s="9">
        <f t="shared" si="116"/>
        <v>0</v>
      </c>
      <c r="Q223" s="177">
        <f t="shared" si="96"/>
        <v>0</v>
      </c>
      <c r="R223" s="3">
        <f>D223*E223*'Entrada e Saida'!$K$8</f>
        <v>0</v>
      </c>
      <c r="S223" s="179" t="e">
        <f>'Entrada e Saida'!$H$21*'Entrada e Saida'!$K$8*(P223/(SUM(P:P)))</f>
        <v>#DIV/0!</v>
      </c>
      <c r="T223" s="179" t="e">
        <f>'Entrada e Saida'!$H$21*'Entrada e Saida'!$K$8*(Q223/(SUM(Q:Q)))</f>
        <v>#DIV/0!</v>
      </c>
      <c r="U223" s="179" t="e">
        <f>'Entrada e Saida'!$H$22*(P223/(SUM(P:P)))</f>
        <v>#DIV/0!</v>
      </c>
      <c r="V223" s="179" t="e">
        <f>'Entrada e Saida'!$H$22*(Q223/(SUM(Q:Q)))</f>
        <v>#DIV/0!</v>
      </c>
      <c r="W223" s="8" t="e">
        <f t="shared" si="117"/>
        <v>#DIV/0!</v>
      </c>
      <c r="X223" s="179" t="e">
        <f>'Entrada e Saida'!$H$26*(IF('Entrada e Saida'!$H$15="PESO",(P223/(SUM(P:P))),(Q223/(SUM(Q:Q)))))</f>
        <v>#DIV/0!</v>
      </c>
      <c r="Y223" s="179" t="e">
        <f>'Entrada e Saida'!$H$27*(IF('Entrada e Saida'!$H$15="PESO",(P223/(SUM(P:P))),(Q223/(SUM(Q:Q)))))</f>
        <v>#DIV/0!</v>
      </c>
      <c r="Z223" s="179" t="e">
        <f>'Entrada e Saida'!$H$28*(IF('Entrada e Saida'!$H$15="PESO",(P223/(SUM(P:P))),(Q223/(SUM(Q:Q)))))</f>
        <v>#DIV/0!</v>
      </c>
      <c r="AA223" s="10" t="e">
        <f t="shared" si="118"/>
        <v>#DIV/0!</v>
      </c>
      <c r="AB223" s="3" t="e">
        <f t="shared" si="119"/>
        <v>#DIV/0!</v>
      </c>
      <c r="AC223" s="3" t="e">
        <f t="shared" si="120"/>
        <v>#DIV/0!</v>
      </c>
      <c r="AD223" s="3" t="e">
        <f t="shared" si="121"/>
        <v>#DIV/0!</v>
      </c>
      <c r="AE223" s="9" t="e">
        <f t="shared" si="122"/>
        <v>#DIV/0!</v>
      </c>
      <c r="AF223" s="126">
        <f>IFERROR(D223*F223*L223*'Entrada e Saida'!$K$8,0)</f>
        <v>0</v>
      </c>
      <c r="AG223" s="3" t="e">
        <f>((W223+AA223+AB223+AC223+AD223+AE223+AF223)/(1-'Entrada e Saida'!$G$65))*'Entrada e Saida'!$I$66</f>
        <v>#DIV/0!</v>
      </c>
      <c r="AH223" s="8" t="e">
        <f t="shared" si="123"/>
        <v>#DIV/0!</v>
      </c>
      <c r="AI223" s="183" t="e">
        <f>'Entrada e Saida'!$K$51*(IF('Entrada e Saida'!$H$15="PESO",(P223/(SUM(P:P))),(Q223/(SUM(Q:Q)))))</f>
        <v>#DIV/0!</v>
      </c>
      <c r="AJ223" s="7">
        <f>(('Entrada e Saida'!$K$10-'Entrada e Saida'!$K$8)*E223*D223)</f>
        <v>0</v>
      </c>
      <c r="AK223" s="184" t="e">
        <f>IF('Entrada e Saida'!$H$15="PESO",W223+AA223+AH223+AI223+AJ223,W223+AA223+AH223+AI223+AJ223-S223+T223-U223+V223)</f>
        <v>#DIV/0!</v>
      </c>
      <c r="AL223" s="6" t="e">
        <f>IF('Entrada e Saida'!$H$12="REAL",AC223,0)</f>
        <v>#DIV/0!</v>
      </c>
      <c r="AM223" s="6" t="e">
        <f>IF('Entrada e Saida'!$H$12="REAL",AD223,0)</f>
        <v>#DIV/0!</v>
      </c>
      <c r="AN223" s="5" t="e">
        <f>IF('Entrada e Saida'!$H$13= "NÃO",AE223,0)</f>
        <v>#DIV/0!</v>
      </c>
      <c r="AO223" s="5" t="e">
        <f t="shared" si="124"/>
        <v>#DIV/0!</v>
      </c>
      <c r="AP223" s="4" t="e">
        <f t="shared" si="125"/>
        <v>#DIV/0!</v>
      </c>
      <c r="AQ223" s="3" t="e">
        <f>IF('Entrada e Saida'!$H$11="TRADING",AU223*'Custo Resumido'!D223,0)</f>
        <v>#DIV/0!</v>
      </c>
      <c r="AR223" s="3" t="e">
        <f>IF('Entrada e Saida'!$H$11="TRADING",AU223*'Entrada e Saida'!$G$63,0)</f>
        <v>#DIV/0!</v>
      </c>
      <c r="AS223" s="3" t="e">
        <f>IF('Entrada e Saida'!$H$11="TRADING",AU223*'Entrada e Saida'!$G$64,0)</f>
        <v>#DIV/0!</v>
      </c>
      <c r="AT223" s="3" t="e">
        <f>IF('Entrada e Saida'!$H$11="TRADING",AU223*'Entrada e Saida'!$G$65,0)</f>
        <v>#DIV/0!</v>
      </c>
      <c r="AU223" s="4" t="e">
        <f>IF('Entrada e Saida'!$H$11="TRADING",AP223/(1-(SUM('Entrada e Saida'!$G$63:$G$65)+'Custo Resumido'!D223)),0)</f>
        <v>#DIV/0!</v>
      </c>
      <c r="AV223" s="3" t="e">
        <f>IF('Entrada e Saida'!$H$13="NÃO",AU223*M223,0)</f>
        <v>#DIV/0!</v>
      </c>
      <c r="AW223" s="4" t="e">
        <f t="shared" si="126"/>
        <v>#DIV/0!</v>
      </c>
      <c r="AX223" s="3" t="e">
        <f>'Entrada e Saida'!$G$74*AU223</f>
        <v>#DIV/0!</v>
      </c>
      <c r="AY223" s="4" t="e">
        <f t="shared" si="127"/>
        <v>#DIV/0!</v>
      </c>
      <c r="AZ223" s="4" t="e">
        <f>AQ223+('Entrada e Saida'!$G$65-'Entrada e Saida'!$I$65)*AU223-AX223</f>
        <v>#DIV/0!</v>
      </c>
      <c r="BA223" s="3" t="e">
        <f>IF('Entrada e Saida'!$H$12="REAL",AZ223*'Entrada e Saida'!$G$81,AU223*'Entrada e Saida'!$G$81)</f>
        <v>#DIV/0!</v>
      </c>
      <c r="BB223" s="3" t="e">
        <f>IF('Entrada e Saida'!$H$12="REAL",AZ223*'Entrada e Saida'!$G$82,AU223*'Entrada e Saida'!$G$82)</f>
        <v>#DIV/0!</v>
      </c>
      <c r="BC223" s="4" t="e">
        <f t="shared" si="128"/>
        <v>#DIV/0!</v>
      </c>
      <c r="BD223" s="3" t="e">
        <f>IF('Entrada e Saida'!$H$11="TRADING",AW223/D223,AK223/D223)</f>
        <v>#DIV/0!</v>
      </c>
      <c r="BE223" s="3" t="e">
        <f t="shared" si="129"/>
        <v>#DIV/0!</v>
      </c>
      <c r="BF223" s="2" t="e">
        <f t="shared" si="130"/>
        <v>#DIV/0!</v>
      </c>
      <c r="BG223" s="3" t="e">
        <f>IF('Entrada e Saida'!$H$11="TRADING",AV223/D223,AN223/D223)</f>
        <v>#DIV/0!</v>
      </c>
      <c r="BH223" s="3" t="e">
        <f>IF('Entrada e Saida'!$H$11="TRADING",IF('Entrada e Saida'!$H$12="REAL",AR223/D223,0),AL223/D223)</f>
        <v>#DIV/0!</v>
      </c>
      <c r="BI223" s="3" t="e">
        <f>IF('Entrada e Saida'!$H$11="TRADING",IF('Entrada e Saida'!$H$12="REAL",AS223/D223,0),AM223/D223)</f>
        <v>#DIV/0!</v>
      </c>
      <c r="BJ223" s="3" t="e">
        <f>IF('Entrada e Saida'!$H$11="TRADING",AT223/D223,AO223/D223)</f>
        <v>#DIV/0!</v>
      </c>
      <c r="BK223" s="2" t="e">
        <f t="shared" si="131"/>
        <v>#DIV/0!</v>
      </c>
      <c r="BL223" s="2">
        <f>IF(O223&gt;0,IFERROR(IF('Entrada e Saida'!$H$11="DIRETA",0,(IF('Entrada e Saida'!$H$14="P.JURIDICA",(BD223*(1+O223)*N223)-((BD223/(1+M223))*'Entrada e Saida'!$G$65),((Produtos!N223-'Entrada e Saida'!$G$65)*Produtos!BD223)))),0),0)</f>
        <v>0</v>
      </c>
      <c r="BM223" s="2" t="e">
        <f t="shared" si="132"/>
        <v>#DIV/0!</v>
      </c>
    </row>
    <row r="224" spans="1:65" s="1" customFormat="1">
      <c r="A224" s="127"/>
      <c r="B224" s="114"/>
      <c r="C224" s="116"/>
      <c r="D224" s="146"/>
      <c r="E224" s="115">
        <f>IFERROR(VLOOKUP(A224,'Master Modelo'!A:I,9,FALSE),0)</f>
        <v>0</v>
      </c>
      <c r="F224" s="189">
        <f>IFERROR(VLOOKUP(A224,'Master Modelo'!A:I,8,FALSE),0)</f>
        <v>0</v>
      </c>
      <c r="G224" s="189">
        <f>IFERROR(VLOOKUP(A224,'Master Modelo'!A:K,11,FALSE),0)</f>
        <v>0</v>
      </c>
      <c r="H224" s="114" t="e">
        <f t="shared" si="115"/>
        <v>#DIV/0!</v>
      </c>
      <c r="I224" s="150">
        <f>IFERROR(VLOOKUP(A224,'Master Modelo'!A:I,3,FALSE),0)</f>
        <v>0</v>
      </c>
      <c r="J224" s="151">
        <f>IFERROR(VLOOKUP(A224,'Master Modelo'!A:I,5,FALSE),0)</f>
        <v>0</v>
      </c>
      <c r="K224" s="151">
        <f>IFERROR(VLOOKUP(A224,'Master Modelo'!A:I,6,FALSE),0)</f>
        <v>0</v>
      </c>
      <c r="L224" s="152" t="e">
        <f>VLOOKUP(A224,'Master Modelo'!A:J,10,FALSE)</f>
        <v>#N/A</v>
      </c>
      <c r="M224" s="150">
        <f>IFERROR(VLOOKUP(A224,'Master Modelo'!A:I,4,FALSE),0)</f>
        <v>0</v>
      </c>
      <c r="N224" s="128"/>
      <c r="O224" s="129"/>
      <c r="P224" s="9">
        <f t="shared" si="116"/>
        <v>0</v>
      </c>
      <c r="Q224" s="177">
        <f t="shared" si="96"/>
        <v>0</v>
      </c>
      <c r="R224" s="3">
        <f>D224*E224*'Entrada e Saida'!$K$8</f>
        <v>0</v>
      </c>
      <c r="S224" s="179" t="e">
        <f>'Entrada e Saida'!$H$21*'Entrada e Saida'!$K$8*(P224/(SUM(P:P)))</f>
        <v>#DIV/0!</v>
      </c>
      <c r="T224" s="179" t="e">
        <f>'Entrada e Saida'!$H$21*'Entrada e Saida'!$K$8*(Q224/(SUM(Q:Q)))</f>
        <v>#DIV/0!</v>
      </c>
      <c r="U224" s="179" t="e">
        <f>'Entrada e Saida'!$H$22*(P224/(SUM(P:P)))</f>
        <v>#DIV/0!</v>
      </c>
      <c r="V224" s="179" t="e">
        <f>'Entrada e Saida'!$H$22*(Q224/(SUM(Q:Q)))</f>
        <v>#DIV/0!</v>
      </c>
      <c r="W224" s="8" t="e">
        <f t="shared" si="117"/>
        <v>#DIV/0!</v>
      </c>
      <c r="X224" s="179" t="e">
        <f>'Entrada e Saida'!$H$26*(IF('Entrada e Saida'!$H$15="PESO",(P224/(SUM(P:P))),(Q224/(SUM(Q:Q)))))</f>
        <v>#DIV/0!</v>
      </c>
      <c r="Y224" s="179" t="e">
        <f>'Entrada e Saida'!$H$27*(IF('Entrada e Saida'!$H$15="PESO",(P224/(SUM(P:P))),(Q224/(SUM(Q:Q)))))</f>
        <v>#DIV/0!</v>
      </c>
      <c r="Z224" s="179" t="e">
        <f>'Entrada e Saida'!$H$28*(IF('Entrada e Saida'!$H$15="PESO",(P224/(SUM(P:P))),(Q224/(SUM(Q:Q)))))</f>
        <v>#DIV/0!</v>
      </c>
      <c r="AA224" s="10" t="e">
        <f t="shared" si="118"/>
        <v>#DIV/0!</v>
      </c>
      <c r="AB224" s="3" t="e">
        <f t="shared" si="119"/>
        <v>#DIV/0!</v>
      </c>
      <c r="AC224" s="3" t="e">
        <f t="shared" si="120"/>
        <v>#DIV/0!</v>
      </c>
      <c r="AD224" s="3" t="e">
        <f t="shared" si="121"/>
        <v>#DIV/0!</v>
      </c>
      <c r="AE224" s="9" t="e">
        <f t="shared" si="122"/>
        <v>#DIV/0!</v>
      </c>
      <c r="AF224" s="126">
        <f>IFERROR(D224*F224*L224*'Entrada e Saida'!$K$8,0)</f>
        <v>0</v>
      </c>
      <c r="AG224" s="3" t="e">
        <f>((W224+AA224+AB224+AC224+AD224+AE224+AF224)/(1-'Entrada e Saida'!$G$65))*'Entrada e Saida'!$I$66</f>
        <v>#DIV/0!</v>
      </c>
      <c r="AH224" s="8" t="e">
        <f t="shared" si="123"/>
        <v>#DIV/0!</v>
      </c>
      <c r="AI224" s="183" t="e">
        <f>'Entrada e Saida'!$K$51*(IF('Entrada e Saida'!$H$15="PESO",(P224/(SUM(P:P))),(Q224/(SUM(Q:Q)))))</f>
        <v>#DIV/0!</v>
      </c>
      <c r="AJ224" s="7">
        <f>(('Entrada e Saida'!$K$10-'Entrada e Saida'!$K$8)*E224*D224)</f>
        <v>0</v>
      </c>
      <c r="AK224" s="184" t="e">
        <f>IF('Entrada e Saida'!$H$15="PESO",W224+AA224+AH224+AI224+AJ224,W224+AA224+AH224+AI224+AJ224-S224+T224-U224+V224)</f>
        <v>#DIV/0!</v>
      </c>
      <c r="AL224" s="6" t="e">
        <f>IF('Entrada e Saida'!$H$12="REAL",AC224,0)</f>
        <v>#DIV/0!</v>
      </c>
      <c r="AM224" s="6" t="e">
        <f>IF('Entrada e Saida'!$H$12="REAL",AD224,0)</f>
        <v>#DIV/0!</v>
      </c>
      <c r="AN224" s="5" t="e">
        <f>IF('Entrada e Saida'!$H$13= "NÃO",AE224,0)</f>
        <v>#DIV/0!</v>
      </c>
      <c r="AO224" s="5" t="e">
        <f t="shared" si="124"/>
        <v>#DIV/0!</v>
      </c>
      <c r="AP224" s="4" t="e">
        <f t="shared" si="125"/>
        <v>#DIV/0!</v>
      </c>
      <c r="AQ224" s="3" t="e">
        <f>IF('Entrada e Saida'!$H$11="TRADING",AU224*'Custo Resumido'!D224,0)</f>
        <v>#DIV/0!</v>
      </c>
      <c r="AR224" s="3" t="e">
        <f>IF('Entrada e Saida'!$H$11="TRADING",AU224*'Entrada e Saida'!$G$63,0)</f>
        <v>#DIV/0!</v>
      </c>
      <c r="AS224" s="3" t="e">
        <f>IF('Entrada e Saida'!$H$11="TRADING",AU224*'Entrada e Saida'!$G$64,0)</f>
        <v>#DIV/0!</v>
      </c>
      <c r="AT224" s="3" t="e">
        <f>IF('Entrada e Saida'!$H$11="TRADING",AU224*'Entrada e Saida'!$G$65,0)</f>
        <v>#DIV/0!</v>
      </c>
      <c r="AU224" s="4" t="e">
        <f>IF('Entrada e Saida'!$H$11="TRADING",AP224/(1-(SUM('Entrada e Saida'!$G$63:$G$65)+'Custo Resumido'!D224)),0)</f>
        <v>#DIV/0!</v>
      </c>
      <c r="AV224" s="3" t="e">
        <f>IF('Entrada e Saida'!$H$13="NÃO",AU224*M224,0)</f>
        <v>#DIV/0!</v>
      </c>
      <c r="AW224" s="4" t="e">
        <f t="shared" si="126"/>
        <v>#DIV/0!</v>
      </c>
      <c r="AX224" s="3" t="e">
        <f>'Entrada e Saida'!$G$74*AU224</f>
        <v>#DIV/0!</v>
      </c>
      <c r="AY224" s="4" t="e">
        <f t="shared" si="127"/>
        <v>#DIV/0!</v>
      </c>
      <c r="AZ224" s="4" t="e">
        <f>AQ224+('Entrada e Saida'!$G$65-'Entrada e Saida'!$I$65)*AU224-AX224</f>
        <v>#DIV/0!</v>
      </c>
      <c r="BA224" s="3" t="e">
        <f>IF('Entrada e Saida'!$H$12="REAL",AZ224*'Entrada e Saida'!$G$81,AU224*'Entrada e Saida'!$G$81)</f>
        <v>#DIV/0!</v>
      </c>
      <c r="BB224" s="3" t="e">
        <f>IF('Entrada e Saida'!$H$12="REAL",AZ224*'Entrada e Saida'!$G$82,AU224*'Entrada e Saida'!$G$82)</f>
        <v>#DIV/0!</v>
      </c>
      <c r="BC224" s="4" t="e">
        <f t="shared" si="128"/>
        <v>#DIV/0!</v>
      </c>
      <c r="BD224" s="3" t="e">
        <f>IF('Entrada e Saida'!$H$11="TRADING",AW224/D224,AK224/D224)</f>
        <v>#DIV/0!</v>
      </c>
      <c r="BE224" s="3" t="e">
        <f t="shared" si="129"/>
        <v>#DIV/0!</v>
      </c>
      <c r="BF224" s="2" t="e">
        <f t="shared" si="130"/>
        <v>#DIV/0!</v>
      </c>
      <c r="BG224" s="3" t="e">
        <f>IF('Entrada e Saida'!$H$11="TRADING",AV224/D224,AN224/D224)</f>
        <v>#DIV/0!</v>
      </c>
      <c r="BH224" s="3" t="e">
        <f>IF('Entrada e Saida'!$H$11="TRADING",IF('Entrada e Saida'!$H$12="REAL",AR224/D224,0),AL224/D224)</f>
        <v>#DIV/0!</v>
      </c>
      <c r="BI224" s="3" t="e">
        <f>IF('Entrada e Saida'!$H$11="TRADING",IF('Entrada e Saida'!$H$12="REAL",AS224/D224,0),AM224/D224)</f>
        <v>#DIV/0!</v>
      </c>
      <c r="BJ224" s="3" t="e">
        <f>IF('Entrada e Saida'!$H$11="TRADING",AT224/D224,AO224/D224)</f>
        <v>#DIV/0!</v>
      </c>
      <c r="BK224" s="2" t="e">
        <f t="shared" si="131"/>
        <v>#DIV/0!</v>
      </c>
      <c r="BL224" s="2">
        <f>IF(O224&gt;0,IFERROR(IF('Entrada e Saida'!$H$11="DIRETA",0,(IF('Entrada e Saida'!$H$14="P.JURIDICA",(BD224*(1+O224)*N224)-((BD224/(1+M224))*'Entrada e Saida'!$G$65),((Produtos!N224-'Entrada e Saida'!$G$65)*Produtos!BD224)))),0),0)</f>
        <v>0</v>
      </c>
      <c r="BM224" s="2" t="e">
        <f t="shared" si="132"/>
        <v>#DIV/0!</v>
      </c>
    </row>
    <row r="225" spans="1:65" s="1" customFormat="1">
      <c r="A225" s="127"/>
      <c r="B225" s="114"/>
      <c r="C225" s="116"/>
      <c r="D225" s="146"/>
      <c r="E225" s="115">
        <f>IFERROR(VLOOKUP(A225,'Master Modelo'!A:I,9,FALSE),0)</f>
        <v>0</v>
      </c>
      <c r="F225" s="189">
        <f>IFERROR(VLOOKUP(A225,'Master Modelo'!A:I,8,FALSE),0)</f>
        <v>0</v>
      </c>
      <c r="G225" s="189">
        <f>IFERROR(VLOOKUP(A225,'Master Modelo'!A:K,11,FALSE),0)</f>
        <v>0</v>
      </c>
      <c r="H225" s="114" t="e">
        <f t="shared" si="115"/>
        <v>#DIV/0!</v>
      </c>
      <c r="I225" s="150">
        <f>IFERROR(VLOOKUP(A225,'Master Modelo'!A:I,3,FALSE),0)</f>
        <v>0</v>
      </c>
      <c r="J225" s="151">
        <f>IFERROR(VLOOKUP(A225,'Master Modelo'!A:I,5,FALSE),0)</f>
        <v>0</v>
      </c>
      <c r="K225" s="151">
        <f>IFERROR(VLOOKUP(A225,'Master Modelo'!A:I,6,FALSE),0)</f>
        <v>0</v>
      </c>
      <c r="L225" s="152" t="e">
        <f>VLOOKUP(A225,'Master Modelo'!A:J,10,FALSE)</f>
        <v>#N/A</v>
      </c>
      <c r="M225" s="150">
        <f>IFERROR(VLOOKUP(A225,'Master Modelo'!A:I,4,FALSE),0)</f>
        <v>0</v>
      </c>
      <c r="N225" s="128"/>
      <c r="O225" s="129"/>
      <c r="P225" s="9">
        <f t="shared" si="116"/>
        <v>0</v>
      </c>
      <c r="Q225" s="177">
        <f t="shared" si="96"/>
        <v>0</v>
      </c>
      <c r="R225" s="3">
        <f>D225*E225*'Entrada e Saida'!$K$8</f>
        <v>0</v>
      </c>
      <c r="S225" s="179" t="e">
        <f>'Entrada e Saida'!$H$21*'Entrada e Saida'!$K$8*(P225/(SUM(P:P)))</f>
        <v>#DIV/0!</v>
      </c>
      <c r="T225" s="179" t="e">
        <f>'Entrada e Saida'!$H$21*'Entrada e Saida'!$K$8*(Q225/(SUM(Q:Q)))</f>
        <v>#DIV/0!</v>
      </c>
      <c r="U225" s="179" t="e">
        <f>'Entrada e Saida'!$H$22*(P225/(SUM(P:P)))</f>
        <v>#DIV/0!</v>
      </c>
      <c r="V225" s="179" t="e">
        <f>'Entrada e Saida'!$H$22*(Q225/(SUM(Q:Q)))</f>
        <v>#DIV/0!</v>
      </c>
      <c r="W225" s="8" t="e">
        <f t="shared" si="117"/>
        <v>#DIV/0!</v>
      </c>
      <c r="X225" s="179" t="e">
        <f>'Entrada e Saida'!$H$26*(IF('Entrada e Saida'!$H$15="PESO",(P225/(SUM(P:P))),(Q225/(SUM(Q:Q)))))</f>
        <v>#DIV/0!</v>
      </c>
      <c r="Y225" s="179" t="e">
        <f>'Entrada e Saida'!$H$27*(IF('Entrada e Saida'!$H$15="PESO",(P225/(SUM(P:P))),(Q225/(SUM(Q:Q)))))</f>
        <v>#DIV/0!</v>
      </c>
      <c r="Z225" s="179" t="e">
        <f>'Entrada e Saida'!$H$28*(IF('Entrada e Saida'!$H$15="PESO",(P225/(SUM(P:P))),(Q225/(SUM(Q:Q)))))</f>
        <v>#DIV/0!</v>
      </c>
      <c r="AA225" s="10" t="e">
        <f t="shared" si="118"/>
        <v>#DIV/0!</v>
      </c>
      <c r="AB225" s="3" t="e">
        <f t="shared" si="119"/>
        <v>#DIV/0!</v>
      </c>
      <c r="AC225" s="3" t="e">
        <f t="shared" si="120"/>
        <v>#DIV/0!</v>
      </c>
      <c r="AD225" s="3" t="e">
        <f t="shared" si="121"/>
        <v>#DIV/0!</v>
      </c>
      <c r="AE225" s="9" t="e">
        <f t="shared" si="122"/>
        <v>#DIV/0!</v>
      </c>
      <c r="AF225" s="126">
        <f>IFERROR(D225*F225*L225*'Entrada e Saida'!$K$8,0)</f>
        <v>0</v>
      </c>
      <c r="AG225" s="3" t="e">
        <f>((W225+AA225+AB225+AC225+AD225+AE225+AF225)/(1-'Entrada e Saida'!$G$65))*'Entrada e Saida'!$I$66</f>
        <v>#DIV/0!</v>
      </c>
      <c r="AH225" s="8" t="e">
        <f t="shared" si="123"/>
        <v>#DIV/0!</v>
      </c>
      <c r="AI225" s="183" t="e">
        <f>'Entrada e Saida'!$K$51*(IF('Entrada e Saida'!$H$15="PESO",(P225/(SUM(P:P))),(Q225/(SUM(Q:Q)))))</f>
        <v>#DIV/0!</v>
      </c>
      <c r="AJ225" s="7">
        <f>(('Entrada e Saida'!$K$10-'Entrada e Saida'!$K$8)*E225*D225)</f>
        <v>0</v>
      </c>
      <c r="AK225" s="184" t="e">
        <f>IF('Entrada e Saida'!$H$15="PESO",W225+AA225+AH225+AI225+AJ225,W225+AA225+AH225+AI225+AJ225-S225+T225-U225+V225)</f>
        <v>#DIV/0!</v>
      </c>
      <c r="AL225" s="6" t="e">
        <f>IF('Entrada e Saida'!$H$12="REAL",AC225,0)</f>
        <v>#DIV/0!</v>
      </c>
      <c r="AM225" s="6" t="e">
        <f>IF('Entrada e Saida'!$H$12="REAL",AD225,0)</f>
        <v>#DIV/0!</v>
      </c>
      <c r="AN225" s="5" t="e">
        <f>IF('Entrada e Saida'!$H$13= "NÃO",AE225,0)</f>
        <v>#DIV/0!</v>
      </c>
      <c r="AO225" s="5" t="e">
        <f t="shared" si="124"/>
        <v>#DIV/0!</v>
      </c>
      <c r="AP225" s="4" t="e">
        <f t="shared" si="125"/>
        <v>#DIV/0!</v>
      </c>
      <c r="AQ225" s="3" t="e">
        <f>IF('Entrada e Saida'!$H$11="TRADING",AU225*'Custo Resumido'!D225,0)</f>
        <v>#DIV/0!</v>
      </c>
      <c r="AR225" s="3" t="e">
        <f>IF('Entrada e Saida'!$H$11="TRADING",AU225*'Entrada e Saida'!$G$63,0)</f>
        <v>#DIV/0!</v>
      </c>
      <c r="AS225" s="3" t="e">
        <f>IF('Entrada e Saida'!$H$11="TRADING",AU225*'Entrada e Saida'!$G$64,0)</f>
        <v>#DIV/0!</v>
      </c>
      <c r="AT225" s="3" t="e">
        <f>IF('Entrada e Saida'!$H$11="TRADING",AU225*'Entrada e Saida'!$G$65,0)</f>
        <v>#DIV/0!</v>
      </c>
      <c r="AU225" s="4" t="e">
        <f>IF('Entrada e Saida'!$H$11="TRADING",AP225/(1-(SUM('Entrada e Saida'!$G$63:$G$65)+'Custo Resumido'!D225)),0)</f>
        <v>#DIV/0!</v>
      </c>
      <c r="AV225" s="3" t="e">
        <f>IF('Entrada e Saida'!$H$13="NÃO",AU225*M225,0)</f>
        <v>#DIV/0!</v>
      </c>
      <c r="AW225" s="4" t="e">
        <f t="shared" si="126"/>
        <v>#DIV/0!</v>
      </c>
      <c r="AX225" s="3" t="e">
        <f>'Entrada e Saida'!$G$74*AU225</f>
        <v>#DIV/0!</v>
      </c>
      <c r="AY225" s="4" t="e">
        <f t="shared" si="127"/>
        <v>#DIV/0!</v>
      </c>
      <c r="AZ225" s="4" t="e">
        <f>AQ225+('Entrada e Saida'!$G$65-'Entrada e Saida'!$I$65)*AU225-AX225</f>
        <v>#DIV/0!</v>
      </c>
      <c r="BA225" s="3" t="e">
        <f>IF('Entrada e Saida'!$H$12="REAL",AZ225*'Entrada e Saida'!$G$81,AU225*'Entrada e Saida'!$G$81)</f>
        <v>#DIV/0!</v>
      </c>
      <c r="BB225" s="3" t="e">
        <f>IF('Entrada e Saida'!$H$12="REAL",AZ225*'Entrada e Saida'!$G$82,AU225*'Entrada e Saida'!$G$82)</f>
        <v>#DIV/0!</v>
      </c>
      <c r="BC225" s="4" t="e">
        <f t="shared" si="128"/>
        <v>#DIV/0!</v>
      </c>
      <c r="BD225" s="3" t="e">
        <f>IF('Entrada e Saida'!$H$11="TRADING",AW225/D225,AK225/D225)</f>
        <v>#DIV/0!</v>
      </c>
      <c r="BE225" s="3" t="e">
        <f t="shared" si="129"/>
        <v>#DIV/0!</v>
      </c>
      <c r="BF225" s="2" t="e">
        <f t="shared" si="130"/>
        <v>#DIV/0!</v>
      </c>
      <c r="BG225" s="3" t="e">
        <f>IF('Entrada e Saida'!$H$11="TRADING",AV225/D225,AN225/D225)</f>
        <v>#DIV/0!</v>
      </c>
      <c r="BH225" s="3" t="e">
        <f>IF('Entrada e Saida'!$H$11="TRADING",IF('Entrada e Saida'!$H$12="REAL",AR225/D225,0),AL225/D225)</f>
        <v>#DIV/0!</v>
      </c>
      <c r="BI225" s="3" t="e">
        <f>IF('Entrada e Saida'!$H$11="TRADING",IF('Entrada e Saida'!$H$12="REAL",AS225/D225,0),AM225/D225)</f>
        <v>#DIV/0!</v>
      </c>
      <c r="BJ225" s="3" t="e">
        <f>IF('Entrada e Saida'!$H$11="TRADING",AT225/D225,AO225/D225)</f>
        <v>#DIV/0!</v>
      </c>
      <c r="BK225" s="2" t="e">
        <f t="shared" si="131"/>
        <v>#DIV/0!</v>
      </c>
      <c r="BL225" s="2">
        <f>IF(O225&gt;0,IFERROR(IF('Entrada e Saida'!$H$11="DIRETA",0,(IF('Entrada e Saida'!$H$14="P.JURIDICA",(BD225*(1+O225)*N225)-((BD225/(1+M225))*'Entrada e Saida'!$G$65),((Produtos!N225-'Entrada e Saida'!$G$65)*Produtos!BD225)))),0),0)</f>
        <v>0</v>
      </c>
      <c r="BM225" s="2" t="e">
        <f t="shared" si="132"/>
        <v>#DIV/0!</v>
      </c>
    </row>
    <row r="226" spans="1:65" s="1" customFormat="1">
      <c r="A226" s="127"/>
      <c r="B226" s="114"/>
      <c r="C226" s="116"/>
      <c r="D226" s="146"/>
      <c r="E226" s="115">
        <f>IFERROR(VLOOKUP(A226,'Master Modelo'!A:I,9,FALSE),0)</f>
        <v>0</v>
      </c>
      <c r="F226" s="189">
        <f>IFERROR(VLOOKUP(A226,'Master Modelo'!A:I,8,FALSE),0)</f>
        <v>0</v>
      </c>
      <c r="G226" s="189">
        <f>IFERROR(VLOOKUP(A226,'Master Modelo'!A:K,11,FALSE),0)</f>
        <v>0</v>
      </c>
      <c r="H226" s="114" t="e">
        <f t="shared" si="115"/>
        <v>#DIV/0!</v>
      </c>
      <c r="I226" s="150">
        <f>IFERROR(VLOOKUP(A226,'Master Modelo'!A:I,3,FALSE),0)</f>
        <v>0</v>
      </c>
      <c r="J226" s="151">
        <f>IFERROR(VLOOKUP(A226,'Master Modelo'!A:I,5,FALSE),0)</f>
        <v>0</v>
      </c>
      <c r="K226" s="151">
        <f>IFERROR(VLOOKUP(A226,'Master Modelo'!A:I,6,FALSE),0)</f>
        <v>0</v>
      </c>
      <c r="L226" s="152" t="e">
        <f>VLOOKUP(A226,'Master Modelo'!A:J,10,FALSE)</f>
        <v>#N/A</v>
      </c>
      <c r="M226" s="150">
        <f>IFERROR(VLOOKUP(A226,'Master Modelo'!A:I,4,FALSE),0)</f>
        <v>0</v>
      </c>
      <c r="N226" s="128"/>
      <c r="O226" s="129"/>
      <c r="P226" s="9">
        <f t="shared" si="116"/>
        <v>0</v>
      </c>
      <c r="Q226" s="177">
        <f t="shared" si="96"/>
        <v>0</v>
      </c>
      <c r="R226" s="3">
        <f>D226*E226*'Entrada e Saida'!$K$8</f>
        <v>0</v>
      </c>
      <c r="S226" s="179" t="e">
        <f>'Entrada e Saida'!$H$21*'Entrada e Saida'!$K$8*(P226/(SUM(P:P)))</f>
        <v>#DIV/0!</v>
      </c>
      <c r="T226" s="179" t="e">
        <f>'Entrada e Saida'!$H$21*'Entrada e Saida'!$K$8*(Q226/(SUM(Q:Q)))</f>
        <v>#DIV/0!</v>
      </c>
      <c r="U226" s="179" t="e">
        <f>'Entrada e Saida'!$H$22*(P226/(SUM(P:P)))</f>
        <v>#DIV/0!</v>
      </c>
      <c r="V226" s="179" t="e">
        <f>'Entrada e Saida'!$H$22*(Q226/(SUM(Q:Q)))</f>
        <v>#DIV/0!</v>
      </c>
      <c r="W226" s="8" t="e">
        <f t="shared" si="117"/>
        <v>#DIV/0!</v>
      </c>
      <c r="X226" s="179" t="e">
        <f>'Entrada e Saida'!$H$26*(IF('Entrada e Saida'!$H$15="PESO",(P226/(SUM(P:P))),(Q226/(SUM(Q:Q)))))</f>
        <v>#DIV/0!</v>
      </c>
      <c r="Y226" s="179" t="e">
        <f>'Entrada e Saida'!$H$27*(IF('Entrada e Saida'!$H$15="PESO",(P226/(SUM(P:P))),(Q226/(SUM(Q:Q)))))</f>
        <v>#DIV/0!</v>
      </c>
      <c r="Z226" s="179" t="e">
        <f>'Entrada e Saida'!$H$28*(IF('Entrada e Saida'!$H$15="PESO",(P226/(SUM(P:P))),(Q226/(SUM(Q:Q)))))</f>
        <v>#DIV/0!</v>
      </c>
      <c r="AA226" s="10" t="e">
        <f t="shared" si="118"/>
        <v>#DIV/0!</v>
      </c>
      <c r="AB226" s="3" t="e">
        <f t="shared" si="119"/>
        <v>#DIV/0!</v>
      </c>
      <c r="AC226" s="3" t="e">
        <f t="shared" si="120"/>
        <v>#DIV/0!</v>
      </c>
      <c r="AD226" s="3" t="e">
        <f t="shared" si="121"/>
        <v>#DIV/0!</v>
      </c>
      <c r="AE226" s="9" t="e">
        <f t="shared" si="122"/>
        <v>#DIV/0!</v>
      </c>
      <c r="AF226" s="126">
        <f>IFERROR(D226*F226*L226*'Entrada e Saida'!$K$8,0)</f>
        <v>0</v>
      </c>
      <c r="AG226" s="3" t="e">
        <f>((W226+AA226+AB226+AC226+AD226+AE226+AF226)/(1-'Entrada e Saida'!$G$65))*'Entrada e Saida'!$I$66</f>
        <v>#DIV/0!</v>
      </c>
      <c r="AH226" s="8" t="e">
        <f t="shared" si="123"/>
        <v>#DIV/0!</v>
      </c>
      <c r="AI226" s="183" t="e">
        <f>'Entrada e Saida'!$K$51*(IF('Entrada e Saida'!$H$15="PESO",(P226/(SUM(P:P))),(Q226/(SUM(Q:Q)))))</f>
        <v>#DIV/0!</v>
      </c>
      <c r="AJ226" s="7">
        <f>(('Entrada e Saida'!$K$10-'Entrada e Saida'!$K$8)*E226*D226)</f>
        <v>0</v>
      </c>
      <c r="AK226" s="184" t="e">
        <f>IF('Entrada e Saida'!$H$15="PESO",W226+AA226+AH226+AI226+AJ226,W226+AA226+AH226+AI226+AJ226-S226+T226-U226+V226)</f>
        <v>#DIV/0!</v>
      </c>
      <c r="AL226" s="6" t="e">
        <f>IF('Entrada e Saida'!$H$12="REAL",AC226,0)</f>
        <v>#DIV/0!</v>
      </c>
      <c r="AM226" s="6" t="e">
        <f>IF('Entrada e Saida'!$H$12="REAL",AD226,0)</f>
        <v>#DIV/0!</v>
      </c>
      <c r="AN226" s="5" t="e">
        <f>IF('Entrada e Saida'!$H$13= "NÃO",AE226,0)</f>
        <v>#DIV/0!</v>
      </c>
      <c r="AO226" s="5" t="e">
        <f t="shared" si="124"/>
        <v>#DIV/0!</v>
      </c>
      <c r="AP226" s="4" t="e">
        <f t="shared" si="125"/>
        <v>#DIV/0!</v>
      </c>
      <c r="AQ226" s="3" t="e">
        <f>IF('Entrada e Saida'!$H$11="TRADING",AU226*'Custo Resumido'!D226,0)</f>
        <v>#DIV/0!</v>
      </c>
      <c r="AR226" s="3" t="e">
        <f>IF('Entrada e Saida'!$H$11="TRADING",AU226*'Entrada e Saida'!$G$63,0)</f>
        <v>#DIV/0!</v>
      </c>
      <c r="AS226" s="3" t="e">
        <f>IF('Entrada e Saida'!$H$11="TRADING",AU226*'Entrada e Saida'!$G$64,0)</f>
        <v>#DIV/0!</v>
      </c>
      <c r="AT226" s="3" t="e">
        <f>IF('Entrada e Saida'!$H$11="TRADING",AU226*'Entrada e Saida'!$G$65,0)</f>
        <v>#DIV/0!</v>
      </c>
      <c r="AU226" s="4" t="e">
        <f>IF('Entrada e Saida'!$H$11="TRADING",AP226/(1-(SUM('Entrada e Saida'!$G$63:$G$65)+'Custo Resumido'!D226)),0)</f>
        <v>#DIV/0!</v>
      </c>
      <c r="AV226" s="3" t="e">
        <f>IF('Entrada e Saida'!$H$13="NÃO",AU226*M226,0)</f>
        <v>#DIV/0!</v>
      </c>
      <c r="AW226" s="4" t="e">
        <f t="shared" si="126"/>
        <v>#DIV/0!</v>
      </c>
      <c r="AX226" s="3" t="e">
        <f>'Entrada e Saida'!$G$74*AU226</f>
        <v>#DIV/0!</v>
      </c>
      <c r="AY226" s="4" t="e">
        <f t="shared" si="127"/>
        <v>#DIV/0!</v>
      </c>
      <c r="AZ226" s="4" t="e">
        <f>AQ226+('Entrada e Saida'!$G$65-'Entrada e Saida'!$I$65)*AU226-AX226</f>
        <v>#DIV/0!</v>
      </c>
      <c r="BA226" s="3" t="e">
        <f>IF('Entrada e Saida'!$H$12="REAL",AZ226*'Entrada e Saida'!$G$81,AU226*'Entrada e Saida'!$G$81)</f>
        <v>#DIV/0!</v>
      </c>
      <c r="BB226" s="3" t="e">
        <f>IF('Entrada e Saida'!$H$12="REAL",AZ226*'Entrada e Saida'!$G$82,AU226*'Entrada e Saida'!$G$82)</f>
        <v>#DIV/0!</v>
      </c>
      <c r="BC226" s="4" t="e">
        <f t="shared" si="128"/>
        <v>#DIV/0!</v>
      </c>
      <c r="BD226" s="3" t="e">
        <f>IF('Entrada e Saida'!$H$11="TRADING",AW226/D226,AK226/D226)</f>
        <v>#DIV/0!</v>
      </c>
      <c r="BE226" s="3" t="e">
        <f t="shared" si="129"/>
        <v>#DIV/0!</v>
      </c>
      <c r="BF226" s="2" t="e">
        <f t="shared" si="130"/>
        <v>#DIV/0!</v>
      </c>
      <c r="BG226" s="3" t="e">
        <f>IF('Entrada e Saida'!$H$11="TRADING",AV226/D226,AN226/D226)</f>
        <v>#DIV/0!</v>
      </c>
      <c r="BH226" s="3" t="e">
        <f>IF('Entrada e Saida'!$H$11="TRADING",IF('Entrada e Saida'!$H$12="REAL",AR226/D226,0),AL226/D226)</f>
        <v>#DIV/0!</v>
      </c>
      <c r="BI226" s="3" t="e">
        <f>IF('Entrada e Saida'!$H$11="TRADING",IF('Entrada e Saida'!$H$12="REAL",AS226/D226,0),AM226/D226)</f>
        <v>#DIV/0!</v>
      </c>
      <c r="BJ226" s="3" t="e">
        <f>IF('Entrada e Saida'!$H$11="TRADING",AT226/D226,AO226/D226)</f>
        <v>#DIV/0!</v>
      </c>
      <c r="BK226" s="2" t="e">
        <f t="shared" si="131"/>
        <v>#DIV/0!</v>
      </c>
      <c r="BL226" s="2">
        <f>IF(O226&gt;0,IFERROR(IF('Entrada e Saida'!$H$11="DIRETA",0,(IF('Entrada e Saida'!$H$14="P.JURIDICA",(BD226*(1+O226)*N226)-((BD226/(1+M226))*'Entrada e Saida'!$G$65),((Produtos!N226-'Entrada e Saida'!$G$65)*Produtos!BD226)))),0),0)</f>
        <v>0</v>
      </c>
      <c r="BM226" s="2" t="e">
        <f t="shared" si="132"/>
        <v>#DIV/0!</v>
      </c>
    </row>
    <row r="227" spans="1:65" s="1" customFormat="1">
      <c r="A227" s="127"/>
      <c r="B227" s="114"/>
      <c r="C227" s="116"/>
      <c r="D227" s="146"/>
      <c r="E227" s="115">
        <f>IFERROR(VLOOKUP(A227,'Master Modelo'!A:I,9,FALSE),0)</f>
        <v>0</v>
      </c>
      <c r="F227" s="189">
        <f>IFERROR(VLOOKUP(A227,'Master Modelo'!A:I,8,FALSE),0)</f>
        <v>0</v>
      </c>
      <c r="G227" s="189">
        <f>IFERROR(VLOOKUP(A227,'Master Modelo'!A:K,11,FALSE),0)</f>
        <v>0</v>
      </c>
      <c r="H227" s="114" t="e">
        <f t="shared" si="115"/>
        <v>#DIV/0!</v>
      </c>
      <c r="I227" s="150">
        <f>IFERROR(VLOOKUP(A227,'Master Modelo'!A:I,3,FALSE),0)</f>
        <v>0</v>
      </c>
      <c r="J227" s="151">
        <f>IFERROR(VLOOKUP(A227,'Master Modelo'!A:I,5,FALSE),0)</f>
        <v>0</v>
      </c>
      <c r="K227" s="151">
        <f>IFERROR(VLOOKUP(A227,'Master Modelo'!A:I,6,FALSE),0)</f>
        <v>0</v>
      </c>
      <c r="L227" s="152" t="e">
        <f>VLOOKUP(A227,'Master Modelo'!A:J,10,FALSE)</f>
        <v>#N/A</v>
      </c>
      <c r="M227" s="150">
        <f>IFERROR(VLOOKUP(A227,'Master Modelo'!A:I,4,FALSE),0)</f>
        <v>0</v>
      </c>
      <c r="N227" s="128"/>
      <c r="O227" s="129"/>
      <c r="P227" s="9">
        <f t="shared" si="116"/>
        <v>0</v>
      </c>
      <c r="Q227" s="177">
        <f t="shared" si="96"/>
        <v>0</v>
      </c>
      <c r="R227" s="3">
        <f>D227*E227*'Entrada e Saida'!$K$8</f>
        <v>0</v>
      </c>
      <c r="S227" s="179" t="e">
        <f>'Entrada e Saida'!$H$21*'Entrada e Saida'!$K$8*(P227/(SUM(P:P)))</f>
        <v>#DIV/0!</v>
      </c>
      <c r="T227" s="179" t="e">
        <f>'Entrada e Saida'!$H$21*'Entrada e Saida'!$K$8*(Q227/(SUM(Q:Q)))</f>
        <v>#DIV/0!</v>
      </c>
      <c r="U227" s="179" t="e">
        <f>'Entrada e Saida'!$H$22*(P227/(SUM(P:P)))</f>
        <v>#DIV/0!</v>
      </c>
      <c r="V227" s="179" t="e">
        <f>'Entrada e Saida'!$H$22*(Q227/(SUM(Q:Q)))</f>
        <v>#DIV/0!</v>
      </c>
      <c r="W227" s="8" t="e">
        <f t="shared" si="117"/>
        <v>#DIV/0!</v>
      </c>
      <c r="X227" s="179" t="e">
        <f>'Entrada e Saida'!$H$26*(IF('Entrada e Saida'!$H$15="PESO",(P227/(SUM(P:P))),(Q227/(SUM(Q:Q)))))</f>
        <v>#DIV/0!</v>
      </c>
      <c r="Y227" s="179" t="e">
        <f>'Entrada e Saida'!$H$27*(IF('Entrada e Saida'!$H$15="PESO",(P227/(SUM(P:P))),(Q227/(SUM(Q:Q)))))</f>
        <v>#DIV/0!</v>
      </c>
      <c r="Z227" s="179" t="e">
        <f>'Entrada e Saida'!$H$28*(IF('Entrada e Saida'!$H$15="PESO",(P227/(SUM(P:P))),(Q227/(SUM(Q:Q)))))</f>
        <v>#DIV/0!</v>
      </c>
      <c r="AA227" s="10" t="e">
        <f t="shared" si="118"/>
        <v>#DIV/0!</v>
      </c>
      <c r="AB227" s="3" t="e">
        <f t="shared" si="119"/>
        <v>#DIV/0!</v>
      </c>
      <c r="AC227" s="3" t="e">
        <f t="shared" si="120"/>
        <v>#DIV/0!</v>
      </c>
      <c r="AD227" s="3" t="e">
        <f t="shared" si="121"/>
        <v>#DIV/0!</v>
      </c>
      <c r="AE227" s="9" t="e">
        <f t="shared" si="122"/>
        <v>#DIV/0!</v>
      </c>
      <c r="AF227" s="126">
        <f>IFERROR(D227*F227*L227*'Entrada e Saida'!$K$8,0)</f>
        <v>0</v>
      </c>
      <c r="AG227" s="3" t="e">
        <f>((W227+AA227+AB227+AC227+AD227+AE227+AF227)/(1-'Entrada e Saida'!$G$65))*'Entrada e Saida'!$I$66</f>
        <v>#DIV/0!</v>
      </c>
      <c r="AH227" s="8" t="e">
        <f t="shared" si="123"/>
        <v>#DIV/0!</v>
      </c>
      <c r="AI227" s="183" t="e">
        <f>'Entrada e Saida'!$K$51*(IF('Entrada e Saida'!$H$15="PESO",(P227/(SUM(P:P))),(Q227/(SUM(Q:Q)))))</f>
        <v>#DIV/0!</v>
      </c>
      <c r="AJ227" s="7">
        <f>(('Entrada e Saida'!$K$10-'Entrada e Saida'!$K$8)*E227*D227)</f>
        <v>0</v>
      </c>
      <c r="AK227" s="184" t="e">
        <f>IF('Entrada e Saida'!$H$15="PESO",W227+AA227+AH227+AI227+AJ227,W227+AA227+AH227+AI227+AJ227-S227+T227-U227+V227)</f>
        <v>#DIV/0!</v>
      </c>
      <c r="AL227" s="6" t="e">
        <f>IF('Entrada e Saida'!$H$12="REAL",AC227,0)</f>
        <v>#DIV/0!</v>
      </c>
      <c r="AM227" s="6" t="e">
        <f>IF('Entrada e Saida'!$H$12="REAL",AD227,0)</f>
        <v>#DIV/0!</v>
      </c>
      <c r="AN227" s="5" t="e">
        <f>IF('Entrada e Saida'!$H$13= "NÃO",AE227,0)</f>
        <v>#DIV/0!</v>
      </c>
      <c r="AO227" s="5" t="e">
        <f t="shared" si="124"/>
        <v>#DIV/0!</v>
      </c>
      <c r="AP227" s="4" t="e">
        <f t="shared" si="125"/>
        <v>#DIV/0!</v>
      </c>
      <c r="AQ227" s="3" t="e">
        <f>IF('Entrada e Saida'!$H$11="TRADING",AU227*'Custo Resumido'!D227,0)</f>
        <v>#DIV/0!</v>
      </c>
      <c r="AR227" s="3" t="e">
        <f>IF('Entrada e Saida'!$H$11="TRADING",AU227*'Entrada e Saida'!$G$63,0)</f>
        <v>#DIV/0!</v>
      </c>
      <c r="AS227" s="3" t="e">
        <f>IF('Entrada e Saida'!$H$11="TRADING",AU227*'Entrada e Saida'!$G$64,0)</f>
        <v>#DIV/0!</v>
      </c>
      <c r="AT227" s="3" t="e">
        <f>IF('Entrada e Saida'!$H$11="TRADING",AU227*'Entrada e Saida'!$G$65,0)</f>
        <v>#DIV/0!</v>
      </c>
      <c r="AU227" s="4" t="e">
        <f>IF('Entrada e Saida'!$H$11="TRADING",AP227/(1-(SUM('Entrada e Saida'!$G$63:$G$65)+'Custo Resumido'!D227)),0)</f>
        <v>#DIV/0!</v>
      </c>
      <c r="AV227" s="3" t="e">
        <f>IF('Entrada e Saida'!$H$13="NÃO",AU227*M227,0)</f>
        <v>#DIV/0!</v>
      </c>
      <c r="AW227" s="4" t="e">
        <f t="shared" si="126"/>
        <v>#DIV/0!</v>
      </c>
      <c r="AX227" s="3" t="e">
        <f>'Entrada e Saida'!$G$74*AU227</f>
        <v>#DIV/0!</v>
      </c>
      <c r="AY227" s="4" t="e">
        <f t="shared" si="127"/>
        <v>#DIV/0!</v>
      </c>
      <c r="AZ227" s="4" t="e">
        <f>AQ227+('Entrada e Saida'!$G$65-'Entrada e Saida'!$I$65)*AU227-AX227</f>
        <v>#DIV/0!</v>
      </c>
      <c r="BA227" s="3" t="e">
        <f>IF('Entrada e Saida'!$H$12="REAL",AZ227*'Entrada e Saida'!$G$81,AU227*'Entrada e Saida'!$G$81)</f>
        <v>#DIV/0!</v>
      </c>
      <c r="BB227" s="3" t="e">
        <f>IF('Entrada e Saida'!$H$12="REAL",AZ227*'Entrada e Saida'!$G$82,AU227*'Entrada e Saida'!$G$82)</f>
        <v>#DIV/0!</v>
      </c>
      <c r="BC227" s="4" t="e">
        <f t="shared" si="128"/>
        <v>#DIV/0!</v>
      </c>
      <c r="BD227" s="3" t="e">
        <f>IF('Entrada e Saida'!$H$11="TRADING",AW227/D227,AK227/D227)</f>
        <v>#DIV/0!</v>
      </c>
      <c r="BE227" s="3" t="e">
        <f t="shared" si="129"/>
        <v>#DIV/0!</v>
      </c>
      <c r="BF227" s="2" t="e">
        <f t="shared" si="130"/>
        <v>#DIV/0!</v>
      </c>
      <c r="BG227" s="3" t="e">
        <f>IF('Entrada e Saida'!$H$11="TRADING",AV227/D227,AN227/D227)</f>
        <v>#DIV/0!</v>
      </c>
      <c r="BH227" s="3" t="e">
        <f>IF('Entrada e Saida'!$H$11="TRADING",IF('Entrada e Saida'!$H$12="REAL",AR227/D227,0),AL227/D227)</f>
        <v>#DIV/0!</v>
      </c>
      <c r="BI227" s="3" t="e">
        <f>IF('Entrada e Saida'!$H$11="TRADING",IF('Entrada e Saida'!$H$12="REAL",AS227/D227,0),AM227/D227)</f>
        <v>#DIV/0!</v>
      </c>
      <c r="BJ227" s="3" t="e">
        <f>IF('Entrada e Saida'!$H$11="TRADING",AT227/D227,AO227/D227)</f>
        <v>#DIV/0!</v>
      </c>
      <c r="BK227" s="2" t="e">
        <f t="shared" si="131"/>
        <v>#DIV/0!</v>
      </c>
      <c r="BL227" s="2">
        <f>IF(O227&gt;0,IFERROR(IF('Entrada e Saida'!$H$11="DIRETA",0,(IF('Entrada e Saida'!$H$14="P.JURIDICA",(BD227*(1+O227)*N227)-((BD227/(1+M227))*'Entrada e Saida'!$G$65),((Produtos!N227-'Entrada e Saida'!$G$65)*Produtos!BD227)))),0),0)</f>
        <v>0</v>
      </c>
      <c r="BM227" s="2" t="e">
        <f t="shared" si="132"/>
        <v>#DIV/0!</v>
      </c>
    </row>
    <row r="228" spans="1:65" s="1" customFormat="1">
      <c r="A228" s="127"/>
      <c r="B228" s="114"/>
      <c r="C228" s="116"/>
      <c r="D228" s="146"/>
      <c r="E228" s="115">
        <f>IFERROR(VLOOKUP(A228,'Master Modelo'!A:I,9,FALSE),0)</f>
        <v>0</v>
      </c>
      <c r="F228" s="189">
        <f>IFERROR(VLOOKUP(A228,'Master Modelo'!A:I,8,FALSE),0)</f>
        <v>0</v>
      </c>
      <c r="G228" s="189">
        <f>IFERROR(VLOOKUP(A228,'Master Modelo'!A:K,11,FALSE),0)</f>
        <v>0</v>
      </c>
      <c r="H228" s="114" t="e">
        <f t="shared" si="115"/>
        <v>#DIV/0!</v>
      </c>
      <c r="I228" s="150">
        <f>IFERROR(VLOOKUP(A228,'Master Modelo'!A:I,3,FALSE),0)</f>
        <v>0</v>
      </c>
      <c r="J228" s="151">
        <f>IFERROR(VLOOKUP(A228,'Master Modelo'!A:I,5,FALSE),0)</f>
        <v>0</v>
      </c>
      <c r="K228" s="151">
        <f>IFERROR(VLOOKUP(A228,'Master Modelo'!A:I,6,FALSE),0)</f>
        <v>0</v>
      </c>
      <c r="L228" s="152" t="e">
        <f>VLOOKUP(A228,'Master Modelo'!A:J,10,FALSE)</f>
        <v>#N/A</v>
      </c>
      <c r="M228" s="150">
        <f>IFERROR(VLOOKUP(A228,'Master Modelo'!A:I,4,FALSE),0)</f>
        <v>0</v>
      </c>
      <c r="N228" s="128"/>
      <c r="O228" s="129"/>
      <c r="P228" s="9">
        <f t="shared" si="116"/>
        <v>0</v>
      </c>
      <c r="Q228" s="177">
        <f t="shared" si="96"/>
        <v>0</v>
      </c>
      <c r="R228" s="3">
        <f>D228*E228*'Entrada e Saida'!$K$8</f>
        <v>0</v>
      </c>
      <c r="S228" s="179" t="e">
        <f>'Entrada e Saida'!$H$21*'Entrada e Saida'!$K$8*(P228/(SUM(P:P)))</f>
        <v>#DIV/0!</v>
      </c>
      <c r="T228" s="179" t="e">
        <f>'Entrada e Saida'!$H$21*'Entrada e Saida'!$K$8*(Q228/(SUM(Q:Q)))</f>
        <v>#DIV/0!</v>
      </c>
      <c r="U228" s="179" t="e">
        <f>'Entrada e Saida'!$H$22*(P228/(SUM(P:P)))</f>
        <v>#DIV/0!</v>
      </c>
      <c r="V228" s="179" t="e">
        <f>'Entrada e Saida'!$H$22*(Q228/(SUM(Q:Q)))</f>
        <v>#DIV/0!</v>
      </c>
      <c r="W228" s="8" t="e">
        <f t="shared" si="117"/>
        <v>#DIV/0!</v>
      </c>
      <c r="X228" s="179" t="e">
        <f>'Entrada e Saida'!$H$26*(IF('Entrada e Saida'!$H$15="PESO",(P228/(SUM(P:P))),(Q228/(SUM(Q:Q)))))</f>
        <v>#DIV/0!</v>
      </c>
      <c r="Y228" s="179" t="e">
        <f>'Entrada e Saida'!$H$27*(IF('Entrada e Saida'!$H$15="PESO",(P228/(SUM(P:P))),(Q228/(SUM(Q:Q)))))</f>
        <v>#DIV/0!</v>
      </c>
      <c r="Z228" s="179" t="e">
        <f>'Entrada e Saida'!$H$28*(IF('Entrada e Saida'!$H$15="PESO",(P228/(SUM(P:P))),(Q228/(SUM(Q:Q)))))</f>
        <v>#DIV/0!</v>
      </c>
      <c r="AA228" s="10" t="e">
        <f t="shared" si="118"/>
        <v>#DIV/0!</v>
      </c>
      <c r="AB228" s="3" t="e">
        <f t="shared" si="119"/>
        <v>#DIV/0!</v>
      </c>
      <c r="AC228" s="3" t="e">
        <f t="shared" si="120"/>
        <v>#DIV/0!</v>
      </c>
      <c r="AD228" s="3" t="e">
        <f t="shared" si="121"/>
        <v>#DIV/0!</v>
      </c>
      <c r="AE228" s="9" t="e">
        <f t="shared" si="122"/>
        <v>#DIV/0!</v>
      </c>
      <c r="AF228" s="126">
        <f>IFERROR(D228*F228*L228*'Entrada e Saida'!$K$8,0)</f>
        <v>0</v>
      </c>
      <c r="AG228" s="3" t="e">
        <f>((W228+AA228+AB228+AC228+AD228+AE228+AF228)/(1-'Entrada e Saida'!$G$65))*'Entrada e Saida'!$I$66</f>
        <v>#DIV/0!</v>
      </c>
      <c r="AH228" s="8" t="e">
        <f t="shared" si="123"/>
        <v>#DIV/0!</v>
      </c>
      <c r="AI228" s="183" t="e">
        <f>'Entrada e Saida'!$K$51*(IF('Entrada e Saida'!$H$15="PESO",(P228/(SUM(P:P))),(Q228/(SUM(Q:Q)))))</f>
        <v>#DIV/0!</v>
      </c>
      <c r="AJ228" s="7">
        <f>(('Entrada e Saida'!$K$10-'Entrada e Saida'!$K$8)*E228*D228)</f>
        <v>0</v>
      </c>
      <c r="AK228" s="184" t="e">
        <f>IF('Entrada e Saida'!$H$15="PESO",W228+AA228+AH228+AI228+AJ228,W228+AA228+AH228+AI228+AJ228-S228+T228-U228+V228)</f>
        <v>#DIV/0!</v>
      </c>
      <c r="AL228" s="6" t="e">
        <f>IF('Entrada e Saida'!$H$12="REAL",AC228,0)</f>
        <v>#DIV/0!</v>
      </c>
      <c r="AM228" s="6" t="e">
        <f>IF('Entrada e Saida'!$H$12="REAL",AD228,0)</f>
        <v>#DIV/0!</v>
      </c>
      <c r="AN228" s="5" t="e">
        <f>IF('Entrada e Saida'!$H$13= "NÃO",AE228,0)</f>
        <v>#DIV/0!</v>
      </c>
      <c r="AO228" s="5" t="e">
        <f t="shared" si="124"/>
        <v>#DIV/0!</v>
      </c>
      <c r="AP228" s="4" t="e">
        <f t="shared" si="125"/>
        <v>#DIV/0!</v>
      </c>
      <c r="AQ228" s="3" t="e">
        <f>IF('Entrada e Saida'!$H$11="TRADING",AU228*'Custo Resumido'!D228,0)</f>
        <v>#DIV/0!</v>
      </c>
      <c r="AR228" s="3" t="e">
        <f>IF('Entrada e Saida'!$H$11="TRADING",AU228*'Entrada e Saida'!$G$63,0)</f>
        <v>#DIV/0!</v>
      </c>
      <c r="AS228" s="3" t="e">
        <f>IF('Entrada e Saida'!$H$11="TRADING",AU228*'Entrada e Saida'!$G$64,0)</f>
        <v>#DIV/0!</v>
      </c>
      <c r="AT228" s="3" t="e">
        <f>IF('Entrada e Saida'!$H$11="TRADING",AU228*'Entrada e Saida'!$G$65,0)</f>
        <v>#DIV/0!</v>
      </c>
      <c r="AU228" s="4" t="e">
        <f>IF('Entrada e Saida'!$H$11="TRADING",AP228/(1-(SUM('Entrada e Saida'!$G$63:$G$65)+'Custo Resumido'!D228)),0)</f>
        <v>#DIV/0!</v>
      </c>
      <c r="AV228" s="3" t="e">
        <f>IF('Entrada e Saida'!$H$13="NÃO",AU228*M228,0)</f>
        <v>#DIV/0!</v>
      </c>
      <c r="AW228" s="4" t="e">
        <f t="shared" si="126"/>
        <v>#DIV/0!</v>
      </c>
      <c r="AX228" s="3" t="e">
        <f>'Entrada e Saida'!$G$74*AU228</f>
        <v>#DIV/0!</v>
      </c>
      <c r="AY228" s="4" t="e">
        <f t="shared" si="127"/>
        <v>#DIV/0!</v>
      </c>
      <c r="AZ228" s="4" t="e">
        <f>AQ228+('Entrada e Saida'!$G$65-'Entrada e Saida'!$I$65)*AU228-AX228</f>
        <v>#DIV/0!</v>
      </c>
      <c r="BA228" s="3" t="e">
        <f>IF('Entrada e Saida'!$H$12="REAL",AZ228*'Entrada e Saida'!$G$81,AU228*'Entrada e Saida'!$G$81)</f>
        <v>#DIV/0!</v>
      </c>
      <c r="BB228" s="3" t="e">
        <f>IF('Entrada e Saida'!$H$12="REAL",AZ228*'Entrada e Saida'!$G$82,AU228*'Entrada e Saida'!$G$82)</f>
        <v>#DIV/0!</v>
      </c>
      <c r="BC228" s="4" t="e">
        <f t="shared" si="128"/>
        <v>#DIV/0!</v>
      </c>
      <c r="BD228" s="3" t="e">
        <f>IF('Entrada e Saida'!$H$11="TRADING",AW228/D228,AK228/D228)</f>
        <v>#DIV/0!</v>
      </c>
      <c r="BE228" s="3" t="e">
        <f t="shared" si="129"/>
        <v>#DIV/0!</v>
      </c>
      <c r="BF228" s="2" t="e">
        <f t="shared" si="130"/>
        <v>#DIV/0!</v>
      </c>
      <c r="BG228" s="3" t="e">
        <f>IF('Entrada e Saida'!$H$11="TRADING",AV228/D228,AN228/D228)</f>
        <v>#DIV/0!</v>
      </c>
      <c r="BH228" s="3" t="e">
        <f>IF('Entrada e Saida'!$H$11="TRADING",IF('Entrada e Saida'!$H$12="REAL",AR228/D228,0),AL228/D228)</f>
        <v>#DIV/0!</v>
      </c>
      <c r="BI228" s="3" t="e">
        <f>IF('Entrada e Saida'!$H$11="TRADING",IF('Entrada e Saida'!$H$12="REAL",AS228/D228,0),AM228/D228)</f>
        <v>#DIV/0!</v>
      </c>
      <c r="BJ228" s="3" t="e">
        <f>IF('Entrada e Saida'!$H$11="TRADING",AT228/D228,AO228/D228)</f>
        <v>#DIV/0!</v>
      </c>
      <c r="BK228" s="2" t="e">
        <f t="shared" si="131"/>
        <v>#DIV/0!</v>
      </c>
      <c r="BL228" s="2">
        <f>IF(O228&gt;0,IFERROR(IF('Entrada e Saida'!$H$11="DIRETA",0,(IF('Entrada e Saida'!$H$14="P.JURIDICA",(BD228*(1+O228)*N228)-((BD228/(1+M228))*'Entrada e Saida'!$G$65),((Produtos!N228-'Entrada e Saida'!$G$65)*Produtos!BD228)))),0),0)</f>
        <v>0</v>
      </c>
      <c r="BM228" s="2" t="e">
        <f t="shared" si="132"/>
        <v>#DIV/0!</v>
      </c>
    </row>
    <row r="229" spans="1:65" s="1" customFormat="1">
      <c r="A229" s="127"/>
      <c r="B229" s="114"/>
      <c r="C229" s="116"/>
      <c r="D229" s="146"/>
      <c r="E229" s="115">
        <f>IFERROR(VLOOKUP(A229,'Master Modelo'!A:I,9,FALSE),0)</f>
        <v>0</v>
      </c>
      <c r="F229" s="189">
        <f>IFERROR(VLOOKUP(A229,'Master Modelo'!A:I,8,FALSE),0)</f>
        <v>0</v>
      </c>
      <c r="G229" s="189">
        <f>IFERROR(VLOOKUP(A229,'Master Modelo'!A:K,11,FALSE),0)</f>
        <v>0</v>
      </c>
      <c r="H229" s="114" t="e">
        <f t="shared" si="115"/>
        <v>#DIV/0!</v>
      </c>
      <c r="I229" s="150">
        <f>IFERROR(VLOOKUP(A229,'Master Modelo'!A:I,3,FALSE),0)</f>
        <v>0</v>
      </c>
      <c r="J229" s="151">
        <f>IFERROR(VLOOKUP(A229,'Master Modelo'!A:I,5,FALSE),0)</f>
        <v>0</v>
      </c>
      <c r="K229" s="151">
        <f>IFERROR(VLOOKUP(A229,'Master Modelo'!A:I,6,FALSE),0)</f>
        <v>0</v>
      </c>
      <c r="L229" s="152" t="e">
        <f>VLOOKUP(A229,'Master Modelo'!A:J,10,FALSE)</f>
        <v>#N/A</v>
      </c>
      <c r="M229" s="150">
        <f>IFERROR(VLOOKUP(A229,'Master Modelo'!A:I,4,FALSE),0)</f>
        <v>0</v>
      </c>
      <c r="N229" s="128"/>
      <c r="O229" s="129"/>
      <c r="P229" s="9">
        <f t="shared" si="116"/>
        <v>0</v>
      </c>
      <c r="Q229" s="177">
        <f t="shared" si="96"/>
        <v>0</v>
      </c>
      <c r="R229" s="3">
        <f>D229*E229*'Entrada e Saida'!$K$8</f>
        <v>0</v>
      </c>
      <c r="S229" s="179" t="e">
        <f>'Entrada e Saida'!$H$21*'Entrada e Saida'!$K$8*(P229/(SUM(P:P)))</f>
        <v>#DIV/0!</v>
      </c>
      <c r="T229" s="179" t="e">
        <f>'Entrada e Saida'!$H$21*'Entrada e Saida'!$K$8*(Q229/(SUM(Q:Q)))</f>
        <v>#DIV/0!</v>
      </c>
      <c r="U229" s="179" t="e">
        <f>'Entrada e Saida'!$H$22*(P229/(SUM(P:P)))</f>
        <v>#DIV/0!</v>
      </c>
      <c r="V229" s="179" t="e">
        <f>'Entrada e Saida'!$H$22*(Q229/(SUM(Q:Q)))</f>
        <v>#DIV/0!</v>
      </c>
      <c r="W229" s="8" t="e">
        <f t="shared" si="117"/>
        <v>#DIV/0!</v>
      </c>
      <c r="X229" s="179" t="e">
        <f>'Entrada e Saida'!$H$26*(IF('Entrada e Saida'!$H$15="PESO",(P229/(SUM(P:P))),(Q229/(SUM(Q:Q)))))</f>
        <v>#DIV/0!</v>
      </c>
      <c r="Y229" s="179" t="e">
        <f>'Entrada e Saida'!$H$27*(IF('Entrada e Saida'!$H$15="PESO",(P229/(SUM(P:P))),(Q229/(SUM(Q:Q)))))</f>
        <v>#DIV/0!</v>
      </c>
      <c r="Z229" s="179" t="e">
        <f>'Entrada e Saida'!$H$28*(IF('Entrada e Saida'!$H$15="PESO",(P229/(SUM(P:P))),(Q229/(SUM(Q:Q)))))</f>
        <v>#DIV/0!</v>
      </c>
      <c r="AA229" s="10" t="e">
        <f t="shared" si="118"/>
        <v>#DIV/0!</v>
      </c>
      <c r="AB229" s="3" t="e">
        <f t="shared" si="119"/>
        <v>#DIV/0!</v>
      </c>
      <c r="AC229" s="3" t="e">
        <f t="shared" si="120"/>
        <v>#DIV/0!</v>
      </c>
      <c r="AD229" s="3" t="e">
        <f t="shared" si="121"/>
        <v>#DIV/0!</v>
      </c>
      <c r="AE229" s="9" t="e">
        <f t="shared" si="122"/>
        <v>#DIV/0!</v>
      </c>
      <c r="AF229" s="126">
        <f>IFERROR(D229*F229*L229*'Entrada e Saida'!$K$8,0)</f>
        <v>0</v>
      </c>
      <c r="AG229" s="3" t="e">
        <f>((W229+AA229+AB229+AC229+AD229+AE229+AF229)/(1-'Entrada e Saida'!$G$65))*'Entrada e Saida'!$I$66</f>
        <v>#DIV/0!</v>
      </c>
      <c r="AH229" s="8" t="e">
        <f t="shared" si="123"/>
        <v>#DIV/0!</v>
      </c>
      <c r="AI229" s="183" t="e">
        <f>'Entrada e Saida'!$K$51*(IF('Entrada e Saida'!$H$15="PESO",(P229/(SUM(P:P))),(Q229/(SUM(Q:Q)))))</f>
        <v>#DIV/0!</v>
      </c>
      <c r="AJ229" s="7">
        <f>(('Entrada e Saida'!$K$10-'Entrada e Saida'!$K$8)*E229*D229)</f>
        <v>0</v>
      </c>
      <c r="AK229" s="184" t="e">
        <f>IF('Entrada e Saida'!$H$15="PESO",W229+AA229+AH229+AI229+AJ229,W229+AA229+AH229+AI229+AJ229-S229+T229-U229+V229)</f>
        <v>#DIV/0!</v>
      </c>
      <c r="AL229" s="6" t="e">
        <f>IF('Entrada e Saida'!$H$12="REAL",AC229,0)</f>
        <v>#DIV/0!</v>
      </c>
      <c r="AM229" s="6" t="e">
        <f>IF('Entrada e Saida'!$H$12="REAL",AD229,0)</f>
        <v>#DIV/0!</v>
      </c>
      <c r="AN229" s="5" t="e">
        <f>IF('Entrada e Saida'!$H$13= "NÃO",AE229,0)</f>
        <v>#DIV/0!</v>
      </c>
      <c r="AO229" s="5" t="e">
        <f t="shared" si="124"/>
        <v>#DIV/0!</v>
      </c>
      <c r="AP229" s="4" t="e">
        <f t="shared" si="125"/>
        <v>#DIV/0!</v>
      </c>
      <c r="AQ229" s="3" t="e">
        <f>IF('Entrada e Saida'!$H$11="TRADING",AU229*'Custo Resumido'!D229,0)</f>
        <v>#DIV/0!</v>
      </c>
      <c r="AR229" s="3" t="e">
        <f>IF('Entrada e Saida'!$H$11="TRADING",AU229*'Entrada e Saida'!$G$63,0)</f>
        <v>#DIV/0!</v>
      </c>
      <c r="AS229" s="3" t="e">
        <f>IF('Entrada e Saida'!$H$11="TRADING",AU229*'Entrada e Saida'!$G$64,0)</f>
        <v>#DIV/0!</v>
      </c>
      <c r="AT229" s="3" t="e">
        <f>IF('Entrada e Saida'!$H$11="TRADING",AU229*'Entrada e Saida'!$G$65,0)</f>
        <v>#DIV/0!</v>
      </c>
      <c r="AU229" s="4" t="e">
        <f>IF('Entrada e Saida'!$H$11="TRADING",AP229/(1-(SUM('Entrada e Saida'!$G$63:$G$65)+'Custo Resumido'!D229)),0)</f>
        <v>#DIV/0!</v>
      </c>
      <c r="AV229" s="3" t="e">
        <f>IF('Entrada e Saida'!$H$13="NÃO",AU229*M229,0)</f>
        <v>#DIV/0!</v>
      </c>
      <c r="AW229" s="4" t="e">
        <f t="shared" si="126"/>
        <v>#DIV/0!</v>
      </c>
      <c r="AX229" s="3" t="e">
        <f>'Entrada e Saida'!$G$74*AU229</f>
        <v>#DIV/0!</v>
      </c>
      <c r="AY229" s="4" t="e">
        <f t="shared" si="127"/>
        <v>#DIV/0!</v>
      </c>
      <c r="AZ229" s="4" t="e">
        <f>AQ229+('Entrada e Saida'!$G$65-'Entrada e Saida'!$I$65)*AU229-AX229</f>
        <v>#DIV/0!</v>
      </c>
      <c r="BA229" s="3" t="e">
        <f>IF('Entrada e Saida'!$H$12="REAL",AZ229*'Entrada e Saida'!$G$81,AU229*'Entrada e Saida'!$G$81)</f>
        <v>#DIV/0!</v>
      </c>
      <c r="BB229" s="3" t="e">
        <f>IF('Entrada e Saida'!$H$12="REAL",AZ229*'Entrada e Saida'!$G$82,AU229*'Entrada e Saida'!$G$82)</f>
        <v>#DIV/0!</v>
      </c>
      <c r="BC229" s="4" t="e">
        <f t="shared" si="128"/>
        <v>#DIV/0!</v>
      </c>
      <c r="BD229" s="3" t="e">
        <f>IF('Entrada e Saida'!$H$11="TRADING",AW229/D229,AK229/D229)</f>
        <v>#DIV/0!</v>
      </c>
      <c r="BE229" s="3" t="e">
        <f t="shared" si="129"/>
        <v>#DIV/0!</v>
      </c>
      <c r="BF229" s="2" t="e">
        <f t="shared" si="130"/>
        <v>#DIV/0!</v>
      </c>
      <c r="BG229" s="3" t="e">
        <f>IF('Entrada e Saida'!$H$11="TRADING",AV229/D229,AN229/D229)</f>
        <v>#DIV/0!</v>
      </c>
      <c r="BH229" s="3" t="e">
        <f>IF('Entrada e Saida'!$H$11="TRADING",IF('Entrada e Saida'!$H$12="REAL",AR229/D229,0),AL229/D229)</f>
        <v>#DIV/0!</v>
      </c>
      <c r="BI229" s="3" t="e">
        <f>IF('Entrada e Saida'!$H$11="TRADING",IF('Entrada e Saida'!$H$12="REAL",AS229/D229,0),AM229/D229)</f>
        <v>#DIV/0!</v>
      </c>
      <c r="BJ229" s="3" t="e">
        <f>IF('Entrada e Saida'!$H$11="TRADING",AT229/D229,AO229/D229)</f>
        <v>#DIV/0!</v>
      </c>
      <c r="BK229" s="2" t="e">
        <f t="shared" si="131"/>
        <v>#DIV/0!</v>
      </c>
      <c r="BL229" s="2">
        <f>IF(O229&gt;0,IFERROR(IF('Entrada e Saida'!$H$11="DIRETA",0,(IF('Entrada e Saida'!$H$14="P.JURIDICA",(BD229*(1+O229)*N229)-((BD229/(1+M229))*'Entrada e Saida'!$G$65),((Produtos!N229-'Entrada e Saida'!$G$65)*Produtos!BD229)))),0),0)</f>
        <v>0</v>
      </c>
      <c r="BM229" s="2" t="e">
        <f t="shared" si="132"/>
        <v>#DIV/0!</v>
      </c>
    </row>
    <row r="230" spans="1:65" s="1" customFormat="1">
      <c r="A230" s="127"/>
      <c r="B230" s="114"/>
      <c r="C230" s="116"/>
      <c r="D230" s="146"/>
      <c r="E230" s="115">
        <f>IFERROR(VLOOKUP(A230,'Master Modelo'!A:I,9,FALSE),0)</f>
        <v>0</v>
      </c>
      <c r="F230" s="189">
        <f>IFERROR(VLOOKUP(A230,'Master Modelo'!A:I,8,FALSE),0)</f>
        <v>0</v>
      </c>
      <c r="G230" s="189">
        <f>IFERROR(VLOOKUP(A230,'Master Modelo'!A:K,11,FALSE),0)</f>
        <v>0</v>
      </c>
      <c r="H230" s="114" t="e">
        <f t="shared" si="115"/>
        <v>#DIV/0!</v>
      </c>
      <c r="I230" s="150">
        <f>IFERROR(VLOOKUP(A230,'Master Modelo'!A:I,3,FALSE),0)</f>
        <v>0</v>
      </c>
      <c r="J230" s="151">
        <f>IFERROR(VLOOKUP(A230,'Master Modelo'!A:I,5,FALSE),0)</f>
        <v>0</v>
      </c>
      <c r="K230" s="151">
        <f>IFERROR(VLOOKUP(A230,'Master Modelo'!A:I,6,FALSE),0)</f>
        <v>0</v>
      </c>
      <c r="L230" s="152" t="e">
        <f>VLOOKUP(A230,'Master Modelo'!A:J,10,FALSE)</f>
        <v>#N/A</v>
      </c>
      <c r="M230" s="150">
        <f>IFERROR(VLOOKUP(A230,'Master Modelo'!A:I,4,FALSE),0)</f>
        <v>0</v>
      </c>
      <c r="N230" s="128"/>
      <c r="O230" s="129"/>
      <c r="P230" s="9">
        <f t="shared" si="116"/>
        <v>0</v>
      </c>
      <c r="Q230" s="177">
        <f t="shared" si="96"/>
        <v>0</v>
      </c>
      <c r="R230" s="3">
        <f>D230*E230*'Entrada e Saida'!$K$8</f>
        <v>0</v>
      </c>
      <c r="S230" s="179" t="e">
        <f>'Entrada e Saida'!$H$21*'Entrada e Saida'!$K$8*(P230/(SUM(P:P)))</f>
        <v>#DIV/0!</v>
      </c>
      <c r="T230" s="179" t="e">
        <f>'Entrada e Saida'!$H$21*'Entrada e Saida'!$K$8*(Q230/(SUM(Q:Q)))</f>
        <v>#DIV/0!</v>
      </c>
      <c r="U230" s="179" t="e">
        <f>'Entrada e Saida'!$H$22*(P230/(SUM(P:P)))</f>
        <v>#DIV/0!</v>
      </c>
      <c r="V230" s="179" t="e">
        <f>'Entrada e Saida'!$H$22*(Q230/(SUM(Q:Q)))</f>
        <v>#DIV/0!</v>
      </c>
      <c r="W230" s="8" t="e">
        <f t="shared" si="117"/>
        <v>#DIV/0!</v>
      </c>
      <c r="X230" s="179" t="e">
        <f>'Entrada e Saida'!$H$26*(IF('Entrada e Saida'!$H$15="PESO",(P230/(SUM(P:P))),(Q230/(SUM(Q:Q)))))</f>
        <v>#DIV/0!</v>
      </c>
      <c r="Y230" s="179" t="e">
        <f>'Entrada e Saida'!$H$27*(IF('Entrada e Saida'!$H$15="PESO",(P230/(SUM(P:P))),(Q230/(SUM(Q:Q)))))</f>
        <v>#DIV/0!</v>
      </c>
      <c r="Z230" s="179" t="e">
        <f>'Entrada e Saida'!$H$28*(IF('Entrada e Saida'!$H$15="PESO",(P230/(SUM(P:P))),(Q230/(SUM(Q:Q)))))</f>
        <v>#DIV/0!</v>
      </c>
      <c r="AA230" s="10" t="e">
        <f t="shared" si="118"/>
        <v>#DIV/0!</v>
      </c>
      <c r="AB230" s="3" t="e">
        <f t="shared" si="119"/>
        <v>#DIV/0!</v>
      </c>
      <c r="AC230" s="3" t="e">
        <f t="shared" si="120"/>
        <v>#DIV/0!</v>
      </c>
      <c r="AD230" s="3" t="e">
        <f t="shared" si="121"/>
        <v>#DIV/0!</v>
      </c>
      <c r="AE230" s="9" t="e">
        <f t="shared" si="122"/>
        <v>#DIV/0!</v>
      </c>
      <c r="AF230" s="126">
        <f>IFERROR(D230*F230*L230*'Entrada e Saida'!$K$8,0)</f>
        <v>0</v>
      </c>
      <c r="AG230" s="3" t="e">
        <f>((W230+AA230+AB230+AC230+AD230+AE230+AF230)/(1-'Entrada e Saida'!$G$65))*'Entrada e Saida'!$I$66</f>
        <v>#DIV/0!</v>
      </c>
      <c r="AH230" s="8" t="e">
        <f t="shared" si="123"/>
        <v>#DIV/0!</v>
      </c>
      <c r="AI230" s="183" t="e">
        <f>'Entrada e Saida'!$K$51*(IF('Entrada e Saida'!$H$15="PESO",(P230/(SUM(P:P))),(Q230/(SUM(Q:Q)))))</f>
        <v>#DIV/0!</v>
      </c>
      <c r="AJ230" s="7">
        <f>(('Entrada e Saida'!$K$10-'Entrada e Saida'!$K$8)*E230*D230)</f>
        <v>0</v>
      </c>
      <c r="AK230" s="184" t="e">
        <f>IF('Entrada e Saida'!$H$15="PESO",W230+AA230+AH230+AI230+AJ230,W230+AA230+AH230+AI230+AJ230-S230+T230-U230+V230)</f>
        <v>#DIV/0!</v>
      </c>
      <c r="AL230" s="6" t="e">
        <f>IF('Entrada e Saida'!$H$12="REAL",AC230,0)</f>
        <v>#DIV/0!</v>
      </c>
      <c r="AM230" s="6" t="e">
        <f>IF('Entrada e Saida'!$H$12="REAL",AD230,0)</f>
        <v>#DIV/0!</v>
      </c>
      <c r="AN230" s="5" t="e">
        <f>IF('Entrada e Saida'!$H$13= "NÃO",AE230,0)</f>
        <v>#DIV/0!</v>
      </c>
      <c r="AO230" s="5" t="e">
        <f t="shared" si="124"/>
        <v>#DIV/0!</v>
      </c>
      <c r="AP230" s="4" t="e">
        <f t="shared" si="125"/>
        <v>#DIV/0!</v>
      </c>
      <c r="AQ230" s="3" t="e">
        <f>IF('Entrada e Saida'!$H$11="TRADING",AU230*'Custo Resumido'!D230,0)</f>
        <v>#DIV/0!</v>
      </c>
      <c r="AR230" s="3" t="e">
        <f>IF('Entrada e Saida'!$H$11="TRADING",AU230*'Entrada e Saida'!$G$63,0)</f>
        <v>#DIV/0!</v>
      </c>
      <c r="AS230" s="3" t="e">
        <f>IF('Entrada e Saida'!$H$11="TRADING",AU230*'Entrada e Saida'!$G$64,0)</f>
        <v>#DIV/0!</v>
      </c>
      <c r="AT230" s="3" t="e">
        <f>IF('Entrada e Saida'!$H$11="TRADING",AU230*'Entrada e Saida'!$G$65,0)</f>
        <v>#DIV/0!</v>
      </c>
      <c r="AU230" s="4" t="e">
        <f>IF('Entrada e Saida'!$H$11="TRADING",AP230/(1-(SUM('Entrada e Saida'!$G$63:$G$65)+'Custo Resumido'!D230)),0)</f>
        <v>#DIV/0!</v>
      </c>
      <c r="AV230" s="3" t="e">
        <f>IF('Entrada e Saida'!$H$13="NÃO",AU230*M230,0)</f>
        <v>#DIV/0!</v>
      </c>
      <c r="AW230" s="4" t="e">
        <f t="shared" si="126"/>
        <v>#DIV/0!</v>
      </c>
      <c r="AX230" s="3" t="e">
        <f>'Entrada e Saida'!$G$74*AU230</f>
        <v>#DIV/0!</v>
      </c>
      <c r="AY230" s="4" t="e">
        <f t="shared" si="127"/>
        <v>#DIV/0!</v>
      </c>
      <c r="AZ230" s="4" t="e">
        <f>AQ230+('Entrada e Saida'!$G$65-'Entrada e Saida'!$I$65)*AU230-AX230</f>
        <v>#DIV/0!</v>
      </c>
      <c r="BA230" s="3" t="e">
        <f>IF('Entrada e Saida'!$H$12="REAL",AZ230*'Entrada e Saida'!$G$81,AU230*'Entrada e Saida'!$G$81)</f>
        <v>#DIV/0!</v>
      </c>
      <c r="BB230" s="3" t="e">
        <f>IF('Entrada e Saida'!$H$12="REAL",AZ230*'Entrada e Saida'!$G$82,AU230*'Entrada e Saida'!$G$82)</f>
        <v>#DIV/0!</v>
      </c>
      <c r="BC230" s="4" t="e">
        <f t="shared" si="128"/>
        <v>#DIV/0!</v>
      </c>
      <c r="BD230" s="3" t="e">
        <f>IF('Entrada e Saida'!$H$11="TRADING",AW230/D230,AK230/D230)</f>
        <v>#DIV/0!</v>
      </c>
      <c r="BE230" s="3" t="e">
        <f t="shared" si="129"/>
        <v>#DIV/0!</v>
      </c>
      <c r="BF230" s="2" t="e">
        <f t="shared" si="130"/>
        <v>#DIV/0!</v>
      </c>
      <c r="BG230" s="3" t="e">
        <f>IF('Entrada e Saida'!$H$11="TRADING",AV230/D230,AN230/D230)</f>
        <v>#DIV/0!</v>
      </c>
      <c r="BH230" s="3" t="e">
        <f>IF('Entrada e Saida'!$H$11="TRADING",IF('Entrada e Saida'!$H$12="REAL",AR230/D230,0),AL230/D230)</f>
        <v>#DIV/0!</v>
      </c>
      <c r="BI230" s="3" t="e">
        <f>IF('Entrada e Saida'!$H$11="TRADING",IF('Entrada e Saida'!$H$12="REAL",AS230/D230,0),AM230/D230)</f>
        <v>#DIV/0!</v>
      </c>
      <c r="BJ230" s="3" t="e">
        <f>IF('Entrada e Saida'!$H$11="TRADING",AT230/D230,AO230/D230)</f>
        <v>#DIV/0!</v>
      </c>
      <c r="BK230" s="2" t="e">
        <f t="shared" si="131"/>
        <v>#DIV/0!</v>
      </c>
      <c r="BL230" s="2">
        <f>IF(O230&gt;0,IFERROR(IF('Entrada e Saida'!$H$11="DIRETA",0,(IF('Entrada e Saida'!$H$14="P.JURIDICA",(BD230*(1+O230)*N230)-((BD230/(1+M230))*'Entrada e Saida'!$G$65),((Produtos!N230-'Entrada e Saida'!$G$65)*Produtos!BD230)))),0),0)</f>
        <v>0</v>
      </c>
      <c r="BM230" s="2" t="e">
        <f t="shared" si="132"/>
        <v>#DIV/0!</v>
      </c>
    </row>
    <row r="231" spans="1:65" s="1" customFormat="1">
      <c r="A231" s="127"/>
      <c r="B231" s="114"/>
      <c r="C231" s="116"/>
      <c r="D231" s="146"/>
      <c r="E231" s="115">
        <f>IFERROR(VLOOKUP(A231,'Master Modelo'!A:I,9,FALSE),0)</f>
        <v>0</v>
      </c>
      <c r="F231" s="189">
        <f>IFERROR(VLOOKUP(A231,'Master Modelo'!A:I,8,FALSE),0)</f>
        <v>0</v>
      </c>
      <c r="G231" s="189">
        <f>IFERROR(VLOOKUP(A231,'Master Modelo'!A:K,11,FALSE),0)</f>
        <v>0</v>
      </c>
      <c r="H231" s="114" t="e">
        <f t="shared" si="115"/>
        <v>#DIV/0!</v>
      </c>
      <c r="I231" s="150">
        <f>IFERROR(VLOOKUP(A231,'Master Modelo'!A:I,3,FALSE),0)</f>
        <v>0</v>
      </c>
      <c r="J231" s="151">
        <f>IFERROR(VLOOKUP(A231,'Master Modelo'!A:I,5,FALSE),0)</f>
        <v>0</v>
      </c>
      <c r="K231" s="151">
        <f>IFERROR(VLOOKUP(A231,'Master Modelo'!A:I,6,FALSE),0)</f>
        <v>0</v>
      </c>
      <c r="L231" s="152" t="e">
        <f>VLOOKUP(A231,'Master Modelo'!A:J,10,FALSE)</f>
        <v>#N/A</v>
      </c>
      <c r="M231" s="150">
        <f>IFERROR(VLOOKUP(A231,'Master Modelo'!A:I,4,FALSE),0)</f>
        <v>0</v>
      </c>
      <c r="N231" s="128"/>
      <c r="O231" s="129"/>
      <c r="P231" s="9">
        <f t="shared" si="116"/>
        <v>0</v>
      </c>
      <c r="Q231" s="177">
        <f t="shared" si="96"/>
        <v>0</v>
      </c>
      <c r="R231" s="3">
        <f>D231*E231*'Entrada e Saida'!$K$8</f>
        <v>0</v>
      </c>
      <c r="S231" s="179" t="e">
        <f>'Entrada e Saida'!$H$21*'Entrada e Saida'!$K$8*(P231/(SUM(P:P)))</f>
        <v>#DIV/0!</v>
      </c>
      <c r="T231" s="179" t="e">
        <f>'Entrada e Saida'!$H$21*'Entrada e Saida'!$K$8*(Q231/(SUM(Q:Q)))</f>
        <v>#DIV/0!</v>
      </c>
      <c r="U231" s="179" t="e">
        <f>'Entrada e Saida'!$H$22*(P231/(SUM(P:P)))</f>
        <v>#DIV/0!</v>
      </c>
      <c r="V231" s="179" t="e">
        <f>'Entrada e Saida'!$H$22*(Q231/(SUM(Q:Q)))</f>
        <v>#DIV/0!</v>
      </c>
      <c r="W231" s="8" t="e">
        <f t="shared" si="117"/>
        <v>#DIV/0!</v>
      </c>
      <c r="X231" s="179" t="e">
        <f>'Entrada e Saida'!$H$26*(IF('Entrada e Saida'!$H$15="PESO",(P231/(SUM(P:P))),(Q231/(SUM(Q:Q)))))</f>
        <v>#DIV/0!</v>
      </c>
      <c r="Y231" s="179" t="e">
        <f>'Entrada e Saida'!$H$27*(IF('Entrada e Saida'!$H$15="PESO",(P231/(SUM(P:P))),(Q231/(SUM(Q:Q)))))</f>
        <v>#DIV/0!</v>
      </c>
      <c r="Z231" s="179" t="e">
        <f>'Entrada e Saida'!$H$28*(IF('Entrada e Saida'!$H$15="PESO",(P231/(SUM(P:P))),(Q231/(SUM(Q:Q)))))</f>
        <v>#DIV/0!</v>
      </c>
      <c r="AA231" s="10" t="e">
        <f t="shared" si="118"/>
        <v>#DIV/0!</v>
      </c>
      <c r="AB231" s="3" t="e">
        <f t="shared" si="119"/>
        <v>#DIV/0!</v>
      </c>
      <c r="AC231" s="3" t="e">
        <f t="shared" si="120"/>
        <v>#DIV/0!</v>
      </c>
      <c r="AD231" s="3" t="e">
        <f t="shared" si="121"/>
        <v>#DIV/0!</v>
      </c>
      <c r="AE231" s="9" t="e">
        <f t="shared" si="122"/>
        <v>#DIV/0!</v>
      </c>
      <c r="AF231" s="126">
        <f>IFERROR(D231*F231*L231*'Entrada e Saida'!$K$8,0)</f>
        <v>0</v>
      </c>
      <c r="AG231" s="3" t="e">
        <f>((W231+AA231+AB231+AC231+AD231+AE231+AF231)/(1-'Entrada e Saida'!$G$65))*'Entrada e Saida'!$I$66</f>
        <v>#DIV/0!</v>
      </c>
      <c r="AH231" s="8" t="e">
        <f t="shared" si="123"/>
        <v>#DIV/0!</v>
      </c>
      <c r="AI231" s="183" t="e">
        <f>'Entrada e Saida'!$K$51*(IF('Entrada e Saida'!$H$15="PESO",(P231/(SUM(P:P))),(Q231/(SUM(Q:Q)))))</f>
        <v>#DIV/0!</v>
      </c>
      <c r="AJ231" s="7">
        <f>(('Entrada e Saida'!$K$10-'Entrada e Saida'!$K$8)*E231*D231)</f>
        <v>0</v>
      </c>
      <c r="AK231" s="184" t="e">
        <f>IF('Entrada e Saida'!$H$15="PESO",W231+AA231+AH231+AI231+AJ231,W231+AA231+AH231+AI231+AJ231-S231+T231-U231+V231)</f>
        <v>#DIV/0!</v>
      </c>
      <c r="AL231" s="6" t="e">
        <f>IF('Entrada e Saida'!$H$12="REAL",AC231,0)</f>
        <v>#DIV/0!</v>
      </c>
      <c r="AM231" s="6" t="e">
        <f>IF('Entrada e Saida'!$H$12="REAL",AD231,0)</f>
        <v>#DIV/0!</v>
      </c>
      <c r="AN231" s="5" t="e">
        <f>IF('Entrada e Saida'!$H$13= "NÃO",AE231,0)</f>
        <v>#DIV/0!</v>
      </c>
      <c r="AO231" s="5" t="e">
        <f t="shared" si="124"/>
        <v>#DIV/0!</v>
      </c>
      <c r="AP231" s="4" t="e">
        <f t="shared" si="125"/>
        <v>#DIV/0!</v>
      </c>
      <c r="AQ231" s="3" t="e">
        <f>IF('Entrada e Saida'!$H$11="TRADING",AU231*'Custo Resumido'!D231,0)</f>
        <v>#DIV/0!</v>
      </c>
      <c r="AR231" s="3" t="e">
        <f>IF('Entrada e Saida'!$H$11="TRADING",AU231*'Entrada e Saida'!$G$63,0)</f>
        <v>#DIV/0!</v>
      </c>
      <c r="AS231" s="3" t="e">
        <f>IF('Entrada e Saida'!$H$11="TRADING",AU231*'Entrada e Saida'!$G$64,0)</f>
        <v>#DIV/0!</v>
      </c>
      <c r="AT231" s="3" t="e">
        <f>IF('Entrada e Saida'!$H$11="TRADING",AU231*'Entrada e Saida'!$G$65,0)</f>
        <v>#DIV/0!</v>
      </c>
      <c r="AU231" s="4" t="e">
        <f>IF('Entrada e Saida'!$H$11="TRADING",AP231/(1-(SUM('Entrada e Saida'!$G$63:$G$65)+'Custo Resumido'!D231)),0)</f>
        <v>#DIV/0!</v>
      </c>
      <c r="AV231" s="3" t="e">
        <f>IF('Entrada e Saida'!$H$13="NÃO",AU231*M231,0)</f>
        <v>#DIV/0!</v>
      </c>
      <c r="AW231" s="4" t="e">
        <f t="shared" si="126"/>
        <v>#DIV/0!</v>
      </c>
      <c r="AX231" s="3" t="e">
        <f>'Entrada e Saida'!$G$74*AU231</f>
        <v>#DIV/0!</v>
      </c>
      <c r="AY231" s="4" t="e">
        <f t="shared" si="127"/>
        <v>#DIV/0!</v>
      </c>
      <c r="AZ231" s="4" t="e">
        <f>AQ231+('Entrada e Saida'!$G$65-'Entrada e Saida'!$I$65)*AU231-AX231</f>
        <v>#DIV/0!</v>
      </c>
      <c r="BA231" s="3" t="e">
        <f>IF('Entrada e Saida'!$H$12="REAL",AZ231*'Entrada e Saida'!$G$81,AU231*'Entrada e Saida'!$G$81)</f>
        <v>#DIV/0!</v>
      </c>
      <c r="BB231" s="3" t="e">
        <f>IF('Entrada e Saida'!$H$12="REAL",AZ231*'Entrada e Saida'!$G$82,AU231*'Entrada e Saida'!$G$82)</f>
        <v>#DIV/0!</v>
      </c>
      <c r="BC231" s="4" t="e">
        <f t="shared" si="128"/>
        <v>#DIV/0!</v>
      </c>
      <c r="BD231" s="3" t="e">
        <f>IF('Entrada e Saida'!$H$11="TRADING",AW231/D231,AK231/D231)</f>
        <v>#DIV/0!</v>
      </c>
      <c r="BE231" s="3" t="e">
        <f t="shared" si="129"/>
        <v>#DIV/0!</v>
      </c>
      <c r="BF231" s="2" t="e">
        <f t="shared" si="130"/>
        <v>#DIV/0!</v>
      </c>
      <c r="BG231" s="3" t="e">
        <f>IF('Entrada e Saida'!$H$11="TRADING",AV231/D231,AN231/D231)</f>
        <v>#DIV/0!</v>
      </c>
      <c r="BH231" s="3" t="e">
        <f>IF('Entrada e Saida'!$H$11="TRADING",IF('Entrada e Saida'!$H$12="REAL",AR231/D231,0),AL231/D231)</f>
        <v>#DIV/0!</v>
      </c>
      <c r="BI231" s="3" t="e">
        <f>IF('Entrada e Saida'!$H$11="TRADING",IF('Entrada e Saida'!$H$12="REAL",AS231/D231,0),AM231/D231)</f>
        <v>#DIV/0!</v>
      </c>
      <c r="BJ231" s="3" t="e">
        <f>IF('Entrada e Saida'!$H$11="TRADING",AT231/D231,AO231/D231)</f>
        <v>#DIV/0!</v>
      </c>
      <c r="BK231" s="2" t="e">
        <f t="shared" si="131"/>
        <v>#DIV/0!</v>
      </c>
      <c r="BL231" s="2">
        <f>IF(O231&gt;0,IFERROR(IF('Entrada e Saida'!$H$11="DIRETA",0,(IF('Entrada e Saida'!$H$14="P.JURIDICA",(BD231*(1+O231)*N231)-((BD231/(1+M231))*'Entrada e Saida'!$G$65),((Produtos!N231-'Entrada e Saida'!$G$65)*Produtos!BD231)))),0),0)</f>
        <v>0</v>
      </c>
      <c r="BM231" s="2" t="e">
        <f t="shared" si="132"/>
        <v>#DIV/0!</v>
      </c>
    </row>
    <row r="232" spans="1:65" s="1" customFormat="1">
      <c r="A232" s="127"/>
      <c r="B232" s="114"/>
      <c r="C232" s="116"/>
      <c r="D232" s="146"/>
      <c r="E232" s="115">
        <f>IFERROR(VLOOKUP(A232,'Master Modelo'!A:I,9,FALSE),0)</f>
        <v>0</v>
      </c>
      <c r="F232" s="189">
        <f>IFERROR(VLOOKUP(A232,'Master Modelo'!A:I,8,FALSE),0)</f>
        <v>0</v>
      </c>
      <c r="G232" s="189">
        <f>IFERROR(VLOOKUP(A232,'Master Modelo'!A:K,11,FALSE),0)</f>
        <v>0</v>
      </c>
      <c r="H232" s="114" t="e">
        <f t="shared" si="115"/>
        <v>#DIV/0!</v>
      </c>
      <c r="I232" s="150">
        <f>IFERROR(VLOOKUP(A232,'Master Modelo'!A:I,3,FALSE),0)</f>
        <v>0</v>
      </c>
      <c r="J232" s="151">
        <f>IFERROR(VLOOKUP(A232,'Master Modelo'!A:I,5,FALSE),0)</f>
        <v>0</v>
      </c>
      <c r="K232" s="151">
        <f>IFERROR(VLOOKUP(A232,'Master Modelo'!A:I,6,FALSE),0)</f>
        <v>0</v>
      </c>
      <c r="L232" s="152" t="e">
        <f>VLOOKUP(A232,'Master Modelo'!A:J,10,FALSE)</f>
        <v>#N/A</v>
      </c>
      <c r="M232" s="150">
        <f>IFERROR(VLOOKUP(A232,'Master Modelo'!A:I,4,FALSE),0)</f>
        <v>0</v>
      </c>
      <c r="N232" s="128"/>
      <c r="O232" s="129"/>
      <c r="P232" s="9">
        <f t="shared" si="116"/>
        <v>0</v>
      </c>
      <c r="Q232" s="177">
        <f t="shared" si="96"/>
        <v>0</v>
      </c>
      <c r="R232" s="3">
        <f>D232*E232*'Entrada e Saida'!$K$8</f>
        <v>0</v>
      </c>
      <c r="S232" s="179" t="e">
        <f>'Entrada e Saida'!$H$21*'Entrada e Saida'!$K$8*(P232/(SUM(P:P)))</f>
        <v>#DIV/0!</v>
      </c>
      <c r="T232" s="179" t="e">
        <f>'Entrada e Saida'!$H$21*'Entrada e Saida'!$K$8*(Q232/(SUM(Q:Q)))</f>
        <v>#DIV/0!</v>
      </c>
      <c r="U232" s="179" t="e">
        <f>'Entrada e Saida'!$H$22*(P232/(SUM(P:P)))</f>
        <v>#DIV/0!</v>
      </c>
      <c r="V232" s="179" t="e">
        <f>'Entrada e Saida'!$H$22*(Q232/(SUM(Q:Q)))</f>
        <v>#DIV/0!</v>
      </c>
      <c r="W232" s="8" t="e">
        <f t="shared" si="117"/>
        <v>#DIV/0!</v>
      </c>
      <c r="X232" s="179" t="e">
        <f>'Entrada e Saida'!$H$26*(IF('Entrada e Saida'!$H$15="PESO",(P232/(SUM(P:P))),(Q232/(SUM(Q:Q)))))</f>
        <v>#DIV/0!</v>
      </c>
      <c r="Y232" s="179" t="e">
        <f>'Entrada e Saida'!$H$27*(IF('Entrada e Saida'!$H$15="PESO",(P232/(SUM(P:P))),(Q232/(SUM(Q:Q)))))</f>
        <v>#DIV/0!</v>
      </c>
      <c r="Z232" s="179" t="e">
        <f>'Entrada e Saida'!$H$28*(IF('Entrada e Saida'!$H$15="PESO",(P232/(SUM(P:P))),(Q232/(SUM(Q:Q)))))</f>
        <v>#DIV/0!</v>
      </c>
      <c r="AA232" s="10" t="e">
        <f t="shared" si="118"/>
        <v>#DIV/0!</v>
      </c>
      <c r="AB232" s="3" t="e">
        <f t="shared" si="119"/>
        <v>#DIV/0!</v>
      </c>
      <c r="AC232" s="3" t="e">
        <f t="shared" si="120"/>
        <v>#DIV/0!</v>
      </c>
      <c r="AD232" s="3" t="e">
        <f t="shared" si="121"/>
        <v>#DIV/0!</v>
      </c>
      <c r="AE232" s="9" t="e">
        <f t="shared" si="122"/>
        <v>#DIV/0!</v>
      </c>
      <c r="AF232" s="126">
        <f>IFERROR(D232*F232*L232*'Entrada e Saida'!$K$8,0)</f>
        <v>0</v>
      </c>
      <c r="AG232" s="3" t="e">
        <f>((W232+AA232+AB232+AC232+AD232+AE232+AF232)/(1-'Entrada e Saida'!$G$65))*'Entrada e Saida'!$I$66</f>
        <v>#DIV/0!</v>
      </c>
      <c r="AH232" s="8" t="e">
        <f t="shared" si="123"/>
        <v>#DIV/0!</v>
      </c>
      <c r="AI232" s="183" t="e">
        <f>'Entrada e Saida'!$K$51*(IF('Entrada e Saida'!$H$15="PESO",(P232/(SUM(P:P))),(Q232/(SUM(Q:Q)))))</f>
        <v>#DIV/0!</v>
      </c>
      <c r="AJ232" s="7">
        <f>(('Entrada e Saida'!$K$10-'Entrada e Saida'!$K$8)*E232*D232)</f>
        <v>0</v>
      </c>
      <c r="AK232" s="184" t="e">
        <f>IF('Entrada e Saida'!$H$15="PESO",W232+AA232+AH232+AI232+AJ232,W232+AA232+AH232+AI232+AJ232-S232+T232-U232+V232)</f>
        <v>#DIV/0!</v>
      </c>
      <c r="AL232" s="6" t="e">
        <f>IF('Entrada e Saida'!$H$12="REAL",AC232,0)</f>
        <v>#DIV/0!</v>
      </c>
      <c r="AM232" s="6" t="e">
        <f>IF('Entrada e Saida'!$H$12="REAL",AD232,0)</f>
        <v>#DIV/0!</v>
      </c>
      <c r="AN232" s="5" t="e">
        <f>IF('Entrada e Saida'!$H$13= "NÃO",AE232,0)</f>
        <v>#DIV/0!</v>
      </c>
      <c r="AO232" s="5" t="e">
        <f t="shared" si="124"/>
        <v>#DIV/0!</v>
      </c>
      <c r="AP232" s="4" t="e">
        <f t="shared" si="125"/>
        <v>#DIV/0!</v>
      </c>
      <c r="AQ232" s="3" t="e">
        <f>IF('Entrada e Saida'!$H$11="TRADING",AU232*'Custo Resumido'!D232,0)</f>
        <v>#DIV/0!</v>
      </c>
      <c r="AR232" s="3" t="e">
        <f>IF('Entrada e Saida'!$H$11="TRADING",AU232*'Entrada e Saida'!$G$63,0)</f>
        <v>#DIV/0!</v>
      </c>
      <c r="AS232" s="3" t="e">
        <f>IF('Entrada e Saida'!$H$11="TRADING",AU232*'Entrada e Saida'!$G$64,0)</f>
        <v>#DIV/0!</v>
      </c>
      <c r="AT232" s="3" t="e">
        <f>IF('Entrada e Saida'!$H$11="TRADING",AU232*'Entrada e Saida'!$G$65,0)</f>
        <v>#DIV/0!</v>
      </c>
      <c r="AU232" s="4" t="e">
        <f>IF('Entrada e Saida'!$H$11="TRADING",AP232/(1-(SUM('Entrada e Saida'!$G$63:$G$65)+'Custo Resumido'!D232)),0)</f>
        <v>#DIV/0!</v>
      </c>
      <c r="AV232" s="3" t="e">
        <f>IF('Entrada e Saida'!$H$13="NÃO",AU232*M232,0)</f>
        <v>#DIV/0!</v>
      </c>
      <c r="AW232" s="4" t="e">
        <f t="shared" si="126"/>
        <v>#DIV/0!</v>
      </c>
      <c r="AX232" s="3" t="e">
        <f>'Entrada e Saida'!$G$74*AU232</f>
        <v>#DIV/0!</v>
      </c>
      <c r="AY232" s="4" t="e">
        <f t="shared" si="127"/>
        <v>#DIV/0!</v>
      </c>
      <c r="AZ232" s="4" t="e">
        <f>AQ232+('Entrada e Saida'!$G$65-'Entrada e Saida'!$I$65)*AU232-AX232</f>
        <v>#DIV/0!</v>
      </c>
      <c r="BA232" s="3" t="e">
        <f>IF('Entrada e Saida'!$H$12="REAL",AZ232*'Entrada e Saida'!$G$81,AU232*'Entrada e Saida'!$G$81)</f>
        <v>#DIV/0!</v>
      </c>
      <c r="BB232" s="3" t="e">
        <f>IF('Entrada e Saida'!$H$12="REAL",AZ232*'Entrada e Saida'!$G$82,AU232*'Entrada e Saida'!$G$82)</f>
        <v>#DIV/0!</v>
      </c>
      <c r="BC232" s="4" t="e">
        <f t="shared" si="128"/>
        <v>#DIV/0!</v>
      </c>
      <c r="BD232" s="3" t="e">
        <f>IF('Entrada e Saida'!$H$11="TRADING",AW232/D232,AK232/D232)</f>
        <v>#DIV/0!</v>
      </c>
      <c r="BE232" s="3" t="e">
        <f t="shared" si="129"/>
        <v>#DIV/0!</v>
      </c>
      <c r="BF232" s="2" t="e">
        <f t="shared" si="130"/>
        <v>#DIV/0!</v>
      </c>
      <c r="BG232" s="3" t="e">
        <f>IF('Entrada e Saida'!$H$11="TRADING",AV232/D232,AN232/D232)</f>
        <v>#DIV/0!</v>
      </c>
      <c r="BH232" s="3" t="e">
        <f>IF('Entrada e Saida'!$H$11="TRADING",IF('Entrada e Saida'!$H$12="REAL",AR232/D232,0),AL232/D232)</f>
        <v>#DIV/0!</v>
      </c>
      <c r="BI232" s="3" t="e">
        <f>IF('Entrada e Saida'!$H$11="TRADING",IF('Entrada e Saida'!$H$12="REAL",AS232/D232,0),AM232/D232)</f>
        <v>#DIV/0!</v>
      </c>
      <c r="BJ232" s="3" t="e">
        <f>IF('Entrada e Saida'!$H$11="TRADING",AT232/D232,AO232/D232)</f>
        <v>#DIV/0!</v>
      </c>
      <c r="BK232" s="2" t="e">
        <f t="shared" si="131"/>
        <v>#DIV/0!</v>
      </c>
      <c r="BL232" s="2">
        <f>IF(O232&gt;0,IFERROR(IF('Entrada e Saida'!$H$11="DIRETA",0,(IF('Entrada e Saida'!$H$14="P.JURIDICA",(BD232*(1+O232)*N232)-((BD232/(1+M232))*'Entrada e Saida'!$G$65),((Produtos!N232-'Entrada e Saida'!$G$65)*Produtos!BD232)))),0),0)</f>
        <v>0</v>
      </c>
      <c r="BM232" s="2" t="e">
        <f t="shared" si="132"/>
        <v>#DIV/0!</v>
      </c>
    </row>
    <row r="233" spans="1:65" s="1" customFormat="1">
      <c r="A233" s="127"/>
      <c r="B233" s="114"/>
      <c r="C233" s="116"/>
      <c r="D233" s="146"/>
      <c r="E233" s="115">
        <f>IFERROR(VLOOKUP(A233,'Master Modelo'!A:I,9,FALSE),0)</f>
        <v>0</v>
      </c>
      <c r="F233" s="189">
        <f>IFERROR(VLOOKUP(A233,'Master Modelo'!A:I,8,FALSE),0)</f>
        <v>0</v>
      </c>
      <c r="G233" s="189">
        <f>IFERROR(VLOOKUP(A233,'Master Modelo'!A:K,11,FALSE),0)</f>
        <v>0</v>
      </c>
      <c r="H233" s="114" t="e">
        <f t="shared" si="115"/>
        <v>#DIV/0!</v>
      </c>
      <c r="I233" s="150">
        <f>IFERROR(VLOOKUP(A233,'Master Modelo'!A:I,3,FALSE),0)</f>
        <v>0</v>
      </c>
      <c r="J233" s="151">
        <f>IFERROR(VLOOKUP(A233,'Master Modelo'!A:I,5,FALSE),0)</f>
        <v>0</v>
      </c>
      <c r="K233" s="151">
        <f>IFERROR(VLOOKUP(A233,'Master Modelo'!A:I,6,FALSE),0)</f>
        <v>0</v>
      </c>
      <c r="L233" s="152" t="e">
        <f>VLOOKUP(A233,'Master Modelo'!A:J,10,FALSE)</f>
        <v>#N/A</v>
      </c>
      <c r="M233" s="150">
        <f>IFERROR(VLOOKUP(A233,'Master Modelo'!A:I,4,FALSE),0)</f>
        <v>0</v>
      </c>
      <c r="N233" s="128"/>
      <c r="O233" s="129"/>
      <c r="P233" s="9">
        <f t="shared" si="116"/>
        <v>0</v>
      </c>
      <c r="Q233" s="177">
        <f t="shared" si="96"/>
        <v>0</v>
      </c>
      <c r="R233" s="3">
        <f>D233*E233*'Entrada e Saida'!$K$8</f>
        <v>0</v>
      </c>
      <c r="S233" s="179" t="e">
        <f>'Entrada e Saida'!$H$21*'Entrada e Saida'!$K$8*(P233/(SUM(P:P)))</f>
        <v>#DIV/0!</v>
      </c>
      <c r="T233" s="179" t="e">
        <f>'Entrada e Saida'!$H$21*'Entrada e Saida'!$K$8*(Q233/(SUM(Q:Q)))</f>
        <v>#DIV/0!</v>
      </c>
      <c r="U233" s="179" t="e">
        <f>'Entrada e Saida'!$H$22*(P233/(SUM(P:P)))</f>
        <v>#DIV/0!</v>
      </c>
      <c r="V233" s="179" t="e">
        <f>'Entrada e Saida'!$H$22*(Q233/(SUM(Q:Q)))</f>
        <v>#DIV/0!</v>
      </c>
      <c r="W233" s="8" t="e">
        <f t="shared" si="117"/>
        <v>#DIV/0!</v>
      </c>
      <c r="X233" s="179" t="e">
        <f>'Entrada e Saida'!$H$26*(IF('Entrada e Saida'!$H$15="PESO",(P233/(SUM(P:P))),(Q233/(SUM(Q:Q)))))</f>
        <v>#DIV/0!</v>
      </c>
      <c r="Y233" s="179" t="e">
        <f>'Entrada e Saida'!$H$27*(IF('Entrada e Saida'!$H$15="PESO",(P233/(SUM(P:P))),(Q233/(SUM(Q:Q)))))</f>
        <v>#DIV/0!</v>
      </c>
      <c r="Z233" s="179" t="e">
        <f>'Entrada e Saida'!$H$28*(IF('Entrada e Saida'!$H$15="PESO",(P233/(SUM(P:P))),(Q233/(SUM(Q:Q)))))</f>
        <v>#DIV/0!</v>
      </c>
      <c r="AA233" s="10" t="e">
        <f t="shared" si="118"/>
        <v>#DIV/0!</v>
      </c>
      <c r="AB233" s="3" t="e">
        <f t="shared" si="119"/>
        <v>#DIV/0!</v>
      </c>
      <c r="AC233" s="3" t="e">
        <f t="shared" si="120"/>
        <v>#DIV/0!</v>
      </c>
      <c r="AD233" s="3" t="e">
        <f t="shared" si="121"/>
        <v>#DIV/0!</v>
      </c>
      <c r="AE233" s="9" t="e">
        <f t="shared" si="122"/>
        <v>#DIV/0!</v>
      </c>
      <c r="AF233" s="126">
        <f>IFERROR(D233*F233*L233*'Entrada e Saida'!$K$8,0)</f>
        <v>0</v>
      </c>
      <c r="AG233" s="3" t="e">
        <f>((W233+AA233+AB233+AC233+AD233+AE233+AF233)/(1-'Entrada e Saida'!$G$65))*'Entrada e Saida'!$I$66</f>
        <v>#DIV/0!</v>
      </c>
      <c r="AH233" s="8" t="e">
        <f t="shared" si="123"/>
        <v>#DIV/0!</v>
      </c>
      <c r="AI233" s="183" t="e">
        <f>'Entrada e Saida'!$K$51*(IF('Entrada e Saida'!$H$15="PESO",(P233/(SUM(P:P))),(Q233/(SUM(Q:Q)))))</f>
        <v>#DIV/0!</v>
      </c>
      <c r="AJ233" s="7">
        <f>(('Entrada e Saida'!$K$10-'Entrada e Saida'!$K$8)*E233*D233)</f>
        <v>0</v>
      </c>
      <c r="AK233" s="184" t="e">
        <f>IF('Entrada e Saida'!$H$15="PESO",W233+AA233+AH233+AI233+AJ233,W233+AA233+AH233+AI233+AJ233-S233+T233-U233+V233)</f>
        <v>#DIV/0!</v>
      </c>
      <c r="AL233" s="6" t="e">
        <f>IF('Entrada e Saida'!$H$12="REAL",AC233,0)</f>
        <v>#DIV/0!</v>
      </c>
      <c r="AM233" s="6" t="e">
        <f>IF('Entrada e Saida'!$H$12="REAL",AD233,0)</f>
        <v>#DIV/0!</v>
      </c>
      <c r="AN233" s="5" t="e">
        <f>IF('Entrada e Saida'!$H$13= "NÃO",AE233,0)</f>
        <v>#DIV/0!</v>
      </c>
      <c r="AO233" s="5" t="e">
        <f t="shared" si="124"/>
        <v>#DIV/0!</v>
      </c>
      <c r="AP233" s="4" t="e">
        <f t="shared" si="125"/>
        <v>#DIV/0!</v>
      </c>
      <c r="AQ233" s="3" t="e">
        <f>IF('Entrada e Saida'!$H$11="TRADING",AU233*'Custo Resumido'!D233,0)</f>
        <v>#DIV/0!</v>
      </c>
      <c r="AR233" s="3" t="e">
        <f>IF('Entrada e Saida'!$H$11="TRADING",AU233*'Entrada e Saida'!$G$63,0)</f>
        <v>#DIV/0!</v>
      </c>
      <c r="AS233" s="3" t="e">
        <f>IF('Entrada e Saida'!$H$11="TRADING",AU233*'Entrada e Saida'!$G$64,0)</f>
        <v>#DIV/0!</v>
      </c>
      <c r="AT233" s="3" t="e">
        <f>IF('Entrada e Saida'!$H$11="TRADING",AU233*'Entrada e Saida'!$G$65,0)</f>
        <v>#DIV/0!</v>
      </c>
      <c r="AU233" s="4" t="e">
        <f>IF('Entrada e Saida'!$H$11="TRADING",AP233/(1-(SUM('Entrada e Saida'!$G$63:$G$65)+'Custo Resumido'!D233)),0)</f>
        <v>#DIV/0!</v>
      </c>
      <c r="AV233" s="3" t="e">
        <f>IF('Entrada e Saida'!$H$13="NÃO",AU233*M233,0)</f>
        <v>#DIV/0!</v>
      </c>
      <c r="AW233" s="4" t="e">
        <f t="shared" si="126"/>
        <v>#DIV/0!</v>
      </c>
      <c r="AX233" s="3" t="e">
        <f>'Entrada e Saida'!$G$74*AU233</f>
        <v>#DIV/0!</v>
      </c>
      <c r="AY233" s="4" t="e">
        <f t="shared" si="127"/>
        <v>#DIV/0!</v>
      </c>
      <c r="AZ233" s="4" t="e">
        <f>AQ233+('Entrada e Saida'!$G$65-'Entrada e Saida'!$I$65)*AU233-AX233</f>
        <v>#DIV/0!</v>
      </c>
      <c r="BA233" s="3" t="e">
        <f>IF('Entrada e Saida'!$H$12="REAL",AZ233*'Entrada e Saida'!$G$81,AU233*'Entrada e Saida'!$G$81)</f>
        <v>#DIV/0!</v>
      </c>
      <c r="BB233" s="3" t="e">
        <f>IF('Entrada e Saida'!$H$12="REAL",AZ233*'Entrada e Saida'!$G$82,AU233*'Entrada e Saida'!$G$82)</f>
        <v>#DIV/0!</v>
      </c>
      <c r="BC233" s="4" t="e">
        <f t="shared" si="128"/>
        <v>#DIV/0!</v>
      </c>
      <c r="BD233" s="3" t="e">
        <f>IF('Entrada e Saida'!$H$11="TRADING",AW233/D233,AK233/D233)</f>
        <v>#DIV/0!</v>
      </c>
      <c r="BE233" s="3" t="e">
        <f t="shared" si="129"/>
        <v>#DIV/0!</v>
      </c>
      <c r="BF233" s="2" t="e">
        <f t="shared" si="130"/>
        <v>#DIV/0!</v>
      </c>
      <c r="BG233" s="3" t="e">
        <f>IF('Entrada e Saida'!$H$11="TRADING",AV233/D233,AN233/D233)</f>
        <v>#DIV/0!</v>
      </c>
      <c r="BH233" s="3" t="e">
        <f>IF('Entrada e Saida'!$H$11="TRADING",IF('Entrada e Saida'!$H$12="REAL",AR233/D233,0),AL233/D233)</f>
        <v>#DIV/0!</v>
      </c>
      <c r="BI233" s="3" t="e">
        <f>IF('Entrada e Saida'!$H$11="TRADING",IF('Entrada e Saida'!$H$12="REAL",AS233/D233,0),AM233/D233)</f>
        <v>#DIV/0!</v>
      </c>
      <c r="BJ233" s="3" t="e">
        <f>IF('Entrada e Saida'!$H$11="TRADING",AT233/D233,AO233/D233)</f>
        <v>#DIV/0!</v>
      </c>
      <c r="BK233" s="2" t="e">
        <f t="shared" si="131"/>
        <v>#DIV/0!</v>
      </c>
      <c r="BL233" s="2">
        <f>IF(O233&gt;0,IFERROR(IF('Entrada e Saida'!$H$11="DIRETA",0,(IF('Entrada e Saida'!$H$14="P.JURIDICA",(BD233*(1+O233)*N233)-((BD233/(1+M233))*'Entrada e Saida'!$G$65),((Produtos!N233-'Entrada e Saida'!$G$65)*Produtos!BD233)))),0),0)</f>
        <v>0</v>
      </c>
      <c r="BM233" s="2" t="e">
        <f t="shared" si="132"/>
        <v>#DIV/0!</v>
      </c>
    </row>
    <row r="234" spans="1:65" s="1" customFormat="1">
      <c r="A234" s="127"/>
      <c r="B234" s="114"/>
      <c r="C234" s="116"/>
      <c r="D234" s="146"/>
      <c r="E234" s="115">
        <f>IFERROR(VLOOKUP(A234,'Master Modelo'!A:I,9,FALSE),0)</f>
        <v>0</v>
      </c>
      <c r="F234" s="189">
        <f>IFERROR(VLOOKUP(A234,'Master Modelo'!A:I,8,FALSE),0)</f>
        <v>0</v>
      </c>
      <c r="G234" s="189">
        <f>IFERROR(VLOOKUP(A234,'Master Modelo'!A:K,11,FALSE),0)</f>
        <v>0</v>
      </c>
      <c r="H234" s="114" t="e">
        <f t="shared" si="115"/>
        <v>#DIV/0!</v>
      </c>
      <c r="I234" s="150">
        <f>IFERROR(VLOOKUP(A234,'Master Modelo'!A:I,3,FALSE),0)</f>
        <v>0</v>
      </c>
      <c r="J234" s="151">
        <f>IFERROR(VLOOKUP(A234,'Master Modelo'!A:I,5,FALSE),0)</f>
        <v>0</v>
      </c>
      <c r="K234" s="151">
        <f>IFERROR(VLOOKUP(A234,'Master Modelo'!A:I,6,FALSE),0)</f>
        <v>0</v>
      </c>
      <c r="L234" s="152" t="e">
        <f>VLOOKUP(A234,'Master Modelo'!A:J,10,FALSE)</f>
        <v>#N/A</v>
      </c>
      <c r="M234" s="150">
        <f>IFERROR(VLOOKUP(A234,'Master Modelo'!A:I,4,FALSE),0)</f>
        <v>0</v>
      </c>
      <c r="N234" s="128"/>
      <c r="O234" s="129"/>
      <c r="P234" s="9">
        <f t="shared" si="116"/>
        <v>0</v>
      </c>
      <c r="Q234" s="177">
        <f t="shared" si="96"/>
        <v>0</v>
      </c>
      <c r="R234" s="3">
        <f>D234*E234*'Entrada e Saida'!$K$8</f>
        <v>0</v>
      </c>
      <c r="S234" s="179" t="e">
        <f>'Entrada e Saida'!$H$21*'Entrada e Saida'!$K$8*(P234/(SUM(P:P)))</f>
        <v>#DIV/0!</v>
      </c>
      <c r="T234" s="179" t="e">
        <f>'Entrada e Saida'!$H$21*'Entrada e Saida'!$K$8*(Q234/(SUM(Q:Q)))</f>
        <v>#DIV/0!</v>
      </c>
      <c r="U234" s="179" t="e">
        <f>'Entrada e Saida'!$H$22*(P234/(SUM(P:P)))</f>
        <v>#DIV/0!</v>
      </c>
      <c r="V234" s="179" t="e">
        <f>'Entrada e Saida'!$H$22*(Q234/(SUM(Q:Q)))</f>
        <v>#DIV/0!</v>
      </c>
      <c r="W234" s="8" t="e">
        <f t="shared" si="117"/>
        <v>#DIV/0!</v>
      </c>
      <c r="X234" s="179" t="e">
        <f>'Entrada e Saida'!$H$26*(IF('Entrada e Saida'!$H$15="PESO",(P234/(SUM(P:P))),(Q234/(SUM(Q:Q)))))</f>
        <v>#DIV/0!</v>
      </c>
      <c r="Y234" s="179" t="e">
        <f>'Entrada e Saida'!$H$27*(IF('Entrada e Saida'!$H$15="PESO",(P234/(SUM(P:P))),(Q234/(SUM(Q:Q)))))</f>
        <v>#DIV/0!</v>
      </c>
      <c r="Z234" s="179" t="e">
        <f>'Entrada e Saida'!$H$28*(IF('Entrada e Saida'!$H$15="PESO",(P234/(SUM(P:P))),(Q234/(SUM(Q:Q)))))</f>
        <v>#DIV/0!</v>
      </c>
      <c r="AA234" s="10" t="e">
        <f t="shared" si="118"/>
        <v>#DIV/0!</v>
      </c>
      <c r="AB234" s="3" t="e">
        <f t="shared" si="119"/>
        <v>#DIV/0!</v>
      </c>
      <c r="AC234" s="3" t="e">
        <f t="shared" si="120"/>
        <v>#DIV/0!</v>
      </c>
      <c r="AD234" s="3" t="e">
        <f t="shared" si="121"/>
        <v>#DIV/0!</v>
      </c>
      <c r="AE234" s="9" t="e">
        <f t="shared" si="122"/>
        <v>#DIV/0!</v>
      </c>
      <c r="AF234" s="126">
        <f>IFERROR(D234*F234*L234*'Entrada e Saida'!$K$8,0)</f>
        <v>0</v>
      </c>
      <c r="AG234" s="3" t="e">
        <f>((W234+AA234+AB234+AC234+AD234+AE234+AF234)/(1-'Entrada e Saida'!$G$65))*'Entrada e Saida'!$I$66</f>
        <v>#DIV/0!</v>
      </c>
      <c r="AH234" s="8" t="e">
        <f t="shared" si="123"/>
        <v>#DIV/0!</v>
      </c>
      <c r="AI234" s="183" t="e">
        <f>'Entrada e Saida'!$K$51*(IF('Entrada e Saida'!$H$15="PESO",(P234/(SUM(P:P))),(Q234/(SUM(Q:Q)))))</f>
        <v>#DIV/0!</v>
      </c>
      <c r="AJ234" s="7">
        <f>(('Entrada e Saida'!$K$10-'Entrada e Saida'!$K$8)*E234*D234)</f>
        <v>0</v>
      </c>
      <c r="AK234" s="184" t="e">
        <f>IF('Entrada e Saida'!$H$15="PESO",W234+AA234+AH234+AI234+AJ234,W234+AA234+AH234+AI234+AJ234-S234+T234-U234+V234)</f>
        <v>#DIV/0!</v>
      </c>
      <c r="AL234" s="6" t="e">
        <f>IF('Entrada e Saida'!$H$12="REAL",AC234,0)</f>
        <v>#DIV/0!</v>
      </c>
      <c r="AM234" s="6" t="e">
        <f>IF('Entrada e Saida'!$H$12="REAL",AD234,0)</f>
        <v>#DIV/0!</v>
      </c>
      <c r="AN234" s="5" t="e">
        <f>IF('Entrada e Saida'!$H$13= "NÃO",AE234,0)</f>
        <v>#DIV/0!</v>
      </c>
      <c r="AO234" s="5" t="e">
        <f t="shared" si="124"/>
        <v>#DIV/0!</v>
      </c>
      <c r="AP234" s="4" t="e">
        <f t="shared" si="125"/>
        <v>#DIV/0!</v>
      </c>
      <c r="AQ234" s="3" t="e">
        <f>IF('Entrada e Saida'!$H$11="TRADING",AU234*'Custo Resumido'!D234,0)</f>
        <v>#DIV/0!</v>
      </c>
      <c r="AR234" s="3" t="e">
        <f>IF('Entrada e Saida'!$H$11="TRADING",AU234*'Entrada e Saida'!$G$63,0)</f>
        <v>#DIV/0!</v>
      </c>
      <c r="AS234" s="3" t="e">
        <f>IF('Entrada e Saida'!$H$11="TRADING",AU234*'Entrada e Saida'!$G$64,0)</f>
        <v>#DIV/0!</v>
      </c>
      <c r="AT234" s="3" t="e">
        <f>IF('Entrada e Saida'!$H$11="TRADING",AU234*'Entrada e Saida'!$G$65,0)</f>
        <v>#DIV/0!</v>
      </c>
      <c r="AU234" s="4" t="e">
        <f>IF('Entrada e Saida'!$H$11="TRADING",AP234/(1-(SUM('Entrada e Saida'!$G$63:$G$65)+'Custo Resumido'!D234)),0)</f>
        <v>#DIV/0!</v>
      </c>
      <c r="AV234" s="3" t="e">
        <f>IF('Entrada e Saida'!$H$13="NÃO",AU234*M234,0)</f>
        <v>#DIV/0!</v>
      </c>
      <c r="AW234" s="4" t="e">
        <f t="shared" si="126"/>
        <v>#DIV/0!</v>
      </c>
      <c r="AX234" s="3" t="e">
        <f>'Entrada e Saida'!$G$74*AU234</f>
        <v>#DIV/0!</v>
      </c>
      <c r="AY234" s="4" t="e">
        <f t="shared" si="127"/>
        <v>#DIV/0!</v>
      </c>
      <c r="AZ234" s="4" t="e">
        <f>AQ234+('Entrada e Saida'!$G$65-'Entrada e Saida'!$I$65)*AU234-AX234</f>
        <v>#DIV/0!</v>
      </c>
      <c r="BA234" s="3" t="e">
        <f>IF('Entrada e Saida'!$H$12="REAL",AZ234*'Entrada e Saida'!$G$81,AU234*'Entrada e Saida'!$G$81)</f>
        <v>#DIV/0!</v>
      </c>
      <c r="BB234" s="3" t="e">
        <f>IF('Entrada e Saida'!$H$12="REAL",AZ234*'Entrada e Saida'!$G$82,AU234*'Entrada e Saida'!$G$82)</f>
        <v>#DIV/0!</v>
      </c>
      <c r="BC234" s="4" t="e">
        <f t="shared" si="128"/>
        <v>#DIV/0!</v>
      </c>
      <c r="BD234" s="3" t="e">
        <f>IF('Entrada e Saida'!$H$11="TRADING",AW234/D234,AK234/D234)</f>
        <v>#DIV/0!</v>
      </c>
      <c r="BE234" s="3" t="e">
        <f t="shared" si="129"/>
        <v>#DIV/0!</v>
      </c>
      <c r="BF234" s="2" t="e">
        <f t="shared" si="130"/>
        <v>#DIV/0!</v>
      </c>
      <c r="BG234" s="3" t="e">
        <f>IF('Entrada e Saida'!$H$11="TRADING",AV234/D234,AN234/D234)</f>
        <v>#DIV/0!</v>
      </c>
      <c r="BH234" s="3" t="e">
        <f>IF('Entrada e Saida'!$H$11="TRADING",IF('Entrada e Saida'!$H$12="REAL",AR234/D234,0),AL234/D234)</f>
        <v>#DIV/0!</v>
      </c>
      <c r="BI234" s="3" t="e">
        <f>IF('Entrada e Saida'!$H$11="TRADING",IF('Entrada e Saida'!$H$12="REAL",AS234/D234,0),AM234/D234)</f>
        <v>#DIV/0!</v>
      </c>
      <c r="BJ234" s="3" t="e">
        <f>IF('Entrada e Saida'!$H$11="TRADING",AT234/D234,AO234/D234)</f>
        <v>#DIV/0!</v>
      </c>
      <c r="BK234" s="2" t="e">
        <f t="shared" si="131"/>
        <v>#DIV/0!</v>
      </c>
      <c r="BL234" s="2">
        <f>IF(O234&gt;0,IFERROR(IF('Entrada e Saida'!$H$11="DIRETA",0,(IF('Entrada e Saida'!$H$14="P.JURIDICA",(BD234*(1+O234)*N234)-((BD234/(1+M234))*'Entrada e Saida'!$G$65),((Produtos!N234-'Entrada e Saida'!$G$65)*Produtos!BD234)))),0),0)</f>
        <v>0</v>
      </c>
      <c r="BM234" s="2" t="e">
        <f t="shared" si="132"/>
        <v>#DIV/0!</v>
      </c>
    </row>
    <row r="235" spans="1:65" s="1" customFormat="1">
      <c r="A235" s="127"/>
      <c r="B235" s="114"/>
      <c r="C235" s="116"/>
      <c r="D235" s="146"/>
      <c r="E235" s="115">
        <f>IFERROR(VLOOKUP(A235,'Master Modelo'!A:I,9,FALSE),0)</f>
        <v>0</v>
      </c>
      <c r="F235" s="189">
        <f>IFERROR(VLOOKUP(A235,'Master Modelo'!A:I,8,FALSE),0)</f>
        <v>0</v>
      </c>
      <c r="G235" s="189">
        <f>IFERROR(VLOOKUP(A235,'Master Modelo'!A:K,11,FALSE),0)</f>
        <v>0</v>
      </c>
      <c r="H235" s="114" t="e">
        <f t="shared" si="115"/>
        <v>#DIV/0!</v>
      </c>
      <c r="I235" s="150">
        <f>IFERROR(VLOOKUP(A235,'Master Modelo'!A:I,3,FALSE),0)</f>
        <v>0</v>
      </c>
      <c r="J235" s="151">
        <f>IFERROR(VLOOKUP(A235,'Master Modelo'!A:I,5,FALSE),0)</f>
        <v>0</v>
      </c>
      <c r="K235" s="151">
        <f>IFERROR(VLOOKUP(A235,'Master Modelo'!A:I,6,FALSE),0)</f>
        <v>0</v>
      </c>
      <c r="L235" s="152" t="e">
        <f>VLOOKUP(A235,'Master Modelo'!A:J,10,FALSE)</f>
        <v>#N/A</v>
      </c>
      <c r="M235" s="150">
        <f>IFERROR(VLOOKUP(A235,'Master Modelo'!A:I,4,FALSE),0)</f>
        <v>0</v>
      </c>
      <c r="N235" s="128"/>
      <c r="O235" s="129"/>
      <c r="P235" s="9">
        <f t="shared" si="116"/>
        <v>0</v>
      </c>
      <c r="Q235" s="177">
        <f t="shared" si="96"/>
        <v>0</v>
      </c>
      <c r="R235" s="3">
        <f>D235*E235*'Entrada e Saida'!$K$8</f>
        <v>0</v>
      </c>
      <c r="S235" s="179" t="e">
        <f>'Entrada e Saida'!$H$21*'Entrada e Saida'!$K$8*(P235/(SUM(P:P)))</f>
        <v>#DIV/0!</v>
      </c>
      <c r="T235" s="179" t="e">
        <f>'Entrada e Saida'!$H$21*'Entrada e Saida'!$K$8*(Q235/(SUM(Q:Q)))</f>
        <v>#DIV/0!</v>
      </c>
      <c r="U235" s="179" t="e">
        <f>'Entrada e Saida'!$H$22*(P235/(SUM(P:P)))</f>
        <v>#DIV/0!</v>
      </c>
      <c r="V235" s="179" t="e">
        <f>'Entrada e Saida'!$H$22*(Q235/(SUM(Q:Q)))</f>
        <v>#DIV/0!</v>
      </c>
      <c r="W235" s="8" t="e">
        <f t="shared" si="117"/>
        <v>#DIV/0!</v>
      </c>
      <c r="X235" s="179" t="e">
        <f>'Entrada e Saida'!$H$26*(IF('Entrada e Saida'!$H$15="PESO",(P235/(SUM(P:P))),(Q235/(SUM(Q:Q)))))</f>
        <v>#DIV/0!</v>
      </c>
      <c r="Y235" s="179" t="e">
        <f>'Entrada e Saida'!$H$27*(IF('Entrada e Saida'!$H$15="PESO",(P235/(SUM(P:P))),(Q235/(SUM(Q:Q)))))</f>
        <v>#DIV/0!</v>
      </c>
      <c r="Z235" s="179" t="e">
        <f>'Entrada e Saida'!$H$28*(IF('Entrada e Saida'!$H$15="PESO",(P235/(SUM(P:P))),(Q235/(SUM(Q:Q)))))</f>
        <v>#DIV/0!</v>
      </c>
      <c r="AA235" s="10" t="e">
        <f t="shared" si="118"/>
        <v>#DIV/0!</v>
      </c>
      <c r="AB235" s="3" t="e">
        <f t="shared" si="119"/>
        <v>#DIV/0!</v>
      </c>
      <c r="AC235" s="3" t="e">
        <f t="shared" si="120"/>
        <v>#DIV/0!</v>
      </c>
      <c r="AD235" s="3" t="e">
        <f t="shared" si="121"/>
        <v>#DIV/0!</v>
      </c>
      <c r="AE235" s="9" t="e">
        <f t="shared" si="122"/>
        <v>#DIV/0!</v>
      </c>
      <c r="AF235" s="126">
        <f>IFERROR(D235*F235*L235*'Entrada e Saida'!$K$8,0)</f>
        <v>0</v>
      </c>
      <c r="AG235" s="3" t="e">
        <f>((W235+AA235+AB235+AC235+AD235+AE235+AF235)/(1-'Entrada e Saida'!$G$65))*'Entrada e Saida'!$I$66</f>
        <v>#DIV/0!</v>
      </c>
      <c r="AH235" s="8" t="e">
        <f t="shared" si="123"/>
        <v>#DIV/0!</v>
      </c>
      <c r="AI235" s="183" t="e">
        <f>'Entrada e Saida'!$K$51*(IF('Entrada e Saida'!$H$15="PESO",(P235/(SUM(P:P))),(Q235/(SUM(Q:Q)))))</f>
        <v>#DIV/0!</v>
      </c>
      <c r="AJ235" s="7">
        <f>(('Entrada e Saida'!$K$10-'Entrada e Saida'!$K$8)*E235*D235)</f>
        <v>0</v>
      </c>
      <c r="AK235" s="184" t="e">
        <f>IF('Entrada e Saida'!$H$15="PESO",W235+AA235+AH235+AI235+AJ235,W235+AA235+AH235+AI235+AJ235-S235+T235-U235+V235)</f>
        <v>#DIV/0!</v>
      </c>
      <c r="AL235" s="6" t="e">
        <f>IF('Entrada e Saida'!$H$12="REAL",AC235,0)</f>
        <v>#DIV/0!</v>
      </c>
      <c r="AM235" s="6" t="e">
        <f>IF('Entrada e Saida'!$H$12="REAL",AD235,0)</f>
        <v>#DIV/0!</v>
      </c>
      <c r="AN235" s="5" t="e">
        <f>IF('Entrada e Saida'!$H$13= "NÃO",AE235,0)</f>
        <v>#DIV/0!</v>
      </c>
      <c r="AO235" s="5" t="e">
        <f t="shared" si="124"/>
        <v>#DIV/0!</v>
      </c>
      <c r="AP235" s="4" t="e">
        <f t="shared" si="125"/>
        <v>#DIV/0!</v>
      </c>
      <c r="AQ235" s="3" t="e">
        <f>IF('Entrada e Saida'!$H$11="TRADING",AU235*'Custo Resumido'!D235,0)</f>
        <v>#DIV/0!</v>
      </c>
      <c r="AR235" s="3" t="e">
        <f>IF('Entrada e Saida'!$H$11="TRADING",AU235*'Entrada e Saida'!$G$63,0)</f>
        <v>#DIV/0!</v>
      </c>
      <c r="AS235" s="3" t="e">
        <f>IF('Entrada e Saida'!$H$11="TRADING",AU235*'Entrada e Saida'!$G$64,0)</f>
        <v>#DIV/0!</v>
      </c>
      <c r="AT235" s="3" t="e">
        <f>IF('Entrada e Saida'!$H$11="TRADING",AU235*'Entrada e Saida'!$G$65,0)</f>
        <v>#DIV/0!</v>
      </c>
      <c r="AU235" s="4" t="e">
        <f>IF('Entrada e Saida'!$H$11="TRADING",AP235/(1-(SUM('Entrada e Saida'!$G$63:$G$65)+'Custo Resumido'!D235)),0)</f>
        <v>#DIV/0!</v>
      </c>
      <c r="AV235" s="3" t="e">
        <f>IF('Entrada e Saida'!$H$13="NÃO",AU235*M235,0)</f>
        <v>#DIV/0!</v>
      </c>
      <c r="AW235" s="4" t="e">
        <f t="shared" si="126"/>
        <v>#DIV/0!</v>
      </c>
      <c r="AX235" s="3" t="e">
        <f>'Entrada e Saida'!$G$74*AU235</f>
        <v>#DIV/0!</v>
      </c>
      <c r="AY235" s="4" t="e">
        <f t="shared" si="127"/>
        <v>#DIV/0!</v>
      </c>
      <c r="AZ235" s="4" t="e">
        <f>AQ235+('Entrada e Saida'!$G$65-'Entrada e Saida'!$I$65)*AU235-AX235</f>
        <v>#DIV/0!</v>
      </c>
      <c r="BA235" s="3" t="e">
        <f>IF('Entrada e Saida'!$H$12="REAL",AZ235*'Entrada e Saida'!$G$81,AU235*'Entrada e Saida'!$G$81)</f>
        <v>#DIV/0!</v>
      </c>
      <c r="BB235" s="3" t="e">
        <f>IF('Entrada e Saida'!$H$12="REAL",AZ235*'Entrada e Saida'!$G$82,AU235*'Entrada e Saida'!$G$82)</f>
        <v>#DIV/0!</v>
      </c>
      <c r="BC235" s="4" t="e">
        <f t="shared" si="128"/>
        <v>#DIV/0!</v>
      </c>
      <c r="BD235" s="3" t="e">
        <f>IF('Entrada e Saida'!$H$11="TRADING",AW235/D235,AK235/D235)</f>
        <v>#DIV/0!</v>
      </c>
      <c r="BE235" s="3" t="e">
        <f t="shared" si="129"/>
        <v>#DIV/0!</v>
      </c>
      <c r="BF235" s="2" t="e">
        <f t="shared" si="130"/>
        <v>#DIV/0!</v>
      </c>
      <c r="BG235" s="3" t="e">
        <f>IF('Entrada e Saida'!$H$11="TRADING",AV235/D235,AN235/D235)</f>
        <v>#DIV/0!</v>
      </c>
      <c r="BH235" s="3" t="e">
        <f>IF('Entrada e Saida'!$H$11="TRADING",IF('Entrada e Saida'!$H$12="REAL",AR235/D235,0),AL235/D235)</f>
        <v>#DIV/0!</v>
      </c>
      <c r="BI235" s="3" t="e">
        <f>IF('Entrada e Saida'!$H$11="TRADING",IF('Entrada e Saida'!$H$12="REAL",AS235/D235,0),AM235/D235)</f>
        <v>#DIV/0!</v>
      </c>
      <c r="BJ235" s="3" t="e">
        <f>IF('Entrada e Saida'!$H$11="TRADING",AT235/D235,AO235/D235)</f>
        <v>#DIV/0!</v>
      </c>
      <c r="BK235" s="2" t="e">
        <f t="shared" si="131"/>
        <v>#DIV/0!</v>
      </c>
      <c r="BL235" s="2">
        <f>IF(O235&gt;0,IFERROR(IF('Entrada e Saida'!$H$11="DIRETA",0,(IF('Entrada e Saida'!$H$14="P.JURIDICA",(BD235*(1+O235)*N235)-((BD235/(1+M235))*'Entrada e Saida'!$G$65),((Produtos!N235-'Entrada e Saida'!$G$65)*Produtos!BD235)))),0),0)</f>
        <v>0</v>
      </c>
      <c r="BM235" s="2" t="e">
        <f t="shared" si="132"/>
        <v>#DIV/0!</v>
      </c>
    </row>
    <row r="236" spans="1:65" s="1" customFormat="1">
      <c r="A236" s="127"/>
      <c r="B236" s="114"/>
      <c r="C236" s="116"/>
      <c r="D236" s="146"/>
      <c r="E236" s="115">
        <f>IFERROR(VLOOKUP(A236,'Master Modelo'!A:I,9,FALSE),0)</f>
        <v>0</v>
      </c>
      <c r="F236" s="189">
        <f>IFERROR(VLOOKUP(A236,'Master Modelo'!A:I,8,FALSE),0)</f>
        <v>0</v>
      </c>
      <c r="G236" s="189">
        <f>IFERROR(VLOOKUP(A236,'Master Modelo'!A:K,11,FALSE),0)</f>
        <v>0</v>
      </c>
      <c r="H236" s="114" t="e">
        <f t="shared" si="115"/>
        <v>#DIV/0!</v>
      </c>
      <c r="I236" s="150">
        <f>IFERROR(VLOOKUP(A236,'Master Modelo'!A:I,3,FALSE),0)</f>
        <v>0</v>
      </c>
      <c r="J236" s="151">
        <f>IFERROR(VLOOKUP(A236,'Master Modelo'!A:I,5,FALSE),0)</f>
        <v>0</v>
      </c>
      <c r="K236" s="151">
        <f>IFERROR(VLOOKUP(A236,'Master Modelo'!A:I,6,FALSE),0)</f>
        <v>0</v>
      </c>
      <c r="L236" s="152" t="e">
        <f>VLOOKUP(A236,'Master Modelo'!A:J,10,FALSE)</f>
        <v>#N/A</v>
      </c>
      <c r="M236" s="150">
        <f>IFERROR(VLOOKUP(A236,'Master Modelo'!A:I,4,FALSE),0)</f>
        <v>0</v>
      </c>
      <c r="N236" s="128"/>
      <c r="O236" s="129"/>
      <c r="P236" s="9">
        <f t="shared" si="116"/>
        <v>0</v>
      </c>
      <c r="Q236" s="177">
        <f t="shared" si="96"/>
        <v>0</v>
      </c>
      <c r="R236" s="3">
        <f>D236*E236*'Entrada e Saida'!$K$8</f>
        <v>0</v>
      </c>
      <c r="S236" s="179" t="e">
        <f>'Entrada e Saida'!$H$21*'Entrada e Saida'!$K$8*(P236/(SUM(P:P)))</f>
        <v>#DIV/0!</v>
      </c>
      <c r="T236" s="179" t="e">
        <f>'Entrada e Saida'!$H$21*'Entrada e Saida'!$K$8*(Q236/(SUM(Q:Q)))</f>
        <v>#DIV/0!</v>
      </c>
      <c r="U236" s="179" t="e">
        <f>'Entrada e Saida'!$H$22*(P236/(SUM(P:P)))</f>
        <v>#DIV/0!</v>
      </c>
      <c r="V236" s="179" t="e">
        <f>'Entrada e Saida'!$H$22*(Q236/(SUM(Q:Q)))</f>
        <v>#DIV/0!</v>
      </c>
      <c r="W236" s="8" t="e">
        <f t="shared" si="117"/>
        <v>#DIV/0!</v>
      </c>
      <c r="X236" s="179" t="e">
        <f>'Entrada e Saida'!$H$26*(IF('Entrada e Saida'!$H$15="PESO",(P236/(SUM(P:P))),(Q236/(SUM(Q:Q)))))</f>
        <v>#DIV/0!</v>
      </c>
      <c r="Y236" s="179" t="e">
        <f>'Entrada e Saida'!$H$27*(IF('Entrada e Saida'!$H$15="PESO",(P236/(SUM(P:P))),(Q236/(SUM(Q:Q)))))</f>
        <v>#DIV/0!</v>
      </c>
      <c r="Z236" s="179" t="e">
        <f>'Entrada e Saida'!$H$28*(IF('Entrada e Saida'!$H$15="PESO",(P236/(SUM(P:P))),(Q236/(SUM(Q:Q)))))</f>
        <v>#DIV/0!</v>
      </c>
      <c r="AA236" s="10" t="e">
        <f t="shared" si="118"/>
        <v>#DIV/0!</v>
      </c>
      <c r="AB236" s="3" t="e">
        <f t="shared" si="119"/>
        <v>#DIV/0!</v>
      </c>
      <c r="AC236" s="3" t="e">
        <f t="shared" si="120"/>
        <v>#DIV/0!</v>
      </c>
      <c r="AD236" s="3" t="e">
        <f t="shared" si="121"/>
        <v>#DIV/0!</v>
      </c>
      <c r="AE236" s="9" t="e">
        <f t="shared" si="122"/>
        <v>#DIV/0!</v>
      </c>
      <c r="AF236" s="126">
        <f>IFERROR(D236*F236*L236*'Entrada e Saida'!$K$8,0)</f>
        <v>0</v>
      </c>
      <c r="AG236" s="3" t="e">
        <f>((W236+AA236+AB236+AC236+AD236+AE236+AF236)/(1-'Entrada e Saida'!$G$65))*'Entrada e Saida'!$I$66</f>
        <v>#DIV/0!</v>
      </c>
      <c r="AH236" s="8" t="e">
        <f t="shared" si="123"/>
        <v>#DIV/0!</v>
      </c>
      <c r="AI236" s="183" t="e">
        <f>'Entrada e Saida'!$K$51*(IF('Entrada e Saida'!$H$15="PESO",(P236/(SUM(P:P))),(Q236/(SUM(Q:Q)))))</f>
        <v>#DIV/0!</v>
      </c>
      <c r="AJ236" s="7">
        <f>(('Entrada e Saida'!$K$10-'Entrada e Saida'!$K$8)*E236*D236)</f>
        <v>0</v>
      </c>
      <c r="AK236" s="184" t="e">
        <f>IF('Entrada e Saida'!$H$15="PESO",W236+AA236+AH236+AI236+AJ236,W236+AA236+AH236+AI236+AJ236-S236+T236-U236+V236)</f>
        <v>#DIV/0!</v>
      </c>
      <c r="AL236" s="6" t="e">
        <f>IF('Entrada e Saida'!$H$12="REAL",AC236,0)</f>
        <v>#DIV/0!</v>
      </c>
      <c r="AM236" s="6" t="e">
        <f>IF('Entrada e Saida'!$H$12="REAL",AD236,0)</f>
        <v>#DIV/0!</v>
      </c>
      <c r="AN236" s="5" t="e">
        <f>IF('Entrada e Saida'!$H$13= "NÃO",AE236,0)</f>
        <v>#DIV/0!</v>
      </c>
      <c r="AO236" s="5" t="e">
        <f t="shared" si="124"/>
        <v>#DIV/0!</v>
      </c>
      <c r="AP236" s="4" t="e">
        <f t="shared" si="125"/>
        <v>#DIV/0!</v>
      </c>
      <c r="AQ236" s="3" t="e">
        <f>IF('Entrada e Saida'!$H$11="TRADING",AU236*'Custo Resumido'!D236,0)</f>
        <v>#DIV/0!</v>
      </c>
      <c r="AR236" s="3" t="e">
        <f>IF('Entrada e Saida'!$H$11="TRADING",AU236*'Entrada e Saida'!$G$63,0)</f>
        <v>#DIV/0!</v>
      </c>
      <c r="AS236" s="3" t="e">
        <f>IF('Entrada e Saida'!$H$11="TRADING",AU236*'Entrada e Saida'!$G$64,0)</f>
        <v>#DIV/0!</v>
      </c>
      <c r="AT236" s="3" t="e">
        <f>IF('Entrada e Saida'!$H$11="TRADING",AU236*'Entrada e Saida'!$G$65,0)</f>
        <v>#DIV/0!</v>
      </c>
      <c r="AU236" s="4" t="e">
        <f>IF('Entrada e Saida'!$H$11="TRADING",AP236/(1-(SUM('Entrada e Saida'!$G$63:$G$65)+'Custo Resumido'!D236)),0)</f>
        <v>#DIV/0!</v>
      </c>
      <c r="AV236" s="3" t="e">
        <f>IF('Entrada e Saida'!$H$13="NÃO",AU236*M236,0)</f>
        <v>#DIV/0!</v>
      </c>
      <c r="AW236" s="4" t="e">
        <f t="shared" si="126"/>
        <v>#DIV/0!</v>
      </c>
      <c r="AX236" s="3" t="e">
        <f>'Entrada e Saida'!$G$74*AU236</f>
        <v>#DIV/0!</v>
      </c>
      <c r="AY236" s="4" t="e">
        <f t="shared" si="127"/>
        <v>#DIV/0!</v>
      </c>
      <c r="AZ236" s="4" t="e">
        <f>AQ236+('Entrada e Saida'!$G$65-'Entrada e Saida'!$I$65)*AU236-AX236</f>
        <v>#DIV/0!</v>
      </c>
      <c r="BA236" s="3" t="e">
        <f>IF('Entrada e Saida'!$H$12="REAL",AZ236*'Entrada e Saida'!$G$81,AU236*'Entrada e Saida'!$G$81)</f>
        <v>#DIV/0!</v>
      </c>
      <c r="BB236" s="3" t="e">
        <f>IF('Entrada e Saida'!$H$12="REAL",AZ236*'Entrada e Saida'!$G$82,AU236*'Entrada e Saida'!$G$82)</f>
        <v>#DIV/0!</v>
      </c>
      <c r="BC236" s="4" t="e">
        <f t="shared" si="128"/>
        <v>#DIV/0!</v>
      </c>
      <c r="BD236" s="3" t="e">
        <f>IF('Entrada e Saida'!$H$11="TRADING",AW236/D236,AK236/D236)</f>
        <v>#DIV/0!</v>
      </c>
      <c r="BE236" s="3" t="e">
        <f t="shared" si="129"/>
        <v>#DIV/0!</v>
      </c>
      <c r="BF236" s="2" t="e">
        <f t="shared" si="130"/>
        <v>#DIV/0!</v>
      </c>
      <c r="BG236" s="3" t="e">
        <f>IF('Entrada e Saida'!$H$11="TRADING",AV236/D236,AN236/D236)</f>
        <v>#DIV/0!</v>
      </c>
      <c r="BH236" s="3" t="e">
        <f>IF('Entrada e Saida'!$H$11="TRADING",IF('Entrada e Saida'!$H$12="REAL",AR236/D236,0),AL236/D236)</f>
        <v>#DIV/0!</v>
      </c>
      <c r="BI236" s="3" t="e">
        <f>IF('Entrada e Saida'!$H$11="TRADING",IF('Entrada e Saida'!$H$12="REAL",AS236/D236,0),AM236/D236)</f>
        <v>#DIV/0!</v>
      </c>
      <c r="BJ236" s="3" t="e">
        <f>IF('Entrada e Saida'!$H$11="TRADING",AT236/D236,AO236/D236)</f>
        <v>#DIV/0!</v>
      </c>
      <c r="BK236" s="2" t="e">
        <f t="shared" si="131"/>
        <v>#DIV/0!</v>
      </c>
      <c r="BL236" s="2">
        <f>IF(O236&gt;0,IFERROR(IF('Entrada e Saida'!$H$11="DIRETA",0,(IF('Entrada e Saida'!$H$14="P.JURIDICA",(BD236*(1+O236)*N236)-((BD236/(1+M236))*'Entrada e Saida'!$G$65),((Produtos!N236-'Entrada e Saida'!$G$65)*Produtos!BD236)))),0),0)</f>
        <v>0</v>
      </c>
      <c r="BM236" s="2" t="e">
        <f t="shared" si="132"/>
        <v>#DIV/0!</v>
      </c>
    </row>
    <row r="237" spans="1:65" s="1" customFormat="1">
      <c r="A237" s="127"/>
      <c r="B237" s="114"/>
      <c r="C237" s="116"/>
      <c r="D237" s="146"/>
      <c r="E237" s="115">
        <f>IFERROR(VLOOKUP(A237,'Master Modelo'!A:I,9,FALSE),0)</f>
        <v>0</v>
      </c>
      <c r="F237" s="189">
        <f>IFERROR(VLOOKUP(A237,'Master Modelo'!A:I,8,FALSE),0)</f>
        <v>0</v>
      </c>
      <c r="G237" s="189">
        <f>IFERROR(VLOOKUP(A237,'Master Modelo'!A:K,11,FALSE),0)</f>
        <v>0</v>
      </c>
      <c r="H237" s="114" t="e">
        <f t="shared" si="115"/>
        <v>#DIV/0!</v>
      </c>
      <c r="I237" s="150">
        <f>IFERROR(VLOOKUP(A237,'Master Modelo'!A:I,3,FALSE),0)</f>
        <v>0</v>
      </c>
      <c r="J237" s="151">
        <f>IFERROR(VLOOKUP(A237,'Master Modelo'!A:I,5,FALSE),0)</f>
        <v>0</v>
      </c>
      <c r="K237" s="151">
        <f>IFERROR(VLOOKUP(A237,'Master Modelo'!A:I,6,FALSE),0)</f>
        <v>0</v>
      </c>
      <c r="L237" s="152" t="e">
        <f>VLOOKUP(A237,'Master Modelo'!A:J,10,FALSE)</f>
        <v>#N/A</v>
      </c>
      <c r="M237" s="150">
        <f>IFERROR(VLOOKUP(A237,'Master Modelo'!A:I,4,FALSE),0)</f>
        <v>0</v>
      </c>
      <c r="N237" s="128"/>
      <c r="O237" s="129"/>
      <c r="P237" s="9">
        <f t="shared" si="116"/>
        <v>0</v>
      </c>
      <c r="Q237" s="177">
        <f t="shared" si="96"/>
        <v>0</v>
      </c>
      <c r="R237" s="3">
        <f>D237*E237*'Entrada e Saida'!$K$8</f>
        <v>0</v>
      </c>
      <c r="S237" s="179" t="e">
        <f>'Entrada e Saida'!$H$21*'Entrada e Saida'!$K$8*(P237/(SUM(P:P)))</f>
        <v>#DIV/0!</v>
      </c>
      <c r="T237" s="179" t="e">
        <f>'Entrada e Saida'!$H$21*'Entrada e Saida'!$K$8*(Q237/(SUM(Q:Q)))</f>
        <v>#DIV/0!</v>
      </c>
      <c r="U237" s="179" t="e">
        <f>'Entrada e Saida'!$H$22*(P237/(SUM(P:P)))</f>
        <v>#DIV/0!</v>
      </c>
      <c r="V237" s="179" t="e">
        <f>'Entrada e Saida'!$H$22*(Q237/(SUM(Q:Q)))</f>
        <v>#DIV/0!</v>
      </c>
      <c r="W237" s="8" t="e">
        <f t="shared" si="117"/>
        <v>#DIV/0!</v>
      </c>
      <c r="X237" s="179" t="e">
        <f>'Entrada e Saida'!$H$26*(IF('Entrada e Saida'!$H$15="PESO",(P237/(SUM(P:P))),(Q237/(SUM(Q:Q)))))</f>
        <v>#DIV/0!</v>
      </c>
      <c r="Y237" s="179" t="e">
        <f>'Entrada e Saida'!$H$27*(IF('Entrada e Saida'!$H$15="PESO",(P237/(SUM(P:P))),(Q237/(SUM(Q:Q)))))</f>
        <v>#DIV/0!</v>
      </c>
      <c r="Z237" s="179" t="e">
        <f>'Entrada e Saida'!$H$28*(IF('Entrada e Saida'!$H$15="PESO",(P237/(SUM(P:P))),(Q237/(SUM(Q:Q)))))</f>
        <v>#DIV/0!</v>
      </c>
      <c r="AA237" s="10" t="e">
        <f t="shared" si="118"/>
        <v>#DIV/0!</v>
      </c>
      <c r="AB237" s="3" t="e">
        <f t="shared" si="119"/>
        <v>#DIV/0!</v>
      </c>
      <c r="AC237" s="3" t="e">
        <f t="shared" si="120"/>
        <v>#DIV/0!</v>
      </c>
      <c r="AD237" s="3" t="e">
        <f t="shared" si="121"/>
        <v>#DIV/0!</v>
      </c>
      <c r="AE237" s="9" t="e">
        <f t="shared" si="122"/>
        <v>#DIV/0!</v>
      </c>
      <c r="AF237" s="126">
        <f>IFERROR(D237*F237*L237*'Entrada e Saida'!$K$8,0)</f>
        <v>0</v>
      </c>
      <c r="AG237" s="3" t="e">
        <f>((W237+AA237+AB237+AC237+AD237+AE237+AF237)/(1-'Entrada e Saida'!$G$65))*'Entrada e Saida'!$I$66</f>
        <v>#DIV/0!</v>
      </c>
      <c r="AH237" s="8" t="e">
        <f t="shared" si="123"/>
        <v>#DIV/0!</v>
      </c>
      <c r="AI237" s="183" t="e">
        <f>'Entrada e Saida'!$K$51*(IF('Entrada e Saida'!$H$15="PESO",(P237/(SUM(P:P))),(Q237/(SUM(Q:Q)))))</f>
        <v>#DIV/0!</v>
      </c>
      <c r="AJ237" s="7">
        <f>(('Entrada e Saida'!$K$10-'Entrada e Saida'!$K$8)*E237*D237)</f>
        <v>0</v>
      </c>
      <c r="AK237" s="184" t="e">
        <f>IF('Entrada e Saida'!$H$15="PESO",W237+AA237+AH237+AI237+AJ237,W237+AA237+AH237+AI237+AJ237-S237+T237-U237+V237)</f>
        <v>#DIV/0!</v>
      </c>
      <c r="AL237" s="6" t="e">
        <f>IF('Entrada e Saida'!$H$12="REAL",AC237,0)</f>
        <v>#DIV/0!</v>
      </c>
      <c r="AM237" s="6" t="e">
        <f>IF('Entrada e Saida'!$H$12="REAL",AD237,0)</f>
        <v>#DIV/0!</v>
      </c>
      <c r="AN237" s="5" t="e">
        <f>IF('Entrada e Saida'!$H$13= "NÃO",AE237,0)</f>
        <v>#DIV/0!</v>
      </c>
      <c r="AO237" s="5" t="e">
        <f t="shared" si="124"/>
        <v>#DIV/0!</v>
      </c>
      <c r="AP237" s="4" t="e">
        <f t="shared" si="125"/>
        <v>#DIV/0!</v>
      </c>
      <c r="AQ237" s="3" t="e">
        <f>IF('Entrada e Saida'!$H$11="TRADING",AU237*'Custo Resumido'!D237,0)</f>
        <v>#DIV/0!</v>
      </c>
      <c r="AR237" s="3" t="e">
        <f>IF('Entrada e Saida'!$H$11="TRADING",AU237*'Entrada e Saida'!$G$63,0)</f>
        <v>#DIV/0!</v>
      </c>
      <c r="AS237" s="3" t="e">
        <f>IF('Entrada e Saida'!$H$11="TRADING",AU237*'Entrada e Saida'!$G$64,0)</f>
        <v>#DIV/0!</v>
      </c>
      <c r="AT237" s="3" t="e">
        <f>IF('Entrada e Saida'!$H$11="TRADING",AU237*'Entrada e Saida'!$G$65,0)</f>
        <v>#DIV/0!</v>
      </c>
      <c r="AU237" s="4" t="e">
        <f>IF('Entrada e Saida'!$H$11="TRADING",AP237/(1-(SUM('Entrada e Saida'!$G$63:$G$65)+'Custo Resumido'!D237)),0)</f>
        <v>#DIV/0!</v>
      </c>
      <c r="AV237" s="3" t="e">
        <f>IF('Entrada e Saida'!$H$13="NÃO",AU237*M237,0)</f>
        <v>#DIV/0!</v>
      </c>
      <c r="AW237" s="4" t="e">
        <f t="shared" si="126"/>
        <v>#DIV/0!</v>
      </c>
      <c r="AX237" s="3" t="e">
        <f>'Entrada e Saida'!$G$74*AU237</f>
        <v>#DIV/0!</v>
      </c>
      <c r="AY237" s="4" t="e">
        <f t="shared" si="127"/>
        <v>#DIV/0!</v>
      </c>
      <c r="AZ237" s="4" t="e">
        <f>AQ237+('Entrada e Saida'!$G$65-'Entrada e Saida'!$I$65)*AU237-AX237</f>
        <v>#DIV/0!</v>
      </c>
      <c r="BA237" s="3" t="e">
        <f>IF('Entrada e Saida'!$H$12="REAL",AZ237*'Entrada e Saida'!$G$81,AU237*'Entrada e Saida'!$G$81)</f>
        <v>#DIV/0!</v>
      </c>
      <c r="BB237" s="3" t="e">
        <f>IF('Entrada e Saida'!$H$12="REAL",AZ237*'Entrada e Saida'!$G$82,AU237*'Entrada e Saida'!$G$82)</f>
        <v>#DIV/0!</v>
      </c>
      <c r="BC237" s="4" t="e">
        <f t="shared" si="128"/>
        <v>#DIV/0!</v>
      </c>
      <c r="BD237" s="3" t="e">
        <f>IF('Entrada e Saida'!$H$11="TRADING",AW237/D237,AK237/D237)</f>
        <v>#DIV/0!</v>
      </c>
      <c r="BE237" s="3" t="e">
        <f t="shared" si="129"/>
        <v>#DIV/0!</v>
      </c>
      <c r="BF237" s="2" t="e">
        <f t="shared" si="130"/>
        <v>#DIV/0!</v>
      </c>
      <c r="BG237" s="3" t="e">
        <f>IF('Entrada e Saida'!$H$11="TRADING",AV237/D237,AN237/D237)</f>
        <v>#DIV/0!</v>
      </c>
      <c r="BH237" s="3" t="e">
        <f>IF('Entrada e Saida'!$H$11="TRADING",IF('Entrada e Saida'!$H$12="REAL",AR237/D237,0),AL237/D237)</f>
        <v>#DIV/0!</v>
      </c>
      <c r="BI237" s="3" t="e">
        <f>IF('Entrada e Saida'!$H$11="TRADING",IF('Entrada e Saida'!$H$12="REAL",AS237/D237,0),AM237/D237)</f>
        <v>#DIV/0!</v>
      </c>
      <c r="BJ237" s="3" t="e">
        <f>IF('Entrada e Saida'!$H$11="TRADING",AT237/D237,AO237/D237)</f>
        <v>#DIV/0!</v>
      </c>
      <c r="BK237" s="2" t="e">
        <f t="shared" si="131"/>
        <v>#DIV/0!</v>
      </c>
      <c r="BL237" s="2">
        <f>IF(O237&gt;0,IFERROR(IF('Entrada e Saida'!$H$11="DIRETA",0,(IF('Entrada e Saida'!$H$14="P.JURIDICA",(BD237*(1+O237)*N237)-((BD237/(1+M237))*'Entrada e Saida'!$G$65),((Produtos!N237-'Entrada e Saida'!$G$65)*Produtos!BD237)))),0),0)</f>
        <v>0</v>
      </c>
      <c r="BM237" s="2" t="e">
        <f t="shared" si="132"/>
        <v>#DIV/0!</v>
      </c>
    </row>
    <row r="238" spans="1:65" s="1" customFormat="1">
      <c r="A238" s="127"/>
      <c r="B238" s="114"/>
      <c r="C238" s="116"/>
      <c r="D238" s="146"/>
      <c r="E238" s="115">
        <f>IFERROR(VLOOKUP(A238,'Master Modelo'!A:I,9,FALSE),0)</f>
        <v>0</v>
      </c>
      <c r="F238" s="189">
        <f>IFERROR(VLOOKUP(A238,'Master Modelo'!A:I,8,FALSE),0)</f>
        <v>0</v>
      </c>
      <c r="G238" s="189">
        <f>IFERROR(VLOOKUP(A238,'Master Modelo'!A:K,11,FALSE),0)</f>
        <v>0</v>
      </c>
      <c r="H238" s="114" t="e">
        <f t="shared" si="115"/>
        <v>#DIV/0!</v>
      </c>
      <c r="I238" s="150">
        <f>IFERROR(VLOOKUP(A238,'Master Modelo'!A:I,3,FALSE),0)</f>
        <v>0</v>
      </c>
      <c r="J238" s="151">
        <f>IFERROR(VLOOKUP(A238,'Master Modelo'!A:I,5,FALSE),0)</f>
        <v>0</v>
      </c>
      <c r="K238" s="151">
        <f>IFERROR(VLOOKUP(A238,'Master Modelo'!A:I,6,FALSE),0)</f>
        <v>0</v>
      </c>
      <c r="L238" s="152" t="e">
        <f>VLOOKUP(A238,'Master Modelo'!A:J,10,FALSE)</f>
        <v>#N/A</v>
      </c>
      <c r="M238" s="150">
        <f>IFERROR(VLOOKUP(A238,'Master Modelo'!A:I,4,FALSE),0)</f>
        <v>0</v>
      </c>
      <c r="N238" s="128"/>
      <c r="O238" s="129"/>
      <c r="P238" s="9">
        <f t="shared" si="116"/>
        <v>0</v>
      </c>
      <c r="Q238" s="177">
        <f t="shared" si="96"/>
        <v>0</v>
      </c>
      <c r="R238" s="3">
        <f>D238*E238*'Entrada e Saida'!$K$8</f>
        <v>0</v>
      </c>
      <c r="S238" s="179" t="e">
        <f>'Entrada e Saida'!$H$21*'Entrada e Saida'!$K$8*(P238/(SUM(P:P)))</f>
        <v>#DIV/0!</v>
      </c>
      <c r="T238" s="179" t="e">
        <f>'Entrada e Saida'!$H$21*'Entrada e Saida'!$K$8*(Q238/(SUM(Q:Q)))</f>
        <v>#DIV/0!</v>
      </c>
      <c r="U238" s="179" t="e">
        <f>'Entrada e Saida'!$H$22*(P238/(SUM(P:P)))</f>
        <v>#DIV/0!</v>
      </c>
      <c r="V238" s="179" t="e">
        <f>'Entrada e Saida'!$H$22*(Q238/(SUM(Q:Q)))</f>
        <v>#DIV/0!</v>
      </c>
      <c r="W238" s="8" t="e">
        <f t="shared" si="117"/>
        <v>#DIV/0!</v>
      </c>
      <c r="X238" s="179" t="e">
        <f>'Entrada e Saida'!$H$26*(IF('Entrada e Saida'!$H$15="PESO",(P238/(SUM(P:P))),(Q238/(SUM(Q:Q)))))</f>
        <v>#DIV/0!</v>
      </c>
      <c r="Y238" s="179" t="e">
        <f>'Entrada e Saida'!$H$27*(IF('Entrada e Saida'!$H$15="PESO",(P238/(SUM(P:P))),(Q238/(SUM(Q:Q)))))</f>
        <v>#DIV/0!</v>
      </c>
      <c r="Z238" s="179" t="e">
        <f>'Entrada e Saida'!$H$28*(IF('Entrada e Saida'!$H$15="PESO",(P238/(SUM(P:P))),(Q238/(SUM(Q:Q)))))</f>
        <v>#DIV/0!</v>
      </c>
      <c r="AA238" s="10" t="e">
        <f t="shared" si="118"/>
        <v>#DIV/0!</v>
      </c>
      <c r="AB238" s="3" t="e">
        <f t="shared" si="119"/>
        <v>#DIV/0!</v>
      </c>
      <c r="AC238" s="3" t="e">
        <f t="shared" si="120"/>
        <v>#DIV/0!</v>
      </c>
      <c r="AD238" s="3" t="e">
        <f t="shared" si="121"/>
        <v>#DIV/0!</v>
      </c>
      <c r="AE238" s="9" t="e">
        <f t="shared" si="122"/>
        <v>#DIV/0!</v>
      </c>
      <c r="AF238" s="126">
        <f>IFERROR(D238*F238*L238*'Entrada e Saida'!$K$8,0)</f>
        <v>0</v>
      </c>
      <c r="AG238" s="3" t="e">
        <f>((W238+AA238+AB238+AC238+AD238+AE238+AF238)/(1-'Entrada e Saida'!$G$65))*'Entrada e Saida'!$I$66</f>
        <v>#DIV/0!</v>
      </c>
      <c r="AH238" s="8" t="e">
        <f t="shared" si="123"/>
        <v>#DIV/0!</v>
      </c>
      <c r="AI238" s="183" t="e">
        <f>'Entrada e Saida'!$K$51*(IF('Entrada e Saida'!$H$15="PESO",(P238/(SUM(P:P))),(Q238/(SUM(Q:Q)))))</f>
        <v>#DIV/0!</v>
      </c>
      <c r="AJ238" s="7">
        <f>(('Entrada e Saida'!$K$10-'Entrada e Saida'!$K$8)*E238*D238)</f>
        <v>0</v>
      </c>
      <c r="AK238" s="184" t="e">
        <f>IF('Entrada e Saida'!$H$15="PESO",W238+AA238+AH238+AI238+AJ238,W238+AA238+AH238+AI238+AJ238-S238+T238-U238+V238)</f>
        <v>#DIV/0!</v>
      </c>
      <c r="AL238" s="6" t="e">
        <f>IF('Entrada e Saida'!$H$12="REAL",AC238,0)</f>
        <v>#DIV/0!</v>
      </c>
      <c r="AM238" s="6" t="e">
        <f>IF('Entrada e Saida'!$H$12="REAL",AD238,0)</f>
        <v>#DIV/0!</v>
      </c>
      <c r="AN238" s="5" t="e">
        <f>IF('Entrada e Saida'!$H$13= "NÃO",AE238,0)</f>
        <v>#DIV/0!</v>
      </c>
      <c r="AO238" s="5" t="e">
        <f t="shared" si="124"/>
        <v>#DIV/0!</v>
      </c>
      <c r="AP238" s="4" t="e">
        <f t="shared" si="125"/>
        <v>#DIV/0!</v>
      </c>
      <c r="AQ238" s="3" t="e">
        <f>IF('Entrada e Saida'!$H$11="TRADING",AU238*'Custo Resumido'!D238,0)</f>
        <v>#DIV/0!</v>
      </c>
      <c r="AR238" s="3" t="e">
        <f>IF('Entrada e Saida'!$H$11="TRADING",AU238*'Entrada e Saida'!$G$63,0)</f>
        <v>#DIV/0!</v>
      </c>
      <c r="AS238" s="3" t="e">
        <f>IF('Entrada e Saida'!$H$11="TRADING",AU238*'Entrada e Saida'!$G$64,0)</f>
        <v>#DIV/0!</v>
      </c>
      <c r="AT238" s="3" t="e">
        <f>IF('Entrada e Saida'!$H$11="TRADING",AU238*'Entrada e Saida'!$G$65,0)</f>
        <v>#DIV/0!</v>
      </c>
      <c r="AU238" s="4" t="e">
        <f>IF('Entrada e Saida'!$H$11="TRADING",AP238/(1-(SUM('Entrada e Saida'!$G$63:$G$65)+'Custo Resumido'!D238)),0)</f>
        <v>#DIV/0!</v>
      </c>
      <c r="AV238" s="3" t="e">
        <f>IF('Entrada e Saida'!$H$13="NÃO",AU238*M238,0)</f>
        <v>#DIV/0!</v>
      </c>
      <c r="AW238" s="4" t="e">
        <f t="shared" si="126"/>
        <v>#DIV/0!</v>
      </c>
      <c r="AX238" s="3" t="e">
        <f>'Entrada e Saida'!$G$74*AU238</f>
        <v>#DIV/0!</v>
      </c>
      <c r="AY238" s="4" t="e">
        <f t="shared" si="127"/>
        <v>#DIV/0!</v>
      </c>
      <c r="AZ238" s="4" t="e">
        <f>AQ238+('Entrada e Saida'!$G$65-'Entrada e Saida'!$I$65)*AU238-AX238</f>
        <v>#DIV/0!</v>
      </c>
      <c r="BA238" s="3" t="e">
        <f>IF('Entrada e Saida'!$H$12="REAL",AZ238*'Entrada e Saida'!$G$81,AU238*'Entrada e Saida'!$G$81)</f>
        <v>#DIV/0!</v>
      </c>
      <c r="BB238" s="3" t="e">
        <f>IF('Entrada e Saida'!$H$12="REAL",AZ238*'Entrada e Saida'!$G$82,AU238*'Entrada e Saida'!$G$82)</f>
        <v>#DIV/0!</v>
      </c>
      <c r="BC238" s="4" t="e">
        <f t="shared" si="128"/>
        <v>#DIV/0!</v>
      </c>
      <c r="BD238" s="3" t="e">
        <f>IF('Entrada e Saida'!$H$11="TRADING",AW238/D238,AK238/D238)</f>
        <v>#DIV/0!</v>
      </c>
      <c r="BE238" s="3" t="e">
        <f t="shared" si="129"/>
        <v>#DIV/0!</v>
      </c>
      <c r="BF238" s="2" t="e">
        <f t="shared" si="130"/>
        <v>#DIV/0!</v>
      </c>
      <c r="BG238" s="3" t="e">
        <f>IF('Entrada e Saida'!$H$11="TRADING",AV238/D238,AN238/D238)</f>
        <v>#DIV/0!</v>
      </c>
      <c r="BH238" s="3" t="e">
        <f>IF('Entrada e Saida'!$H$11="TRADING",IF('Entrada e Saida'!$H$12="REAL",AR238/D238,0),AL238/D238)</f>
        <v>#DIV/0!</v>
      </c>
      <c r="BI238" s="3" t="e">
        <f>IF('Entrada e Saida'!$H$11="TRADING",IF('Entrada e Saida'!$H$12="REAL",AS238/D238,0),AM238/D238)</f>
        <v>#DIV/0!</v>
      </c>
      <c r="BJ238" s="3" t="e">
        <f>IF('Entrada e Saida'!$H$11="TRADING",AT238/D238,AO238/D238)</f>
        <v>#DIV/0!</v>
      </c>
      <c r="BK238" s="2" t="e">
        <f t="shared" si="131"/>
        <v>#DIV/0!</v>
      </c>
      <c r="BL238" s="2">
        <f>IF(O238&gt;0,IFERROR(IF('Entrada e Saida'!$H$11="DIRETA",0,(IF('Entrada e Saida'!$H$14="P.JURIDICA",(BD238*(1+O238)*N238)-((BD238/(1+M238))*'Entrada e Saida'!$G$65),((Produtos!N238-'Entrada e Saida'!$G$65)*Produtos!BD238)))),0),0)</f>
        <v>0</v>
      </c>
      <c r="BM238" s="2" t="e">
        <f t="shared" si="132"/>
        <v>#DIV/0!</v>
      </c>
    </row>
    <row r="239" spans="1:65" s="1" customFormat="1">
      <c r="A239" s="127"/>
      <c r="B239" s="114"/>
      <c r="C239" s="116"/>
      <c r="D239" s="146"/>
      <c r="E239" s="115">
        <f>IFERROR(VLOOKUP(A239,'Master Modelo'!A:I,9,FALSE),0)</f>
        <v>0</v>
      </c>
      <c r="F239" s="189">
        <f>IFERROR(VLOOKUP(A239,'Master Modelo'!A:I,8,FALSE),0)</f>
        <v>0</v>
      </c>
      <c r="G239" s="189">
        <f>IFERROR(VLOOKUP(A239,'Master Modelo'!A:K,11,FALSE),0)</f>
        <v>0</v>
      </c>
      <c r="H239" s="114" t="e">
        <f t="shared" si="115"/>
        <v>#DIV/0!</v>
      </c>
      <c r="I239" s="150">
        <f>IFERROR(VLOOKUP(A239,'Master Modelo'!A:I,3,FALSE),0)</f>
        <v>0</v>
      </c>
      <c r="J239" s="151">
        <f>IFERROR(VLOOKUP(A239,'Master Modelo'!A:I,5,FALSE),0)</f>
        <v>0</v>
      </c>
      <c r="K239" s="151">
        <f>IFERROR(VLOOKUP(A239,'Master Modelo'!A:I,6,FALSE),0)</f>
        <v>0</v>
      </c>
      <c r="L239" s="152" t="e">
        <f>VLOOKUP(A239,'Master Modelo'!A:J,10,FALSE)</f>
        <v>#N/A</v>
      </c>
      <c r="M239" s="150">
        <f>IFERROR(VLOOKUP(A239,'Master Modelo'!A:I,4,FALSE),0)</f>
        <v>0</v>
      </c>
      <c r="N239" s="128"/>
      <c r="O239" s="129"/>
      <c r="P239" s="9">
        <f t="shared" si="116"/>
        <v>0</v>
      </c>
      <c r="Q239" s="177">
        <f t="shared" si="96"/>
        <v>0</v>
      </c>
      <c r="R239" s="3">
        <f>D239*E239*'Entrada e Saida'!$K$8</f>
        <v>0</v>
      </c>
      <c r="S239" s="179" t="e">
        <f>'Entrada e Saida'!$H$21*'Entrada e Saida'!$K$8*(P239/(SUM(P:P)))</f>
        <v>#DIV/0!</v>
      </c>
      <c r="T239" s="179" t="e">
        <f>'Entrada e Saida'!$H$21*'Entrada e Saida'!$K$8*(Q239/(SUM(Q:Q)))</f>
        <v>#DIV/0!</v>
      </c>
      <c r="U239" s="179" t="e">
        <f>'Entrada e Saida'!$H$22*(P239/(SUM(P:P)))</f>
        <v>#DIV/0!</v>
      </c>
      <c r="V239" s="179" t="e">
        <f>'Entrada e Saida'!$H$22*(Q239/(SUM(Q:Q)))</f>
        <v>#DIV/0!</v>
      </c>
      <c r="W239" s="8" t="e">
        <f t="shared" si="117"/>
        <v>#DIV/0!</v>
      </c>
      <c r="X239" s="179" t="e">
        <f>'Entrada e Saida'!$H$26*(IF('Entrada e Saida'!$H$15="PESO",(P239/(SUM(P:P))),(Q239/(SUM(Q:Q)))))</f>
        <v>#DIV/0!</v>
      </c>
      <c r="Y239" s="179" t="e">
        <f>'Entrada e Saida'!$H$27*(IF('Entrada e Saida'!$H$15="PESO",(P239/(SUM(P:P))),(Q239/(SUM(Q:Q)))))</f>
        <v>#DIV/0!</v>
      </c>
      <c r="Z239" s="179" t="e">
        <f>'Entrada e Saida'!$H$28*(IF('Entrada e Saida'!$H$15="PESO",(P239/(SUM(P:P))),(Q239/(SUM(Q:Q)))))</f>
        <v>#DIV/0!</v>
      </c>
      <c r="AA239" s="10" t="e">
        <f t="shared" si="118"/>
        <v>#DIV/0!</v>
      </c>
      <c r="AB239" s="3" t="e">
        <f t="shared" si="119"/>
        <v>#DIV/0!</v>
      </c>
      <c r="AC239" s="3" t="e">
        <f t="shared" si="120"/>
        <v>#DIV/0!</v>
      </c>
      <c r="AD239" s="3" t="e">
        <f t="shared" si="121"/>
        <v>#DIV/0!</v>
      </c>
      <c r="AE239" s="9" t="e">
        <f t="shared" si="122"/>
        <v>#DIV/0!</v>
      </c>
      <c r="AF239" s="126">
        <f>IFERROR(D239*F239*L239*'Entrada e Saida'!$K$8,0)</f>
        <v>0</v>
      </c>
      <c r="AG239" s="3" t="e">
        <f>((W239+AA239+AB239+AC239+AD239+AE239+AF239)/(1-'Entrada e Saida'!$G$65))*'Entrada e Saida'!$I$66</f>
        <v>#DIV/0!</v>
      </c>
      <c r="AH239" s="8" t="e">
        <f t="shared" si="123"/>
        <v>#DIV/0!</v>
      </c>
      <c r="AI239" s="183" t="e">
        <f>'Entrada e Saida'!$K$51*(IF('Entrada e Saida'!$H$15="PESO",(P239/(SUM(P:P))),(Q239/(SUM(Q:Q)))))</f>
        <v>#DIV/0!</v>
      </c>
      <c r="AJ239" s="7">
        <f>(('Entrada e Saida'!$K$10-'Entrada e Saida'!$K$8)*E239*D239)</f>
        <v>0</v>
      </c>
      <c r="AK239" s="184" t="e">
        <f>IF('Entrada e Saida'!$H$15="PESO",W239+AA239+AH239+AI239+AJ239,W239+AA239+AH239+AI239+AJ239-S239+T239-U239+V239)</f>
        <v>#DIV/0!</v>
      </c>
      <c r="AL239" s="6" t="e">
        <f>IF('Entrada e Saida'!$H$12="REAL",AC239,0)</f>
        <v>#DIV/0!</v>
      </c>
      <c r="AM239" s="6" t="e">
        <f>IF('Entrada e Saida'!$H$12="REAL",AD239,0)</f>
        <v>#DIV/0!</v>
      </c>
      <c r="AN239" s="5" t="e">
        <f>IF('Entrada e Saida'!$H$13= "NÃO",AE239,0)</f>
        <v>#DIV/0!</v>
      </c>
      <c r="AO239" s="5" t="e">
        <f t="shared" si="124"/>
        <v>#DIV/0!</v>
      </c>
      <c r="AP239" s="4" t="e">
        <f t="shared" si="125"/>
        <v>#DIV/0!</v>
      </c>
      <c r="AQ239" s="3" t="e">
        <f>IF('Entrada e Saida'!$H$11="TRADING",AU239*'Custo Resumido'!D239,0)</f>
        <v>#DIV/0!</v>
      </c>
      <c r="AR239" s="3" t="e">
        <f>IF('Entrada e Saida'!$H$11="TRADING",AU239*'Entrada e Saida'!$G$63,0)</f>
        <v>#DIV/0!</v>
      </c>
      <c r="AS239" s="3" t="e">
        <f>IF('Entrada e Saida'!$H$11="TRADING",AU239*'Entrada e Saida'!$G$64,0)</f>
        <v>#DIV/0!</v>
      </c>
      <c r="AT239" s="3" t="e">
        <f>IF('Entrada e Saida'!$H$11="TRADING",AU239*'Entrada e Saida'!$G$65,0)</f>
        <v>#DIV/0!</v>
      </c>
      <c r="AU239" s="4" t="e">
        <f>IF('Entrada e Saida'!$H$11="TRADING",AP239/(1-(SUM('Entrada e Saida'!$G$63:$G$65)+'Custo Resumido'!D239)),0)</f>
        <v>#DIV/0!</v>
      </c>
      <c r="AV239" s="3" t="e">
        <f>IF('Entrada e Saida'!$H$13="NÃO",AU239*M239,0)</f>
        <v>#DIV/0!</v>
      </c>
      <c r="AW239" s="4" t="e">
        <f t="shared" si="126"/>
        <v>#DIV/0!</v>
      </c>
      <c r="AX239" s="3" t="e">
        <f>'Entrada e Saida'!$G$74*AU239</f>
        <v>#DIV/0!</v>
      </c>
      <c r="AY239" s="4" t="e">
        <f t="shared" si="127"/>
        <v>#DIV/0!</v>
      </c>
      <c r="AZ239" s="4" t="e">
        <f>AQ239+('Entrada e Saida'!$G$65-'Entrada e Saida'!$I$65)*AU239-AX239</f>
        <v>#DIV/0!</v>
      </c>
      <c r="BA239" s="3" t="e">
        <f>IF('Entrada e Saida'!$H$12="REAL",AZ239*'Entrada e Saida'!$G$81,AU239*'Entrada e Saida'!$G$81)</f>
        <v>#DIV/0!</v>
      </c>
      <c r="BB239" s="3" t="e">
        <f>IF('Entrada e Saida'!$H$12="REAL",AZ239*'Entrada e Saida'!$G$82,AU239*'Entrada e Saida'!$G$82)</f>
        <v>#DIV/0!</v>
      </c>
      <c r="BC239" s="4" t="e">
        <f t="shared" si="128"/>
        <v>#DIV/0!</v>
      </c>
      <c r="BD239" s="3" t="e">
        <f>IF('Entrada e Saida'!$H$11="TRADING",AW239/D239,AK239/D239)</f>
        <v>#DIV/0!</v>
      </c>
      <c r="BE239" s="3" t="e">
        <f t="shared" si="129"/>
        <v>#DIV/0!</v>
      </c>
      <c r="BF239" s="2" t="e">
        <f t="shared" si="130"/>
        <v>#DIV/0!</v>
      </c>
      <c r="BG239" s="3" t="e">
        <f>IF('Entrada e Saida'!$H$11="TRADING",AV239/D239,AN239/D239)</f>
        <v>#DIV/0!</v>
      </c>
      <c r="BH239" s="3" t="e">
        <f>IF('Entrada e Saida'!$H$11="TRADING",IF('Entrada e Saida'!$H$12="REAL",AR239/D239,0),AL239/D239)</f>
        <v>#DIV/0!</v>
      </c>
      <c r="BI239" s="3" t="e">
        <f>IF('Entrada e Saida'!$H$11="TRADING",IF('Entrada e Saida'!$H$12="REAL",AS239/D239,0),AM239/D239)</f>
        <v>#DIV/0!</v>
      </c>
      <c r="BJ239" s="3" t="e">
        <f>IF('Entrada e Saida'!$H$11="TRADING",AT239/D239,AO239/D239)</f>
        <v>#DIV/0!</v>
      </c>
      <c r="BK239" s="2" t="e">
        <f t="shared" si="131"/>
        <v>#DIV/0!</v>
      </c>
      <c r="BL239" s="2">
        <f>IF(O239&gt;0,IFERROR(IF('Entrada e Saida'!$H$11="DIRETA",0,(IF('Entrada e Saida'!$H$14="P.JURIDICA",(BD239*(1+O239)*N239)-((BD239/(1+M239))*'Entrada e Saida'!$G$65),((Produtos!N239-'Entrada e Saida'!$G$65)*Produtos!BD239)))),0),0)</f>
        <v>0</v>
      </c>
      <c r="BM239" s="2" t="e">
        <f t="shared" si="132"/>
        <v>#DIV/0!</v>
      </c>
    </row>
    <row r="240" spans="1:65" s="1" customFormat="1">
      <c r="A240" s="127"/>
      <c r="B240" s="114"/>
      <c r="C240" s="116"/>
      <c r="D240" s="146"/>
      <c r="E240" s="115">
        <f>IFERROR(VLOOKUP(A240,'Master Modelo'!A:I,9,FALSE),0)</f>
        <v>0</v>
      </c>
      <c r="F240" s="189">
        <f>IFERROR(VLOOKUP(A240,'Master Modelo'!A:I,8,FALSE),0)</f>
        <v>0</v>
      </c>
      <c r="G240" s="189">
        <f>IFERROR(VLOOKUP(A240,'Master Modelo'!A:K,11,FALSE),0)</f>
        <v>0</v>
      </c>
      <c r="H240" s="114" t="e">
        <f t="shared" si="115"/>
        <v>#DIV/0!</v>
      </c>
      <c r="I240" s="150">
        <f>IFERROR(VLOOKUP(A240,'Master Modelo'!A:I,3,FALSE),0)</f>
        <v>0</v>
      </c>
      <c r="J240" s="151">
        <f>IFERROR(VLOOKUP(A240,'Master Modelo'!A:I,5,FALSE),0)</f>
        <v>0</v>
      </c>
      <c r="K240" s="151">
        <f>IFERROR(VLOOKUP(A240,'Master Modelo'!A:I,6,FALSE),0)</f>
        <v>0</v>
      </c>
      <c r="L240" s="152" t="e">
        <f>VLOOKUP(A240,'Master Modelo'!A:J,10,FALSE)</f>
        <v>#N/A</v>
      </c>
      <c r="M240" s="150">
        <f>IFERROR(VLOOKUP(A240,'Master Modelo'!A:I,4,FALSE),0)</f>
        <v>0</v>
      </c>
      <c r="N240" s="128"/>
      <c r="O240" s="129"/>
      <c r="P240" s="9">
        <f t="shared" si="116"/>
        <v>0</v>
      </c>
      <c r="Q240" s="177">
        <f t="shared" si="96"/>
        <v>0</v>
      </c>
      <c r="R240" s="3">
        <f>D240*E240*'Entrada e Saida'!$K$8</f>
        <v>0</v>
      </c>
      <c r="S240" s="179" t="e">
        <f>'Entrada e Saida'!$H$21*'Entrada e Saida'!$K$8*(P240/(SUM(P:P)))</f>
        <v>#DIV/0!</v>
      </c>
      <c r="T240" s="179" t="e">
        <f>'Entrada e Saida'!$H$21*'Entrada e Saida'!$K$8*(Q240/(SUM(Q:Q)))</f>
        <v>#DIV/0!</v>
      </c>
      <c r="U240" s="179" t="e">
        <f>'Entrada e Saida'!$H$22*(P240/(SUM(P:P)))</f>
        <v>#DIV/0!</v>
      </c>
      <c r="V240" s="179" t="e">
        <f>'Entrada e Saida'!$H$22*(Q240/(SUM(Q:Q)))</f>
        <v>#DIV/0!</v>
      </c>
      <c r="W240" s="8" t="e">
        <f t="shared" si="117"/>
        <v>#DIV/0!</v>
      </c>
      <c r="X240" s="179" t="e">
        <f>'Entrada e Saida'!$H$26*(IF('Entrada e Saida'!$H$15="PESO",(P240/(SUM(P:P))),(Q240/(SUM(Q:Q)))))</f>
        <v>#DIV/0!</v>
      </c>
      <c r="Y240" s="179" t="e">
        <f>'Entrada e Saida'!$H$27*(IF('Entrada e Saida'!$H$15="PESO",(P240/(SUM(P:P))),(Q240/(SUM(Q:Q)))))</f>
        <v>#DIV/0!</v>
      </c>
      <c r="Z240" s="179" t="e">
        <f>'Entrada e Saida'!$H$28*(IF('Entrada e Saida'!$H$15="PESO",(P240/(SUM(P:P))),(Q240/(SUM(Q:Q)))))</f>
        <v>#DIV/0!</v>
      </c>
      <c r="AA240" s="10" t="e">
        <f t="shared" si="118"/>
        <v>#DIV/0!</v>
      </c>
      <c r="AB240" s="3" t="e">
        <f t="shared" si="119"/>
        <v>#DIV/0!</v>
      </c>
      <c r="AC240" s="3" t="e">
        <f t="shared" si="120"/>
        <v>#DIV/0!</v>
      </c>
      <c r="AD240" s="3" t="e">
        <f t="shared" si="121"/>
        <v>#DIV/0!</v>
      </c>
      <c r="AE240" s="9" t="e">
        <f t="shared" si="122"/>
        <v>#DIV/0!</v>
      </c>
      <c r="AF240" s="126">
        <f>IFERROR(D240*F240*L240*'Entrada e Saida'!$K$8,0)</f>
        <v>0</v>
      </c>
      <c r="AG240" s="3" t="e">
        <f>((W240+AA240+AB240+AC240+AD240+AE240+AF240)/(1-'Entrada e Saida'!$G$65))*'Entrada e Saida'!$I$66</f>
        <v>#DIV/0!</v>
      </c>
      <c r="AH240" s="8" t="e">
        <f t="shared" si="123"/>
        <v>#DIV/0!</v>
      </c>
      <c r="AI240" s="183" t="e">
        <f>'Entrada e Saida'!$K$51*(IF('Entrada e Saida'!$H$15="PESO",(P240/(SUM(P:P))),(Q240/(SUM(Q:Q)))))</f>
        <v>#DIV/0!</v>
      </c>
      <c r="AJ240" s="7">
        <f>(('Entrada e Saida'!$K$10-'Entrada e Saida'!$K$8)*E240*D240)</f>
        <v>0</v>
      </c>
      <c r="AK240" s="184" t="e">
        <f>IF('Entrada e Saida'!$H$15="PESO",W240+AA240+AH240+AI240+AJ240,W240+AA240+AH240+AI240+AJ240-S240+T240-U240+V240)</f>
        <v>#DIV/0!</v>
      </c>
      <c r="AL240" s="6" t="e">
        <f>IF('Entrada e Saida'!$H$12="REAL",AC240,0)</f>
        <v>#DIV/0!</v>
      </c>
      <c r="AM240" s="6" t="e">
        <f>IF('Entrada e Saida'!$H$12="REAL",AD240,0)</f>
        <v>#DIV/0!</v>
      </c>
      <c r="AN240" s="5" t="e">
        <f>IF('Entrada e Saida'!$H$13= "NÃO",AE240,0)</f>
        <v>#DIV/0!</v>
      </c>
      <c r="AO240" s="5" t="e">
        <f t="shared" si="124"/>
        <v>#DIV/0!</v>
      </c>
      <c r="AP240" s="4" t="e">
        <f t="shared" si="125"/>
        <v>#DIV/0!</v>
      </c>
      <c r="AQ240" s="3" t="e">
        <f>IF('Entrada e Saida'!$H$11="TRADING",AU240*'Custo Resumido'!D240,0)</f>
        <v>#DIV/0!</v>
      </c>
      <c r="AR240" s="3" t="e">
        <f>IF('Entrada e Saida'!$H$11="TRADING",AU240*'Entrada e Saida'!$G$63,0)</f>
        <v>#DIV/0!</v>
      </c>
      <c r="AS240" s="3" t="e">
        <f>IF('Entrada e Saida'!$H$11="TRADING",AU240*'Entrada e Saida'!$G$64,0)</f>
        <v>#DIV/0!</v>
      </c>
      <c r="AT240" s="3" t="e">
        <f>IF('Entrada e Saida'!$H$11="TRADING",AU240*'Entrada e Saida'!$G$65,0)</f>
        <v>#DIV/0!</v>
      </c>
      <c r="AU240" s="4" t="e">
        <f>IF('Entrada e Saida'!$H$11="TRADING",AP240/(1-(SUM('Entrada e Saida'!$G$63:$G$65)+'Custo Resumido'!D240)),0)</f>
        <v>#DIV/0!</v>
      </c>
      <c r="AV240" s="3" t="e">
        <f>IF('Entrada e Saida'!$H$13="NÃO",AU240*M240,0)</f>
        <v>#DIV/0!</v>
      </c>
      <c r="AW240" s="4" t="e">
        <f t="shared" si="126"/>
        <v>#DIV/0!</v>
      </c>
      <c r="AX240" s="3" t="e">
        <f>'Entrada e Saida'!$G$74*AU240</f>
        <v>#DIV/0!</v>
      </c>
      <c r="AY240" s="4" t="e">
        <f t="shared" si="127"/>
        <v>#DIV/0!</v>
      </c>
      <c r="AZ240" s="4" t="e">
        <f>AQ240+('Entrada e Saida'!$G$65-'Entrada e Saida'!$I$65)*AU240-AX240</f>
        <v>#DIV/0!</v>
      </c>
      <c r="BA240" s="3" t="e">
        <f>IF('Entrada e Saida'!$H$12="REAL",AZ240*'Entrada e Saida'!$G$81,AU240*'Entrada e Saida'!$G$81)</f>
        <v>#DIV/0!</v>
      </c>
      <c r="BB240" s="3" t="e">
        <f>IF('Entrada e Saida'!$H$12="REAL",AZ240*'Entrada e Saida'!$G$82,AU240*'Entrada e Saida'!$G$82)</f>
        <v>#DIV/0!</v>
      </c>
      <c r="BC240" s="4" t="e">
        <f t="shared" si="128"/>
        <v>#DIV/0!</v>
      </c>
      <c r="BD240" s="3" t="e">
        <f>IF('Entrada e Saida'!$H$11="TRADING",AW240/D240,AK240/D240)</f>
        <v>#DIV/0!</v>
      </c>
      <c r="BE240" s="3" t="e">
        <f t="shared" si="129"/>
        <v>#DIV/0!</v>
      </c>
      <c r="BF240" s="2" t="e">
        <f t="shared" si="130"/>
        <v>#DIV/0!</v>
      </c>
      <c r="BG240" s="3" t="e">
        <f>IF('Entrada e Saida'!$H$11="TRADING",AV240/D240,AN240/D240)</f>
        <v>#DIV/0!</v>
      </c>
      <c r="BH240" s="3" t="e">
        <f>IF('Entrada e Saida'!$H$11="TRADING",IF('Entrada e Saida'!$H$12="REAL",AR240/D240,0),AL240/D240)</f>
        <v>#DIV/0!</v>
      </c>
      <c r="BI240" s="3" t="e">
        <f>IF('Entrada e Saida'!$H$11="TRADING",IF('Entrada e Saida'!$H$12="REAL",AS240/D240,0),AM240/D240)</f>
        <v>#DIV/0!</v>
      </c>
      <c r="BJ240" s="3" t="e">
        <f>IF('Entrada e Saida'!$H$11="TRADING",AT240/D240,AO240/D240)</f>
        <v>#DIV/0!</v>
      </c>
      <c r="BK240" s="2" t="e">
        <f t="shared" si="131"/>
        <v>#DIV/0!</v>
      </c>
      <c r="BL240" s="2">
        <f>IF(O240&gt;0,IFERROR(IF('Entrada e Saida'!$H$11="DIRETA",0,(IF('Entrada e Saida'!$H$14="P.JURIDICA",(BD240*(1+O240)*N240)-((BD240/(1+M240))*'Entrada e Saida'!$G$65),((Produtos!N240-'Entrada e Saida'!$G$65)*Produtos!BD240)))),0),0)</f>
        <v>0</v>
      </c>
      <c r="BM240" s="2" t="e">
        <f t="shared" si="132"/>
        <v>#DIV/0!</v>
      </c>
    </row>
    <row r="241" spans="1:65" s="1" customFormat="1">
      <c r="A241" s="127"/>
      <c r="B241" s="114"/>
      <c r="C241" s="116"/>
      <c r="D241" s="146"/>
      <c r="E241" s="115">
        <f>IFERROR(VLOOKUP(A241,'Master Modelo'!A:I,9,FALSE),0)</f>
        <v>0</v>
      </c>
      <c r="F241" s="189">
        <f>IFERROR(VLOOKUP(A241,'Master Modelo'!A:I,8,FALSE),0)</f>
        <v>0</v>
      </c>
      <c r="G241" s="189">
        <f>IFERROR(VLOOKUP(A241,'Master Modelo'!A:K,11,FALSE),0)</f>
        <v>0</v>
      </c>
      <c r="H241" s="114" t="e">
        <f t="shared" si="115"/>
        <v>#DIV/0!</v>
      </c>
      <c r="I241" s="150">
        <f>IFERROR(VLOOKUP(A241,'Master Modelo'!A:I,3,FALSE),0)</f>
        <v>0</v>
      </c>
      <c r="J241" s="151">
        <f>IFERROR(VLOOKUP(A241,'Master Modelo'!A:I,5,FALSE),0)</f>
        <v>0</v>
      </c>
      <c r="K241" s="151">
        <f>IFERROR(VLOOKUP(A241,'Master Modelo'!A:I,6,FALSE),0)</f>
        <v>0</v>
      </c>
      <c r="L241" s="152" t="e">
        <f>VLOOKUP(A241,'Master Modelo'!A:J,10,FALSE)</f>
        <v>#N/A</v>
      </c>
      <c r="M241" s="150">
        <f>IFERROR(VLOOKUP(A241,'Master Modelo'!A:I,4,FALSE),0)</f>
        <v>0</v>
      </c>
      <c r="N241" s="128"/>
      <c r="O241" s="129"/>
      <c r="P241" s="9">
        <f t="shared" si="116"/>
        <v>0</v>
      </c>
      <c r="Q241" s="177">
        <f t="shared" si="96"/>
        <v>0</v>
      </c>
      <c r="R241" s="3">
        <f>D241*E241*'Entrada e Saida'!$K$8</f>
        <v>0</v>
      </c>
      <c r="S241" s="179" t="e">
        <f>'Entrada e Saida'!$H$21*'Entrada e Saida'!$K$8*(P241/(SUM(P:P)))</f>
        <v>#DIV/0!</v>
      </c>
      <c r="T241" s="179" t="e">
        <f>'Entrada e Saida'!$H$21*'Entrada e Saida'!$K$8*(Q241/(SUM(Q:Q)))</f>
        <v>#DIV/0!</v>
      </c>
      <c r="U241" s="179" t="e">
        <f>'Entrada e Saida'!$H$22*(P241/(SUM(P:P)))</f>
        <v>#DIV/0!</v>
      </c>
      <c r="V241" s="179" t="e">
        <f>'Entrada e Saida'!$H$22*(Q241/(SUM(Q:Q)))</f>
        <v>#DIV/0!</v>
      </c>
      <c r="W241" s="8" t="e">
        <f t="shared" si="117"/>
        <v>#DIV/0!</v>
      </c>
      <c r="X241" s="179" t="e">
        <f>'Entrada e Saida'!$H$26*(IF('Entrada e Saida'!$H$15="PESO",(P241/(SUM(P:P))),(Q241/(SUM(Q:Q)))))</f>
        <v>#DIV/0!</v>
      </c>
      <c r="Y241" s="179" t="e">
        <f>'Entrada e Saida'!$H$27*(IF('Entrada e Saida'!$H$15="PESO",(P241/(SUM(P:P))),(Q241/(SUM(Q:Q)))))</f>
        <v>#DIV/0!</v>
      </c>
      <c r="Z241" s="179" t="e">
        <f>'Entrada e Saida'!$H$28*(IF('Entrada e Saida'!$H$15="PESO",(P241/(SUM(P:P))),(Q241/(SUM(Q:Q)))))</f>
        <v>#DIV/0!</v>
      </c>
      <c r="AA241" s="10" t="e">
        <f t="shared" si="118"/>
        <v>#DIV/0!</v>
      </c>
      <c r="AB241" s="3" t="e">
        <f t="shared" si="119"/>
        <v>#DIV/0!</v>
      </c>
      <c r="AC241" s="3" t="e">
        <f t="shared" si="120"/>
        <v>#DIV/0!</v>
      </c>
      <c r="AD241" s="3" t="e">
        <f t="shared" si="121"/>
        <v>#DIV/0!</v>
      </c>
      <c r="AE241" s="9" t="e">
        <f t="shared" si="122"/>
        <v>#DIV/0!</v>
      </c>
      <c r="AF241" s="126">
        <f>IFERROR(D241*F241*L241*'Entrada e Saida'!$K$8,0)</f>
        <v>0</v>
      </c>
      <c r="AG241" s="3" t="e">
        <f>((W241+AA241+AB241+AC241+AD241+AE241+AF241)/(1-'Entrada e Saida'!$G$65))*'Entrada e Saida'!$I$66</f>
        <v>#DIV/0!</v>
      </c>
      <c r="AH241" s="8" t="e">
        <f t="shared" si="123"/>
        <v>#DIV/0!</v>
      </c>
      <c r="AI241" s="183" t="e">
        <f>'Entrada e Saida'!$K$51*(IF('Entrada e Saida'!$H$15="PESO",(P241/(SUM(P:P))),(Q241/(SUM(Q:Q)))))</f>
        <v>#DIV/0!</v>
      </c>
      <c r="AJ241" s="7">
        <f>(('Entrada e Saida'!$K$10-'Entrada e Saida'!$K$8)*E241*D241)</f>
        <v>0</v>
      </c>
      <c r="AK241" s="184" t="e">
        <f>IF('Entrada e Saida'!$H$15="PESO",W241+AA241+AH241+AI241+AJ241,W241+AA241+AH241+AI241+AJ241-S241+T241-U241+V241)</f>
        <v>#DIV/0!</v>
      </c>
      <c r="AL241" s="6" t="e">
        <f>IF('Entrada e Saida'!$H$12="REAL",AC241,0)</f>
        <v>#DIV/0!</v>
      </c>
      <c r="AM241" s="6" t="e">
        <f>IF('Entrada e Saida'!$H$12="REAL",AD241,0)</f>
        <v>#DIV/0!</v>
      </c>
      <c r="AN241" s="5" t="e">
        <f>IF('Entrada e Saida'!$H$13= "NÃO",AE241,0)</f>
        <v>#DIV/0!</v>
      </c>
      <c r="AO241" s="5" t="e">
        <f t="shared" si="124"/>
        <v>#DIV/0!</v>
      </c>
      <c r="AP241" s="4" t="e">
        <f t="shared" si="125"/>
        <v>#DIV/0!</v>
      </c>
      <c r="AQ241" s="3" t="e">
        <f>IF('Entrada e Saida'!$H$11="TRADING",AU241*'Custo Resumido'!D241,0)</f>
        <v>#DIV/0!</v>
      </c>
      <c r="AR241" s="3" t="e">
        <f>IF('Entrada e Saida'!$H$11="TRADING",AU241*'Entrada e Saida'!$G$63,0)</f>
        <v>#DIV/0!</v>
      </c>
      <c r="AS241" s="3" t="e">
        <f>IF('Entrada e Saida'!$H$11="TRADING",AU241*'Entrada e Saida'!$G$64,0)</f>
        <v>#DIV/0!</v>
      </c>
      <c r="AT241" s="3" t="e">
        <f>IF('Entrada e Saida'!$H$11="TRADING",AU241*'Entrada e Saida'!$G$65,0)</f>
        <v>#DIV/0!</v>
      </c>
      <c r="AU241" s="4" t="e">
        <f>IF('Entrada e Saida'!$H$11="TRADING",AP241/(1-(SUM('Entrada e Saida'!$G$63:$G$65)+'Custo Resumido'!D241)),0)</f>
        <v>#DIV/0!</v>
      </c>
      <c r="AV241" s="3" t="e">
        <f>IF('Entrada e Saida'!$H$13="NÃO",AU241*M241,0)</f>
        <v>#DIV/0!</v>
      </c>
      <c r="AW241" s="4" t="e">
        <f t="shared" si="126"/>
        <v>#DIV/0!</v>
      </c>
      <c r="AX241" s="3" t="e">
        <f>'Entrada e Saida'!$G$74*AU241</f>
        <v>#DIV/0!</v>
      </c>
      <c r="AY241" s="4" t="e">
        <f t="shared" si="127"/>
        <v>#DIV/0!</v>
      </c>
      <c r="AZ241" s="4" t="e">
        <f>AQ241+('Entrada e Saida'!$G$65-'Entrada e Saida'!$I$65)*AU241-AX241</f>
        <v>#DIV/0!</v>
      </c>
      <c r="BA241" s="3" t="e">
        <f>IF('Entrada e Saida'!$H$12="REAL",AZ241*'Entrada e Saida'!$G$81,AU241*'Entrada e Saida'!$G$81)</f>
        <v>#DIV/0!</v>
      </c>
      <c r="BB241" s="3" t="e">
        <f>IF('Entrada e Saida'!$H$12="REAL",AZ241*'Entrada e Saida'!$G$82,AU241*'Entrada e Saida'!$G$82)</f>
        <v>#DIV/0!</v>
      </c>
      <c r="BC241" s="4" t="e">
        <f t="shared" si="128"/>
        <v>#DIV/0!</v>
      </c>
      <c r="BD241" s="3" t="e">
        <f>IF('Entrada e Saida'!$H$11="TRADING",AW241/D241,AK241/D241)</f>
        <v>#DIV/0!</v>
      </c>
      <c r="BE241" s="3" t="e">
        <f t="shared" si="129"/>
        <v>#DIV/0!</v>
      </c>
      <c r="BF241" s="2" t="e">
        <f t="shared" si="130"/>
        <v>#DIV/0!</v>
      </c>
      <c r="BG241" s="3" t="e">
        <f>IF('Entrada e Saida'!$H$11="TRADING",AV241/D241,AN241/D241)</f>
        <v>#DIV/0!</v>
      </c>
      <c r="BH241" s="3" t="e">
        <f>IF('Entrada e Saida'!$H$11="TRADING",IF('Entrada e Saida'!$H$12="REAL",AR241/D241,0),AL241/D241)</f>
        <v>#DIV/0!</v>
      </c>
      <c r="BI241" s="3" t="e">
        <f>IF('Entrada e Saida'!$H$11="TRADING",IF('Entrada e Saida'!$H$12="REAL",AS241/D241,0),AM241/D241)</f>
        <v>#DIV/0!</v>
      </c>
      <c r="BJ241" s="3" t="e">
        <f>IF('Entrada e Saida'!$H$11="TRADING",AT241/D241,AO241/D241)</f>
        <v>#DIV/0!</v>
      </c>
      <c r="BK241" s="2" t="e">
        <f t="shared" si="131"/>
        <v>#DIV/0!</v>
      </c>
      <c r="BL241" s="2">
        <f>IF(O241&gt;0,IFERROR(IF('Entrada e Saida'!$H$11="DIRETA",0,(IF('Entrada e Saida'!$H$14="P.JURIDICA",(BD241*(1+O241)*N241)-((BD241/(1+M241))*'Entrada e Saida'!$G$65),((Produtos!N241-'Entrada e Saida'!$G$65)*Produtos!BD241)))),0),0)</f>
        <v>0</v>
      </c>
      <c r="BM241" s="2" t="e">
        <f t="shared" si="132"/>
        <v>#DIV/0!</v>
      </c>
    </row>
    <row r="242" spans="1:65" s="1" customFormat="1">
      <c r="A242" s="127"/>
      <c r="B242" s="114"/>
      <c r="C242" s="116"/>
      <c r="D242" s="146"/>
      <c r="E242" s="115">
        <f>IFERROR(VLOOKUP(A242,'Master Modelo'!A:I,9,FALSE),0)</f>
        <v>0</v>
      </c>
      <c r="F242" s="189">
        <f>IFERROR(VLOOKUP(A242,'Master Modelo'!A:I,8,FALSE),0)</f>
        <v>0</v>
      </c>
      <c r="G242" s="189">
        <f>IFERROR(VLOOKUP(A242,'Master Modelo'!A:K,11,FALSE),0)</f>
        <v>0</v>
      </c>
      <c r="H242" s="114" t="e">
        <f t="shared" si="115"/>
        <v>#DIV/0!</v>
      </c>
      <c r="I242" s="150">
        <f>IFERROR(VLOOKUP(A242,'Master Modelo'!A:I,3,FALSE),0)</f>
        <v>0</v>
      </c>
      <c r="J242" s="151">
        <f>IFERROR(VLOOKUP(A242,'Master Modelo'!A:I,5,FALSE),0)</f>
        <v>0</v>
      </c>
      <c r="K242" s="151">
        <f>IFERROR(VLOOKUP(A242,'Master Modelo'!A:I,6,FALSE),0)</f>
        <v>0</v>
      </c>
      <c r="L242" s="152" t="e">
        <f>VLOOKUP(A242,'Master Modelo'!A:J,10,FALSE)</f>
        <v>#N/A</v>
      </c>
      <c r="M242" s="150">
        <f>IFERROR(VLOOKUP(A242,'Master Modelo'!A:I,4,FALSE),0)</f>
        <v>0</v>
      </c>
      <c r="N242" s="128"/>
      <c r="O242" s="129"/>
      <c r="P242" s="9">
        <f t="shared" si="116"/>
        <v>0</v>
      </c>
      <c r="Q242" s="177">
        <f t="shared" si="96"/>
        <v>0</v>
      </c>
      <c r="R242" s="3">
        <f>D242*E242*'Entrada e Saida'!$K$8</f>
        <v>0</v>
      </c>
      <c r="S242" s="179" t="e">
        <f>'Entrada e Saida'!$H$21*'Entrada e Saida'!$K$8*(P242/(SUM(P:P)))</f>
        <v>#DIV/0!</v>
      </c>
      <c r="T242" s="179" t="e">
        <f>'Entrada e Saida'!$H$21*'Entrada e Saida'!$K$8*(Q242/(SUM(Q:Q)))</f>
        <v>#DIV/0!</v>
      </c>
      <c r="U242" s="179" t="e">
        <f>'Entrada e Saida'!$H$22*(P242/(SUM(P:P)))</f>
        <v>#DIV/0!</v>
      </c>
      <c r="V242" s="179" t="e">
        <f>'Entrada e Saida'!$H$22*(Q242/(SUM(Q:Q)))</f>
        <v>#DIV/0!</v>
      </c>
      <c r="W242" s="8" t="e">
        <f t="shared" si="117"/>
        <v>#DIV/0!</v>
      </c>
      <c r="X242" s="179" t="e">
        <f>'Entrada e Saida'!$H$26*(IF('Entrada e Saida'!$H$15="PESO",(P242/(SUM(P:P))),(Q242/(SUM(Q:Q)))))</f>
        <v>#DIV/0!</v>
      </c>
      <c r="Y242" s="179" t="e">
        <f>'Entrada e Saida'!$H$27*(IF('Entrada e Saida'!$H$15="PESO",(P242/(SUM(P:P))),(Q242/(SUM(Q:Q)))))</f>
        <v>#DIV/0!</v>
      </c>
      <c r="Z242" s="179" t="e">
        <f>'Entrada e Saida'!$H$28*(IF('Entrada e Saida'!$H$15="PESO",(P242/(SUM(P:P))),(Q242/(SUM(Q:Q)))))</f>
        <v>#DIV/0!</v>
      </c>
      <c r="AA242" s="10" t="e">
        <f t="shared" si="118"/>
        <v>#DIV/0!</v>
      </c>
      <c r="AB242" s="3" t="e">
        <f t="shared" si="119"/>
        <v>#DIV/0!</v>
      </c>
      <c r="AC242" s="3" t="e">
        <f t="shared" si="120"/>
        <v>#DIV/0!</v>
      </c>
      <c r="AD242" s="3" t="e">
        <f t="shared" si="121"/>
        <v>#DIV/0!</v>
      </c>
      <c r="AE242" s="9" t="e">
        <f t="shared" si="122"/>
        <v>#DIV/0!</v>
      </c>
      <c r="AF242" s="126">
        <f>IFERROR(D242*F242*L242*'Entrada e Saida'!$K$8,0)</f>
        <v>0</v>
      </c>
      <c r="AG242" s="3" t="e">
        <f>((W242+AA242+AB242+AC242+AD242+AE242+AF242)/(1-'Entrada e Saida'!$G$65))*'Entrada e Saida'!$I$66</f>
        <v>#DIV/0!</v>
      </c>
      <c r="AH242" s="8" t="e">
        <f t="shared" si="123"/>
        <v>#DIV/0!</v>
      </c>
      <c r="AI242" s="183" t="e">
        <f>'Entrada e Saida'!$K$51*(IF('Entrada e Saida'!$H$15="PESO",(P242/(SUM(P:P))),(Q242/(SUM(Q:Q)))))</f>
        <v>#DIV/0!</v>
      </c>
      <c r="AJ242" s="7">
        <f>(('Entrada e Saida'!$K$10-'Entrada e Saida'!$K$8)*E242*D242)</f>
        <v>0</v>
      </c>
      <c r="AK242" s="184" t="e">
        <f>IF('Entrada e Saida'!$H$15="PESO",W242+AA242+AH242+AI242+AJ242,W242+AA242+AH242+AI242+AJ242-S242+T242-U242+V242)</f>
        <v>#DIV/0!</v>
      </c>
      <c r="AL242" s="6" t="e">
        <f>IF('Entrada e Saida'!$H$12="REAL",AC242,0)</f>
        <v>#DIV/0!</v>
      </c>
      <c r="AM242" s="6" t="e">
        <f>IF('Entrada e Saida'!$H$12="REAL",AD242,0)</f>
        <v>#DIV/0!</v>
      </c>
      <c r="AN242" s="5" t="e">
        <f>IF('Entrada e Saida'!$H$13= "NÃO",AE242,0)</f>
        <v>#DIV/0!</v>
      </c>
      <c r="AO242" s="5" t="e">
        <f t="shared" si="124"/>
        <v>#DIV/0!</v>
      </c>
      <c r="AP242" s="4" t="e">
        <f t="shared" si="125"/>
        <v>#DIV/0!</v>
      </c>
      <c r="AQ242" s="3" t="e">
        <f>IF('Entrada e Saida'!$H$11="TRADING",AU242*'Custo Resumido'!D242,0)</f>
        <v>#DIV/0!</v>
      </c>
      <c r="AR242" s="3" t="e">
        <f>IF('Entrada e Saida'!$H$11="TRADING",AU242*'Entrada e Saida'!$G$63,0)</f>
        <v>#DIV/0!</v>
      </c>
      <c r="AS242" s="3" t="e">
        <f>IF('Entrada e Saida'!$H$11="TRADING",AU242*'Entrada e Saida'!$G$64,0)</f>
        <v>#DIV/0!</v>
      </c>
      <c r="AT242" s="3" t="e">
        <f>IF('Entrada e Saida'!$H$11="TRADING",AU242*'Entrada e Saida'!$G$65,0)</f>
        <v>#DIV/0!</v>
      </c>
      <c r="AU242" s="4" t="e">
        <f>IF('Entrada e Saida'!$H$11="TRADING",AP242/(1-(SUM('Entrada e Saida'!$G$63:$G$65)+'Custo Resumido'!D242)),0)</f>
        <v>#DIV/0!</v>
      </c>
      <c r="AV242" s="3" t="e">
        <f>IF('Entrada e Saida'!$H$13="NÃO",AU242*M242,0)</f>
        <v>#DIV/0!</v>
      </c>
      <c r="AW242" s="4" t="e">
        <f t="shared" si="126"/>
        <v>#DIV/0!</v>
      </c>
      <c r="AX242" s="3" t="e">
        <f>'Entrada e Saida'!$G$74*AU242</f>
        <v>#DIV/0!</v>
      </c>
      <c r="AY242" s="4" t="e">
        <f t="shared" si="127"/>
        <v>#DIV/0!</v>
      </c>
      <c r="AZ242" s="4" t="e">
        <f>AQ242+('Entrada e Saida'!$G$65-'Entrada e Saida'!$I$65)*AU242-AX242</f>
        <v>#DIV/0!</v>
      </c>
      <c r="BA242" s="3" t="e">
        <f>IF('Entrada e Saida'!$H$12="REAL",AZ242*'Entrada e Saida'!$G$81,AU242*'Entrada e Saida'!$G$81)</f>
        <v>#DIV/0!</v>
      </c>
      <c r="BB242" s="3" t="e">
        <f>IF('Entrada e Saida'!$H$12="REAL",AZ242*'Entrada e Saida'!$G$82,AU242*'Entrada e Saida'!$G$82)</f>
        <v>#DIV/0!</v>
      </c>
      <c r="BC242" s="4" t="e">
        <f t="shared" si="128"/>
        <v>#DIV/0!</v>
      </c>
      <c r="BD242" s="3" t="e">
        <f>IF('Entrada e Saida'!$H$11="TRADING",AW242/D242,AK242/D242)</f>
        <v>#DIV/0!</v>
      </c>
      <c r="BE242" s="3" t="e">
        <f t="shared" si="129"/>
        <v>#DIV/0!</v>
      </c>
      <c r="BF242" s="2" t="e">
        <f t="shared" si="130"/>
        <v>#DIV/0!</v>
      </c>
      <c r="BG242" s="3" t="e">
        <f>IF('Entrada e Saida'!$H$11="TRADING",AV242/D242,AN242/D242)</f>
        <v>#DIV/0!</v>
      </c>
      <c r="BH242" s="3" t="e">
        <f>IF('Entrada e Saida'!$H$11="TRADING",IF('Entrada e Saida'!$H$12="REAL",AR242/D242,0),AL242/D242)</f>
        <v>#DIV/0!</v>
      </c>
      <c r="BI242" s="3" t="e">
        <f>IF('Entrada e Saida'!$H$11="TRADING",IF('Entrada e Saida'!$H$12="REAL",AS242/D242,0),AM242/D242)</f>
        <v>#DIV/0!</v>
      </c>
      <c r="BJ242" s="3" t="e">
        <f>IF('Entrada e Saida'!$H$11="TRADING",AT242/D242,AO242/D242)</f>
        <v>#DIV/0!</v>
      </c>
      <c r="BK242" s="2" t="e">
        <f t="shared" si="131"/>
        <v>#DIV/0!</v>
      </c>
      <c r="BL242" s="2">
        <f>IF(O242&gt;0,IFERROR(IF('Entrada e Saida'!$H$11="DIRETA",0,(IF('Entrada e Saida'!$H$14="P.JURIDICA",(BD242*(1+O242)*N242)-((BD242/(1+M242))*'Entrada e Saida'!$G$65),((Produtos!N242-'Entrada e Saida'!$G$65)*Produtos!BD242)))),0),0)</f>
        <v>0</v>
      </c>
      <c r="BM242" s="2" t="e">
        <f t="shared" si="132"/>
        <v>#DIV/0!</v>
      </c>
    </row>
    <row r="243" spans="1:65" s="1" customFormat="1">
      <c r="A243" s="127"/>
      <c r="B243" s="114"/>
      <c r="C243" s="116"/>
      <c r="D243" s="146"/>
      <c r="E243" s="115">
        <f>IFERROR(VLOOKUP(A243,'Master Modelo'!A:I,9,FALSE),0)</f>
        <v>0</v>
      </c>
      <c r="F243" s="189">
        <f>IFERROR(VLOOKUP(A243,'Master Modelo'!A:I,8,FALSE),0)</f>
        <v>0</v>
      </c>
      <c r="G243" s="189">
        <f>IFERROR(VLOOKUP(A243,'Master Modelo'!A:K,11,FALSE),0)</f>
        <v>0</v>
      </c>
      <c r="H243" s="114" t="e">
        <f t="shared" si="115"/>
        <v>#DIV/0!</v>
      </c>
      <c r="I243" s="150">
        <f>IFERROR(VLOOKUP(A243,'Master Modelo'!A:I,3,FALSE),0)</f>
        <v>0</v>
      </c>
      <c r="J243" s="151">
        <f>IFERROR(VLOOKUP(A243,'Master Modelo'!A:I,5,FALSE),0)</f>
        <v>0</v>
      </c>
      <c r="K243" s="151">
        <f>IFERROR(VLOOKUP(A243,'Master Modelo'!A:I,6,FALSE),0)</f>
        <v>0</v>
      </c>
      <c r="L243" s="152" t="e">
        <f>VLOOKUP(A243,'Master Modelo'!A:J,10,FALSE)</f>
        <v>#N/A</v>
      </c>
      <c r="M243" s="150">
        <f>IFERROR(VLOOKUP(A243,'Master Modelo'!A:I,4,FALSE),0)</f>
        <v>0</v>
      </c>
      <c r="N243" s="128"/>
      <c r="O243" s="129"/>
      <c r="P243" s="9">
        <f t="shared" si="116"/>
        <v>0</v>
      </c>
      <c r="Q243" s="177">
        <f t="shared" si="96"/>
        <v>0</v>
      </c>
      <c r="R243" s="3">
        <f>D243*E243*'Entrada e Saida'!$K$8</f>
        <v>0</v>
      </c>
      <c r="S243" s="179" t="e">
        <f>'Entrada e Saida'!$H$21*'Entrada e Saida'!$K$8*(P243/(SUM(P:P)))</f>
        <v>#DIV/0!</v>
      </c>
      <c r="T243" s="179" t="e">
        <f>'Entrada e Saida'!$H$21*'Entrada e Saida'!$K$8*(Q243/(SUM(Q:Q)))</f>
        <v>#DIV/0!</v>
      </c>
      <c r="U243" s="179" t="e">
        <f>'Entrada e Saida'!$H$22*(P243/(SUM(P:P)))</f>
        <v>#DIV/0!</v>
      </c>
      <c r="V243" s="179" t="e">
        <f>'Entrada e Saida'!$H$22*(Q243/(SUM(Q:Q)))</f>
        <v>#DIV/0!</v>
      </c>
      <c r="W243" s="8" t="e">
        <f t="shared" si="117"/>
        <v>#DIV/0!</v>
      </c>
      <c r="X243" s="179" t="e">
        <f>'Entrada e Saida'!$H$26*(IF('Entrada e Saida'!$H$15="PESO",(P243/(SUM(P:P))),(Q243/(SUM(Q:Q)))))</f>
        <v>#DIV/0!</v>
      </c>
      <c r="Y243" s="179" t="e">
        <f>'Entrada e Saida'!$H$27*(IF('Entrada e Saida'!$H$15="PESO",(P243/(SUM(P:P))),(Q243/(SUM(Q:Q)))))</f>
        <v>#DIV/0!</v>
      </c>
      <c r="Z243" s="179" t="e">
        <f>'Entrada e Saida'!$H$28*(IF('Entrada e Saida'!$H$15="PESO",(P243/(SUM(P:P))),(Q243/(SUM(Q:Q)))))</f>
        <v>#DIV/0!</v>
      </c>
      <c r="AA243" s="10" t="e">
        <f t="shared" si="118"/>
        <v>#DIV/0!</v>
      </c>
      <c r="AB243" s="3" t="e">
        <f t="shared" si="119"/>
        <v>#DIV/0!</v>
      </c>
      <c r="AC243" s="3" t="e">
        <f t="shared" si="120"/>
        <v>#DIV/0!</v>
      </c>
      <c r="AD243" s="3" t="e">
        <f t="shared" si="121"/>
        <v>#DIV/0!</v>
      </c>
      <c r="AE243" s="9" t="e">
        <f t="shared" si="122"/>
        <v>#DIV/0!</v>
      </c>
      <c r="AF243" s="126">
        <f>IFERROR(D243*F243*L243*'Entrada e Saida'!$K$8,0)</f>
        <v>0</v>
      </c>
      <c r="AG243" s="3" t="e">
        <f>((W243+AA243+AB243+AC243+AD243+AE243+AF243)/(1-'Entrada e Saida'!$G$65))*'Entrada e Saida'!$I$66</f>
        <v>#DIV/0!</v>
      </c>
      <c r="AH243" s="8" t="e">
        <f t="shared" si="123"/>
        <v>#DIV/0!</v>
      </c>
      <c r="AI243" s="183" t="e">
        <f>'Entrada e Saida'!$K$51*(IF('Entrada e Saida'!$H$15="PESO",(P243/(SUM(P:P))),(Q243/(SUM(Q:Q)))))</f>
        <v>#DIV/0!</v>
      </c>
      <c r="AJ243" s="7">
        <f>(('Entrada e Saida'!$K$10-'Entrada e Saida'!$K$8)*E243*D243)</f>
        <v>0</v>
      </c>
      <c r="AK243" s="184" t="e">
        <f>IF('Entrada e Saida'!$H$15="PESO",W243+AA243+AH243+AI243+AJ243,W243+AA243+AH243+AI243+AJ243-S243+T243-U243+V243)</f>
        <v>#DIV/0!</v>
      </c>
      <c r="AL243" s="6" t="e">
        <f>IF('Entrada e Saida'!$H$12="REAL",AC243,0)</f>
        <v>#DIV/0!</v>
      </c>
      <c r="AM243" s="6" t="e">
        <f>IF('Entrada e Saida'!$H$12="REAL",AD243,0)</f>
        <v>#DIV/0!</v>
      </c>
      <c r="AN243" s="5" t="e">
        <f>IF('Entrada e Saida'!$H$13= "NÃO",AE243,0)</f>
        <v>#DIV/0!</v>
      </c>
      <c r="AO243" s="5" t="e">
        <f t="shared" si="124"/>
        <v>#DIV/0!</v>
      </c>
      <c r="AP243" s="4" t="e">
        <f t="shared" si="125"/>
        <v>#DIV/0!</v>
      </c>
      <c r="AQ243" s="3" t="e">
        <f>IF('Entrada e Saida'!$H$11="TRADING",AU243*'Custo Resumido'!D243,0)</f>
        <v>#DIV/0!</v>
      </c>
      <c r="AR243" s="3" t="e">
        <f>IF('Entrada e Saida'!$H$11="TRADING",AU243*'Entrada e Saida'!$G$63,0)</f>
        <v>#DIV/0!</v>
      </c>
      <c r="AS243" s="3" t="e">
        <f>IF('Entrada e Saida'!$H$11="TRADING",AU243*'Entrada e Saida'!$G$64,0)</f>
        <v>#DIV/0!</v>
      </c>
      <c r="AT243" s="3" t="e">
        <f>IF('Entrada e Saida'!$H$11="TRADING",AU243*'Entrada e Saida'!$G$65,0)</f>
        <v>#DIV/0!</v>
      </c>
      <c r="AU243" s="4" t="e">
        <f>IF('Entrada e Saida'!$H$11="TRADING",AP243/(1-(SUM('Entrada e Saida'!$G$63:$G$65)+'Custo Resumido'!D243)),0)</f>
        <v>#DIV/0!</v>
      </c>
      <c r="AV243" s="3" t="e">
        <f>IF('Entrada e Saida'!$H$13="NÃO",AU243*M243,0)</f>
        <v>#DIV/0!</v>
      </c>
      <c r="AW243" s="4" t="e">
        <f t="shared" si="126"/>
        <v>#DIV/0!</v>
      </c>
      <c r="AX243" s="3" t="e">
        <f>'Entrada e Saida'!$G$74*AU243</f>
        <v>#DIV/0!</v>
      </c>
      <c r="AY243" s="4" t="e">
        <f t="shared" si="127"/>
        <v>#DIV/0!</v>
      </c>
      <c r="AZ243" s="4" t="e">
        <f>AQ243+('Entrada e Saida'!$G$65-'Entrada e Saida'!$I$65)*AU243-AX243</f>
        <v>#DIV/0!</v>
      </c>
      <c r="BA243" s="3" t="e">
        <f>IF('Entrada e Saida'!$H$12="REAL",AZ243*'Entrada e Saida'!$G$81,AU243*'Entrada e Saida'!$G$81)</f>
        <v>#DIV/0!</v>
      </c>
      <c r="BB243" s="3" t="e">
        <f>IF('Entrada e Saida'!$H$12="REAL",AZ243*'Entrada e Saida'!$G$82,AU243*'Entrada e Saida'!$G$82)</f>
        <v>#DIV/0!</v>
      </c>
      <c r="BC243" s="4" t="e">
        <f t="shared" si="128"/>
        <v>#DIV/0!</v>
      </c>
      <c r="BD243" s="3" t="e">
        <f>IF('Entrada e Saida'!$H$11="TRADING",AW243/D243,AK243/D243)</f>
        <v>#DIV/0!</v>
      </c>
      <c r="BE243" s="3" t="e">
        <f t="shared" si="129"/>
        <v>#DIV/0!</v>
      </c>
      <c r="BF243" s="2" t="e">
        <f t="shared" si="130"/>
        <v>#DIV/0!</v>
      </c>
      <c r="BG243" s="3" t="e">
        <f>IF('Entrada e Saida'!$H$11="TRADING",AV243/D243,AN243/D243)</f>
        <v>#DIV/0!</v>
      </c>
      <c r="BH243" s="3" t="e">
        <f>IF('Entrada e Saida'!$H$11="TRADING",IF('Entrada e Saida'!$H$12="REAL",AR243/D243,0),AL243/D243)</f>
        <v>#DIV/0!</v>
      </c>
      <c r="BI243" s="3" t="e">
        <f>IF('Entrada e Saida'!$H$11="TRADING",IF('Entrada e Saida'!$H$12="REAL",AS243/D243,0),AM243/D243)</f>
        <v>#DIV/0!</v>
      </c>
      <c r="BJ243" s="3" t="e">
        <f>IF('Entrada e Saida'!$H$11="TRADING",AT243/D243,AO243/D243)</f>
        <v>#DIV/0!</v>
      </c>
      <c r="BK243" s="2" t="e">
        <f t="shared" si="131"/>
        <v>#DIV/0!</v>
      </c>
      <c r="BL243" s="2">
        <f>IF(O243&gt;0,IFERROR(IF('Entrada e Saida'!$H$11="DIRETA",0,(IF('Entrada e Saida'!$H$14="P.JURIDICA",(BD243*(1+O243)*N243)-((BD243/(1+M243))*'Entrada e Saida'!$G$65),((Produtos!N243-'Entrada e Saida'!$G$65)*Produtos!BD243)))),0),0)</f>
        <v>0</v>
      </c>
      <c r="BM243" s="2" t="e">
        <f t="shared" si="132"/>
        <v>#DIV/0!</v>
      </c>
    </row>
    <row r="244" spans="1:65" s="1" customFormat="1">
      <c r="A244" s="127"/>
      <c r="B244" s="114"/>
      <c r="C244" s="116"/>
      <c r="D244" s="146"/>
      <c r="E244" s="115">
        <f>IFERROR(VLOOKUP(A244,'Master Modelo'!A:I,9,FALSE),0)</f>
        <v>0</v>
      </c>
      <c r="F244" s="189">
        <f>IFERROR(VLOOKUP(A244,'Master Modelo'!A:I,8,FALSE),0)</f>
        <v>0</v>
      </c>
      <c r="G244" s="189">
        <f>IFERROR(VLOOKUP(A244,'Master Modelo'!A:K,11,FALSE),0)</f>
        <v>0</v>
      </c>
      <c r="H244" s="114" t="e">
        <f t="shared" si="115"/>
        <v>#DIV/0!</v>
      </c>
      <c r="I244" s="150">
        <f>IFERROR(VLOOKUP(A244,'Master Modelo'!A:I,3,FALSE),0)</f>
        <v>0</v>
      </c>
      <c r="J244" s="151">
        <f>IFERROR(VLOOKUP(A244,'Master Modelo'!A:I,5,FALSE),0)</f>
        <v>0</v>
      </c>
      <c r="K244" s="151">
        <f>IFERROR(VLOOKUP(A244,'Master Modelo'!A:I,6,FALSE),0)</f>
        <v>0</v>
      </c>
      <c r="L244" s="152" t="e">
        <f>VLOOKUP(A244,'Master Modelo'!A:J,10,FALSE)</f>
        <v>#N/A</v>
      </c>
      <c r="M244" s="150">
        <f>IFERROR(VLOOKUP(A244,'Master Modelo'!A:I,4,FALSE),0)</f>
        <v>0</v>
      </c>
      <c r="N244" s="128"/>
      <c r="O244" s="129"/>
      <c r="P244" s="9">
        <f t="shared" si="116"/>
        <v>0</v>
      </c>
      <c r="Q244" s="177">
        <f t="shared" si="96"/>
        <v>0</v>
      </c>
      <c r="R244" s="3">
        <f>D244*E244*'Entrada e Saida'!$K$8</f>
        <v>0</v>
      </c>
      <c r="S244" s="179" t="e">
        <f>'Entrada e Saida'!$H$21*'Entrada e Saida'!$K$8*(P244/(SUM(P:P)))</f>
        <v>#DIV/0!</v>
      </c>
      <c r="T244" s="179" t="e">
        <f>'Entrada e Saida'!$H$21*'Entrada e Saida'!$K$8*(Q244/(SUM(Q:Q)))</f>
        <v>#DIV/0!</v>
      </c>
      <c r="U244" s="179" t="e">
        <f>'Entrada e Saida'!$H$22*(P244/(SUM(P:P)))</f>
        <v>#DIV/0!</v>
      </c>
      <c r="V244" s="179" t="e">
        <f>'Entrada e Saida'!$H$22*(Q244/(SUM(Q:Q)))</f>
        <v>#DIV/0!</v>
      </c>
      <c r="W244" s="8" t="e">
        <f t="shared" si="117"/>
        <v>#DIV/0!</v>
      </c>
      <c r="X244" s="179" t="e">
        <f>'Entrada e Saida'!$H$26*(IF('Entrada e Saida'!$H$15="PESO",(P244/(SUM(P:P))),(Q244/(SUM(Q:Q)))))</f>
        <v>#DIV/0!</v>
      </c>
      <c r="Y244" s="179" t="e">
        <f>'Entrada e Saida'!$H$27*(IF('Entrada e Saida'!$H$15="PESO",(P244/(SUM(P:P))),(Q244/(SUM(Q:Q)))))</f>
        <v>#DIV/0!</v>
      </c>
      <c r="Z244" s="179" t="e">
        <f>'Entrada e Saida'!$H$28*(IF('Entrada e Saida'!$H$15="PESO",(P244/(SUM(P:P))),(Q244/(SUM(Q:Q)))))</f>
        <v>#DIV/0!</v>
      </c>
      <c r="AA244" s="10" t="e">
        <f t="shared" si="118"/>
        <v>#DIV/0!</v>
      </c>
      <c r="AB244" s="3" t="e">
        <f t="shared" si="119"/>
        <v>#DIV/0!</v>
      </c>
      <c r="AC244" s="3" t="e">
        <f t="shared" si="120"/>
        <v>#DIV/0!</v>
      </c>
      <c r="AD244" s="3" t="e">
        <f t="shared" si="121"/>
        <v>#DIV/0!</v>
      </c>
      <c r="AE244" s="9" t="e">
        <f t="shared" si="122"/>
        <v>#DIV/0!</v>
      </c>
      <c r="AF244" s="126">
        <f>IFERROR(D244*F244*L244*'Entrada e Saida'!$K$8,0)</f>
        <v>0</v>
      </c>
      <c r="AG244" s="3" t="e">
        <f>((W244+AA244+AB244+AC244+AD244+AE244+AF244)/(1-'Entrada e Saida'!$G$65))*'Entrada e Saida'!$I$66</f>
        <v>#DIV/0!</v>
      </c>
      <c r="AH244" s="8" t="e">
        <f t="shared" si="123"/>
        <v>#DIV/0!</v>
      </c>
      <c r="AI244" s="183" t="e">
        <f>'Entrada e Saida'!$K$51*(IF('Entrada e Saida'!$H$15="PESO",(P244/(SUM(P:P))),(Q244/(SUM(Q:Q)))))</f>
        <v>#DIV/0!</v>
      </c>
      <c r="AJ244" s="7">
        <f>(('Entrada e Saida'!$K$10-'Entrada e Saida'!$K$8)*E244*D244)</f>
        <v>0</v>
      </c>
      <c r="AK244" s="184" t="e">
        <f>IF('Entrada e Saida'!$H$15="PESO",W244+AA244+AH244+AI244+AJ244,W244+AA244+AH244+AI244+AJ244-S244+T244-U244+V244)</f>
        <v>#DIV/0!</v>
      </c>
      <c r="AL244" s="6" t="e">
        <f>IF('Entrada e Saida'!$H$12="REAL",AC244,0)</f>
        <v>#DIV/0!</v>
      </c>
      <c r="AM244" s="6" t="e">
        <f>IF('Entrada e Saida'!$H$12="REAL",AD244,0)</f>
        <v>#DIV/0!</v>
      </c>
      <c r="AN244" s="5" t="e">
        <f>IF('Entrada e Saida'!$H$13= "NÃO",AE244,0)</f>
        <v>#DIV/0!</v>
      </c>
      <c r="AO244" s="5" t="e">
        <f t="shared" si="124"/>
        <v>#DIV/0!</v>
      </c>
      <c r="AP244" s="4" t="e">
        <f t="shared" si="125"/>
        <v>#DIV/0!</v>
      </c>
      <c r="AQ244" s="3" t="e">
        <f>IF('Entrada e Saida'!$H$11="TRADING",AU244*'Custo Resumido'!D244,0)</f>
        <v>#DIV/0!</v>
      </c>
      <c r="AR244" s="3" t="e">
        <f>IF('Entrada e Saida'!$H$11="TRADING",AU244*'Entrada e Saida'!$G$63,0)</f>
        <v>#DIV/0!</v>
      </c>
      <c r="AS244" s="3" t="e">
        <f>IF('Entrada e Saida'!$H$11="TRADING",AU244*'Entrada e Saida'!$G$64,0)</f>
        <v>#DIV/0!</v>
      </c>
      <c r="AT244" s="3" t="e">
        <f>IF('Entrada e Saida'!$H$11="TRADING",AU244*'Entrada e Saida'!$G$65,0)</f>
        <v>#DIV/0!</v>
      </c>
      <c r="AU244" s="4" t="e">
        <f>IF('Entrada e Saida'!$H$11="TRADING",AP244/(1-(SUM('Entrada e Saida'!$G$63:$G$65)+'Custo Resumido'!D244)),0)</f>
        <v>#DIV/0!</v>
      </c>
      <c r="AV244" s="3" t="e">
        <f>IF('Entrada e Saida'!$H$13="NÃO",AU244*M244,0)</f>
        <v>#DIV/0!</v>
      </c>
      <c r="AW244" s="4" t="e">
        <f t="shared" si="126"/>
        <v>#DIV/0!</v>
      </c>
      <c r="AX244" s="3" t="e">
        <f>'Entrada e Saida'!$G$74*AU244</f>
        <v>#DIV/0!</v>
      </c>
      <c r="AY244" s="4" t="e">
        <f t="shared" si="127"/>
        <v>#DIV/0!</v>
      </c>
      <c r="AZ244" s="4" t="e">
        <f>AQ244+('Entrada e Saida'!$G$65-'Entrada e Saida'!$I$65)*AU244-AX244</f>
        <v>#DIV/0!</v>
      </c>
      <c r="BA244" s="3" t="e">
        <f>IF('Entrada e Saida'!$H$12="REAL",AZ244*'Entrada e Saida'!$G$81,AU244*'Entrada e Saida'!$G$81)</f>
        <v>#DIV/0!</v>
      </c>
      <c r="BB244" s="3" t="e">
        <f>IF('Entrada e Saida'!$H$12="REAL",AZ244*'Entrada e Saida'!$G$82,AU244*'Entrada e Saida'!$G$82)</f>
        <v>#DIV/0!</v>
      </c>
      <c r="BC244" s="4" t="e">
        <f t="shared" si="128"/>
        <v>#DIV/0!</v>
      </c>
      <c r="BD244" s="3" t="e">
        <f>IF('Entrada e Saida'!$H$11="TRADING",AW244/D244,AK244/D244)</f>
        <v>#DIV/0!</v>
      </c>
      <c r="BE244" s="3" t="e">
        <f t="shared" si="129"/>
        <v>#DIV/0!</v>
      </c>
      <c r="BF244" s="2" t="e">
        <f t="shared" si="130"/>
        <v>#DIV/0!</v>
      </c>
      <c r="BG244" s="3" t="e">
        <f>IF('Entrada e Saida'!$H$11="TRADING",AV244/D244,AN244/D244)</f>
        <v>#DIV/0!</v>
      </c>
      <c r="BH244" s="3" t="e">
        <f>IF('Entrada e Saida'!$H$11="TRADING",IF('Entrada e Saida'!$H$12="REAL",AR244/D244,0),AL244/D244)</f>
        <v>#DIV/0!</v>
      </c>
      <c r="BI244" s="3" t="e">
        <f>IF('Entrada e Saida'!$H$11="TRADING",IF('Entrada e Saida'!$H$12="REAL",AS244/D244,0),AM244/D244)</f>
        <v>#DIV/0!</v>
      </c>
      <c r="BJ244" s="3" t="e">
        <f>IF('Entrada e Saida'!$H$11="TRADING",AT244/D244,AO244/D244)</f>
        <v>#DIV/0!</v>
      </c>
      <c r="BK244" s="2" t="e">
        <f t="shared" si="131"/>
        <v>#DIV/0!</v>
      </c>
      <c r="BL244" s="2">
        <f>IF(O244&gt;0,IFERROR(IF('Entrada e Saida'!$H$11="DIRETA",0,(IF('Entrada e Saida'!$H$14="P.JURIDICA",(BD244*(1+O244)*N244)-((BD244/(1+M244))*'Entrada e Saida'!$G$65),((Produtos!N244-'Entrada e Saida'!$G$65)*Produtos!BD244)))),0),0)</f>
        <v>0</v>
      </c>
      <c r="BM244" s="2" t="e">
        <f t="shared" si="132"/>
        <v>#DIV/0!</v>
      </c>
    </row>
    <row r="245" spans="1:65" s="1" customFormat="1">
      <c r="A245" s="127"/>
      <c r="B245" s="114"/>
      <c r="C245" s="116"/>
      <c r="D245" s="146"/>
      <c r="E245" s="115">
        <f>IFERROR(VLOOKUP(A245,'Master Modelo'!A:I,9,FALSE),0)</f>
        <v>0</v>
      </c>
      <c r="F245" s="189">
        <f>IFERROR(VLOOKUP(A245,'Master Modelo'!A:I,8,FALSE),0)</f>
        <v>0</v>
      </c>
      <c r="G245" s="189">
        <f>IFERROR(VLOOKUP(A245,'Master Modelo'!A:K,11,FALSE),0)</f>
        <v>0</v>
      </c>
      <c r="H245" s="114" t="e">
        <f t="shared" si="115"/>
        <v>#DIV/0!</v>
      </c>
      <c r="I245" s="150">
        <f>IFERROR(VLOOKUP(A245,'Master Modelo'!A:I,3,FALSE),0)</f>
        <v>0</v>
      </c>
      <c r="J245" s="151">
        <f>IFERROR(VLOOKUP(A245,'Master Modelo'!A:I,5,FALSE),0)</f>
        <v>0</v>
      </c>
      <c r="K245" s="151">
        <f>IFERROR(VLOOKUP(A245,'Master Modelo'!A:I,6,FALSE),0)</f>
        <v>0</v>
      </c>
      <c r="L245" s="152" t="e">
        <f>VLOOKUP(A245,'Master Modelo'!A:J,10,FALSE)</f>
        <v>#N/A</v>
      </c>
      <c r="M245" s="150">
        <f>IFERROR(VLOOKUP(A245,'Master Modelo'!A:I,4,FALSE),0)</f>
        <v>0</v>
      </c>
      <c r="N245" s="128"/>
      <c r="O245" s="129"/>
      <c r="P245" s="9">
        <f t="shared" si="116"/>
        <v>0</v>
      </c>
      <c r="Q245" s="177">
        <f t="shared" si="96"/>
        <v>0</v>
      </c>
      <c r="R245" s="3">
        <f>D245*E245*'Entrada e Saida'!$K$8</f>
        <v>0</v>
      </c>
      <c r="S245" s="179" t="e">
        <f>'Entrada e Saida'!$H$21*'Entrada e Saida'!$K$8*(P245/(SUM(P:P)))</f>
        <v>#DIV/0!</v>
      </c>
      <c r="T245" s="179" t="e">
        <f>'Entrada e Saida'!$H$21*'Entrada e Saida'!$K$8*(Q245/(SUM(Q:Q)))</f>
        <v>#DIV/0!</v>
      </c>
      <c r="U245" s="179" t="e">
        <f>'Entrada e Saida'!$H$22*(P245/(SUM(P:P)))</f>
        <v>#DIV/0!</v>
      </c>
      <c r="V245" s="179" t="e">
        <f>'Entrada e Saida'!$H$22*(Q245/(SUM(Q:Q)))</f>
        <v>#DIV/0!</v>
      </c>
      <c r="W245" s="8" t="e">
        <f t="shared" si="117"/>
        <v>#DIV/0!</v>
      </c>
      <c r="X245" s="179" t="e">
        <f>'Entrada e Saida'!$H$26*(IF('Entrada e Saida'!$H$15="PESO",(P245/(SUM(P:P))),(Q245/(SUM(Q:Q)))))</f>
        <v>#DIV/0!</v>
      </c>
      <c r="Y245" s="179" t="e">
        <f>'Entrada e Saida'!$H$27*(IF('Entrada e Saida'!$H$15="PESO",(P245/(SUM(P:P))),(Q245/(SUM(Q:Q)))))</f>
        <v>#DIV/0!</v>
      </c>
      <c r="Z245" s="179" t="e">
        <f>'Entrada e Saida'!$H$28*(IF('Entrada e Saida'!$H$15="PESO",(P245/(SUM(P:P))),(Q245/(SUM(Q:Q)))))</f>
        <v>#DIV/0!</v>
      </c>
      <c r="AA245" s="10" t="e">
        <f t="shared" si="118"/>
        <v>#DIV/0!</v>
      </c>
      <c r="AB245" s="3" t="e">
        <f t="shared" si="119"/>
        <v>#DIV/0!</v>
      </c>
      <c r="AC245" s="3" t="e">
        <f t="shared" si="120"/>
        <v>#DIV/0!</v>
      </c>
      <c r="AD245" s="3" t="e">
        <f t="shared" si="121"/>
        <v>#DIV/0!</v>
      </c>
      <c r="AE245" s="9" t="e">
        <f t="shared" si="122"/>
        <v>#DIV/0!</v>
      </c>
      <c r="AF245" s="126">
        <f>IFERROR(D245*F245*L245*'Entrada e Saida'!$K$8,0)</f>
        <v>0</v>
      </c>
      <c r="AG245" s="3" t="e">
        <f>((W245+AA245+AB245+AC245+AD245+AE245+AF245)/(1-'Entrada e Saida'!$G$65))*'Entrada e Saida'!$I$66</f>
        <v>#DIV/0!</v>
      </c>
      <c r="AH245" s="8" t="e">
        <f t="shared" si="123"/>
        <v>#DIV/0!</v>
      </c>
      <c r="AI245" s="183" t="e">
        <f>'Entrada e Saida'!$K$51*(IF('Entrada e Saida'!$H$15="PESO",(P245/(SUM(P:P))),(Q245/(SUM(Q:Q)))))</f>
        <v>#DIV/0!</v>
      </c>
      <c r="AJ245" s="7">
        <f>(('Entrada e Saida'!$K$10-'Entrada e Saida'!$K$8)*E245*D245)</f>
        <v>0</v>
      </c>
      <c r="AK245" s="184" t="e">
        <f>IF('Entrada e Saida'!$H$15="PESO",W245+AA245+AH245+AI245+AJ245,W245+AA245+AH245+AI245+AJ245-S245+T245-U245+V245)</f>
        <v>#DIV/0!</v>
      </c>
      <c r="AL245" s="6" t="e">
        <f>IF('Entrada e Saida'!$H$12="REAL",AC245,0)</f>
        <v>#DIV/0!</v>
      </c>
      <c r="AM245" s="6" t="e">
        <f>IF('Entrada e Saida'!$H$12="REAL",AD245,0)</f>
        <v>#DIV/0!</v>
      </c>
      <c r="AN245" s="5" t="e">
        <f>IF('Entrada e Saida'!$H$13= "NÃO",AE245,0)</f>
        <v>#DIV/0!</v>
      </c>
      <c r="AO245" s="5" t="e">
        <f t="shared" si="124"/>
        <v>#DIV/0!</v>
      </c>
      <c r="AP245" s="4" t="e">
        <f t="shared" si="125"/>
        <v>#DIV/0!</v>
      </c>
      <c r="AQ245" s="3" t="e">
        <f>IF('Entrada e Saida'!$H$11="TRADING",AU245*'Custo Resumido'!D245,0)</f>
        <v>#DIV/0!</v>
      </c>
      <c r="AR245" s="3" t="e">
        <f>IF('Entrada e Saida'!$H$11="TRADING",AU245*'Entrada e Saida'!$G$63,0)</f>
        <v>#DIV/0!</v>
      </c>
      <c r="AS245" s="3" t="e">
        <f>IF('Entrada e Saida'!$H$11="TRADING",AU245*'Entrada e Saida'!$G$64,0)</f>
        <v>#DIV/0!</v>
      </c>
      <c r="AT245" s="3" t="e">
        <f>IF('Entrada e Saida'!$H$11="TRADING",AU245*'Entrada e Saida'!$G$65,0)</f>
        <v>#DIV/0!</v>
      </c>
      <c r="AU245" s="4" t="e">
        <f>IF('Entrada e Saida'!$H$11="TRADING",AP245/(1-(SUM('Entrada e Saida'!$G$63:$G$65)+'Custo Resumido'!D245)),0)</f>
        <v>#DIV/0!</v>
      </c>
      <c r="AV245" s="3" t="e">
        <f>IF('Entrada e Saida'!$H$13="NÃO",AU245*M245,0)</f>
        <v>#DIV/0!</v>
      </c>
      <c r="AW245" s="4" t="e">
        <f t="shared" si="126"/>
        <v>#DIV/0!</v>
      </c>
      <c r="AX245" s="3" t="e">
        <f>'Entrada e Saida'!$G$74*AU245</f>
        <v>#DIV/0!</v>
      </c>
      <c r="AY245" s="4" t="e">
        <f t="shared" si="127"/>
        <v>#DIV/0!</v>
      </c>
      <c r="AZ245" s="4" t="e">
        <f>AQ245+('Entrada e Saida'!$G$65-'Entrada e Saida'!$I$65)*AU245-AX245</f>
        <v>#DIV/0!</v>
      </c>
      <c r="BA245" s="3" t="e">
        <f>IF('Entrada e Saida'!$H$12="REAL",AZ245*'Entrada e Saida'!$G$81,AU245*'Entrada e Saida'!$G$81)</f>
        <v>#DIV/0!</v>
      </c>
      <c r="BB245" s="3" t="e">
        <f>IF('Entrada e Saida'!$H$12="REAL",AZ245*'Entrada e Saida'!$G$82,AU245*'Entrada e Saida'!$G$82)</f>
        <v>#DIV/0!</v>
      </c>
      <c r="BC245" s="4" t="e">
        <f t="shared" si="128"/>
        <v>#DIV/0!</v>
      </c>
      <c r="BD245" s="3" t="e">
        <f>IF('Entrada e Saida'!$H$11="TRADING",AW245/D245,AK245/D245)</f>
        <v>#DIV/0!</v>
      </c>
      <c r="BE245" s="3" t="e">
        <f t="shared" si="129"/>
        <v>#DIV/0!</v>
      </c>
      <c r="BF245" s="2" t="e">
        <f t="shared" si="130"/>
        <v>#DIV/0!</v>
      </c>
      <c r="BG245" s="3" t="e">
        <f>IF('Entrada e Saida'!$H$11="TRADING",AV245/D245,AN245/D245)</f>
        <v>#DIV/0!</v>
      </c>
      <c r="BH245" s="3" t="e">
        <f>IF('Entrada e Saida'!$H$11="TRADING",IF('Entrada e Saida'!$H$12="REAL",AR245/D245,0),AL245/D245)</f>
        <v>#DIV/0!</v>
      </c>
      <c r="BI245" s="3" t="e">
        <f>IF('Entrada e Saida'!$H$11="TRADING",IF('Entrada e Saida'!$H$12="REAL",AS245/D245,0),AM245/D245)</f>
        <v>#DIV/0!</v>
      </c>
      <c r="BJ245" s="3" t="e">
        <f>IF('Entrada e Saida'!$H$11="TRADING",AT245/D245,AO245/D245)</f>
        <v>#DIV/0!</v>
      </c>
      <c r="BK245" s="2" t="e">
        <f t="shared" si="131"/>
        <v>#DIV/0!</v>
      </c>
      <c r="BL245" s="2">
        <f>IF(O245&gt;0,IFERROR(IF('Entrada e Saida'!$H$11="DIRETA",0,(IF('Entrada e Saida'!$H$14="P.JURIDICA",(BD245*(1+O245)*N245)-((BD245/(1+M245))*'Entrada e Saida'!$G$65),((Produtos!N245-'Entrada e Saida'!$G$65)*Produtos!BD245)))),0),0)</f>
        <v>0</v>
      </c>
      <c r="BM245" s="2" t="e">
        <f t="shared" si="132"/>
        <v>#DIV/0!</v>
      </c>
    </row>
    <row r="246" spans="1:65" s="1" customFormat="1">
      <c r="A246" s="127"/>
      <c r="B246" s="114"/>
      <c r="C246" s="116"/>
      <c r="D246" s="146"/>
      <c r="E246" s="115">
        <f>IFERROR(VLOOKUP(A246,'Master Modelo'!A:I,9,FALSE),0)</f>
        <v>0</v>
      </c>
      <c r="F246" s="189">
        <f>IFERROR(VLOOKUP(A246,'Master Modelo'!A:I,8,FALSE),0)</f>
        <v>0</v>
      </c>
      <c r="G246" s="189">
        <f>IFERROR(VLOOKUP(A246,'Master Modelo'!A:K,11,FALSE),0)</f>
        <v>0</v>
      </c>
      <c r="H246" s="114" t="e">
        <f t="shared" si="115"/>
        <v>#DIV/0!</v>
      </c>
      <c r="I246" s="150">
        <f>IFERROR(VLOOKUP(A246,'Master Modelo'!A:I,3,FALSE),0)</f>
        <v>0</v>
      </c>
      <c r="J246" s="151">
        <f>IFERROR(VLOOKUP(A246,'Master Modelo'!A:I,5,FALSE),0)</f>
        <v>0</v>
      </c>
      <c r="K246" s="151">
        <f>IFERROR(VLOOKUP(A246,'Master Modelo'!A:I,6,FALSE),0)</f>
        <v>0</v>
      </c>
      <c r="L246" s="152" t="e">
        <f>VLOOKUP(A246,'Master Modelo'!A:J,10,FALSE)</f>
        <v>#N/A</v>
      </c>
      <c r="M246" s="150">
        <f>IFERROR(VLOOKUP(A246,'Master Modelo'!A:I,4,FALSE),0)</f>
        <v>0</v>
      </c>
      <c r="N246" s="128"/>
      <c r="O246" s="129"/>
      <c r="P246" s="9">
        <f t="shared" si="116"/>
        <v>0</v>
      </c>
      <c r="Q246" s="177">
        <f t="shared" si="96"/>
        <v>0</v>
      </c>
      <c r="R246" s="3">
        <f>D246*E246*'Entrada e Saida'!$K$8</f>
        <v>0</v>
      </c>
      <c r="S246" s="179" t="e">
        <f>'Entrada e Saida'!$H$21*'Entrada e Saida'!$K$8*(P246/(SUM(P:P)))</f>
        <v>#DIV/0!</v>
      </c>
      <c r="T246" s="179" t="e">
        <f>'Entrada e Saida'!$H$21*'Entrada e Saida'!$K$8*(Q246/(SUM(Q:Q)))</f>
        <v>#DIV/0!</v>
      </c>
      <c r="U246" s="179" t="e">
        <f>'Entrada e Saida'!$H$22*(P246/(SUM(P:P)))</f>
        <v>#DIV/0!</v>
      </c>
      <c r="V246" s="179" t="e">
        <f>'Entrada e Saida'!$H$22*(Q246/(SUM(Q:Q)))</f>
        <v>#DIV/0!</v>
      </c>
      <c r="W246" s="8" t="e">
        <f t="shared" si="117"/>
        <v>#DIV/0!</v>
      </c>
      <c r="X246" s="179" t="e">
        <f>'Entrada e Saida'!$H$26*(IF('Entrada e Saida'!$H$15="PESO",(P246/(SUM(P:P))),(Q246/(SUM(Q:Q)))))</f>
        <v>#DIV/0!</v>
      </c>
      <c r="Y246" s="179" t="e">
        <f>'Entrada e Saida'!$H$27*(IF('Entrada e Saida'!$H$15="PESO",(P246/(SUM(P:P))),(Q246/(SUM(Q:Q)))))</f>
        <v>#DIV/0!</v>
      </c>
      <c r="Z246" s="179" t="e">
        <f>'Entrada e Saida'!$H$28*(IF('Entrada e Saida'!$H$15="PESO",(P246/(SUM(P:P))),(Q246/(SUM(Q:Q)))))</f>
        <v>#DIV/0!</v>
      </c>
      <c r="AA246" s="10" t="e">
        <f t="shared" si="118"/>
        <v>#DIV/0!</v>
      </c>
      <c r="AB246" s="3" t="e">
        <f t="shared" si="119"/>
        <v>#DIV/0!</v>
      </c>
      <c r="AC246" s="3" t="e">
        <f t="shared" si="120"/>
        <v>#DIV/0!</v>
      </c>
      <c r="AD246" s="3" t="e">
        <f t="shared" si="121"/>
        <v>#DIV/0!</v>
      </c>
      <c r="AE246" s="9" t="e">
        <f t="shared" si="122"/>
        <v>#DIV/0!</v>
      </c>
      <c r="AF246" s="126">
        <f>IFERROR(D246*F246*L246*'Entrada e Saida'!$K$8,0)</f>
        <v>0</v>
      </c>
      <c r="AG246" s="3" t="e">
        <f>((W246+AA246+AB246+AC246+AD246+AE246+AF246)/(1-'Entrada e Saida'!$G$65))*'Entrada e Saida'!$I$66</f>
        <v>#DIV/0!</v>
      </c>
      <c r="AH246" s="8" t="e">
        <f t="shared" si="123"/>
        <v>#DIV/0!</v>
      </c>
      <c r="AI246" s="183" t="e">
        <f>'Entrada e Saida'!$K$51*(IF('Entrada e Saida'!$H$15="PESO",(P246/(SUM(P:P))),(Q246/(SUM(Q:Q)))))</f>
        <v>#DIV/0!</v>
      </c>
      <c r="AJ246" s="7">
        <f>(('Entrada e Saida'!$K$10-'Entrada e Saida'!$K$8)*E246*D246)</f>
        <v>0</v>
      </c>
      <c r="AK246" s="184" t="e">
        <f>IF('Entrada e Saida'!$H$15="PESO",W246+AA246+AH246+AI246+AJ246,W246+AA246+AH246+AI246+AJ246-S246+T246-U246+V246)</f>
        <v>#DIV/0!</v>
      </c>
      <c r="AL246" s="6" t="e">
        <f>IF('Entrada e Saida'!$H$12="REAL",AC246,0)</f>
        <v>#DIV/0!</v>
      </c>
      <c r="AM246" s="6" t="e">
        <f>IF('Entrada e Saida'!$H$12="REAL",AD246,0)</f>
        <v>#DIV/0!</v>
      </c>
      <c r="AN246" s="5" t="e">
        <f>IF('Entrada e Saida'!$H$13= "NÃO",AE246,0)</f>
        <v>#DIV/0!</v>
      </c>
      <c r="AO246" s="5" t="e">
        <f t="shared" si="124"/>
        <v>#DIV/0!</v>
      </c>
      <c r="AP246" s="4" t="e">
        <f t="shared" si="125"/>
        <v>#DIV/0!</v>
      </c>
      <c r="AQ246" s="3" t="e">
        <f>IF('Entrada e Saida'!$H$11="TRADING",AU246*'Custo Resumido'!D246,0)</f>
        <v>#DIV/0!</v>
      </c>
      <c r="AR246" s="3" t="e">
        <f>IF('Entrada e Saida'!$H$11="TRADING",AU246*'Entrada e Saida'!$G$63,0)</f>
        <v>#DIV/0!</v>
      </c>
      <c r="AS246" s="3" t="e">
        <f>IF('Entrada e Saida'!$H$11="TRADING",AU246*'Entrada e Saida'!$G$64,0)</f>
        <v>#DIV/0!</v>
      </c>
      <c r="AT246" s="3" t="e">
        <f>IF('Entrada e Saida'!$H$11="TRADING",AU246*'Entrada e Saida'!$G$65,0)</f>
        <v>#DIV/0!</v>
      </c>
      <c r="AU246" s="4" t="e">
        <f>IF('Entrada e Saida'!$H$11="TRADING",AP246/(1-(SUM('Entrada e Saida'!$G$63:$G$65)+'Custo Resumido'!D246)),0)</f>
        <v>#DIV/0!</v>
      </c>
      <c r="AV246" s="3" t="e">
        <f>IF('Entrada e Saida'!$H$13="NÃO",AU246*M246,0)</f>
        <v>#DIV/0!</v>
      </c>
      <c r="AW246" s="4" t="e">
        <f t="shared" si="126"/>
        <v>#DIV/0!</v>
      </c>
      <c r="AX246" s="3" t="e">
        <f>'Entrada e Saida'!$G$74*AU246</f>
        <v>#DIV/0!</v>
      </c>
      <c r="AY246" s="4" t="e">
        <f t="shared" si="127"/>
        <v>#DIV/0!</v>
      </c>
      <c r="AZ246" s="4" t="e">
        <f>AQ246+('Entrada e Saida'!$G$65-'Entrada e Saida'!$I$65)*AU246-AX246</f>
        <v>#DIV/0!</v>
      </c>
      <c r="BA246" s="3" t="e">
        <f>IF('Entrada e Saida'!$H$12="REAL",AZ246*'Entrada e Saida'!$G$81,AU246*'Entrada e Saida'!$G$81)</f>
        <v>#DIV/0!</v>
      </c>
      <c r="BB246" s="3" t="e">
        <f>IF('Entrada e Saida'!$H$12="REAL",AZ246*'Entrada e Saida'!$G$82,AU246*'Entrada e Saida'!$G$82)</f>
        <v>#DIV/0!</v>
      </c>
      <c r="BC246" s="4" t="e">
        <f t="shared" si="128"/>
        <v>#DIV/0!</v>
      </c>
      <c r="BD246" s="3" t="e">
        <f>IF('Entrada e Saida'!$H$11="TRADING",AW246/D246,AK246/D246)</f>
        <v>#DIV/0!</v>
      </c>
      <c r="BE246" s="3" t="e">
        <f t="shared" si="129"/>
        <v>#DIV/0!</v>
      </c>
      <c r="BF246" s="2" t="e">
        <f t="shared" si="130"/>
        <v>#DIV/0!</v>
      </c>
      <c r="BG246" s="3" t="e">
        <f>IF('Entrada e Saida'!$H$11="TRADING",AV246/D246,AN246/D246)</f>
        <v>#DIV/0!</v>
      </c>
      <c r="BH246" s="3" t="e">
        <f>IF('Entrada e Saida'!$H$11="TRADING",IF('Entrada e Saida'!$H$12="REAL",AR246/D246,0),AL246/D246)</f>
        <v>#DIV/0!</v>
      </c>
      <c r="BI246" s="3" t="e">
        <f>IF('Entrada e Saida'!$H$11="TRADING",IF('Entrada e Saida'!$H$12="REAL",AS246/D246,0),AM246/D246)</f>
        <v>#DIV/0!</v>
      </c>
      <c r="BJ246" s="3" t="e">
        <f>IF('Entrada e Saida'!$H$11="TRADING",AT246/D246,AO246/D246)</f>
        <v>#DIV/0!</v>
      </c>
      <c r="BK246" s="2" t="e">
        <f t="shared" si="131"/>
        <v>#DIV/0!</v>
      </c>
      <c r="BL246" s="2">
        <f>IF(O246&gt;0,IFERROR(IF('Entrada e Saida'!$H$11="DIRETA",0,(IF('Entrada e Saida'!$H$14="P.JURIDICA",(BD246*(1+O246)*N246)-((BD246/(1+M246))*'Entrada e Saida'!$G$65),((Produtos!N246-'Entrada e Saida'!$G$65)*Produtos!BD246)))),0),0)</f>
        <v>0</v>
      </c>
      <c r="BM246" s="2" t="e">
        <f t="shared" si="132"/>
        <v>#DIV/0!</v>
      </c>
    </row>
    <row r="247" spans="1:65" s="1" customFormat="1">
      <c r="A247" s="127"/>
      <c r="B247" s="114"/>
      <c r="C247" s="116"/>
      <c r="D247" s="146"/>
      <c r="E247" s="115">
        <f>IFERROR(VLOOKUP(A247,'Master Modelo'!A:I,9,FALSE),0)</f>
        <v>0</v>
      </c>
      <c r="F247" s="189">
        <f>IFERROR(VLOOKUP(A247,'Master Modelo'!A:I,8,FALSE),0)</f>
        <v>0</v>
      </c>
      <c r="G247" s="189">
        <f>IFERROR(VLOOKUP(A247,'Master Modelo'!A:K,11,FALSE),0)</f>
        <v>0</v>
      </c>
      <c r="H247" s="114" t="e">
        <f t="shared" si="115"/>
        <v>#DIV/0!</v>
      </c>
      <c r="I247" s="150">
        <f>IFERROR(VLOOKUP(A247,'Master Modelo'!A:I,3,FALSE),0)</f>
        <v>0</v>
      </c>
      <c r="J247" s="151">
        <f>IFERROR(VLOOKUP(A247,'Master Modelo'!A:I,5,FALSE),0)</f>
        <v>0</v>
      </c>
      <c r="K247" s="151">
        <f>IFERROR(VLOOKUP(A247,'Master Modelo'!A:I,6,FALSE),0)</f>
        <v>0</v>
      </c>
      <c r="L247" s="152" t="e">
        <f>VLOOKUP(A247,'Master Modelo'!A:J,10,FALSE)</f>
        <v>#N/A</v>
      </c>
      <c r="M247" s="150">
        <f>IFERROR(VLOOKUP(A247,'Master Modelo'!A:I,4,FALSE),0)</f>
        <v>0</v>
      </c>
      <c r="N247" s="128"/>
      <c r="O247" s="129"/>
      <c r="P247" s="9">
        <f t="shared" si="116"/>
        <v>0</v>
      </c>
      <c r="Q247" s="177">
        <f t="shared" si="96"/>
        <v>0</v>
      </c>
      <c r="R247" s="3">
        <f>D247*E247*'Entrada e Saida'!$K$8</f>
        <v>0</v>
      </c>
      <c r="S247" s="179" t="e">
        <f>'Entrada e Saida'!$H$21*'Entrada e Saida'!$K$8*(P247/(SUM(P:P)))</f>
        <v>#DIV/0!</v>
      </c>
      <c r="T247" s="179" t="e">
        <f>'Entrada e Saida'!$H$21*'Entrada e Saida'!$K$8*(Q247/(SUM(Q:Q)))</f>
        <v>#DIV/0!</v>
      </c>
      <c r="U247" s="179" t="e">
        <f>'Entrada e Saida'!$H$22*(P247/(SUM(P:P)))</f>
        <v>#DIV/0!</v>
      </c>
      <c r="V247" s="179" t="e">
        <f>'Entrada e Saida'!$H$22*(Q247/(SUM(Q:Q)))</f>
        <v>#DIV/0!</v>
      </c>
      <c r="W247" s="8" t="e">
        <f t="shared" si="117"/>
        <v>#DIV/0!</v>
      </c>
      <c r="X247" s="179" t="e">
        <f>'Entrada e Saida'!$H$26*(IF('Entrada e Saida'!$H$15="PESO",(P247/(SUM(P:P))),(Q247/(SUM(Q:Q)))))</f>
        <v>#DIV/0!</v>
      </c>
      <c r="Y247" s="179" t="e">
        <f>'Entrada e Saida'!$H$27*(IF('Entrada e Saida'!$H$15="PESO",(P247/(SUM(P:P))),(Q247/(SUM(Q:Q)))))</f>
        <v>#DIV/0!</v>
      </c>
      <c r="Z247" s="179" t="e">
        <f>'Entrada e Saida'!$H$28*(IF('Entrada e Saida'!$H$15="PESO",(P247/(SUM(P:P))),(Q247/(SUM(Q:Q)))))</f>
        <v>#DIV/0!</v>
      </c>
      <c r="AA247" s="10" t="e">
        <f t="shared" si="118"/>
        <v>#DIV/0!</v>
      </c>
      <c r="AB247" s="3" t="e">
        <f t="shared" si="119"/>
        <v>#DIV/0!</v>
      </c>
      <c r="AC247" s="3" t="e">
        <f t="shared" si="120"/>
        <v>#DIV/0!</v>
      </c>
      <c r="AD247" s="3" t="e">
        <f t="shared" si="121"/>
        <v>#DIV/0!</v>
      </c>
      <c r="AE247" s="9" t="e">
        <f t="shared" si="122"/>
        <v>#DIV/0!</v>
      </c>
      <c r="AF247" s="126">
        <f>IFERROR(D247*F247*L247*'Entrada e Saida'!$K$8,0)</f>
        <v>0</v>
      </c>
      <c r="AG247" s="3" t="e">
        <f>((W247+AA247+AB247+AC247+AD247+AE247+AF247)/(1-'Entrada e Saida'!$G$65))*'Entrada e Saida'!$I$66</f>
        <v>#DIV/0!</v>
      </c>
      <c r="AH247" s="8" t="e">
        <f t="shared" si="123"/>
        <v>#DIV/0!</v>
      </c>
      <c r="AI247" s="183" t="e">
        <f>'Entrada e Saida'!$K$51*(IF('Entrada e Saida'!$H$15="PESO",(P247/(SUM(P:P))),(Q247/(SUM(Q:Q)))))</f>
        <v>#DIV/0!</v>
      </c>
      <c r="AJ247" s="7">
        <f>(('Entrada e Saida'!$K$10-'Entrada e Saida'!$K$8)*E247*D247)</f>
        <v>0</v>
      </c>
      <c r="AK247" s="184" t="e">
        <f>IF('Entrada e Saida'!$H$15="PESO",W247+AA247+AH247+AI247+AJ247,W247+AA247+AH247+AI247+AJ247-S247+T247-U247+V247)</f>
        <v>#DIV/0!</v>
      </c>
      <c r="AL247" s="6" t="e">
        <f>IF('Entrada e Saida'!$H$12="REAL",AC247,0)</f>
        <v>#DIV/0!</v>
      </c>
      <c r="AM247" s="6" t="e">
        <f>IF('Entrada e Saida'!$H$12="REAL",AD247,0)</f>
        <v>#DIV/0!</v>
      </c>
      <c r="AN247" s="5" t="e">
        <f>IF('Entrada e Saida'!$H$13= "NÃO",AE247,0)</f>
        <v>#DIV/0!</v>
      </c>
      <c r="AO247" s="5" t="e">
        <f t="shared" si="124"/>
        <v>#DIV/0!</v>
      </c>
      <c r="AP247" s="4" t="e">
        <f t="shared" si="125"/>
        <v>#DIV/0!</v>
      </c>
      <c r="AQ247" s="3" t="e">
        <f>IF('Entrada e Saida'!$H$11="TRADING",AU247*'Custo Resumido'!D247,0)</f>
        <v>#DIV/0!</v>
      </c>
      <c r="AR247" s="3" t="e">
        <f>IF('Entrada e Saida'!$H$11="TRADING",AU247*'Entrada e Saida'!$G$63,0)</f>
        <v>#DIV/0!</v>
      </c>
      <c r="AS247" s="3" t="e">
        <f>IF('Entrada e Saida'!$H$11="TRADING",AU247*'Entrada e Saida'!$G$64,0)</f>
        <v>#DIV/0!</v>
      </c>
      <c r="AT247" s="3" t="e">
        <f>IF('Entrada e Saida'!$H$11="TRADING",AU247*'Entrada e Saida'!$G$65,0)</f>
        <v>#DIV/0!</v>
      </c>
      <c r="AU247" s="4" t="e">
        <f>IF('Entrada e Saida'!$H$11="TRADING",AP247/(1-(SUM('Entrada e Saida'!$G$63:$G$65)+'Custo Resumido'!D247)),0)</f>
        <v>#DIV/0!</v>
      </c>
      <c r="AV247" s="3" t="e">
        <f>IF('Entrada e Saida'!$H$13="NÃO",AU247*M247,0)</f>
        <v>#DIV/0!</v>
      </c>
      <c r="AW247" s="4" t="e">
        <f t="shared" si="126"/>
        <v>#DIV/0!</v>
      </c>
      <c r="AX247" s="3" t="e">
        <f>'Entrada e Saida'!$G$74*AU247</f>
        <v>#DIV/0!</v>
      </c>
      <c r="AY247" s="4" t="e">
        <f t="shared" si="127"/>
        <v>#DIV/0!</v>
      </c>
      <c r="AZ247" s="4" t="e">
        <f>AQ247+('Entrada e Saida'!$G$65-'Entrada e Saida'!$I$65)*AU247-AX247</f>
        <v>#DIV/0!</v>
      </c>
      <c r="BA247" s="3" t="e">
        <f>IF('Entrada e Saida'!$H$12="REAL",AZ247*'Entrada e Saida'!$G$81,AU247*'Entrada e Saida'!$G$81)</f>
        <v>#DIV/0!</v>
      </c>
      <c r="BB247" s="3" t="e">
        <f>IF('Entrada e Saida'!$H$12="REAL",AZ247*'Entrada e Saida'!$G$82,AU247*'Entrada e Saida'!$G$82)</f>
        <v>#DIV/0!</v>
      </c>
      <c r="BC247" s="4" t="e">
        <f t="shared" si="128"/>
        <v>#DIV/0!</v>
      </c>
      <c r="BD247" s="3" t="e">
        <f>IF('Entrada e Saida'!$H$11="TRADING",AW247/D247,AK247/D247)</f>
        <v>#DIV/0!</v>
      </c>
      <c r="BE247" s="3" t="e">
        <f t="shared" si="129"/>
        <v>#DIV/0!</v>
      </c>
      <c r="BF247" s="2" t="e">
        <f t="shared" si="130"/>
        <v>#DIV/0!</v>
      </c>
      <c r="BG247" s="3" t="e">
        <f>IF('Entrada e Saida'!$H$11="TRADING",AV247/D247,AN247/D247)</f>
        <v>#DIV/0!</v>
      </c>
      <c r="BH247" s="3" t="e">
        <f>IF('Entrada e Saida'!$H$11="TRADING",IF('Entrada e Saida'!$H$12="REAL",AR247/D247,0),AL247/D247)</f>
        <v>#DIV/0!</v>
      </c>
      <c r="BI247" s="3" t="e">
        <f>IF('Entrada e Saida'!$H$11="TRADING",IF('Entrada e Saida'!$H$12="REAL",AS247/D247,0),AM247/D247)</f>
        <v>#DIV/0!</v>
      </c>
      <c r="BJ247" s="3" t="e">
        <f>IF('Entrada e Saida'!$H$11="TRADING",AT247/D247,AO247/D247)</f>
        <v>#DIV/0!</v>
      </c>
      <c r="BK247" s="2" t="e">
        <f t="shared" si="131"/>
        <v>#DIV/0!</v>
      </c>
      <c r="BL247" s="2">
        <f>IF(O247&gt;0,IFERROR(IF('Entrada e Saida'!$H$11="DIRETA",0,(IF('Entrada e Saida'!$H$14="P.JURIDICA",(BD247*(1+O247)*N247)-((BD247/(1+M247))*'Entrada e Saida'!$G$65),((Produtos!N247-'Entrada e Saida'!$G$65)*Produtos!BD247)))),0),0)</f>
        <v>0</v>
      </c>
      <c r="BM247" s="2" t="e">
        <f t="shared" si="132"/>
        <v>#DIV/0!</v>
      </c>
    </row>
    <row r="248" spans="1:65" s="1" customFormat="1">
      <c r="A248" s="127"/>
      <c r="B248" s="114"/>
      <c r="C248" s="116"/>
      <c r="D248" s="146"/>
      <c r="E248" s="115">
        <f>IFERROR(VLOOKUP(A248,'Master Modelo'!A:I,9,FALSE),0)</f>
        <v>0</v>
      </c>
      <c r="F248" s="189">
        <f>IFERROR(VLOOKUP(A248,'Master Modelo'!A:I,8,FALSE),0)</f>
        <v>0</v>
      </c>
      <c r="G248" s="189">
        <f>IFERROR(VLOOKUP(A248,'Master Modelo'!A:K,11,FALSE),0)</f>
        <v>0</v>
      </c>
      <c r="H248" s="114" t="e">
        <f t="shared" si="115"/>
        <v>#DIV/0!</v>
      </c>
      <c r="I248" s="150">
        <f>IFERROR(VLOOKUP(A248,'Master Modelo'!A:I,3,FALSE),0)</f>
        <v>0</v>
      </c>
      <c r="J248" s="151">
        <f>IFERROR(VLOOKUP(A248,'Master Modelo'!A:I,5,FALSE),0)</f>
        <v>0</v>
      </c>
      <c r="K248" s="151">
        <f>IFERROR(VLOOKUP(A248,'Master Modelo'!A:I,6,FALSE),0)</f>
        <v>0</v>
      </c>
      <c r="L248" s="152" t="e">
        <f>VLOOKUP(A248,'Master Modelo'!A:J,10,FALSE)</f>
        <v>#N/A</v>
      </c>
      <c r="M248" s="150">
        <f>IFERROR(VLOOKUP(A248,'Master Modelo'!A:I,4,FALSE),0)</f>
        <v>0</v>
      </c>
      <c r="N248" s="128"/>
      <c r="O248" s="129"/>
      <c r="P248" s="9">
        <f t="shared" si="116"/>
        <v>0</v>
      </c>
      <c r="Q248" s="177">
        <f t="shared" si="96"/>
        <v>0</v>
      </c>
      <c r="R248" s="3">
        <f>D248*E248*'Entrada e Saida'!$K$8</f>
        <v>0</v>
      </c>
      <c r="S248" s="179" t="e">
        <f>'Entrada e Saida'!$H$21*'Entrada e Saida'!$K$8*(P248/(SUM(P:P)))</f>
        <v>#DIV/0!</v>
      </c>
      <c r="T248" s="179" t="e">
        <f>'Entrada e Saida'!$H$21*'Entrada e Saida'!$K$8*(Q248/(SUM(Q:Q)))</f>
        <v>#DIV/0!</v>
      </c>
      <c r="U248" s="179" t="e">
        <f>'Entrada e Saida'!$H$22*(P248/(SUM(P:P)))</f>
        <v>#DIV/0!</v>
      </c>
      <c r="V248" s="179" t="e">
        <f>'Entrada e Saida'!$H$22*(Q248/(SUM(Q:Q)))</f>
        <v>#DIV/0!</v>
      </c>
      <c r="W248" s="8" t="e">
        <f t="shared" si="117"/>
        <v>#DIV/0!</v>
      </c>
      <c r="X248" s="179" t="e">
        <f>'Entrada e Saida'!$H$26*(IF('Entrada e Saida'!$H$15="PESO",(P248/(SUM(P:P))),(Q248/(SUM(Q:Q)))))</f>
        <v>#DIV/0!</v>
      </c>
      <c r="Y248" s="179" t="e">
        <f>'Entrada e Saida'!$H$27*(IF('Entrada e Saida'!$H$15="PESO",(P248/(SUM(P:P))),(Q248/(SUM(Q:Q)))))</f>
        <v>#DIV/0!</v>
      </c>
      <c r="Z248" s="179" t="e">
        <f>'Entrada e Saida'!$H$28*(IF('Entrada e Saida'!$H$15="PESO",(P248/(SUM(P:P))),(Q248/(SUM(Q:Q)))))</f>
        <v>#DIV/0!</v>
      </c>
      <c r="AA248" s="10" t="e">
        <f t="shared" si="118"/>
        <v>#DIV/0!</v>
      </c>
      <c r="AB248" s="3" t="e">
        <f t="shared" si="119"/>
        <v>#DIV/0!</v>
      </c>
      <c r="AC248" s="3" t="e">
        <f t="shared" si="120"/>
        <v>#DIV/0!</v>
      </c>
      <c r="AD248" s="3" t="e">
        <f t="shared" si="121"/>
        <v>#DIV/0!</v>
      </c>
      <c r="AE248" s="9" t="e">
        <f t="shared" si="122"/>
        <v>#DIV/0!</v>
      </c>
      <c r="AF248" s="126">
        <f>IFERROR(D248*F248*L248*'Entrada e Saida'!$K$8,0)</f>
        <v>0</v>
      </c>
      <c r="AG248" s="3" t="e">
        <f>((W248+AA248+AB248+AC248+AD248+AE248+AF248)/(1-'Entrada e Saida'!$G$65))*'Entrada e Saida'!$I$66</f>
        <v>#DIV/0!</v>
      </c>
      <c r="AH248" s="8" t="e">
        <f t="shared" si="123"/>
        <v>#DIV/0!</v>
      </c>
      <c r="AI248" s="183" t="e">
        <f>'Entrada e Saida'!$K$51*(IF('Entrada e Saida'!$H$15="PESO",(P248/(SUM(P:P))),(Q248/(SUM(Q:Q)))))</f>
        <v>#DIV/0!</v>
      </c>
      <c r="AJ248" s="7">
        <f>(('Entrada e Saida'!$K$10-'Entrada e Saida'!$K$8)*E248*D248)</f>
        <v>0</v>
      </c>
      <c r="AK248" s="184" t="e">
        <f>IF('Entrada e Saida'!$H$15="PESO",W248+AA248+AH248+AI248+AJ248,W248+AA248+AH248+AI248+AJ248-S248+T248-U248+V248)</f>
        <v>#DIV/0!</v>
      </c>
      <c r="AL248" s="6" t="e">
        <f>IF('Entrada e Saida'!$H$12="REAL",AC248,0)</f>
        <v>#DIV/0!</v>
      </c>
      <c r="AM248" s="6" t="e">
        <f>IF('Entrada e Saida'!$H$12="REAL",AD248,0)</f>
        <v>#DIV/0!</v>
      </c>
      <c r="AN248" s="5" t="e">
        <f>IF('Entrada e Saida'!$H$13= "NÃO",AE248,0)</f>
        <v>#DIV/0!</v>
      </c>
      <c r="AO248" s="5" t="e">
        <f t="shared" si="124"/>
        <v>#DIV/0!</v>
      </c>
      <c r="AP248" s="4" t="e">
        <f t="shared" si="125"/>
        <v>#DIV/0!</v>
      </c>
      <c r="AQ248" s="3" t="e">
        <f>IF('Entrada e Saida'!$H$11="TRADING",AU248*'Custo Resumido'!D248,0)</f>
        <v>#DIV/0!</v>
      </c>
      <c r="AR248" s="3" t="e">
        <f>IF('Entrada e Saida'!$H$11="TRADING",AU248*'Entrada e Saida'!$G$63,0)</f>
        <v>#DIV/0!</v>
      </c>
      <c r="AS248" s="3" t="e">
        <f>IF('Entrada e Saida'!$H$11="TRADING",AU248*'Entrada e Saida'!$G$64,0)</f>
        <v>#DIV/0!</v>
      </c>
      <c r="AT248" s="3" t="e">
        <f>IF('Entrada e Saida'!$H$11="TRADING",AU248*'Entrada e Saida'!$G$65,0)</f>
        <v>#DIV/0!</v>
      </c>
      <c r="AU248" s="4" t="e">
        <f>IF('Entrada e Saida'!$H$11="TRADING",AP248/(1-(SUM('Entrada e Saida'!$G$63:$G$65)+'Custo Resumido'!D248)),0)</f>
        <v>#DIV/0!</v>
      </c>
      <c r="AV248" s="3" t="e">
        <f>IF('Entrada e Saida'!$H$13="NÃO",AU248*M248,0)</f>
        <v>#DIV/0!</v>
      </c>
      <c r="AW248" s="4" t="e">
        <f t="shared" si="126"/>
        <v>#DIV/0!</v>
      </c>
      <c r="AX248" s="3" t="e">
        <f>'Entrada e Saida'!$G$74*AU248</f>
        <v>#DIV/0!</v>
      </c>
      <c r="AY248" s="4" t="e">
        <f t="shared" si="127"/>
        <v>#DIV/0!</v>
      </c>
      <c r="AZ248" s="4" t="e">
        <f>AQ248+('Entrada e Saida'!$G$65-'Entrada e Saida'!$I$65)*AU248-AX248</f>
        <v>#DIV/0!</v>
      </c>
      <c r="BA248" s="3" t="e">
        <f>IF('Entrada e Saida'!$H$12="REAL",AZ248*'Entrada e Saida'!$G$81,AU248*'Entrada e Saida'!$G$81)</f>
        <v>#DIV/0!</v>
      </c>
      <c r="BB248" s="3" t="e">
        <f>IF('Entrada e Saida'!$H$12="REAL",AZ248*'Entrada e Saida'!$G$82,AU248*'Entrada e Saida'!$G$82)</f>
        <v>#DIV/0!</v>
      </c>
      <c r="BC248" s="4" t="e">
        <f t="shared" si="128"/>
        <v>#DIV/0!</v>
      </c>
      <c r="BD248" s="3" t="e">
        <f>IF('Entrada e Saida'!$H$11="TRADING",AW248/D248,AK248/D248)</f>
        <v>#DIV/0!</v>
      </c>
      <c r="BE248" s="3" t="e">
        <f t="shared" si="129"/>
        <v>#DIV/0!</v>
      </c>
      <c r="BF248" s="2" t="e">
        <f t="shared" si="130"/>
        <v>#DIV/0!</v>
      </c>
      <c r="BG248" s="3" t="e">
        <f>IF('Entrada e Saida'!$H$11="TRADING",AV248/D248,AN248/D248)</f>
        <v>#DIV/0!</v>
      </c>
      <c r="BH248" s="3" t="e">
        <f>IF('Entrada e Saida'!$H$11="TRADING",IF('Entrada e Saida'!$H$12="REAL",AR248/D248,0),AL248/D248)</f>
        <v>#DIV/0!</v>
      </c>
      <c r="BI248" s="3" t="e">
        <f>IF('Entrada e Saida'!$H$11="TRADING",IF('Entrada e Saida'!$H$12="REAL",AS248/D248,0),AM248/D248)</f>
        <v>#DIV/0!</v>
      </c>
      <c r="BJ248" s="3" t="e">
        <f>IF('Entrada e Saida'!$H$11="TRADING",AT248/D248,AO248/D248)</f>
        <v>#DIV/0!</v>
      </c>
      <c r="BK248" s="2" t="e">
        <f t="shared" si="131"/>
        <v>#DIV/0!</v>
      </c>
      <c r="BL248" s="2">
        <f>IF(O248&gt;0,IFERROR(IF('Entrada e Saida'!$H$11="DIRETA",0,(IF('Entrada e Saida'!$H$14="P.JURIDICA",(BD248*(1+O248)*N248)-((BD248/(1+M248))*'Entrada e Saida'!$G$65),((Produtos!N248-'Entrada e Saida'!$G$65)*Produtos!BD248)))),0),0)</f>
        <v>0</v>
      </c>
      <c r="BM248" s="2" t="e">
        <f t="shared" si="132"/>
        <v>#DIV/0!</v>
      </c>
    </row>
    <row r="249" spans="1:65" s="1" customFormat="1">
      <c r="A249" s="127"/>
      <c r="B249" s="114"/>
      <c r="C249" s="116"/>
      <c r="D249" s="146"/>
      <c r="E249" s="115">
        <f>IFERROR(VLOOKUP(A249,'Master Modelo'!A:I,9,FALSE),0)</f>
        <v>0</v>
      </c>
      <c r="F249" s="189">
        <f>IFERROR(VLOOKUP(A249,'Master Modelo'!A:I,8,FALSE),0)</f>
        <v>0</v>
      </c>
      <c r="G249" s="189">
        <f>IFERROR(VLOOKUP(A249,'Master Modelo'!A:K,11,FALSE),0)</f>
        <v>0</v>
      </c>
      <c r="H249" s="114" t="e">
        <f t="shared" si="115"/>
        <v>#DIV/0!</v>
      </c>
      <c r="I249" s="150">
        <f>IFERROR(VLOOKUP(A249,'Master Modelo'!A:I,3,FALSE),0)</f>
        <v>0</v>
      </c>
      <c r="J249" s="151">
        <f>IFERROR(VLOOKUP(A249,'Master Modelo'!A:I,5,FALSE),0)</f>
        <v>0</v>
      </c>
      <c r="K249" s="151">
        <f>IFERROR(VLOOKUP(A249,'Master Modelo'!A:I,6,FALSE),0)</f>
        <v>0</v>
      </c>
      <c r="L249" s="152" t="e">
        <f>VLOOKUP(A249,'Master Modelo'!A:J,10,FALSE)</f>
        <v>#N/A</v>
      </c>
      <c r="M249" s="150">
        <f>IFERROR(VLOOKUP(A249,'Master Modelo'!A:I,4,FALSE),0)</f>
        <v>0</v>
      </c>
      <c r="N249" s="128"/>
      <c r="O249" s="129"/>
      <c r="P249" s="9">
        <f t="shared" si="116"/>
        <v>0</v>
      </c>
      <c r="Q249" s="177">
        <f t="shared" si="96"/>
        <v>0</v>
      </c>
      <c r="R249" s="3">
        <f>D249*E249*'Entrada e Saida'!$K$8</f>
        <v>0</v>
      </c>
      <c r="S249" s="179" t="e">
        <f>'Entrada e Saida'!$H$21*'Entrada e Saida'!$K$8*(P249/(SUM(P:P)))</f>
        <v>#DIV/0!</v>
      </c>
      <c r="T249" s="179" t="e">
        <f>'Entrada e Saida'!$H$21*'Entrada e Saida'!$K$8*(Q249/(SUM(Q:Q)))</f>
        <v>#DIV/0!</v>
      </c>
      <c r="U249" s="179" t="e">
        <f>'Entrada e Saida'!$H$22*(P249/(SUM(P:P)))</f>
        <v>#DIV/0!</v>
      </c>
      <c r="V249" s="179" t="e">
        <f>'Entrada e Saida'!$H$22*(Q249/(SUM(Q:Q)))</f>
        <v>#DIV/0!</v>
      </c>
      <c r="W249" s="8" t="e">
        <f t="shared" si="117"/>
        <v>#DIV/0!</v>
      </c>
      <c r="X249" s="179" t="e">
        <f>'Entrada e Saida'!$H$26*(IF('Entrada e Saida'!$H$15="PESO",(P249/(SUM(P:P))),(Q249/(SUM(Q:Q)))))</f>
        <v>#DIV/0!</v>
      </c>
      <c r="Y249" s="179" t="e">
        <f>'Entrada e Saida'!$H$27*(IF('Entrada e Saida'!$H$15="PESO",(P249/(SUM(P:P))),(Q249/(SUM(Q:Q)))))</f>
        <v>#DIV/0!</v>
      </c>
      <c r="Z249" s="179" t="e">
        <f>'Entrada e Saida'!$H$28*(IF('Entrada e Saida'!$H$15="PESO",(P249/(SUM(P:P))),(Q249/(SUM(Q:Q)))))</f>
        <v>#DIV/0!</v>
      </c>
      <c r="AA249" s="10" t="e">
        <f t="shared" si="118"/>
        <v>#DIV/0!</v>
      </c>
      <c r="AB249" s="3" t="e">
        <f t="shared" si="119"/>
        <v>#DIV/0!</v>
      </c>
      <c r="AC249" s="3" t="e">
        <f t="shared" si="120"/>
        <v>#DIV/0!</v>
      </c>
      <c r="AD249" s="3" t="e">
        <f t="shared" si="121"/>
        <v>#DIV/0!</v>
      </c>
      <c r="AE249" s="9" t="e">
        <f t="shared" si="122"/>
        <v>#DIV/0!</v>
      </c>
      <c r="AF249" s="126">
        <f>IFERROR(D249*F249*L249*'Entrada e Saida'!$K$8,0)</f>
        <v>0</v>
      </c>
      <c r="AG249" s="3" t="e">
        <f>((W249+AA249+AB249+AC249+AD249+AE249+AF249)/(1-'Entrada e Saida'!$G$65))*'Entrada e Saida'!$I$66</f>
        <v>#DIV/0!</v>
      </c>
      <c r="AH249" s="8" t="e">
        <f t="shared" si="123"/>
        <v>#DIV/0!</v>
      </c>
      <c r="AI249" s="183" t="e">
        <f>'Entrada e Saida'!$K$51*(IF('Entrada e Saida'!$H$15="PESO",(P249/(SUM(P:P))),(Q249/(SUM(Q:Q)))))</f>
        <v>#DIV/0!</v>
      </c>
      <c r="AJ249" s="7">
        <f>(('Entrada e Saida'!$K$10-'Entrada e Saida'!$K$8)*E249*D249)</f>
        <v>0</v>
      </c>
      <c r="AK249" s="184" t="e">
        <f>IF('Entrada e Saida'!$H$15="PESO",W249+AA249+AH249+AI249+AJ249,W249+AA249+AH249+AI249+AJ249-S249+T249-U249+V249)</f>
        <v>#DIV/0!</v>
      </c>
      <c r="AL249" s="6" t="e">
        <f>IF('Entrada e Saida'!$H$12="REAL",AC249,0)</f>
        <v>#DIV/0!</v>
      </c>
      <c r="AM249" s="6" t="e">
        <f>IF('Entrada e Saida'!$H$12="REAL",AD249,0)</f>
        <v>#DIV/0!</v>
      </c>
      <c r="AN249" s="5" t="e">
        <f>IF('Entrada e Saida'!$H$13= "NÃO",AE249,0)</f>
        <v>#DIV/0!</v>
      </c>
      <c r="AO249" s="5" t="e">
        <f t="shared" si="124"/>
        <v>#DIV/0!</v>
      </c>
      <c r="AP249" s="4" t="e">
        <f t="shared" si="125"/>
        <v>#DIV/0!</v>
      </c>
      <c r="AQ249" s="3" t="e">
        <f>IF('Entrada e Saida'!$H$11="TRADING",AU249*'Custo Resumido'!D249,0)</f>
        <v>#DIV/0!</v>
      </c>
      <c r="AR249" s="3" t="e">
        <f>IF('Entrada e Saida'!$H$11="TRADING",AU249*'Entrada e Saida'!$G$63,0)</f>
        <v>#DIV/0!</v>
      </c>
      <c r="AS249" s="3" t="e">
        <f>IF('Entrada e Saida'!$H$11="TRADING",AU249*'Entrada e Saida'!$G$64,0)</f>
        <v>#DIV/0!</v>
      </c>
      <c r="AT249" s="3" t="e">
        <f>IF('Entrada e Saida'!$H$11="TRADING",AU249*'Entrada e Saida'!$G$65,0)</f>
        <v>#DIV/0!</v>
      </c>
      <c r="AU249" s="4" t="e">
        <f>IF('Entrada e Saida'!$H$11="TRADING",AP249/(1-(SUM('Entrada e Saida'!$G$63:$G$65)+'Custo Resumido'!D249)),0)</f>
        <v>#DIV/0!</v>
      </c>
      <c r="AV249" s="3" t="e">
        <f>IF('Entrada e Saida'!$H$13="NÃO",AU249*M249,0)</f>
        <v>#DIV/0!</v>
      </c>
      <c r="AW249" s="4" t="e">
        <f t="shared" si="126"/>
        <v>#DIV/0!</v>
      </c>
      <c r="AX249" s="3" t="e">
        <f>'Entrada e Saida'!$G$74*AU249</f>
        <v>#DIV/0!</v>
      </c>
      <c r="AY249" s="4" t="e">
        <f t="shared" si="127"/>
        <v>#DIV/0!</v>
      </c>
      <c r="AZ249" s="4" t="e">
        <f>AQ249+('Entrada e Saida'!$G$65-'Entrada e Saida'!$I$65)*AU249-AX249</f>
        <v>#DIV/0!</v>
      </c>
      <c r="BA249" s="3" t="e">
        <f>IF('Entrada e Saida'!$H$12="REAL",AZ249*'Entrada e Saida'!$G$81,AU249*'Entrada e Saida'!$G$81)</f>
        <v>#DIV/0!</v>
      </c>
      <c r="BB249" s="3" t="e">
        <f>IF('Entrada e Saida'!$H$12="REAL",AZ249*'Entrada e Saida'!$G$82,AU249*'Entrada e Saida'!$G$82)</f>
        <v>#DIV/0!</v>
      </c>
      <c r="BC249" s="4" t="e">
        <f t="shared" si="128"/>
        <v>#DIV/0!</v>
      </c>
      <c r="BD249" s="3" t="e">
        <f>IF('Entrada e Saida'!$H$11="TRADING",AW249/D249,AK249/D249)</f>
        <v>#DIV/0!</v>
      </c>
      <c r="BE249" s="3" t="e">
        <f t="shared" si="129"/>
        <v>#DIV/0!</v>
      </c>
      <c r="BF249" s="2" t="e">
        <f t="shared" si="130"/>
        <v>#DIV/0!</v>
      </c>
      <c r="BG249" s="3" t="e">
        <f>IF('Entrada e Saida'!$H$11="TRADING",AV249/D249,AN249/D249)</f>
        <v>#DIV/0!</v>
      </c>
      <c r="BH249" s="3" t="e">
        <f>IF('Entrada e Saida'!$H$11="TRADING",IF('Entrada e Saida'!$H$12="REAL",AR249/D249,0),AL249/D249)</f>
        <v>#DIV/0!</v>
      </c>
      <c r="BI249" s="3" t="e">
        <f>IF('Entrada e Saida'!$H$11="TRADING",IF('Entrada e Saida'!$H$12="REAL",AS249/D249,0),AM249/D249)</f>
        <v>#DIV/0!</v>
      </c>
      <c r="BJ249" s="3" t="e">
        <f>IF('Entrada e Saida'!$H$11="TRADING",AT249/D249,AO249/D249)</f>
        <v>#DIV/0!</v>
      </c>
      <c r="BK249" s="2" t="e">
        <f t="shared" si="131"/>
        <v>#DIV/0!</v>
      </c>
      <c r="BL249" s="2">
        <f>IF(O249&gt;0,IFERROR(IF('Entrada e Saida'!$H$11="DIRETA",0,(IF('Entrada e Saida'!$H$14="P.JURIDICA",(BD249*(1+O249)*N249)-((BD249/(1+M249))*'Entrada e Saida'!$G$65),((Produtos!N249-'Entrada e Saida'!$G$65)*Produtos!BD249)))),0),0)</f>
        <v>0</v>
      </c>
      <c r="BM249" s="2" t="e">
        <f t="shared" si="132"/>
        <v>#DIV/0!</v>
      </c>
    </row>
    <row r="250" spans="1:65" s="1" customFormat="1">
      <c r="A250" s="127"/>
      <c r="B250" s="114"/>
      <c r="C250" s="116"/>
      <c r="D250" s="146"/>
      <c r="E250" s="115">
        <f>IFERROR(VLOOKUP(A250,'Master Modelo'!A:I,9,FALSE),0)</f>
        <v>0</v>
      </c>
      <c r="F250" s="189">
        <f>IFERROR(VLOOKUP(A250,'Master Modelo'!A:I,8,FALSE),0)</f>
        <v>0</v>
      </c>
      <c r="G250" s="189">
        <f>IFERROR(VLOOKUP(A250,'Master Modelo'!A:K,11,FALSE),0)</f>
        <v>0</v>
      </c>
      <c r="H250" s="114" t="e">
        <f t="shared" si="115"/>
        <v>#DIV/0!</v>
      </c>
      <c r="I250" s="150">
        <f>IFERROR(VLOOKUP(A250,'Master Modelo'!A:I,3,FALSE),0)</f>
        <v>0</v>
      </c>
      <c r="J250" s="151">
        <f>IFERROR(VLOOKUP(A250,'Master Modelo'!A:I,5,FALSE),0)</f>
        <v>0</v>
      </c>
      <c r="K250" s="151">
        <f>IFERROR(VLOOKUP(A250,'Master Modelo'!A:I,6,FALSE),0)</f>
        <v>0</v>
      </c>
      <c r="L250" s="152" t="e">
        <f>VLOOKUP(A250,'Master Modelo'!A:J,10,FALSE)</f>
        <v>#N/A</v>
      </c>
      <c r="M250" s="150">
        <f>IFERROR(VLOOKUP(A250,'Master Modelo'!A:I,4,FALSE),0)</f>
        <v>0</v>
      </c>
      <c r="N250" s="128"/>
      <c r="O250" s="129"/>
      <c r="P250" s="9">
        <f t="shared" si="116"/>
        <v>0</v>
      </c>
      <c r="Q250" s="177">
        <f t="shared" si="96"/>
        <v>0</v>
      </c>
      <c r="R250" s="3">
        <f>D250*E250*'Entrada e Saida'!$K$8</f>
        <v>0</v>
      </c>
      <c r="S250" s="179" t="e">
        <f>'Entrada e Saida'!$H$21*'Entrada e Saida'!$K$8*(P250/(SUM(P:P)))</f>
        <v>#DIV/0!</v>
      </c>
      <c r="T250" s="179" t="e">
        <f>'Entrada e Saida'!$H$21*'Entrada e Saida'!$K$8*(Q250/(SUM(Q:Q)))</f>
        <v>#DIV/0!</v>
      </c>
      <c r="U250" s="179" t="e">
        <f>'Entrada e Saida'!$H$22*(P250/(SUM(P:P)))</f>
        <v>#DIV/0!</v>
      </c>
      <c r="V250" s="179" t="e">
        <f>'Entrada e Saida'!$H$22*(Q250/(SUM(Q:Q)))</f>
        <v>#DIV/0!</v>
      </c>
      <c r="W250" s="8" t="e">
        <f t="shared" si="117"/>
        <v>#DIV/0!</v>
      </c>
      <c r="X250" s="179" t="e">
        <f>'Entrada e Saida'!$H$26*(IF('Entrada e Saida'!$H$15="PESO",(P250/(SUM(P:P))),(Q250/(SUM(Q:Q)))))</f>
        <v>#DIV/0!</v>
      </c>
      <c r="Y250" s="179" t="e">
        <f>'Entrada e Saida'!$H$27*(IF('Entrada e Saida'!$H$15="PESO",(P250/(SUM(P:P))),(Q250/(SUM(Q:Q)))))</f>
        <v>#DIV/0!</v>
      </c>
      <c r="Z250" s="179" t="e">
        <f>'Entrada e Saida'!$H$28*(IF('Entrada e Saida'!$H$15="PESO",(P250/(SUM(P:P))),(Q250/(SUM(Q:Q)))))</f>
        <v>#DIV/0!</v>
      </c>
      <c r="AA250" s="10" t="e">
        <f t="shared" si="118"/>
        <v>#DIV/0!</v>
      </c>
      <c r="AB250" s="3" t="e">
        <f t="shared" si="119"/>
        <v>#DIV/0!</v>
      </c>
      <c r="AC250" s="3" t="e">
        <f t="shared" si="120"/>
        <v>#DIV/0!</v>
      </c>
      <c r="AD250" s="3" t="e">
        <f t="shared" si="121"/>
        <v>#DIV/0!</v>
      </c>
      <c r="AE250" s="9" t="e">
        <f t="shared" si="122"/>
        <v>#DIV/0!</v>
      </c>
      <c r="AF250" s="126">
        <f>IFERROR(D250*F250*L250*'Entrada e Saida'!$K$8,0)</f>
        <v>0</v>
      </c>
      <c r="AG250" s="3" t="e">
        <f>((W250+AA250+AB250+AC250+AD250+AE250+AF250)/(1-'Entrada e Saida'!$G$65))*'Entrada e Saida'!$I$66</f>
        <v>#DIV/0!</v>
      </c>
      <c r="AH250" s="8" t="e">
        <f t="shared" si="123"/>
        <v>#DIV/0!</v>
      </c>
      <c r="AI250" s="183" t="e">
        <f>'Entrada e Saida'!$K$51*(IF('Entrada e Saida'!$H$15="PESO",(P250/(SUM(P:P))),(Q250/(SUM(Q:Q)))))</f>
        <v>#DIV/0!</v>
      </c>
      <c r="AJ250" s="7">
        <f>(('Entrada e Saida'!$K$10-'Entrada e Saida'!$K$8)*E250*D250)</f>
        <v>0</v>
      </c>
      <c r="AK250" s="184" t="e">
        <f>IF('Entrada e Saida'!$H$15="PESO",W250+AA250+AH250+AI250+AJ250,W250+AA250+AH250+AI250+AJ250-S250+T250-U250+V250)</f>
        <v>#DIV/0!</v>
      </c>
      <c r="AL250" s="6" t="e">
        <f>IF('Entrada e Saida'!$H$12="REAL",AC250,0)</f>
        <v>#DIV/0!</v>
      </c>
      <c r="AM250" s="6" t="e">
        <f>IF('Entrada e Saida'!$H$12="REAL",AD250,0)</f>
        <v>#DIV/0!</v>
      </c>
      <c r="AN250" s="5" t="e">
        <f>IF('Entrada e Saida'!$H$13= "NÃO",AE250,0)</f>
        <v>#DIV/0!</v>
      </c>
      <c r="AO250" s="5" t="e">
        <f t="shared" si="124"/>
        <v>#DIV/0!</v>
      </c>
      <c r="AP250" s="4" t="e">
        <f t="shared" si="125"/>
        <v>#DIV/0!</v>
      </c>
      <c r="AQ250" s="3" t="e">
        <f>IF('Entrada e Saida'!$H$11="TRADING",AU250*'Custo Resumido'!D250,0)</f>
        <v>#DIV/0!</v>
      </c>
      <c r="AR250" s="3" t="e">
        <f>IF('Entrada e Saida'!$H$11="TRADING",AU250*'Entrada e Saida'!$G$63,0)</f>
        <v>#DIV/0!</v>
      </c>
      <c r="AS250" s="3" t="e">
        <f>IF('Entrada e Saida'!$H$11="TRADING",AU250*'Entrada e Saida'!$G$64,0)</f>
        <v>#DIV/0!</v>
      </c>
      <c r="AT250" s="3" t="e">
        <f>IF('Entrada e Saida'!$H$11="TRADING",AU250*'Entrada e Saida'!$G$65,0)</f>
        <v>#DIV/0!</v>
      </c>
      <c r="AU250" s="4" t="e">
        <f>IF('Entrada e Saida'!$H$11="TRADING",AP250/(1-(SUM('Entrada e Saida'!$G$63:$G$65)+'Custo Resumido'!D250)),0)</f>
        <v>#DIV/0!</v>
      </c>
      <c r="AV250" s="3" t="e">
        <f>IF('Entrada e Saida'!$H$13="NÃO",AU250*M250,0)</f>
        <v>#DIV/0!</v>
      </c>
      <c r="AW250" s="4" t="e">
        <f t="shared" si="126"/>
        <v>#DIV/0!</v>
      </c>
      <c r="AX250" s="3" t="e">
        <f>'Entrada e Saida'!$G$74*AU250</f>
        <v>#DIV/0!</v>
      </c>
      <c r="AY250" s="4" t="e">
        <f t="shared" si="127"/>
        <v>#DIV/0!</v>
      </c>
      <c r="AZ250" s="4" t="e">
        <f>AQ250+('Entrada e Saida'!$G$65-'Entrada e Saida'!$I$65)*AU250-AX250</f>
        <v>#DIV/0!</v>
      </c>
      <c r="BA250" s="3" t="e">
        <f>IF('Entrada e Saida'!$H$12="REAL",AZ250*'Entrada e Saida'!$G$81,AU250*'Entrada e Saida'!$G$81)</f>
        <v>#DIV/0!</v>
      </c>
      <c r="BB250" s="3" t="e">
        <f>IF('Entrada e Saida'!$H$12="REAL",AZ250*'Entrada e Saida'!$G$82,AU250*'Entrada e Saida'!$G$82)</f>
        <v>#DIV/0!</v>
      </c>
      <c r="BC250" s="4" t="e">
        <f t="shared" si="128"/>
        <v>#DIV/0!</v>
      </c>
      <c r="BD250" s="3" t="e">
        <f>IF('Entrada e Saida'!$H$11="TRADING",AW250/D250,AK250/D250)</f>
        <v>#DIV/0!</v>
      </c>
      <c r="BE250" s="3" t="e">
        <f t="shared" si="129"/>
        <v>#DIV/0!</v>
      </c>
      <c r="BF250" s="2" t="e">
        <f t="shared" si="130"/>
        <v>#DIV/0!</v>
      </c>
      <c r="BG250" s="3" t="e">
        <f>IF('Entrada e Saida'!$H$11="TRADING",AV250/D250,AN250/D250)</f>
        <v>#DIV/0!</v>
      </c>
      <c r="BH250" s="3" t="e">
        <f>IF('Entrada e Saida'!$H$11="TRADING",IF('Entrada e Saida'!$H$12="REAL",AR250/D250,0),AL250/D250)</f>
        <v>#DIV/0!</v>
      </c>
      <c r="BI250" s="3" t="e">
        <f>IF('Entrada e Saida'!$H$11="TRADING",IF('Entrada e Saida'!$H$12="REAL",AS250/D250,0),AM250/D250)</f>
        <v>#DIV/0!</v>
      </c>
      <c r="BJ250" s="3" t="e">
        <f>IF('Entrada e Saida'!$H$11="TRADING",AT250/D250,AO250/D250)</f>
        <v>#DIV/0!</v>
      </c>
      <c r="BK250" s="2" t="e">
        <f t="shared" si="131"/>
        <v>#DIV/0!</v>
      </c>
      <c r="BL250" s="2">
        <f>IF(O250&gt;0,IFERROR(IF('Entrada e Saida'!$H$11="DIRETA",0,(IF('Entrada e Saida'!$H$14="P.JURIDICA",(BD250*(1+O250)*N250)-((BD250/(1+M250))*'Entrada e Saida'!$G$65),((Produtos!N250-'Entrada e Saida'!$G$65)*Produtos!BD250)))),0),0)</f>
        <v>0</v>
      </c>
      <c r="BM250" s="2" t="e">
        <f t="shared" si="132"/>
        <v>#DIV/0!</v>
      </c>
    </row>
    <row r="251" spans="1:65" s="1" customFormat="1">
      <c r="A251" s="127"/>
      <c r="B251" s="114"/>
      <c r="C251" s="116"/>
      <c r="D251" s="146"/>
      <c r="E251" s="115">
        <f>IFERROR(VLOOKUP(A251,'Master Modelo'!A:I,9,FALSE),0)</f>
        <v>0</v>
      </c>
      <c r="F251" s="189">
        <f>IFERROR(VLOOKUP(A251,'Master Modelo'!A:I,8,FALSE),0)</f>
        <v>0</v>
      </c>
      <c r="G251" s="189">
        <f>IFERROR(VLOOKUP(A251,'Master Modelo'!A:K,11,FALSE),0)</f>
        <v>0</v>
      </c>
      <c r="H251" s="114" t="e">
        <f t="shared" si="115"/>
        <v>#DIV/0!</v>
      </c>
      <c r="I251" s="150">
        <f>IFERROR(VLOOKUP(A251,'Master Modelo'!A:I,3,FALSE),0)</f>
        <v>0</v>
      </c>
      <c r="J251" s="151">
        <f>IFERROR(VLOOKUP(A251,'Master Modelo'!A:I,5,FALSE),0)</f>
        <v>0</v>
      </c>
      <c r="K251" s="151">
        <f>IFERROR(VLOOKUP(A251,'Master Modelo'!A:I,6,FALSE),0)</f>
        <v>0</v>
      </c>
      <c r="L251" s="152" t="e">
        <f>VLOOKUP(A251,'Master Modelo'!A:J,10,FALSE)</f>
        <v>#N/A</v>
      </c>
      <c r="M251" s="150">
        <f>IFERROR(VLOOKUP(A251,'Master Modelo'!A:I,4,FALSE),0)</f>
        <v>0</v>
      </c>
      <c r="N251" s="128"/>
      <c r="O251" s="129"/>
      <c r="P251" s="9">
        <f t="shared" si="116"/>
        <v>0</v>
      </c>
      <c r="Q251" s="177">
        <f t="shared" si="96"/>
        <v>0</v>
      </c>
      <c r="R251" s="3">
        <f>D251*E251*'Entrada e Saida'!$K$8</f>
        <v>0</v>
      </c>
      <c r="S251" s="179" t="e">
        <f>'Entrada e Saida'!$H$21*'Entrada e Saida'!$K$8*(P251/(SUM(P:P)))</f>
        <v>#DIV/0!</v>
      </c>
      <c r="T251" s="179" t="e">
        <f>'Entrada e Saida'!$H$21*'Entrada e Saida'!$K$8*(Q251/(SUM(Q:Q)))</f>
        <v>#DIV/0!</v>
      </c>
      <c r="U251" s="179" t="e">
        <f>'Entrada e Saida'!$H$22*(P251/(SUM(P:P)))</f>
        <v>#DIV/0!</v>
      </c>
      <c r="V251" s="179" t="e">
        <f>'Entrada e Saida'!$H$22*(Q251/(SUM(Q:Q)))</f>
        <v>#DIV/0!</v>
      </c>
      <c r="W251" s="8" t="e">
        <f t="shared" si="117"/>
        <v>#DIV/0!</v>
      </c>
      <c r="X251" s="179" t="e">
        <f>'Entrada e Saida'!$H$26*(IF('Entrada e Saida'!$H$15="PESO",(P251/(SUM(P:P))),(Q251/(SUM(Q:Q)))))</f>
        <v>#DIV/0!</v>
      </c>
      <c r="Y251" s="179" t="e">
        <f>'Entrada e Saida'!$H$27*(IF('Entrada e Saida'!$H$15="PESO",(P251/(SUM(P:P))),(Q251/(SUM(Q:Q)))))</f>
        <v>#DIV/0!</v>
      </c>
      <c r="Z251" s="179" t="e">
        <f>'Entrada e Saida'!$H$28*(IF('Entrada e Saida'!$H$15="PESO",(P251/(SUM(P:P))),(Q251/(SUM(Q:Q)))))</f>
        <v>#DIV/0!</v>
      </c>
      <c r="AA251" s="10" t="e">
        <f t="shared" si="118"/>
        <v>#DIV/0!</v>
      </c>
      <c r="AB251" s="3" t="e">
        <f t="shared" si="119"/>
        <v>#DIV/0!</v>
      </c>
      <c r="AC251" s="3" t="e">
        <f t="shared" si="120"/>
        <v>#DIV/0!</v>
      </c>
      <c r="AD251" s="3" t="e">
        <f t="shared" si="121"/>
        <v>#DIV/0!</v>
      </c>
      <c r="AE251" s="9" t="e">
        <f t="shared" si="122"/>
        <v>#DIV/0!</v>
      </c>
      <c r="AF251" s="126">
        <f>IFERROR(D251*F251*L251*'Entrada e Saida'!$K$8,0)</f>
        <v>0</v>
      </c>
      <c r="AG251" s="3" t="e">
        <f>((W251+AA251+AB251+AC251+AD251+AE251+AF251)/(1-'Entrada e Saida'!$G$65))*'Entrada e Saida'!$I$66</f>
        <v>#DIV/0!</v>
      </c>
      <c r="AH251" s="8" t="e">
        <f t="shared" si="123"/>
        <v>#DIV/0!</v>
      </c>
      <c r="AI251" s="183" t="e">
        <f>'Entrada e Saida'!$K$51*(IF('Entrada e Saida'!$H$15="PESO",(P251/(SUM(P:P))),(Q251/(SUM(Q:Q)))))</f>
        <v>#DIV/0!</v>
      </c>
      <c r="AJ251" s="7">
        <f>(('Entrada e Saida'!$K$10-'Entrada e Saida'!$K$8)*E251*D251)</f>
        <v>0</v>
      </c>
      <c r="AK251" s="184" t="e">
        <f>IF('Entrada e Saida'!$H$15="PESO",W251+AA251+AH251+AI251+AJ251,W251+AA251+AH251+AI251+AJ251-S251+T251-U251+V251)</f>
        <v>#DIV/0!</v>
      </c>
      <c r="AL251" s="6" t="e">
        <f>IF('Entrada e Saida'!$H$12="REAL",AC251,0)</f>
        <v>#DIV/0!</v>
      </c>
      <c r="AM251" s="6" t="e">
        <f>IF('Entrada e Saida'!$H$12="REAL",AD251,0)</f>
        <v>#DIV/0!</v>
      </c>
      <c r="AN251" s="5" t="e">
        <f>IF('Entrada e Saida'!$H$13= "NÃO",AE251,0)</f>
        <v>#DIV/0!</v>
      </c>
      <c r="AO251" s="5" t="e">
        <f t="shared" si="124"/>
        <v>#DIV/0!</v>
      </c>
      <c r="AP251" s="4" t="e">
        <f t="shared" si="125"/>
        <v>#DIV/0!</v>
      </c>
      <c r="AQ251" s="3" t="e">
        <f>IF('Entrada e Saida'!$H$11="TRADING",AU251*'Custo Resumido'!D251,0)</f>
        <v>#DIV/0!</v>
      </c>
      <c r="AR251" s="3" t="e">
        <f>IF('Entrada e Saida'!$H$11="TRADING",AU251*'Entrada e Saida'!$G$63,0)</f>
        <v>#DIV/0!</v>
      </c>
      <c r="AS251" s="3" t="e">
        <f>IF('Entrada e Saida'!$H$11="TRADING",AU251*'Entrada e Saida'!$G$64,0)</f>
        <v>#DIV/0!</v>
      </c>
      <c r="AT251" s="3" t="e">
        <f>IF('Entrada e Saida'!$H$11="TRADING",AU251*'Entrada e Saida'!$G$65,0)</f>
        <v>#DIV/0!</v>
      </c>
      <c r="AU251" s="4" t="e">
        <f>IF('Entrada e Saida'!$H$11="TRADING",AP251/(1-(SUM('Entrada e Saida'!$G$63:$G$65)+'Custo Resumido'!D251)),0)</f>
        <v>#DIV/0!</v>
      </c>
      <c r="AV251" s="3" t="e">
        <f>IF('Entrada e Saida'!$H$13="NÃO",AU251*M251,0)</f>
        <v>#DIV/0!</v>
      </c>
      <c r="AW251" s="4" t="e">
        <f t="shared" si="126"/>
        <v>#DIV/0!</v>
      </c>
      <c r="AX251" s="3" t="e">
        <f>'Entrada e Saida'!$G$74*AU251</f>
        <v>#DIV/0!</v>
      </c>
      <c r="AY251" s="4" t="e">
        <f t="shared" si="127"/>
        <v>#DIV/0!</v>
      </c>
      <c r="AZ251" s="4" t="e">
        <f>AQ251+('Entrada e Saida'!$G$65-'Entrada e Saida'!$I$65)*AU251-AX251</f>
        <v>#DIV/0!</v>
      </c>
      <c r="BA251" s="3" t="e">
        <f>IF('Entrada e Saida'!$H$12="REAL",AZ251*'Entrada e Saida'!$G$81,AU251*'Entrada e Saida'!$G$81)</f>
        <v>#DIV/0!</v>
      </c>
      <c r="BB251" s="3" t="e">
        <f>IF('Entrada e Saida'!$H$12="REAL",AZ251*'Entrada e Saida'!$G$82,AU251*'Entrada e Saida'!$G$82)</f>
        <v>#DIV/0!</v>
      </c>
      <c r="BC251" s="4" t="e">
        <f t="shared" si="128"/>
        <v>#DIV/0!</v>
      </c>
      <c r="BD251" s="3" t="e">
        <f>IF('Entrada e Saida'!$H$11="TRADING",AW251/D251,AK251/D251)</f>
        <v>#DIV/0!</v>
      </c>
      <c r="BE251" s="3" t="e">
        <f t="shared" si="129"/>
        <v>#DIV/0!</v>
      </c>
      <c r="BF251" s="2" t="e">
        <f t="shared" si="130"/>
        <v>#DIV/0!</v>
      </c>
      <c r="BG251" s="3" t="e">
        <f>IF('Entrada e Saida'!$H$11="TRADING",AV251/D251,AN251/D251)</f>
        <v>#DIV/0!</v>
      </c>
      <c r="BH251" s="3" t="e">
        <f>IF('Entrada e Saida'!$H$11="TRADING",IF('Entrada e Saida'!$H$12="REAL",AR251/D251,0),AL251/D251)</f>
        <v>#DIV/0!</v>
      </c>
      <c r="BI251" s="3" t="e">
        <f>IF('Entrada e Saida'!$H$11="TRADING",IF('Entrada e Saida'!$H$12="REAL",AS251/D251,0),AM251/D251)</f>
        <v>#DIV/0!</v>
      </c>
      <c r="BJ251" s="3" t="e">
        <f>IF('Entrada e Saida'!$H$11="TRADING",AT251/D251,AO251/D251)</f>
        <v>#DIV/0!</v>
      </c>
      <c r="BK251" s="2" t="e">
        <f t="shared" si="131"/>
        <v>#DIV/0!</v>
      </c>
      <c r="BL251" s="2">
        <f>IF(O251&gt;0,IFERROR(IF('Entrada e Saida'!$H$11="DIRETA",0,(IF('Entrada e Saida'!$H$14="P.JURIDICA",(BD251*(1+O251)*N251)-((BD251/(1+M251))*'Entrada e Saida'!$G$65),((Produtos!N251-'Entrada e Saida'!$G$65)*Produtos!BD251)))),0),0)</f>
        <v>0</v>
      </c>
      <c r="BM251" s="2" t="e">
        <f t="shared" si="132"/>
        <v>#DIV/0!</v>
      </c>
    </row>
    <row r="252" spans="1:65" s="1" customFormat="1">
      <c r="A252" s="127"/>
      <c r="B252" s="114"/>
      <c r="C252" s="116"/>
      <c r="D252" s="146"/>
      <c r="E252" s="115">
        <f>IFERROR(VLOOKUP(A252,'Master Modelo'!A:I,9,FALSE),0)</f>
        <v>0</v>
      </c>
      <c r="F252" s="189">
        <f>IFERROR(VLOOKUP(A252,'Master Modelo'!A:I,8,FALSE),0)</f>
        <v>0</v>
      </c>
      <c r="G252" s="189">
        <f>IFERROR(VLOOKUP(A252,'Master Modelo'!A:K,11,FALSE),0)</f>
        <v>0</v>
      </c>
      <c r="H252" s="114" t="e">
        <f t="shared" si="115"/>
        <v>#DIV/0!</v>
      </c>
      <c r="I252" s="150">
        <f>IFERROR(VLOOKUP(A252,'Master Modelo'!A:I,3,FALSE),0)</f>
        <v>0</v>
      </c>
      <c r="J252" s="151">
        <f>IFERROR(VLOOKUP(A252,'Master Modelo'!A:I,5,FALSE),0)</f>
        <v>0</v>
      </c>
      <c r="K252" s="151">
        <f>IFERROR(VLOOKUP(A252,'Master Modelo'!A:I,6,FALSE),0)</f>
        <v>0</v>
      </c>
      <c r="L252" s="152" t="e">
        <f>VLOOKUP(A252,'Master Modelo'!A:J,10,FALSE)</f>
        <v>#N/A</v>
      </c>
      <c r="M252" s="150">
        <f>IFERROR(VLOOKUP(A252,'Master Modelo'!A:I,4,FALSE),0)</f>
        <v>0</v>
      </c>
      <c r="N252" s="128"/>
      <c r="O252" s="129"/>
      <c r="P252" s="9">
        <f t="shared" si="116"/>
        <v>0</v>
      </c>
      <c r="Q252" s="177">
        <f t="shared" si="96"/>
        <v>0</v>
      </c>
      <c r="R252" s="3">
        <f>D252*E252*'Entrada e Saida'!$K$8</f>
        <v>0</v>
      </c>
      <c r="S252" s="179" t="e">
        <f>'Entrada e Saida'!$H$21*'Entrada e Saida'!$K$8*(P252/(SUM(P:P)))</f>
        <v>#DIV/0!</v>
      </c>
      <c r="T252" s="179" t="e">
        <f>'Entrada e Saida'!$H$21*'Entrada e Saida'!$K$8*(Q252/(SUM(Q:Q)))</f>
        <v>#DIV/0!</v>
      </c>
      <c r="U252" s="179" t="e">
        <f>'Entrada e Saida'!$H$22*(P252/(SUM(P:P)))</f>
        <v>#DIV/0!</v>
      </c>
      <c r="V252" s="179" t="e">
        <f>'Entrada e Saida'!$H$22*(Q252/(SUM(Q:Q)))</f>
        <v>#DIV/0!</v>
      </c>
      <c r="W252" s="8" t="e">
        <f t="shared" si="117"/>
        <v>#DIV/0!</v>
      </c>
      <c r="X252" s="179" t="e">
        <f>'Entrada e Saida'!$H$26*(IF('Entrada e Saida'!$H$15="PESO",(P252/(SUM(P:P))),(Q252/(SUM(Q:Q)))))</f>
        <v>#DIV/0!</v>
      </c>
      <c r="Y252" s="179" t="e">
        <f>'Entrada e Saida'!$H$27*(IF('Entrada e Saida'!$H$15="PESO",(P252/(SUM(P:P))),(Q252/(SUM(Q:Q)))))</f>
        <v>#DIV/0!</v>
      </c>
      <c r="Z252" s="179" t="e">
        <f>'Entrada e Saida'!$H$28*(IF('Entrada e Saida'!$H$15="PESO",(P252/(SUM(P:P))),(Q252/(SUM(Q:Q)))))</f>
        <v>#DIV/0!</v>
      </c>
      <c r="AA252" s="10" t="e">
        <f t="shared" si="118"/>
        <v>#DIV/0!</v>
      </c>
      <c r="AB252" s="3" t="e">
        <f t="shared" si="119"/>
        <v>#DIV/0!</v>
      </c>
      <c r="AC252" s="3" t="e">
        <f t="shared" si="120"/>
        <v>#DIV/0!</v>
      </c>
      <c r="AD252" s="3" t="e">
        <f t="shared" si="121"/>
        <v>#DIV/0!</v>
      </c>
      <c r="AE252" s="9" t="e">
        <f t="shared" si="122"/>
        <v>#DIV/0!</v>
      </c>
      <c r="AF252" s="126">
        <f>IFERROR(D252*F252*L252*'Entrada e Saida'!$K$8,0)</f>
        <v>0</v>
      </c>
      <c r="AG252" s="3" t="e">
        <f>((W252+AA252+AB252+AC252+AD252+AE252+AF252)/(1-'Entrada e Saida'!$G$65))*'Entrada e Saida'!$I$66</f>
        <v>#DIV/0!</v>
      </c>
      <c r="AH252" s="8" t="e">
        <f t="shared" si="123"/>
        <v>#DIV/0!</v>
      </c>
      <c r="AI252" s="183" t="e">
        <f>'Entrada e Saida'!$K$51*(IF('Entrada e Saida'!$H$15="PESO",(P252/(SUM(P:P))),(Q252/(SUM(Q:Q)))))</f>
        <v>#DIV/0!</v>
      </c>
      <c r="AJ252" s="7">
        <f>(('Entrada e Saida'!$K$10-'Entrada e Saida'!$K$8)*E252*D252)</f>
        <v>0</v>
      </c>
      <c r="AK252" s="184" t="e">
        <f>IF('Entrada e Saida'!$H$15="PESO",W252+AA252+AH252+AI252+AJ252,W252+AA252+AH252+AI252+AJ252-S252+T252-U252+V252)</f>
        <v>#DIV/0!</v>
      </c>
      <c r="AL252" s="6" t="e">
        <f>IF('Entrada e Saida'!$H$12="REAL",AC252,0)</f>
        <v>#DIV/0!</v>
      </c>
      <c r="AM252" s="6" t="e">
        <f>IF('Entrada e Saida'!$H$12="REAL",AD252,0)</f>
        <v>#DIV/0!</v>
      </c>
      <c r="AN252" s="5" t="e">
        <f>IF('Entrada e Saida'!$H$13= "NÃO",AE252,0)</f>
        <v>#DIV/0!</v>
      </c>
      <c r="AO252" s="5" t="e">
        <f t="shared" si="124"/>
        <v>#DIV/0!</v>
      </c>
      <c r="AP252" s="4" t="e">
        <f t="shared" si="125"/>
        <v>#DIV/0!</v>
      </c>
      <c r="AQ252" s="3" t="e">
        <f>IF('Entrada e Saida'!$H$11="TRADING",AU252*'Custo Resumido'!D252,0)</f>
        <v>#DIV/0!</v>
      </c>
      <c r="AR252" s="3" t="e">
        <f>IF('Entrada e Saida'!$H$11="TRADING",AU252*'Entrada e Saida'!$G$63,0)</f>
        <v>#DIV/0!</v>
      </c>
      <c r="AS252" s="3" t="e">
        <f>IF('Entrada e Saida'!$H$11="TRADING",AU252*'Entrada e Saida'!$G$64,0)</f>
        <v>#DIV/0!</v>
      </c>
      <c r="AT252" s="3" t="e">
        <f>IF('Entrada e Saida'!$H$11="TRADING",AU252*'Entrada e Saida'!$G$65,0)</f>
        <v>#DIV/0!</v>
      </c>
      <c r="AU252" s="4" t="e">
        <f>IF('Entrada e Saida'!$H$11="TRADING",AP252/(1-(SUM('Entrada e Saida'!$G$63:$G$65)+'Custo Resumido'!D252)),0)</f>
        <v>#DIV/0!</v>
      </c>
      <c r="AV252" s="3" t="e">
        <f>IF('Entrada e Saida'!$H$13="NÃO",AU252*M252,0)</f>
        <v>#DIV/0!</v>
      </c>
      <c r="AW252" s="4" t="e">
        <f t="shared" si="126"/>
        <v>#DIV/0!</v>
      </c>
      <c r="AX252" s="3" t="e">
        <f>'Entrada e Saida'!$G$74*AU252</f>
        <v>#DIV/0!</v>
      </c>
      <c r="AY252" s="4" t="e">
        <f t="shared" si="127"/>
        <v>#DIV/0!</v>
      </c>
      <c r="AZ252" s="4" t="e">
        <f>AQ252+('Entrada e Saida'!$G$65-'Entrada e Saida'!$I$65)*AU252-AX252</f>
        <v>#DIV/0!</v>
      </c>
      <c r="BA252" s="3" t="e">
        <f>IF('Entrada e Saida'!$H$12="REAL",AZ252*'Entrada e Saida'!$G$81,AU252*'Entrada e Saida'!$G$81)</f>
        <v>#DIV/0!</v>
      </c>
      <c r="BB252" s="3" t="e">
        <f>IF('Entrada e Saida'!$H$12="REAL",AZ252*'Entrada e Saida'!$G$82,AU252*'Entrada e Saida'!$G$82)</f>
        <v>#DIV/0!</v>
      </c>
      <c r="BC252" s="4" t="e">
        <f t="shared" si="128"/>
        <v>#DIV/0!</v>
      </c>
      <c r="BD252" s="3" t="e">
        <f>IF('Entrada e Saida'!$H$11="TRADING",AW252/D252,AK252/D252)</f>
        <v>#DIV/0!</v>
      </c>
      <c r="BE252" s="3" t="e">
        <f t="shared" si="129"/>
        <v>#DIV/0!</v>
      </c>
      <c r="BF252" s="2" t="e">
        <f t="shared" si="130"/>
        <v>#DIV/0!</v>
      </c>
      <c r="BG252" s="3" t="e">
        <f>IF('Entrada e Saida'!$H$11="TRADING",AV252/D252,AN252/D252)</f>
        <v>#DIV/0!</v>
      </c>
      <c r="BH252" s="3" t="e">
        <f>IF('Entrada e Saida'!$H$11="TRADING",IF('Entrada e Saida'!$H$12="REAL",AR252/D252,0),AL252/D252)</f>
        <v>#DIV/0!</v>
      </c>
      <c r="BI252" s="3" t="e">
        <f>IF('Entrada e Saida'!$H$11="TRADING",IF('Entrada e Saida'!$H$12="REAL",AS252/D252,0),AM252/D252)</f>
        <v>#DIV/0!</v>
      </c>
      <c r="BJ252" s="3" t="e">
        <f>IF('Entrada e Saida'!$H$11="TRADING",AT252/D252,AO252/D252)</f>
        <v>#DIV/0!</v>
      </c>
      <c r="BK252" s="2" t="e">
        <f t="shared" si="131"/>
        <v>#DIV/0!</v>
      </c>
      <c r="BL252" s="2">
        <f>IF(O252&gt;0,IFERROR(IF('Entrada e Saida'!$H$11="DIRETA",0,(IF('Entrada e Saida'!$H$14="P.JURIDICA",(BD252*(1+O252)*N252)-((BD252/(1+M252))*'Entrada e Saida'!$G$65),((Produtos!N252-'Entrada e Saida'!$G$65)*Produtos!BD252)))),0),0)</f>
        <v>0</v>
      </c>
      <c r="BM252" s="2" t="e">
        <f t="shared" si="132"/>
        <v>#DIV/0!</v>
      </c>
    </row>
    <row r="253" spans="1:65" s="1" customFormat="1">
      <c r="A253" s="127"/>
      <c r="B253" s="114"/>
      <c r="C253" s="116"/>
      <c r="D253" s="146"/>
      <c r="E253" s="115">
        <f>IFERROR(VLOOKUP(A253,'Master Modelo'!A:I,9,FALSE),0)</f>
        <v>0</v>
      </c>
      <c r="F253" s="189">
        <f>IFERROR(VLOOKUP(A253,'Master Modelo'!A:I,8,FALSE),0)</f>
        <v>0</v>
      </c>
      <c r="G253" s="189">
        <f>IFERROR(VLOOKUP(A253,'Master Modelo'!A:K,11,FALSE),0)</f>
        <v>0</v>
      </c>
      <c r="H253" s="114" t="e">
        <f t="shared" si="115"/>
        <v>#DIV/0!</v>
      </c>
      <c r="I253" s="150">
        <f>IFERROR(VLOOKUP(A253,'Master Modelo'!A:I,3,FALSE),0)</f>
        <v>0</v>
      </c>
      <c r="J253" s="151">
        <f>IFERROR(VLOOKUP(A253,'Master Modelo'!A:I,5,FALSE),0)</f>
        <v>0</v>
      </c>
      <c r="K253" s="151">
        <f>IFERROR(VLOOKUP(A253,'Master Modelo'!A:I,6,FALSE),0)</f>
        <v>0</v>
      </c>
      <c r="L253" s="152" t="e">
        <f>VLOOKUP(A253,'Master Modelo'!A:J,10,FALSE)</f>
        <v>#N/A</v>
      </c>
      <c r="M253" s="150">
        <f>IFERROR(VLOOKUP(A253,'Master Modelo'!A:I,4,FALSE),0)</f>
        <v>0</v>
      </c>
      <c r="N253" s="128"/>
      <c r="O253" s="129"/>
      <c r="P253" s="9">
        <f t="shared" si="116"/>
        <v>0</v>
      </c>
      <c r="Q253" s="177">
        <f t="shared" si="96"/>
        <v>0</v>
      </c>
      <c r="R253" s="3">
        <f>D253*E253*'Entrada e Saida'!$K$8</f>
        <v>0</v>
      </c>
      <c r="S253" s="179" t="e">
        <f>'Entrada e Saida'!$H$21*'Entrada e Saida'!$K$8*(P253/(SUM(P:P)))</f>
        <v>#DIV/0!</v>
      </c>
      <c r="T253" s="179" t="e">
        <f>'Entrada e Saida'!$H$21*'Entrada e Saida'!$K$8*(Q253/(SUM(Q:Q)))</f>
        <v>#DIV/0!</v>
      </c>
      <c r="U253" s="179" t="e">
        <f>'Entrada e Saida'!$H$22*(P253/(SUM(P:P)))</f>
        <v>#DIV/0!</v>
      </c>
      <c r="V253" s="179" t="e">
        <f>'Entrada e Saida'!$H$22*(Q253/(SUM(Q:Q)))</f>
        <v>#DIV/0!</v>
      </c>
      <c r="W253" s="8" t="e">
        <f t="shared" si="117"/>
        <v>#DIV/0!</v>
      </c>
      <c r="X253" s="179" t="e">
        <f>'Entrada e Saida'!$H$26*(IF('Entrada e Saida'!$H$15="PESO",(P253/(SUM(P:P))),(Q253/(SUM(Q:Q)))))</f>
        <v>#DIV/0!</v>
      </c>
      <c r="Y253" s="179" t="e">
        <f>'Entrada e Saida'!$H$27*(IF('Entrada e Saida'!$H$15="PESO",(P253/(SUM(P:P))),(Q253/(SUM(Q:Q)))))</f>
        <v>#DIV/0!</v>
      </c>
      <c r="Z253" s="179" t="e">
        <f>'Entrada e Saida'!$H$28*(IF('Entrada e Saida'!$H$15="PESO",(P253/(SUM(P:P))),(Q253/(SUM(Q:Q)))))</f>
        <v>#DIV/0!</v>
      </c>
      <c r="AA253" s="10" t="e">
        <f t="shared" si="118"/>
        <v>#DIV/0!</v>
      </c>
      <c r="AB253" s="3" t="e">
        <f t="shared" si="119"/>
        <v>#DIV/0!</v>
      </c>
      <c r="AC253" s="3" t="e">
        <f t="shared" si="120"/>
        <v>#DIV/0!</v>
      </c>
      <c r="AD253" s="3" t="e">
        <f t="shared" si="121"/>
        <v>#DIV/0!</v>
      </c>
      <c r="AE253" s="9" t="e">
        <f t="shared" si="122"/>
        <v>#DIV/0!</v>
      </c>
      <c r="AF253" s="126">
        <f>IFERROR(D253*F253*L253*'Entrada e Saida'!$K$8,0)</f>
        <v>0</v>
      </c>
      <c r="AG253" s="3" t="e">
        <f>((W253+AA253+AB253+AC253+AD253+AE253+AF253)/(1-'Entrada e Saida'!$G$65))*'Entrada e Saida'!$I$66</f>
        <v>#DIV/0!</v>
      </c>
      <c r="AH253" s="8" t="e">
        <f t="shared" si="123"/>
        <v>#DIV/0!</v>
      </c>
      <c r="AI253" s="183" t="e">
        <f>'Entrada e Saida'!$K$51*(IF('Entrada e Saida'!$H$15="PESO",(P253/(SUM(P:P))),(Q253/(SUM(Q:Q)))))</f>
        <v>#DIV/0!</v>
      </c>
      <c r="AJ253" s="7">
        <f>(('Entrada e Saida'!$K$10-'Entrada e Saida'!$K$8)*E253*D253)</f>
        <v>0</v>
      </c>
      <c r="AK253" s="184" t="e">
        <f>IF('Entrada e Saida'!$H$15="PESO",W253+AA253+AH253+AI253+AJ253,W253+AA253+AH253+AI253+AJ253-S253+T253-U253+V253)</f>
        <v>#DIV/0!</v>
      </c>
      <c r="AL253" s="6" t="e">
        <f>IF('Entrada e Saida'!$H$12="REAL",AC253,0)</f>
        <v>#DIV/0!</v>
      </c>
      <c r="AM253" s="6" t="e">
        <f>IF('Entrada e Saida'!$H$12="REAL",AD253,0)</f>
        <v>#DIV/0!</v>
      </c>
      <c r="AN253" s="5" t="e">
        <f>IF('Entrada e Saida'!$H$13= "NÃO",AE253,0)</f>
        <v>#DIV/0!</v>
      </c>
      <c r="AO253" s="5" t="e">
        <f t="shared" si="124"/>
        <v>#DIV/0!</v>
      </c>
      <c r="AP253" s="4" t="e">
        <f t="shared" si="125"/>
        <v>#DIV/0!</v>
      </c>
      <c r="AQ253" s="3" t="e">
        <f>IF('Entrada e Saida'!$H$11="TRADING",AU253*'Custo Resumido'!D253,0)</f>
        <v>#DIV/0!</v>
      </c>
      <c r="AR253" s="3" t="e">
        <f>IF('Entrada e Saida'!$H$11="TRADING",AU253*'Entrada e Saida'!$G$63,0)</f>
        <v>#DIV/0!</v>
      </c>
      <c r="AS253" s="3" t="e">
        <f>IF('Entrada e Saida'!$H$11="TRADING",AU253*'Entrada e Saida'!$G$64,0)</f>
        <v>#DIV/0!</v>
      </c>
      <c r="AT253" s="3" t="e">
        <f>IF('Entrada e Saida'!$H$11="TRADING",AU253*'Entrada e Saida'!$G$65,0)</f>
        <v>#DIV/0!</v>
      </c>
      <c r="AU253" s="4" t="e">
        <f>IF('Entrada e Saida'!$H$11="TRADING",AP253/(1-(SUM('Entrada e Saida'!$G$63:$G$65)+'Custo Resumido'!D253)),0)</f>
        <v>#DIV/0!</v>
      </c>
      <c r="AV253" s="3" t="e">
        <f>IF('Entrada e Saida'!$H$13="NÃO",AU253*M253,0)</f>
        <v>#DIV/0!</v>
      </c>
      <c r="AW253" s="4" t="e">
        <f t="shared" si="126"/>
        <v>#DIV/0!</v>
      </c>
      <c r="AX253" s="3" t="e">
        <f>'Entrada e Saida'!$G$74*AU253</f>
        <v>#DIV/0!</v>
      </c>
      <c r="AY253" s="4" t="e">
        <f t="shared" si="127"/>
        <v>#DIV/0!</v>
      </c>
      <c r="AZ253" s="4" t="e">
        <f>AQ253+('Entrada e Saida'!$G$65-'Entrada e Saida'!$I$65)*AU253-AX253</f>
        <v>#DIV/0!</v>
      </c>
      <c r="BA253" s="3" t="e">
        <f>IF('Entrada e Saida'!$H$12="REAL",AZ253*'Entrada e Saida'!$G$81,AU253*'Entrada e Saida'!$G$81)</f>
        <v>#DIV/0!</v>
      </c>
      <c r="BB253" s="3" t="e">
        <f>IF('Entrada e Saida'!$H$12="REAL",AZ253*'Entrada e Saida'!$G$82,AU253*'Entrada e Saida'!$G$82)</f>
        <v>#DIV/0!</v>
      </c>
      <c r="BC253" s="4" t="e">
        <f t="shared" si="128"/>
        <v>#DIV/0!</v>
      </c>
      <c r="BD253" s="3" t="e">
        <f>IF('Entrada e Saida'!$H$11="TRADING",AW253/D253,AK253/D253)</f>
        <v>#DIV/0!</v>
      </c>
      <c r="BE253" s="3" t="e">
        <f t="shared" si="129"/>
        <v>#DIV/0!</v>
      </c>
      <c r="BF253" s="2" t="e">
        <f t="shared" si="130"/>
        <v>#DIV/0!</v>
      </c>
      <c r="BG253" s="3" t="e">
        <f>IF('Entrada e Saida'!$H$11="TRADING",AV253/D253,AN253/D253)</f>
        <v>#DIV/0!</v>
      </c>
      <c r="BH253" s="3" t="e">
        <f>IF('Entrada e Saida'!$H$11="TRADING",IF('Entrada e Saida'!$H$12="REAL",AR253/D253,0),AL253/D253)</f>
        <v>#DIV/0!</v>
      </c>
      <c r="BI253" s="3" t="e">
        <f>IF('Entrada e Saida'!$H$11="TRADING",IF('Entrada e Saida'!$H$12="REAL",AS253/D253,0),AM253/D253)</f>
        <v>#DIV/0!</v>
      </c>
      <c r="BJ253" s="3" t="e">
        <f>IF('Entrada e Saida'!$H$11="TRADING",AT253/D253,AO253/D253)</f>
        <v>#DIV/0!</v>
      </c>
      <c r="BK253" s="2" t="e">
        <f t="shared" si="131"/>
        <v>#DIV/0!</v>
      </c>
      <c r="BL253" s="2">
        <f>IF(O253&gt;0,IFERROR(IF('Entrada e Saida'!$H$11="DIRETA",0,(IF('Entrada e Saida'!$H$14="P.JURIDICA",(BD253*(1+O253)*N253)-((BD253/(1+M253))*'Entrada e Saida'!$G$65),((Produtos!N253-'Entrada e Saida'!$G$65)*Produtos!BD253)))),0),0)</f>
        <v>0</v>
      </c>
      <c r="BM253" s="2" t="e">
        <f t="shared" si="132"/>
        <v>#DIV/0!</v>
      </c>
    </row>
    <row r="254" spans="1:65" s="1" customFormat="1">
      <c r="A254" s="127"/>
      <c r="B254" s="114"/>
      <c r="C254" s="116"/>
      <c r="D254" s="146"/>
      <c r="E254" s="115">
        <f>IFERROR(VLOOKUP(A254,'Master Modelo'!A:I,9,FALSE),0)</f>
        <v>0</v>
      </c>
      <c r="F254" s="189">
        <f>IFERROR(VLOOKUP(A254,'Master Modelo'!A:I,8,FALSE),0)</f>
        <v>0</v>
      </c>
      <c r="G254" s="189">
        <f>IFERROR(VLOOKUP(A254,'Master Modelo'!A:K,11,FALSE),0)</f>
        <v>0</v>
      </c>
      <c r="H254" s="114" t="e">
        <f t="shared" si="115"/>
        <v>#DIV/0!</v>
      </c>
      <c r="I254" s="150">
        <f>IFERROR(VLOOKUP(A254,'Master Modelo'!A:I,3,FALSE),0)</f>
        <v>0</v>
      </c>
      <c r="J254" s="151">
        <f>IFERROR(VLOOKUP(A254,'Master Modelo'!A:I,5,FALSE),0)</f>
        <v>0</v>
      </c>
      <c r="K254" s="151">
        <f>IFERROR(VLOOKUP(A254,'Master Modelo'!A:I,6,FALSE),0)</f>
        <v>0</v>
      </c>
      <c r="L254" s="152" t="e">
        <f>VLOOKUP(A254,'Master Modelo'!A:J,10,FALSE)</f>
        <v>#N/A</v>
      </c>
      <c r="M254" s="150">
        <f>IFERROR(VLOOKUP(A254,'Master Modelo'!A:I,4,FALSE),0)</f>
        <v>0</v>
      </c>
      <c r="N254" s="128"/>
      <c r="O254" s="129"/>
      <c r="P254" s="9">
        <f t="shared" si="116"/>
        <v>0</v>
      </c>
      <c r="Q254" s="177">
        <f t="shared" si="96"/>
        <v>0</v>
      </c>
      <c r="R254" s="3">
        <f>D254*E254*'Entrada e Saida'!$K$8</f>
        <v>0</v>
      </c>
      <c r="S254" s="179" t="e">
        <f>'Entrada e Saida'!$H$21*'Entrada e Saida'!$K$8*(P254/(SUM(P:P)))</f>
        <v>#DIV/0!</v>
      </c>
      <c r="T254" s="179" t="e">
        <f>'Entrada e Saida'!$H$21*'Entrada e Saida'!$K$8*(Q254/(SUM(Q:Q)))</f>
        <v>#DIV/0!</v>
      </c>
      <c r="U254" s="179" t="e">
        <f>'Entrada e Saida'!$H$22*(P254/(SUM(P:P)))</f>
        <v>#DIV/0!</v>
      </c>
      <c r="V254" s="179" t="e">
        <f>'Entrada e Saida'!$H$22*(Q254/(SUM(Q:Q)))</f>
        <v>#DIV/0!</v>
      </c>
      <c r="W254" s="8" t="e">
        <f t="shared" si="117"/>
        <v>#DIV/0!</v>
      </c>
      <c r="X254" s="179" t="e">
        <f>'Entrada e Saida'!$H$26*(IF('Entrada e Saida'!$H$15="PESO",(P254/(SUM(P:P))),(Q254/(SUM(Q:Q)))))</f>
        <v>#DIV/0!</v>
      </c>
      <c r="Y254" s="179" t="e">
        <f>'Entrada e Saida'!$H$27*(IF('Entrada e Saida'!$H$15="PESO",(P254/(SUM(P:P))),(Q254/(SUM(Q:Q)))))</f>
        <v>#DIV/0!</v>
      </c>
      <c r="Z254" s="179" t="e">
        <f>'Entrada e Saida'!$H$28*(IF('Entrada e Saida'!$H$15="PESO",(P254/(SUM(P:P))),(Q254/(SUM(Q:Q)))))</f>
        <v>#DIV/0!</v>
      </c>
      <c r="AA254" s="10" t="e">
        <f t="shared" si="118"/>
        <v>#DIV/0!</v>
      </c>
      <c r="AB254" s="3" t="e">
        <f t="shared" si="119"/>
        <v>#DIV/0!</v>
      </c>
      <c r="AC254" s="3" t="e">
        <f t="shared" si="120"/>
        <v>#DIV/0!</v>
      </c>
      <c r="AD254" s="3" t="e">
        <f t="shared" si="121"/>
        <v>#DIV/0!</v>
      </c>
      <c r="AE254" s="9" t="e">
        <f t="shared" si="122"/>
        <v>#DIV/0!</v>
      </c>
      <c r="AF254" s="126">
        <f>IFERROR(D254*F254*L254*'Entrada e Saida'!$K$8,0)</f>
        <v>0</v>
      </c>
      <c r="AG254" s="3" t="e">
        <f>((W254+AA254+AB254+AC254+AD254+AE254+AF254)/(1-'Entrada e Saida'!$G$65))*'Entrada e Saida'!$I$66</f>
        <v>#DIV/0!</v>
      </c>
      <c r="AH254" s="8" t="e">
        <f t="shared" si="123"/>
        <v>#DIV/0!</v>
      </c>
      <c r="AI254" s="183" t="e">
        <f>'Entrada e Saida'!$K$51*(IF('Entrada e Saida'!$H$15="PESO",(P254/(SUM(P:P))),(Q254/(SUM(Q:Q)))))</f>
        <v>#DIV/0!</v>
      </c>
      <c r="AJ254" s="7">
        <f>(('Entrada e Saida'!$K$10-'Entrada e Saida'!$K$8)*E254*D254)</f>
        <v>0</v>
      </c>
      <c r="AK254" s="184" t="e">
        <f>IF('Entrada e Saida'!$H$15="PESO",W254+AA254+AH254+AI254+AJ254,W254+AA254+AH254+AI254+AJ254-S254+T254-U254+V254)</f>
        <v>#DIV/0!</v>
      </c>
      <c r="AL254" s="6" t="e">
        <f>IF('Entrada e Saida'!$H$12="REAL",AC254,0)</f>
        <v>#DIV/0!</v>
      </c>
      <c r="AM254" s="6" t="e">
        <f>IF('Entrada e Saida'!$H$12="REAL",AD254,0)</f>
        <v>#DIV/0!</v>
      </c>
      <c r="AN254" s="5" t="e">
        <f>IF('Entrada e Saida'!$H$13= "NÃO",AE254,0)</f>
        <v>#DIV/0!</v>
      </c>
      <c r="AO254" s="5" t="e">
        <f t="shared" si="124"/>
        <v>#DIV/0!</v>
      </c>
      <c r="AP254" s="4" t="e">
        <f t="shared" si="125"/>
        <v>#DIV/0!</v>
      </c>
      <c r="AQ254" s="3" t="e">
        <f>IF('Entrada e Saida'!$H$11="TRADING",AU254*'Custo Resumido'!D254,0)</f>
        <v>#DIV/0!</v>
      </c>
      <c r="AR254" s="3" t="e">
        <f>IF('Entrada e Saida'!$H$11="TRADING",AU254*'Entrada e Saida'!$G$63,0)</f>
        <v>#DIV/0!</v>
      </c>
      <c r="AS254" s="3" t="e">
        <f>IF('Entrada e Saida'!$H$11="TRADING",AU254*'Entrada e Saida'!$G$64,0)</f>
        <v>#DIV/0!</v>
      </c>
      <c r="AT254" s="3" t="e">
        <f>IF('Entrada e Saida'!$H$11="TRADING",AU254*'Entrada e Saida'!$G$65,0)</f>
        <v>#DIV/0!</v>
      </c>
      <c r="AU254" s="4" t="e">
        <f>IF('Entrada e Saida'!$H$11="TRADING",AP254/(1-(SUM('Entrada e Saida'!$G$63:$G$65)+'Custo Resumido'!D254)),0)</f>
        <v>#DIV/0!</v>
      </c>
      <c r="AV254" s="3" t="e">
        <f>IF('Entrada e Saida'!$H$13="NÃO",AU254*M254,0)</f>
        <v>#DIV/0!</v>
      </c>
      <c r="AW254" s="4" t="e">
        <f t="shared" si="126"/>
        <v>#DIV/0!</v>
      </c>
      <c r="AX254" s="3" t="e">
        <f>'Entrada e Saida'!$G$74*AU254</f>
        <v>#DIV/0!</v>
      </c>
      <c r="AY254" s="4" t="e">
        <f t="shared" si="127"/>
        <v>#DIV/0!</v>
      </c>
      <c r="AZ254" s="4" t="e">
        <f>AQ254+('Entrada e Saida'!$G$65-'Entrada e Saida'!$I$65)*AU254-AX254</f>
        <v>#DIV/0!</v>
      </c>
      <c r="BA254" s="3" t="e">
        <f>IF('Entrada e Saida'!$H$12="REAL",AZ254*'Entrada e Saida'!$G$81,AU254*'Entrada e Saida'!$G$81)</f>
        <v>#DIV/0!</v>
      </c>
      <c r="BB254" s="3" t="e">
        <f>IF('Entrada e Saida'!$H$12="REAL",AZ254*'Entrada e Saida'!$G$82,AU254*'Entrada e Saida'!$G$82)</f>
        <v>#DIV/0!</v>
      </c>
      <c r="BC254" s="4" t="e">
        <f t="shared" si="128"/>
        <v>#DIV/0!</v>
      </c>
      <c r="BD254" s="3" t="e">
        <f>IF('Entrada e Saida'!$H$11="TRADING",AW254/D254,AK254/D254)</f>
        <v>#DIV/0!</v>
      </c>
      <c r="BE254" s="3" t="e">
        <f t="shared" si="129"/>
        <v>#DIV/0!</v>
      </c>
      <c r="BF254" s="2" t="e">
        <f t="shared" si="130"/>
        <v>#DIV/0!</v>
      </c>
      <c r="BG254" s="3" t="e">
        <f>IF('Entrada e Saida'!$H$11="TRADING",AV254/D254,AN254/D254)</f>
        <v>#DIV/0!</v>
      </c>
      <c r="BH254" s="3" t="e">
        <f>IF('Entrada e Saida'!$H$11="TRADING",IF('Entrada e Saida'!$H$12="REAL",AR254/D254,0),AL254/D254)</f>
        <v>#DIV/0!</v>
      </c>
      <c r="BI254" s="3" t="e">
        <f>IF('Entrada e Saida'!$H$11="TRADING",IF('Entrada e Saida'!$H$12="REAL",AS254/D254,0),AM254/D254)</f>
        <v>#DIV/0!</v>
      </c>
      <c r="BJ254" s="3" t="e">
        <f>IF('Entrada e Saida'!$H$11="TRADING",AT254/D254,AO254/D254)</f>
        <v>#DIV/0!</v>
      </c>
      <c r="BK254" s="2" t="e">
        <f t="shared" si="131"/>
        <v>#DIV/0!</v>
      </c>
      <c r="BL254" s="2">
        <f>IF(O254&gt;0,IFERROR(IF('Entrada e Saida'!$H$11="DIRETA",0,(IF('Entrada e Saida'!$H$14="P.JURIDICA",(BD254*(1+O254)*N254)-((BD254/(1+M254))*'Entrada e Saida'!$G$65),((Produtos!N254-'Entrada e Saida'!$G$65)*Produtos!BD254)))),0),0)</f>
        <v>0</v>
      </c>
      <c r="BM254" s="2" t="e">
        <f t="shared" si="132"/>
        <v>#DIV/0!</v>
      </c>
    </row>
    <row r="255" spans="1:65" s="1" customFormat="1">
      <c r="A255" s="127"/>
      <c r="B255" s="114"/>
      <c r="C255" s="116"/>
      <c r="D255" s="146"/>
      <c r="E255" s="115">
        <f>IFERROR(VLOOKUP(A255,'Master Modelo'!A:I,9,FALSE),0)</f>
        <v>0</v>
      </c>
      <c r="F255" s="189">
        <f>IFERROR(VLOOKUP(A255,'Master Modelo'!A:I,8,FALSE),0)</f>
        <v>0</v>
      </c>
      <c r="G255" s="189">
        <f>IFERROR(VLOOKUP(A255,'Master Modelo'!A:K,11,FALSE),0)</f>
        <v>0</v>
      </c>
      <c r="H255" s="114" t="e">
        <f t="shared" si="115"/>
        <v>#DIV/0!</v>
      </c>
      <c r="I255" s="150">
        <f>IFERROR(VLOOKUP(A255,'Master Modelo'!A:I,3,FALSE),0)</f>
        <v>0</v>
      </c>
      <c r="J255" s="151">
        <f>IFERROR(VLOOKUP(A255,'Master Modelo'!A:I,5,FALSE),0)</f>
        <v>0</v>
      </c>
      <c r="K255" s="151">
        <f>IFERROR(VLOOKUP(A255,'Master Modelo'!A:I,6,FALSE),0)</f>
        <v>0</v>
      </c>
      <c r="L255" s="152" t="e">
        <f>VLOOKUP(A255,'Master Modelo'!A:J,10,FALSE)</f>
        <v>#N/A</v>
      </c>
      <c r="M255" s="150">
        <f>IFERROR(VLOOKUP(A255,'Master Modelo'!A:I,4,FALSE),0)</f>
        <v>0</v>
      </c>
      <c r="N255" s="128"/>
      <c r="O255" s="129"/>
      <c r="P255" s="9">
        <f t="shared" si="116"/>
        <v>0</v>
      </c>
      <c r="Q255" s="177">
        <f t="shared" si="96"/>
        <v>0</v>
      </c>
      <c r="R255" s="3">
        <f>D255*E255*'Entrada e Saida'!$K$8</f>
        <v>0</v>
      </c>
      <c r="S255" s="179" t="e">
        <f>'Entrada e Saida'!$H$21*'Entrada e Saida'!$K$8*(P255/(SUM(P:P)))</f>
        <v>#DIV/0!</v>
      </c>
      <c r="T255" s="179" t="e">
        <f>'Entrada e Saida'!$H$21*'Entrada e Saida'!$K$8*(Q255/(SUM(Q:Q)))</f>
        <v>#DIV/0!</v>
      </c>
      <c r="U255" s="179" t="e">
        <f>'Entrada e Saida'!$H$22*(P255/(SUM(P:P)))</f>
        <v>#DIV/0!</v>
      </c>
      <c r="V255" s="179" t="e">
        <f>'Entrada e Saida'!$H$22*(Q255/(SUM(Q:Q)))</f>
        <v>#DIV/0!</v>
      </c>
      <c r="W255" s="8" t="e">
        <f t="shared" si="117"/>
        <v>#DIV/0!</v>
      </c>
      <c r="X255" s="179" t="e">
        <f>'Entrada e Saida'!$H$26*(IF('Entrada e Saida'!$H$15="PESO",(P255/(SUM(P:P))),(Q255/(SUM(Q:Q)))))</f>
        <v>#DIV/0!</v>
      </c>
      <c r="Y255" s="179" t="e">
        <f>'Entrada e Saida'!$H$27*(IF('Entrada e Saida'!$H$15="PESO",(P255/(SUM(P:P))),(Q255/(SUM(Q:Q)))))</f>
        <v>#DIV/0!</v>
      </c>
      <c r="Z255" s="179" t="e">
        <f>'Entrada e Saida'!$H$28*(IF('Entrada e Saida'!$H$15="PESO",(P255/(SUM(P:P))),(Q255/(SUM(Q:Q)))))</f>
        <v>#DIV/0!</v>
      </c>
      <c r="AA255" s="10" t="e">
        <f t="shared" si="118"/>
        <v>#DIV/0!</v>
      </c>
      <c r="AB255" s="3" t="e">
        <f t="shared" si="119"/>
        <v>#DIV/0!</v>
      </c>
      <c r="AC255" s="3" t="e">
        <f t="shared" si="120"/>
        <v>#DIV/0!</v>
      </c>
      <c r="AD255" s="3" t="e">
        <f t="shared" si="121"/>
        <v>#DIV/0!</v>
      </c>
      <c r="AE255" s="9" t="e">
        <f t="shared" si="122"/>
        <v>#DIV/0!</v>
      </c>
      <c r="AF255" s="126">
        <f>IFERROR(D255*F255*L255*'Entrada e Saida'!$K$8,0)</f>
        <v>0</v>
      </c>
      <c r="AG255" s="3" t="e">
        <f>((W255+AA255+AB255+AC255+AD255+AE255+AF255)/(1-'Entrada e Saida'!$G$65))*'Entrada e Saida'!$I$66</f>
        <v>#DIV/0!</v>
      </c>
      <c r="AH255" s="8" t="e">
        <f t="shared" si="123"/>
        <v>#DIV/0!</v>
      </c>
      <c r="AI255" s="183" t="e">
        <f>'Entrada e Saida'!$K$51*(IF('Entrada e Saida'!$H$15="PESO",(P255/(SUM(P:P))),(Q255/(SUM(Q:Q)))))</f>
        <v>#DIV/0!</v>
      </c>
      <c r="AJ255" s="7">
        <f>(('Entrada e Saida'!$K$10-'Entrada e Saida'!$K$8)*E255*D255)</f>
        <v>0</v>
      </c>
      <c r="AK255" s="184" t="e">
        <f>IF('Entrada e Saida'!$H$15="PESO",W255+AA255+AH255+AI255+AJ255,W255+AA255+AH255+AI255+AJ255-S255+T255-U255+V255)</f>
        <v>#DIV/0!</v>
      </c>
      <c r="AL255" s="6" t="e">
        <f>IF('Entrada e Saida'!$H$12="REAL",AC255,0)</f>
        <v>#DIV/0!</v>
      </c>
      <c r="AM255" s="6" t="e">
        <f>IF('Entrada e Saida'!$H$12="REAL",AD255,0)</f>
        <v>#DIV/0!</v>
      </c>
      <c r="AN255" s="5" t="e">
        <f>IF('Entrada e Saida'!$H$13= "NÃO",AE255,0)</f>
        <v>#DIV/0!</v>
      </c>
      <c r="AO255" s="5" t="e">
        <f t="shared" si="124"/>
        <v>#DIV/0!</v>
      </c>
      <c r="AP255" s="4" t="e">
        <f t="shared" si="125"/>
        <v>#DIV/0!</v>
      </c>
      <c r="AQ255" s="3" t="e">
        <f>IF('Entrada e Saida'!$H$11="TRADING",AU255*'Custo Resumido'!D255,0)</f>
        <v>#DIV/0!</v>
      </c>
      <c r="AR255" s="3" t="e">
        <f>IF('Entrada e Saida'!$H$11="TRADING",AU255*'Entrada e Saida'!$G$63,0)</f>
        <v>#DIV/0!</v>
      </c>
      <c r="AS255" s="3" t="e">
        <f>IF('Entrada e Saida'!$H$11="TRADING",AU255*'Entrada e Saida'!$G$64,0)</f>
        <v>#DIV/0!</v>
      </c>
      <c r="AT255" s="3" t="e">
        <f>IF('Entrada e Saida'!$H$11="TRADING",AU255*'Entrada e Saida'!$G$65,0)</f>
        <v>#DIV/0!</v>
      </c>
      <c r="AU255" s="4" t="e">
        <f>IF('Entrada e Saida'!$H$11="TRADING",AP255/(1-(SUM('Entrada e Saida'!$G$63:$G$65)+'Custo Resumido'!D255)),0)</f>
        <v>#DIV/0!</v>
      </c>
      <c r="AV255" s="3" t="e">
        <f>IF('Entrada e Saida'!$H$13="NÃO",AU255*M255,0)</f>
        <v>#DIV/0!</v>
      </c>
      <c r="AW255" s="4" t="e">
        <f t="shared" si="126"/>
        <v>#DIV/0!</v>
      </c>
      <c r="AX255" s="3" t="e">
        <f>'Entrada e Saida'!$G$74*AU255</f>
        <v>#DIV/0!</v>
      </c>
      <c r="AY255" s="4" t="e">
        <f t="shared" si="127"/>
        <v>#DIV/0!</v>
      </c>
      <c r="AZ255" s="4" t="e">
        <f>AQ255+('Entrada e Saida'!$G$65-'Entrada e Saida'!$I$65)*AU255-AX255</f>
        <v>#DIV/0!</v>
      </c>
      <c r="BA255" s="3" t="e">
        <f>IF('Entrada e Saida'!$H$12="REAL",AZ255*'Entrada e Saida'!$G$81,AU255*'Entrada e Saida'!$G$81)</f>
        <v>#DIV/0!</v>
      </c>
      <c r="BB255" s="3" t="e">
        <f>IF('Entrada e Saida'!$H$12="REAL",AZ255*'Entrada e Saida'!$G$82,AU255*'Entrada e Saida'!$G$82)</f>
        <v>#DIV/0!</v>
      </c>
      <c r="BC255" s="4" t="e">
        <f t="shared" si="128"/>
        <v>#DIV/0!</v>
      </c>
      <c r="BD255" s="3" t="e">
        <f>IF('Entrada e Saida'!$H$11="TRADING",AW255/D255,AK255/D255)</f>
        <v>#DIV/0!</v>
      </c>
      <c r="BE255" s="3" t="e">
        <f t="shared" si="129"/>
        <v>#DIV/0!</v>
      </c>
      <c r="BF255" s="2" t="e">
        <f t="shared" si="130"/>
        <v>#DIV/0!</v>
      </c>
      <c r="BG255" s="3" t="e">
        <f>IF('Entrada e Saida'!$H$11="TRADING",AV255/D255,AN255/D255)</f>
        <v>#DIV/0!</v>
      </c>
      <c r="BH255" s="3" t="e">
        <f>IF('Entrada e Saida'!$H$11="TRADING",IF('Entrada e Saida'!$H$12="REAL",AR255/D255,0),AL255/D255)</f>
        <v>#DIV/0!</v>
      </c>
      <c r="BI255" s="3" t="e">
        <f>IF('Entrada e Saida'!$H$11="TRADING",IF('Entrada e Saida'!$H$12="REAL",AS255/D255,0),AM255/D255)</f>
        <v>#DIV/0!</v>
      </c>
      <c r="BJ255" s="3" t="e">
        <f>IF('Entrada e Saida'!$H$11="TRADING",AT255/D255,AO255/D255)</f>
        <v>#DIV/0!</v>
      </c>
      <c r="BK255" s="2" t="e">
        <f t="shared" si="131"/>
        <v>#DIV/0!</v>
      </c>
      <c r="BL255" s="2">
        <f>IF(O255&gt;0,IFERROR(IF('Entrada e Saida'!$H$11="DIRETA",0,(IF('Entrada e Saida'!$H$14="P.JURIDICA",(BD255*(1+O255)*N255)-((BD255/(1+M255))*'Entrada e Saida'!$G$65),((Produtos!N255-'Entrada e Saida'!$G$65)*Produtos!BD255)))),0),0)</f>
        <v>0</v>
      </c>
      <c r="BM255" s="2" t="e">
        <f t="shared" si="132"/>
        <v>#DIV/0!</v>
      </c>
    </row>
    <row r="256" spans="1:65" s="1" customFormat="1">
      <c r="A256" s="127"/>
      <c r="B256" s="114"/>
      <c r="C256" s="116"/>
      <c r="D256" s="146"/>
      <c r="E256" s="115">
        <f>IFERROR(VLOOKUP(A256,'Master Modelo'!A:I,9,FALSE),0)</f>
        <v>0</v>
      </c>
      <c r="F256" s="189">
        <f>IFERROR(VLOOKUP(A256,'Master Modelo'!A:I,8,FALSE),0)</f>
        <v>0</v>
      </c>
      <c r="G256" s="189">
        <f>IFERROR(VLOOKUP(A256,'Master Modelo'!A:K,11,FALSE),0)</f>
        <v>0</v>
      </c>
      <c r="H256" s="114" t="e">
        <f t="shared" si="115"/>
        <v>#DIV/0!</v>
      </c>
      <c r="I256" s="150">
        <f>IFERROR(VLOOKUP(A256,'Master Modelo'!A:I,3,FALSE),0)</f>
        <v>0</v>
      </c>
      <c r="J256" s="151">
        <f>IFERROR(VLOOKUP(A256,'Master Modelo'!A:I,5,FALSE),0)</f>
        <v>0</v>
      </c>
      <c r="K256" s="151">
        <f>IFERROR(VLOOKUP(A256,'Master Modelo'!A:I,6,FALSE),0)</f>
        <v>0</v>
      </c>
      <c r="L256" s="152" t="e">
        <f>VLOOKUP(A256,'Master Modelo'!A:J,10,FALSE)</f>
        <v>#N/A</v>
      </c>
      <c r="M256" s="150">
        <f>IFERROR(VLOOKUP(A256,'Master Modelo'!A:I,4,FALSE),0)</f>
        <v>0</v>
      </c>
      <c r="N256" s="128"/>
      <c r="O256" s="129"/>
      <c r="P256" s="9">
        <f t="shared" si="116"/>
        <v>0</v>
      </c>
      <c r="Q256" s="177">
        <f t="shared" si="96"/>
        <v>0</v>
      </c>
      <c r="R256" s="3">
        <f>D256*E256*'Entrada e Saida'!$K$8</f>
        <v>0</v>
      </c>
      <c r="S256" s="179" t="e">
        <f>'Entrada e Saida'!$H$21*'Entrada e Saida'!$K$8*(P256/(SUM(P:P)))</f>
        <v>#DIV/0!</v>
      </c>
      <c r="T256" s="179" t="e">
        <f>'Entrada e Saida'!$H$21*'Entrada e Saida'!$K$8*(Q256/(SUM(Q:Q)))</f>
        <v>#DIV/0!</v>
      </c>
      <c r="U256" s="179" t="e">
        <f>'Entrada e Saida'!$H$22*(P256/(SUM(P:P)))</f>
        <v>#DIV/0!</v>
      </c>
      <c r="V256" s="179" t="e">
        <f>'Entrada e Saida'!$H$22*(Q256/(SUM(Q:Q)))</f>
        <v>#DIV/0!</v>
      </c>
      <c r="W256" s="8" t="e">
        <f t="shared" si="117"/>
        <v>#DIV/0!</v>
      </c>
      <c r="X256" s="179" t="e">
        <f>'Entrada e Saida'!$H$26*(IF('Entrada e Saida'!$H$15="PESO",(P256/(SUM(P:P))),(Q256/(SUM(Q:Q)))))</f>
        <v>#DIV/0!</v>
      </c>
      <c r="Y256" s="179" t="e">
        <f>'Entrada e Saida'!$H$27*(IF('Entrada e Saida'!$H$15="PESO",(P256/(SUM(P:P))),(Q256/(SUM(Q:Q)))))</f>
        <v>#DIV/0!</v>
      </c>
      <c r="Z256" s="179" t="e">
        <f>'Entrada e Saida'!$H$28*(IF('Entrada e Saida'!$H$15="PESO",(P256/(SUM(P:P))),(Q256/(SUM(Q:Q)))))</f>
        <v>#DIV/0!</v>
      </c>
      <c r="AA256" s="10" t="e">
        <f t="shared" si="118"/>
        <v>#DIV/0!</v>
      </c>
      <c r="AB256" s="3" t="e">
        <f t="shared" si="119"/>
        <v>#DIV/0!</v>
      </c>
      <c r="AC256" s="3" t="e">
        <f t="shared" si="120"/>
        <v>#DIV/0!</v>
      </c>
      <c r="AD256" s="3" t="e">
        <f t="shared" si="121"/>
        <v>#DIV/0!</v>
      </c>
      <c r="AE256" s="9" t="e">
        <f t="shared" si="122"/>
        <v>#DIV/0!</v>
      </c>
      <c r="AF256" s="126">
        <f>IFERROR(D256*F256*L256*'Entrada e Saida'!$K$8,0)</f>
        <v>0</v>
      </c>
      <c r="AG256" s="3" t="e">
        <f>((W256+AA256+AB256+AC256+AD256+AE256+AF256)/(1-'Entrada e Saida'!$G$65))*'Entrada e Saida'!$I$66</f>
        <v>#DIV/0!</v>
      </c>
      <c r="AH256" s="8" t="e">
        <f t="shared" si="123"/>
        <v>#DIV/0!</v>
      </c>
      <c r="AI256" s="183" t="e">
        <f>'Entrada e Saida'!$K$51*(IF('Entrada e Saida'!$H$15="PESO",(P256/(SUM(P:P))),(Q256/(SUM(Q:Q)))))</f>
        <v>#DIV/0!</v>
      </c>
      <c r="AJ256" s="7">
        <f>(('Entrada e Saida'!$K$10-'Entrada e Saida'!$K$8)*E256*D256)</f>
        <v>0</v>
      </c>
      <c r="AK256" s="184" t="e">
        <f>IF('Entrada e Saida'!$H$15="PESO",W256+AA256+AH256+AI256+AJ256,W256+AA256+AH256+AI256+AJ256-S256+T256-U256+V256)</f>
        <v>#DIV/0!</v>
      </c>
      <c r="AL256" s="6" t="e">
        <f>IF('Entrada e Saida'!$H$12="REAL",AC256,0)</f>
        <v>#DIV/0!</v>
      </c>
      <c r="AM256" s="6" t="e">
        <f>IF('Entrada e Saida'!$H$12="REAL",AD256,0)</f>
        <v>#DIV/0!</v>
      </c>
      <c r="AN256" s="5" t="e">
        <f>IF('Entrada e Saida'!$H$13= "NÃO",AE256,0)</f>
        <v>#DIV/0!</v>
      </c>
      <c r="AO256" s="5" t="e">
        <f t="shared" si="124"/>
        <v>#DIV/0!</v>
      </c>
      <c r="AP256" s="4" t="e">
        <f t="shared" si="125"/>
        <v>#DIV/0!</v>
      </c>
      <c r="AQ256" s="3" t="e">
        <f>IF('Entrada e Saida'!$H$11="TRADING",AU256*'Custo Resumido'!D256,0)</f>
        <v>#DIV/0!</v>
      </c>
      <c r="AR256" s="3" t="e">
        <f>IF('Entrada e Saida'!$H$11="TRADING",AU256*'Entrada e Saida'!$G$63,0)</f>
        <v>#DIV/0!</v>
      </c>
      <c r="AS256" s="3" t="e">
        <f>IF('Entrada e Saida'!$H$11="TRADING",AU256*'Entrada e Saida'!$G$64,0)</f>
        <v>#DIV/0!</v>
      </c>
      <c r="AT256" s="3" t="e">
        <f>IF('Entrada e Saida'!$H$11="TRADING",AU256*'Entrada e Saida'!$G$65,0)</f>
        <v>#DIV/0!</v>
      </c>
      <c r="AU256" s="4" t="e">
        <f>IF('Entrada e Saida'!$H$11="TRADING",AP256/(1-(SUM('Entrada e Saida'!$G$63:$G$65)+'Custo Resumido'!D256)),0)</f>
        <v>#DIV/0!</v>
      </c>
      <c r="AV256" s="3" t="e">
        <f>IF('Entrada e Saida'!$H$13="NÃO",AU256*M256,0)</f>
        <v>#DIV/0!</v>
      </c>
      <c r="AW256" s="4" t="e">
        <f t="shared" si="126"/>
        <v>#DIV/0!</v>
      </c>
      <c r="AX256" s="3" t="e">
        <f>'Entrada e Saida'!$G$74*AU256</f>
        <v>#DIV/0!</v>
      </c>
      <c r="AY256" s="4" t="e">
        <f t="shared" si="127"/>
        <v>#DIV/0!</v>
      </c>
      <c r="AZ256" s="4" t="e">
        <f>AQ256+('Entrada e Saida'!$G$65-'Entrada e Saida'!$I$65)*AU256-AX256</f>
        <v>#DIV/0!</v>
      </c>
      <c r="BA256" s="3" t="e">
        <f>IF('Entrada e Saida'!$H$12="REAL",AZ256*'Entrada e Saida'!$G$81,AU256*'Entrada e Saida'!$G$81)</f>
        <v>#DIV/0!</v>
      </c>
      <c r="BB256" s="3" t="e">
        <f>IF('Entrada e Saida'!$H$12="REAL",AZ256*'Entrada e Saida'!$G$82,AU256*'Entrada e Saida'!$G$82)</f>
        <v>#DIV/0!</v>
      </c>
      <c r="BC256" s="4" t="e">
        <f t="shared" si="128"/>
        <v>#DIV/0!</v>
      </c>
      <c r="BD256" s="3" t="e">
        <f>IF('Entrada e Saida'!$H$11="TRADING",AW256/D256,AK256/D256)</f>
        <v>#DIV/0!</v>
      </c>
      <c r="BE256" s="3" t="e">
        <f t="shared" si="129"/>
        <v>#DIV/0!</v>
      </c>
      <c r="BF256" s="2" t="e">
        <f t="shared" si="130"/>
        <v>#DIV/0!</v>
      </c>
      <c r="BG256" s="3" t="e">
        <f>IF('Entrada e Saida'!$H$11="TRADING",AV256/D256,AN256/D256)</f>
        <v>#DIV/0!</v>
      </c>
      <c r="BH256" s="3" t="e">
        <f>IF('Entrada e Saida'!$H$11="TRADING",IF('Entrada e Saida'!$H$12="REAL",AR256/D256,0),AL256/D256)</f>
        <v>#DIV/0!</v>
      </c>
      <c r="BI256" s="3" t="e">
        <f>IF('Entrada e Saida'!$H$11="TRADING",IF('Entrada e Saida'!$H$12="REAL",AS256/D256,0),AM256/D256)</f>
        <v>#DIV/0!</v>
      </c>
      <c r="BJ256" s="3" t="e">
        <f>IF('Entrada e Saida'!$H$11="TRADING",AT256/D256,AO256/D256)</f>
        <v>#DIV/0!</v>
      </c>
      <c r="BK256" s="2" t="e">
        <f t="shared" si="131"/>
        <v>#DIV/0!</v>
      </c>
      <c r="BL256" s="2">
        <f>IF(O256&gt;0,IFERROR(IF('Entrada e Saida'!$H$11="DIRETA",0,(IF('Entrada e Saida'!$H$14="P.JURIDICA",(BD256*(1+O256)*N256)-((BD256/(1+M256))*'Entrada e Saida'!$G$65),((Produtos!N256-'Entrada e Saida'!$G$65)*Produtos!BD256)))),0),0)</f>
        <v>0</v>
      </c>
      <c r="BM256" s="2" t="e">
        <f t="shared" si="132"/>
        <v>#DIV/0!</v>
      </c>
    </row>
    <row r="257" spans="1:65" s="1" customFormat="1">
      <c r="A257" s="127"/>
      <c r="B257" s="114"/>
      <c r="C257" s="116"/>
      <c r="D257" s="146"/>
      <c r="E257" s="115">
        <f>IFERROR(VLOOKUP(A257,'Master Modelo'!A:I,9,FALSE),0)</f>
        <v>0</v>
      </c>
      <c r="F257" s="189">
        <f>IFERROR(VLOOKUP(A257,'Master Modelo'!A:I,8,FALSE),0)</f>
        <v>0</v>
      </c>
      <c r="G257" s="189">
        <f>IFERROR(VLOOKUP(A257,'Master Modelo'!A:K,11,FALSE),0)</f>
        <v>0</v>
      </c>
      <c r="H257" s="114" t="e">
        <f t="shared" si="115"/>
        <v>#DIV/0!</v>
      </c>
      <c r="I257" s="150">
        <f>IFERROR(VLOOKUP(A257,'Master Modelo'!A:I,3,FALSE),0)</f>
        <v>0</v>
      </c>
      <c r="J257" s="151">
        <f>IFERROR(VLOOKUP(A257,'Master Modelo'!A:I,5,FALSE),0)</f>
        <v>0</v>
      </c>
      <c r="K257" s="151">
        <f>IFERROR(VLOOKUP(A257,'Master Modelo'!A:I,6,FALSE),0)</f>
        <v>0</v>
      </c>
      <c r="L257" s="152" t="e">
        <f>VLOOKUP(A257,'Master Modelo'!A:J,10,FALSE)</f>
        <v>#N/A</v>
      </c>
      <c r="M257" s="150">
        <f>IFERROR(VLOOKUP(A257,'Master Modelo'!A:I,4,FALSE),0)</f>
        <v>0</v>
      </c>
      <c r="N257" s="128"/>
      <c r="O257" s="129"/>
      <c r="P257" s="9">
        <f t="shared" si="116"/>
        <v>0</v>
      </c>
      <c r="Q257" s="177">
        <f t="shared" ref="Q257:Q320" si="133">D257*G257</f>
        <v>0</v>
      </c>
      <c r="R257" s="3">
        <f>D257*E257*'Entrada e Saida'!$K$8</f>
        <v>0</v>
      </c>
      <c r="S257" s="179" t="e">
        <f>'Entrada e Saida'!$H$21*'Entrada e Saida'!$K$8*(P257/(SUM(P:P)))</f>
        <v>#DIV/0!</v>
      </c>
      <c r="T257" s="179" t="e">
        <f>'Entrada e Saida'!$H$21*'Entrada e Saida'!$K$8*(Q257/(SUM(Q:Q)))</f>
        <v>#DIV/0!</v>
      </c>
      <c r="U257" s="179" t="e">
        <f>'Entrada e Saida'!$H$22*(P257/(SUM(P:P)))</f>
        <v>#DIV/0!</v>
      </c>
      <c r="V257" s="179" t="e">
        <f>'Entrada e Saida'!$H$22*(Q257/(SUM(Q:Q)))</f>
        <v>#DIV/0!</v>
      </c>
      <c r="W257" s="8" t="e">
        <f t="shared" si="117"/>
        <v>#DIV/0!</v>
      </c>
      <c r="X257" s="179" t="e">
        <f>'Entrada e Saida'!$H$26*(IF('Entrada e Saida'!$H$15="PESO",(P257/(SUM(P:P))),(Q257/(SUM(Q:Q)))))</f>
        <v>#DIV/0!</v>
      </c>
      <c r="Y257" s="179" t="e">
        <f>'Entrada e Saida'!$H$27*(IF('Entrada e Saida'!$H$15="PESO",(P257/(SUM(P:P))),(Q257/(SUM(Q:Q)))))</f>
        <v>#DIV/0!</v>
      </c>
      <c r="Z257" s="179" t="e">
        <f>'Entrada e Saida'!$H$28*(IF('Entrada e Saida'!$H$15="PESO",(P257/(SUM(P:P))),(Q257/(SUM(Q:Q)))))</f>
        <v>#DIV/0!</v>
      </c>
      <c r="AA257" s="10" t="e">
        <f t="shared" si="118"/>
        <v>#DIV/0!</v>
      </c>
      <c r="AB257" s="3" t="e">
        <f t="shared" si="119"/>
        <v>#DIV/0!</v>
      </c>
      <c r="AC257" s="3" t="e">
        <f t="shared" si="120"/>
        <v>#DIV/0!</v>
      </c>
      <c r="AD257" s="3" t="e">
        <f t="shared" si="121"/>
        <v>#DIV/0!</v>
      </c>
      <c r="AE257" s="9" t="e">
        <f t="shared" si="122"/>
        <v>#DIV/0!</v>
      </c>
      <c r="AF257" s="126">
        <f>IFERROR(D257*F257*L257*'Entrada e Saida'!$K$8,0)</f>
        <v>0</v>
      </c>
      <c r="AG257" s="3" t="e">
        <f>((W257+AA257+AB257+AC257+AD257+AE257+AF257)/(1-'Entrada e Saida'!$G$65))*'Entrada e Saida'!$I$66</f>
        <v>#DIV/0!</v>
      </c>
      <c r="AH257" s="8" t="e">
        <f t="shared" si="123"/>
        <v>#DIV/0!</v>
      </c>
      <c r="AI257" s="183" t="e">
        <f>'Entrada e Saida'!$K$51*(IF('Entrada e Saida'!$H$15="PESO",(P257/(SUM(P:P))),(Q257/(SUM(Q:Q)))))</f>
        <v>#DIV/0!</v>
      </c>
      <c r="AJ257" s="7">
        <f>(('Entrada e Saida'!$K$10-'Entrada e Saida'!$K$8)*E257*D257)</f>
        <v>0</v>
      </c>
      <c r="AK257" s="184" t="e">
        <f>IF('Entrada e Saida'!$H$15="PESO",W257+AA257+AH257+AI257+AJ257,W257+AA257+AH257+AI257+AJ257-S257+T257-U257+V257)</f>
        <v>#DIV/0!</v>
      </c>
      <c r="AL257" s="6" t="e">
        <f>IF('Entrada e Saida'!$H$12="REAL",AC257,0)</f>
        <v>#DIV/0!</v>
      </c>
      <c r="AM257" s="6" t="e">
        <f>IF('Entrada e Saida'!$H$12="REAL",AD257,0)</f>
        <v>#DIV/0!</v>
      </c>
      <c r="AN257" s="5" t="e">
        <f>IF('Entrada e Saida'!$H$13= "NÃO",AE257,0)</f>
        <v>#DIV/0!</v>
      </c>
      <c r="AO257" s="5" t="e">
        <f t="shared" si="124"/>
        <v>#DIV/0!</v>
      </c>
      <c r="AP257" s="4" t="e">
        <f t="shared" si="125"/>
        <v>#DIV/0!</v>
      </c>
      <c r="AQ257" s="3" t="e">
        <f>IF('Entrada e Saida'!$H$11="TRADING",AU257*'Custo Resumido'!D257,0)</f>
        <v>#DIV/0!</v>
      </c>
      <c r="AR257" s="3" t="e">
        <f>IF('Entrada e Saida'!$H$11="TRADING",AU257*'Entrada e Saida'!$G$63,0)</f>
        <v>#DIV/0!</v>
      </c>
      <c r="AS257" s="3" t="e">
        <f>IF('Entrada e Saida'!$H$11="TRADING",AU257*'Entrada e Saida'!$G$64,0)</f>
        <v>#DIV/0!</v>
      </c>
      <c r="AT257" s="3" t="e">
        <f>IF('Entrada e Saida'!$H$11="TRADING",AU257*'Entrada e Saida'!$G$65,0)</f>
        <v>#DIV/0!</v>
      </c>
      <c r="AU257" s="4" t="e">
        <f>IF('Entrada e Saida'!$H$11="TRADING",AP257/(1-(SUM('Entrada e Saida'!$G$63:$G$65)+'Custo Resumido'!D257)),0)</f>
        <v>#DIV/0!</v>
      </c>
      <c r="AV257" s="3" t="e">
        <f>IF('Entrada e Saida'!$H$13="NÃO",AU257*M257,0)</f>
        <v>#DIV/0!</v>
      </c>
      <c r="AW257" s="4" t="e">
        <f t="shared" si="126"/>
        <v>#DIV/0!</v>
      </c>
      <c r="AX257" s="3" t="e">
        <f>'Entrada e Saida'!$G$74*AU257</f>
        <v>#DIV/0!</v>
      </c>
      <c r="AY257" s="4" t="e">
        <f t="shared" si="127"/>
        <v>#DIV/0!</v>
      </c>
      <c r="AZ257" s="4" t="e">
        <f>AQ257+('Entrada e Saida'!$G$65-'Entrada e Saida'!$I$65)*AU257-AX257</f>
        <v>#DIV/0!</v>
      </c>
      <c r="BA257" s="3" t="e">
        <f>IF('Entrada e Saida'!$H$12="REAL",AZ257*'Entrada e Saida'!$G$81,AU257*'Entrada e Saida'!$G$81)</f>
        <v>#DIV/0!</v>
      </c>
      <c r="BB257" s="3" t="e">
        <f>IF('Entrada e Saida'!$H$12="REAL",AZ257*'Entrada e Saida'!$G$82,AU257*'Entrada e Saida'!$G$82)</f>
        <v>#DIV/0!</v>
      </c>
      <c r="BC257" s="4" t="e">
        <f t="shared" si="128"/>
        <v>#DIV/0!</v>
      </c>
      <c r="BD257" s="3" t="e">
        <f>IF('Entrada e Saida'!$H$11="TRADING",AW257/D257,AK257/D257)</f>
        <v>#DIV/0!</v>
      </c>
      <c r="BE257" s="3" t="e">
        <f t="shared" si="129"/>
        <v>#DIV/0!</v>
      </c>
      <c r="BF257" s="2" t="e">
        <f t="shared" si="130"/>
        <v>#DIV/0!</v>
      </c>
      <c r="BG257" s="3" t="e">
        <f>IF('Entrada e Saida'!$H$11="TRADING",AV257/D257,AN257/D257)</f>
        <v>#DIV/0!</v>
      </c>
      <c r="BH257" s="3" t="e">
        <f>IF('Entrada e Saida'!$H$11="TRADING",IF('Entrada e Saida'!$H$12="REAL",AR257/D257,0),AL257/D257)</f>
        <v>#DIV/0!</v>
      </c>
      <c r="BI257" s="3" t="e">
        <f>IF('Entrada e Saida'!$H$11="TRADING",IF('Entrada e Saida'!$H$12="REAL",AS257/D257,0),AM257/D257)</f>
        <v>#DIV/0!</v>
      </c>
      <c r="BJ257" s="3" t="e">
        <f>IF('Entrada e Saida'!$H$11="TRADING",AT257/D257,AO257/D257)</f>
        <v>#DIV/0!</v>
      </c>
      <c r="BK257" s="2" t="e">
        <f t="shared" si="131"/>
        <v>#DIV/0!</v>
      </c>
      <c r="BL257" s="2">
        <f>IF(O257&gt;0,IFERROR(IF('Entrada e Saida'!$H$11="DIRETA",0,(IF('Entrada e Saida'!$H$14="P.JURIDICA",(BD257*(1+O257)*N257)-((BD257/(1+M257))*'Entrada e Saida'!$G$65),((Produtos!N257-'Entrada e Saida'!$G$65)*Produtos!BD257)))),0),0)</f>
        <v>0</v>
      </c>
      <c r="BM257" s="2" t="e">
        <f t="shared" si="132"/>
        <v>#DIV/0!</v>
      </c>
    </row>
    <row r="258" spans="1:65" s="1" customFormat="1">
      <c r="A258" s="127"/>
      <c r="B258" s="114"/>
      <c r="C258" s="116"/>
      <c r="D258" s="146"/>
      <c r="E258" s="115">
        <f>IFERROR(VLOOKUP(A258,'Master Modelo'!A:I,9,FALSE),0)</f>
        <v>0</v>
      </c>
      <c r="F258" s="189">
        <f>IFERROR(VLOOKUP(A258,'Master Modelo'!A:I,8,FALSE),0)</f>
        <v>0</v>
      </c>
      <c r="G258" s="189">
        <f>IFERROR(VLOOKUP(A258,'Master Modelo'!A:K,11,FALSE),0)</f>
        <v>0</v>
      </c>
      <c r="H258" s="114" t="e">
        <f t="shared" si="115"/>
        <v>#DIV/0!</v>
      </c>
      <c r="I258" s="150">
        <f>IFERROR(VLOOKUP(A258,'Master Modelo'!A:I,3,FALSE),0)</f>
        <v>0</v>
      </c>
      <c r="J258" s="151">
        <f>IFERROR(VLOOKUP(A258,'Master Modelo'!A:I,5,FALSE),0)</f>
        <v>0</v>
      </c>
      <c r="K258" s="151">
        <f>IFERROR(VLOOKUP(A258,'Master Modelo'!A:I,6,FALSE),0)</f>
        <v>0</v>
      </c>
      <c r="L258" s="152" t="e">
        <f>VLOOKUP(A258,'Master Modelo'!A:J,10,FALSE)</f>
        <v>#N/A</v>
      </c>
      <c r="M258" s="150">
        <f>IFERROR(VLOOKUP(A258,'Master Modelo'!A:I,4,FALSE),0)</f>
        <v>0</v>
      </c>
      <c r="N258" s="128"/>
      <c r="O258" s="129"/>
      <c r="P258" s="9">
        <f t="shared" si="116"/>
        <v>0</v>
      </c>
      <c r="Q258" s="177">
        <f t="shared" si="133"/>
        <v>0</v>
      </c>
      <c r="R258" s="3">
        <f>D258*E258*'Entrada e Saida'!$K$8</f>
        <v>0</v>
      </c>
      <c r="S258" s="179" t="e">
        <f>'Entrada e Saida'!$H$21*'Entrada e Saida'!$K$8*(P258/(SUM(P:P)))</f>
        <v>#DIV/0!</v>
      </c>
      <c r="T258" s="179" t="e">
        <f>'Entrada e Saida'!$H$21*'Entrada e Saida'!$K$8*(Q258/(SUM(Q:Q)))</f>
        <v>#DIV/0!</v>
      </c>
      <c r="U258" s="179" t="e">
        <f>'Entrada e Saida'!$H$22*(P258/(SUM(P:P)))</f>
        <v>#DIV/0!</v>
      </c>
      <c r="V258" s="179" t="e">
        <f>'Entrada e Saida'!$H$22*(Q258/(SUM(Q:Q)))</f>
        <v>#DIV/0!</v>
      </c>
      <c r="W258" s="8" t="e">
        <f t="shared" si="117"/>
        <v>#DIV/0!</v>
      </c>
      <c r="X258" s="179" t="e">
        <f>'Entrada e Saida'!$H$26*(IF('Entrada e Saida'!$H$15="PESO",(P258/(SUM(P:P))),(Q258/(SUM(Q:Q)))))</f>
        <v>#DIV/0!</v>
      </c>
      <c r="Y258" s="179" t="e">
        <f>'Entrada e Saida'!$H$27*(IF('Entrada e Saida'!$H$15="PESO",(P258/(SUM(P:P))),(Q258/(SUM(Q:Q)))))</f>
        <v>#DIV/0!</v>
      </c>
      <c r="Z258" s="179" t="e">
        <f>'Entrada e Saida'!$H$28*(IF('Entrada e Saida'!$H$15="PESO",(P258/(SUM(P:P))),(Q258/(SUM(Q:Q)))))</f>
        <v>#DIV/0!</v>
      </c>
      <c r="AA258" s="10" t="e">
        <f t="shared" si="118"/>
        <v>#DIV/0!</v>
      </c>
      <c r="AB258" s="3" t="e">
        <f t="shared" si="119"/>
        <v>#DIV/0!</v>
      </c>
      <c r="AC258" s="3" t="e">
        <f t="shared" si="120"/>
        <v>#DIV/0!</v>
      </c>
      <c r="AD258" s="3" t="e">
        <f t="shared" si="121"/>
        <v>#DIV/0!</v>
      </c>
      <c r="AE258" s="9" t="e">
        <f t="shared" si="122"/>
        <v>#DIV/0!</v>
      </c>
      <c r="AF258" s="126">
        <f>IFERROR(D258*F258*L258*'Entrada e Saida'!$K$8,0)</f>
        <v>0</v>
      </c>
      <c r="AG258" s="3" t="e">
        <f>((W258+AA258+AB258+AC258+AD258+AE258+AF258)/(1-'Entrada e Saida'!$G$65))*'Entrada e Saida'!$I$66</f>
        <v>#DIV/0!</v>
      </c>
      <c r="AH258" s="8" t="e">
        <f t="shared" si="123"/>
        <v>#DIV/0!</v>
      </c>
      <c r="AI258" s="183" t="e">
        <f>'Entrada e Saida'!$K$51*(IF('Entrada e Saida'!$H$15="PESO",(P258/(SUM(P:P))),(Q258/(SUM(Q:Q)))))</f>
        <v>#DIV/0!</v>
      </c>
      <c r="AJ258" s="7">
        <f>(('Entrada e Saida'!$K$10-'Entrada e Saida'!$K$8)*E258*D258)</f>
        <v>0</v>
      </c>
      <c r="AK258" s="184" t="e">
        <f>IF('Entrada e Saida'!$H$15="PESO",W258+AA258+AH258+AI258+AJ258,W258+AA258+AH258+AI258+AJ258-S258+T258-U258+V258)</f>
        <v>#DIV/0!</v>
      </c>
      <c r="AL258" s="6" t="e">
        <f>IF('Entrada e Saida'!$H$12="REAL",AC258,0)</f>
        <v>#DIV/0!</v>
      </c>
      <c r="AM258" s="6" t="e">
        <f>IF('Entrada e Saida'!$H$12="REAL",AD258,0)</f>
        <v>#DIV/0!</v>
      </c>
      <c r="AN258" s="5" t="e">
        <f>IF('Entrada e Saida'!$H$13= "NÃO",AE258,0)</f>
        <v>#DIV/0!</v>
      </c>
      <c r="AO258" s="5" t="e">
        <f t="shared" si="124"/>
        <v>#DIV/0!</v>
      </c>
      <c r="AP258" s="4" t="e">
        <f t="shared" si="125"/>
        <v>#DIV/0!</v>
      </c>
      <c r="AQ258" s="3" t="e">
        <f>IF('Entrada e Saida'!$H$11="TRADING",AU258*'Custo Resumido'!D258,0)</f>
        <v>#DIV/0!</v>
      </c>
      <c r="AR258" s="3" t="e">
        <f>IF('Entrada e Saida'!$H$11="TRADING",AU258*'Entrada e Saida'!$G$63,0)</f>
        <v>#DIV/0!</v>
      </c>
      <c r="AS258" s="3" t="e">
        <f>IF('Entrada e Saida'!$H$11="TRADING",AU258*'Entrada e Saida'!$G$64,0)</f>
        <v>#DIV/0!</v>
      </c>
      <c r="AT258" s="3" t="e">
        <f>IF('Entrada e Saida'!$H$11="TRADING",AU258*'Entrada e Saida'!$G$65,0)</f>
        <v>#DIV/0!</v>
      </c>
      <c r="AU258" s="4" t="e">
        <f>IF('Entrada e Saida'!$H$11="TRADING",AP258/(1-(SUM('Entrada e Saida'!$G$63:$G$65)+'Custo Resumido'!D258)),0)</f>
        <v>#DIV/0!</v>
      </c>
      <c r="AV258" s="3" t="e">
        <f>IF('Entrada e Saida'!$H$13="NÃO",AU258*M258,0)</f>
        <v>#DIV/0!</v>
      </c>
      <c r="AW258" s="4" t="e">
        <f t="shared" si="126"/>
        <v>#DIV/0!</v>
      </c>
      <c r="AX258" s="3" t="e">
        <f>'Entrada e Saida'!$G$74*AU258</f>
        <v>#DIV/0!</v>
      </c>
      <c r="AY258" s="4" t="e">
        <f t="shared" si="127"/>
        <v>#DIV/0!</v>
      </c>
      <c r="AZ258" s="4" t="e">
        <f>AQ258+('Entrada e Saida'!$G$65-'Entrada e Saida'!$I$65)*AU258-AX258</f>
        <v>#DIV/0!</v>
      </c>
      <c r="BA258" s="3" t="e">
        <f>IF('Entrada e Saida'!$H$12="REAL",AZ258*'Entrada e Saida'!$G$81,AU258*'Entrada e Saida'!$G$81)</f>
        <v>#DIV/0!</v>
      </c>
      <c r="BB258" s="3" t="e">
        <f>IF('Entrada e Saida'!$H$12="REAL",AZ258*'Entrada e Saida'!$G$82,AU258*'Entrada e Saida'!$G$82)</f>
        <v>#DIV/0!</v>
      </c>
      <c r="BC258" s="4" t="e">
        <f t="shared" si="128"/>
        <v>#DIV/0!</v>
      </c>
      <c r="BD258" s="3" t="e">
        <f>IF('Entrada e Saida'!$H$11="TRADING",AW258/D258,AK258/D258)</f>
        <v>#DIV/0!</v>
      </c>
      <c r="BE258" s="3" t="e">
        <f t="shared" si="129"/>
        <v>#DIV/0!</v>
      </c>
      <c r="BF258" s="2" t="e">
        <f t="shared" si="130"/>
        <v>#DIV/0!</v>
      </c>
      <c r="BG258" s="3" t="e">
        <f>IF('Entrada e Saida'!$H$11="TRADING",AV258/D258,AN258/D258)</f>
        <v>#DIV/0!</v>
      </c>
      <c r="BH258" s="3" t="e">
        <f>IF('Entrada e Saida'!$H$11="TRADING",IF('Entrada e Saida'!$H$12="REAL",AR258/D258,0),AL258/D258)</f>
        <v>#DIV/0!</v>
      </c>
      <c r="BI258" s="3" t="e">
        <f>IF('Entrada e Saida'!$H$11="TRADING",IF('Entrada e Saida'!$H$12="REAL",AS258/D258,0),AM258/D258)</f>
        <v>#DIV/0!</v>
      </c>
      <c r="BJ258" s="3" t="e">
        <f>IF('Entrada e Saida'!$H$11="TRADING",AT258/D258,AO258/D258)</f>
        <v>#DIV/0!</v>
      </c>
      <c r="BK258" s="2" t="e">
        <f t="shared" si="131"/>
        <v>#DIV/0!</v>
      </c>
      <c r="BL258" s="2">
        <f>IF(O258&gt;0,IFERROR(IF('Entrada e Saida'!$H$11="DIRETA",0,(IF('Entrada e Saida'!$H$14="P.JURIDICA",(BD258*(1+O258)*N258)-((BD258/(1+M258))*'Entrada e Saida'!$G$65),((Produtos!N258-'Entrada e Saida'!$G$65)*Produtos!BD258)))),0),0)</f>
        <v>0</v>
      </c>
      <c r="BM258" s="2" t="e">
        <f t="shared" si="132"/>
        <v>#DIV/0!</v>
      </c>
    </row>
    <row r="259" spans="1:65" s="1" customFormat="1">
      <c r="A259" s="127"/>
      <c r="B259" s="114"/>
      <c r="C259" s="116"/>
      <c r="D259" s="146"/>
      <c r="E259" s="115">
        <f>IFERROR(VLOOKUP(A259,'Master Modelo'!A:I,9,FALSE),0)</f>
        <v>0</v>
      </c>
      <c r="F259" s="189">
        <f>IFERROR(VLOOKUP(A259,'Master Modelo'!A:I,8,FALSE),0)</f>
        <v>0</v>
      </c>
      <c r="G259" s="189">
        <f>IFERROR(VLOOKUP(A259,'Master Modelo'!A:K,11,FALSE),0)</f>
        <v>0</v>
      </c>
      <c r="H259" s="114" t="e">
        <f t="shared" si="115"/>
        <v>#DIV/0!</v>
      </c>
      <c r="I259" s="150">
        <f>IFERROR(VLOOKUP(A259,'Master Modelo'!A:I,3,FALSE),0)</f>
        <v>0</v>
      </c>
      <c r="J259" s="151">
        <f>IFERROR(VLOOKUP(A259,'Master Modelo'!A:I,5,FALSE),0)</f>
        <v>0</v>
      </c>
      <c r="K259" s="151">
        <f>IFERROR(VLOOKUP(A259,'Master Modelo'!A:I,6,FALSE),0)</f>
        <v>0</v>
      </c>
      <c r="L259" s="152" t="e">
        <f>VLOOKUP(A259,'Master Modelo'!A:J,10,FALSE)</f>
        <v>#N/A</v>
      </c>
      <c r="M259" s="150">
        <f>IFERROR(VLOOKUP(A259,'Master Modelo'!A:I,4,FALSE),0)</f>
        <v>0</v>
      </c>
      <c r="N259" s="128"/>
      <c r="O259" s="129"/>
      <c r="P259" s="9">
        <f t="shared" si="116"/>
        <v>0</v>
      </c>
      <c r="Q259" s="177">
        <f t="shared" si="133"/>
        <v>0</v>
      </c>
      <c r="R259" s="3">
        <f>D259*E259*'Entrada e Saida'!$K$8</f>
        <v>0</v>
      </c>
      <c r="S259" s="179" t="e">
        <f>'Entrada e Saida'!$H$21*'Entrada e Saida'!$K$8*(P259/(SUM(P:P)))</f>
        <v>#DIV/0!</v>
      </c>
      <c r="T259" s="179" t="e">
        <f>'Entrada e Saida'!$H$21*'Entrada e Saida'!$K$8*(Q259/(SUM(Q:Q)))</f>
        <v>#DIV/0!</v>
      </c>
      <c r="U259" s="179" t="e">
        <f>'Entrada e Saida'!$H$22*(P259/(SUM(P:P)))</f>
        <v>#DIV/0!</v>
      </c>
      <c r="V259" s="179" t="e">
        <f>'Entrada e Saida'!$H$22*(Q259/(SUM(Q:Q)))</f>
        <v>#DIV/0!</v>
      </c>
      <c r="W259" s="8" t="e">
        <f t="shared" si="117"/>
        <v>#DIV/0!</v>
      </c>
      <c r="X259" s="179" t="e">
        <f>'Entrada e Saida'!$H$26*(IF('Entrada e Saida'!$H$15="PESO",(P259/(SUM(P:P))),(Q259/(SUM(Q:Q)))))</f>
        <v>#DIV/0!</v>
      </c>
      <c r="Y259" s="179" t="e">
        <f>'Entrada e Saida'!$H$27*(IF('Entrada e Saida'!$H$15="PESO",(P259/(SUM(P:P))),(Q259/(SUM(Q:Q)))))</f>
        <v>#DIV/0!</v>
      </c>
      <c r="Z259" s="179" t="e">
        <f>'Entrada e Saida'!$H$28*(IF('Entrada e Saida'!$H$15="PESO",(P259/(SUM(P:P))),(Q259/(SUM(Q:Q)))))</f>
        <v>#DIV/0!</v>
      </c>
      <c r="AA259" s="10" t="e">
        <f t="shared" si="118"/>
        <v>#DIV/0!</v>
      </c>
      <c r="AB259" s="3" t="e">
        <f t="shared" si="119"/>
        <v>#DIV/0!</v>
      </c>
      <c r="AC259" s="3" t="e">
        <f t="shared" si="120"/>
        <v>#DIV/0!</v>
      </c>
      <c r="AD259" s="3" t="e">
        <f t="shared" si="121"/>
        <v>#DIV/0!</v>
      </c>
      <c r="AE259" s="9" t="e">
        <f t="shared" si="122"/>
        <v>#DIV/0!</v>
      </c>
      <c r="AF259" s="126">
        <f>IFERROR(D259*F259*L259*'Entrada e Saida'!$K$8,0)</f>
        <v>0</v>
      </c>
      <c r="AG259" s="3" t="e">
        <f>((W259+AA259+AB259+AC259+AD259+AE259+AF259)/(1-'Entrada e Saida'!$G$65))*'Entrada e Saida'!$I$66</f>
        <v>#DIV/0!</v>
      </c>
      <c r="AH259" s="8" t="e">
        <f t="shared" si="123"/>
        <v>#DIV/0!</v>
      </c>
      <c r="AI259" s="183" t="e">
        <f>'Entrada e Saida'!$K$51*(IF('Entrada e Saida'!$H$15="PESO",(P259/(SUM(P:P))),(Q259/(SUM(Q:Q)))))</f>
        <v>#DIV/0!</v>
      </c>
      <c r="AJ259" s="7">
        <f>(('Entrada e Saida'!$K$10-'Entrada e Saida'!$K$8)*E259*D259)</f>
        <v>0</v>
      </c>
      <c r="AK259" s="184" t="e">
        <f>IF('Entrada e Saida'!$H$15="PESO",W259+AA259+AH259+AI259+AJ259,W259+AA259+AH259+AI259+AJ259-S259+T259-U259+V259)</f>
        <v>#DIV/0!</v>
      </c>
      <c r="AL259" s="6" t="e">
        <f>IF('Entrada e Saida'!$H$12="REAL",AC259,0)</f>
        <v>#DIV/0!</v>
      </c>
      <c r="AM259" s="6" t="e">
        <f>IF('Entrada e Saida'!$H$12="REAL",AD259,0)</f>
        <v>#DIV/0!</v>
      </c>
      <c r="AN259" s="5" t="e">
        <f>IF('Entrada e Saida'!$H$13= "NÃO",AE259,0)</f>
        <v>#DIV/0!</v>
      </c>
      <c r="AO259" s="5" t="e">
        <f t="shared" si="124"/>
        <v>#DIV/0!</v>
      </c>
      <c r="AP259" s="4" t="e">
        <f t="shared" si="125"/>
        <v>#DIV/0!</v>
      </c>
      <c r="AQ259" s="3" t="e">
        <f>IF('Entrada e Saida'!$H$11="TRADING",AU259*'Custo Resumido'!D259,0)</f>
        <v>#DIV/0!</v>
      </c>
      <c r="AR259" s="3" t="e">
        <f>IF('Entrada e Saida'!$H$11="TRADING",AU259*'Entrada e Saida'!$G$63,0)</f>
        <v>#DIV/0!</v>
      </c>
      <c r="AS259" s="3" t="e">
        <f>IF('Entrada e Saida'!$H$11="TRADING",AU259*'Entrada e Saida'!$G$64,0)</f>
        <v>#DIV/0!</v>
      </c>
      <c r="AT259" s="3" t="e">
        <f>IF('Entrada e Saida'!$H$11="TRADING",AU259*'Entrada e Saida'!$G$65,0)</f>
        <v>#DIV/0!</v>
      </c>
      <c r="AU259" s="4" t="e">
        <f>IF('Entrada e Saida'!$H$11="TRADING",AP259/(1-(SUM('Entrada e Saida'!$G$63:$G$65)+'Custo Resumido'!D259)),0)</f>
        <v>#DIV/0!</v>
      </c>
      <c r="AV259" s="3" t="e">
        <f>IF('Entrada e Saida'!$H$13="NÃO",AU259*M259,0)</f>
        <v>#DIV/0!</v>
      </c>
      <c r="AW259" s="4" t="e">
        <f t="shared" si="126"/>
        <v>#DIV/0!</v>
      </c>
      <c r="AX259" s="3" t="e">
        <f>'Entrada e Saida'!$G$74*AU259</f>
        <v>#DIV/0!</v>
      </c>
      <c r="AY259" s="4" t="e">
        <f t="shared" si="127"/>
        <v>#DIV/0!</v>
      </c>
      <c r="AZ259" s="4" t="e">
        <f>AQ259+('Entrada e Saida'!$G$65-'Entrada e Saida'!$I$65)*AU259-AX259</f>
        <v>#DIV/0!</v>
      </c>
      <c r="BA259" s="3" t="e">
        <f>IF('Entrada e Saida'!$H$12="REAL",AZ259*'Entrada e Saida'!$G$81,AU259*'Entrada e Saida'!$G$81)</f>
        <v>#DIV/0!</v>
      </c>
      <c r="BB259" s="3" t="e">
        <f>IF('Entrada e Saida'!$H$12="REAL",AZ259*'Entrada e Saida'!$G$82,AU259*'Entrada e Saida'!$G$82)</f>
        <v>#DIV/0!</v>
      </c>
      <c r="BC259" s="4" t="e">
        <f t="shared" si="128"/>
        <v>#DIV/0!</v>
      </c>
      <c r="BD259" s="3" t="e">
        <f>IF('Entrada e Saida'!$H$11="TRADING",AW259/D259,AK259/D259)</f>
        <v>#DIV/0!</v>
      </c>
      <c r="BE259" s="3" t="e">
        <f t="shared" si="129"/>
        <v>#DIV/0!</v>
      </c>
      <c r="BF259" s="2" t="e">
        <f t="shared" si="130"/>
        <v>#DIV/0!</v>
      </c>
      <c r="BG259" s="3" t="e">
        <f>IF('Entrada e Saida'!$H$11="TRADING",AV259/D259,AN259/D259)</f>
        <v>#DIV/0!</v>
      </c>
      <c r="BH259" s="3" t="e">
        <f>IF('Entrada e Saida'!$H$11="TRADING",IF('Entrada e Saida'!$H$12="REAL",AR259/D259,0),AL259/D259)</f>
        <v>#DIV/0!</v>
      </c>
      <c r="BI259" s="3" t="e">
        <f>IF('Entrada e Saida'!$H$11="TRADING",IF('Entrada e Saida'!$H$12="REAL",AS259/D259,0),AM259/D259)</f>
        <v>#DIV/0!</v>
      </c>
      <c r="BJ259" s="3" t="e">
        <f>IF('Entrada e Saida'!$H$11="TRADING",AT259/D259,AO259/D259)</f>
        <v>#DIV/0!</v>
      </c>
      <c r="BK259" s="2" t="e">
        <f t="shared" si="131"/>
        <v>#DIV/0!</v>
      </c>
      <c r="BL259" s="2">
        <f>IF(O259&gt;0,IFERROR(IF('Entrada e Saida'!$H$11="DIRETA",0,(IF('Entrada e Saida'!$H$14="P.JURIDICA",(BD259*(1+O259)*N259)-((BD259/(1+M259))*'Entrada e Saida'!$G$65),((Produtos!N259-'Entrada e Saida'!$G$65)*Produtos!BD259)))),0),0)</f>
        <v>0</v>
      </c>
      <c r="BM259" s="2" t="e">
        <f t="shared" si="132"/>
        <v>#DIV/0!</v>
      </c>
    </row>
    <row r="260" spans="1:65" s="1" customFormat="1">
      <c r="A260" s="127"/>
      <c r="B260" s="114"/>
      <c r="C260" s="116"/>
      <c r="D260" s="146"/>
      <c r="E260" s="115">
        <f>IFERROR(VLOOKUP(A260,'Master Modelo'!A:I,9,FALSE),0)</f>
        <v>0</v>
      </c>
      <c r="F260" s="189">
        <f>IFERROR(VLOOKUP(A260,'Master Modelo'!A:I,8,FALSE),0)</f>
        <v>0</v>
      </c>
      <c r="G260" s="189">
        <f>IFERROR(VLOOKUP(A260,'Master Modelo'!A:K,11,FALSE),0)</f>
        <v>0</v>
      </c>
      <c r="H260" s="114" t="e">
        <f t="shared" si="115"/>
        <v>#DIV/0!</v>
      </c>
      <c r="I260" s="150">
        <f>IFERROR(VLOOKUP(A260,'Master Modelo'!A:I,3,FALSE),0)</f>
        <v>0</v>
      </c>
      <c r="J260" s="151">
        <f>IFERROR(VLOOKUP(A260,'Master Modelo'!A:I,5,FALSE),0)</f>
        <v>0</v>
      </c>
      <c r="K260" s="151">
        <f>IFERROR(VLOOKUP(A260,'Master Modelo'!A:I,6,FALSE),0)</f>
        <v>0</v>
      </c>
      <c r="L260" s="152" t="e">
        <f>VLOOKUP(A260,'Master Modelo'!A:J,10,FALSE)</f>
        <v>#N/A</v>
      </c>
      <c r="M260" s="150">
        <f>IFERROR(VLOOKUP(A260,'Master Modelo'!A:I,4,FALSE),0)</f>
        <v>0</v>
      </c>
      <c r="N260" s="128"/>
      <c r="O260" s="129"/>
      <c r="P260" s="9">
        <f t="shared" si="116"/>
        <v>0</v>
      </c>
      <c r="Q260" s="177">
        <f t="shared" si="133"/>
        <v>0</v>
      </c>
      <c r="R260" s="3">
        <f>D260*E260*'Entrada e Saida'!$K$8</f>
        <v>0</v>
      </c>
      <c r="S260" s="179" t="e">
        <f>'Entrada e Saida'!$H$21*'Entrada e Saida'!$K$8*(P260/(SUM(P:P)))</f>
        <v>#DIV/0!</v>
      </c>
      <c r="T260" s="179" t="e">
        <f>'Entrada e Saida'!$H$21*'Entrada e Saida'!$K$8*(Q260/(SUM(Q:Q)))</f>
        <v>#DIV/0!</v>
      </c>
      <c r="U260" s="179" t="e">
        <f>'Entrada e Saida'!$H$22*(P260/(SUM(P:P)))</f>
        <v>#DIV/0!</v>
      </c>
      <c r="V260" s="179" t="e">
        <f>'Entrada e Saida'!$H$22*(Q260/(SUM(Q:Q)))</f>
        <v>#DIV/0!</v>
      </c>
      <c r="W260" s="8" t="e">
        <f t="shared" si="117"/>
        <v>#DIV/0!</v>
      </c>
      <c r="X260" s="179" t="e">
        <f>'Entrada e Saida'!$H$26*(IF('Entrada e Saida'!$H$15="PESO",(P260/(SUM(P:P))),(Q260/(SUM(Q:Q)))))</f>
        <v>#DIV/0!</v>
      </c>
      <c r="Y260" s="179" t="e">
        <f>'Entrada e Saida'!$H$27*(IF('Entrada e Saida'!$H$15="PESO",(P260/(SUM(P:P))),(Q260/(SUM(Q:Q)))))</f>
        <v>#DIV/0!</v>
      </c>
      <c r="Z260" s="179" t="e">
        <f>'Entrada e Saida'!$H$28*(IF('Entrada e Saida'!$H$15="PESO",(P260/(SUM(P:P))),(Q260/(SUM(Q:Q)))))</f>
        <v>#DIV/0!</v>
      </c>
      <c r="AA260" s="10" t="e">
        <f t="shared" si="118"/>
        <v>#DIV/0!</v>
      </c>
      <c r="AB260" s="3" t="e">
        <f t="shared" si="119"/>
        <v>#DIV/0!</v>
      </c>
      <c r="AC260" s="3" t="e">
        <f t="shared" si="120"/>
        <v>#DIV/0!</v>
      </c>
      <c r="AD260" s="3" t="e">
        <f t="shared" si="121"/>
        <v>#DIV/0!</v>
      </c>
      <c r="AE260" s="9" t="e">
        <f t="shared" si="122"/>
        <v>#DIV/0!</v>
      </c>
      <c r="AF260" s="126">
        <f>IFERROR(D260*F260*L260*'Entrada e Saida'!$K$8,0)</f>
        <v>0</v>
      </c>
      <c r="AG260" s="3" t="e">
        <f>((W260+AA260+AB260+AC260+AD260+AE260+AF260)/(1-'Entrada e Saida'!$G$65))*'Entrada e Saida'!$I$66</f>
        <v>#DIV/0!</v>
      </c>
      <c r="AH260" s="8" t="e">
        <f t="shared" si="123"/>
        <v>#DIV/0!</v>
      </c>
      <c r="AI260" s="183" t="e">
        <f>'Entrada e Saida'!$K$51*(IF('Entrada e Saida'!$H$15="PESO",(P260/(SUM(P:P))),(Q260/(SUM(Q:Q)))))</f>
        <v>#DIV/0!</v>
      </c>
      <c r="AJ260" s="7">
        <f>(('Entrada e Saida'!$K$10-'Entrada e Saida'!$K$8)*E260*D260)</f>
        <v>0</v>
      </c>
      <c r="AK260" s="184" t="e">
        <f>IF('Entrada e Saida'!$H$15="PESO",W260+AA260+AH260+AI260+AJ260,W260+AA260+AH260+AI260+AJ260-S260+T260-U260+V260)</f>
        <v>#DIV/0!</v>
      </c>
      <c r="AL260" s="6" t="e">
        <f>IF('Entrada e Saida'!$H$12="REAL",AC260,0)</f>
        <v>#DIV/0!</v>
      </c>
      <c r="AM260" s="6" t="e">
        <f>IF('Entrada e Saida'!$H$12="REAL",AD260,0)</f>
        <v>#DIV/0!</v>
      </c>
      <c r="AN260" s="5" t="e">
        <f>IF('Entrada e Saida'!$H$13= "NÃO",AE260,0)</f>
        <v>#DIV/0!</v>
      </c>
      <c r="AO260" s="5" t="e">
        <f t="shared" si="124"/>
        <v>#DIV/0!</v>
      </c>
      <c r="AP260" s="4" t="e">
        <f t="shared" si="125"/>
        <v>#DIV/0!</v>
      </c>
      <c r="AQ260" s="3" t="e">
        <f>IF('Entrada e Saida'!$H$11="TRADING",AU260*'Custo Resumido'!D260,0)</f>
        <v>#DIV/0!</v>
      </c>
      <c r="AR260" s="3" t="e">
        <f>IF('Entrada e Saida'!$H$11="TRADING",AU260*'Entrada e Saida'!$G$63,0)</f>
        <v>#DIV/0!</v>
      </c>
      <c r="AS260" s="3" t="e">
        <f>IF('Entrada e Saida'!$H$11="TRADING",AU260*'Entrada e Saida'!$G$64,0)</f>
        <v>#DIV/0!</v>
      </c>
      <c r="AT260" s="3" t="e">
        <f>IF('Entrada e Saida'!$H$11="TRADING",AU260*'Entrada e Saida'!$G$65,0)</f>
        <v>#DIV/0!</v>
      </c>
      <c r="AU260" s="4" t="e">
        <f>IF('Entrada e Saida'!$H$11="TRADING",AP260/(1-(SUM('Entrada e Saida'!$G$63:$G$65)+'Custo Resumido'!D260)),0)</f>
        <v>#DIV/0!</v>
      </c>
      <c r="AV260" s="3" t="e">
        <f>IF('Entrada e Saida'!$H$13="NÃO",AU260*M260,0)</f>
        <v>#DIV/0!</v>
      </c>
      <c r="AW260" s="4" t="e">
        <f t="shared" si="126"/>
        <v>#DIV/0!</v>
      </c>
      <c r="AX260" s="3" t="e">
        <f>'Entrada e Saida'!$G$74*AU260</f>
        <v>#DIV/0!</v>
      </c>
      <c r="AY260" s="4" t="e">
        <f t="shared" si="127"/>
        <v>#DIV/0!</v>
      </c>
      <c r="AZ260" s="4" t="e">
        <f>AQ260+('Entrada e Saida'!$G$65-'Entrada e Saida'!$I$65)*AU260-AX260</f>
        <v>#DIV/0!</v>
      </c>
      <c r="BA260" s="3" t="e">
        <f>IF('Entrada e Saida'!$H$12="REAL",AZ260*'Entrada e Saida'!$G$81,AU260*'Entrada e Saida'!$G$81)</f>
        <v>#DIV/0!</v>
      </c>
      <c r="BB260" s="3" t="e">
        <f>IF('Entrada e Saida'!$H$12="REAL",AZ260*'Entrada e Saida'!$G$82,AU260*'Entrada e Saida'!$G$82)</f>
        <v>#DIV/0!</v>
      </c>
      <c r="BC260" s="4" t="e">
        <f t="shared" si="128"/>
        <v>#DIV/0!</v>
      </c>
      <c r="BD260" s="3" t="e">
        <f>IF('Entrada e Saida'!$H$11="TRADING",AW260/D260,AK260/D260)</f>
        <v>#DIV/0!</v>
      </c>
      <c r="BE260" s="3" t="e">
        <f t="shared" si="129"/>
        <v>#DIV/0!</v>
      </c>
      <c r="BF260" s="2" t="e">
        <f t="shared" si="130"/>
        <v>#DIV/0!</v>
      </c>
      <c r="BG260" s="3" t="e">
        <f>IF('Entrada e Saida'!$H$11="TRADING",AV260/D260,AN260/D260)</f>
        <v>#DIV/0!</v>
      </c>
      <c r="BH260" s="3" t="e">
        <f>IF('Entrada e Saida'!$H$11="TRADING",IF('Entrada e Saida'!$H$12="REAL",AR260/D260,0),AL260/D260)</f>
        <v>#DIV/0!</v>
      </c>
      <c r="BI260" s="3" t="e">
        <f>IF('Entrada e Saida'!$H$11="TRADING",IF('Entrada e Saida'!$H$12="REAL",AS260/D260,0),AM260/D260)</f>
        <v>#DIV/0!</v>
      </c>
      <c r="BJ260" s="3" t="e">
        <f>IF('Entrada e Saida'!$H$11="TRADING",AT260/D260,AO260/D260)</f>
        <v>#DIV/0!</v>
      </c>
      <c r="BK260" s="2" t="e">
        <f t="shared" si="131"/>
        <v>#DIV/0!</v>
      </c>
      <c r="BL260" s="2">
        <f>IF(O260&gt;0,IFERROR(IF('Entrada e Saida'!$H$11="DIRETA",0,(IF('Entrada e Saida'!$H$14="P.JURIDICA",(BD260*(1+O260)*N260)-((BD260/(1+M260))*'Entrada e Saida'!$G$65),((Produtos!N260-'Entrada e Saida'!$G$65)*Produtos!BD260)))),0),0)</f>
        <v>0</v>
      </c>
      <c r="BM260" s="2" t="e">
        <f t="shared" si="132"/>
        <v>#DIV/0!</v>
      </c>
    </row>
    <row r="261" spans="1:65" s="1" customFormat="1">
      <c r="A261" s="127"/>
      <c r="B261" s="114"/>
      <c r="C261" s="116"/>
      <c r="D261" s="146"/>
      <c r="E261" s="115">
        <f>IFERROR(VLOOKUP(A261,'Master Modelo'!A:I,9,FALSE),0)</f>
        <v>0</v>
      </c>
      <c r="F261" s="189">
        <f>IFERROR(VLOOKUP(A261,'Master Modelo'!A:I,8,FALSE),0)</f>
        <v>0</v>
      </c>
      <c r="G261" s="189">
        <f>IFERROR(VLOOKUP(A261,'Master Modelo'!A:K,11,FALSE),0)</f>
        <v>0</v>
      </c>
      <c r="H261" s="114" t="e">
        <f t="shared" si="115"/>
        <v>#DIV/0!</v>
      </c>
      <c r="I261" s="150">
        <f>IFERROR(VLOOKUP(A261,'Master Modelo'!A:I,3,FALSE),0)</f>
        <v>0</v>
      </c>
      <c r="J261" s="151">
        <f>IFERROR(VLOOKUP(A261,'Master Modelo'!A:I,5,FALSE),0)</f>
        <v>0</v>
      </c>
      <c r="K261" s="151">
        <f>IFERROR(VLOOKUP(A261,'Master Modelo'!A:I,6,FALSE),0)</f>
        <v>0</v>
      </c>
      <c r="L261" s="152" t="e">
        <f>VLOOKUP(A261,'Master Modelo'!A:J,10,FALSE)</f>
        <v>#N/A</v>
      </c>
      <c r="M261" s="150">
        <f>IFERROR(VLOOKUP(A261,'Master Modelo'!A:I,4,FALSE),0)</f>
        <v>0</v>
      </c>
      <c r="N261" s="128"/>
      <c r="O261" s="129"/>
      <c r="P261" s="9">
        <f t="shared" si="116"/>
        <v>0</v>
      </c>
      <c r="Q261" s="177">
        <f t="shared" si="133"/>
        <v>0</v>
      </c>
      <c r="R261" s="3">
        <f>D261*E261*'Entrada e Saida'!$K$8</f>
        <v>0</v>
      </c>
      <c r="S261" s="179" t="e">
        <f>'Entrada e Saida'!$H$21*'Entrada e Saida'!$K$8*(P261/(SUM(P:P)))</f>
        <v>#DIV/0!</v>
      </c>
      <c r="T261" s="179" t="e">
        <f>'Entrada e Saida'!$H$21*'Entrada e Saida'!$K$8*(Q261/(SUM(Q:Q)))</f>
        <v>#DIV/0!</v>
      </c>
      <c r="U261" s="179" t="e">
        <f>'Entrada e Saida'!$H$22*(P261/(SUM(P:P)))</f>
        <v>#DIV/0!</v>
      </c>
      <c r="V261" s="179" t="e">
        <f>'Entrada e Saida'!$H$22*(Q261/(SUM(Q:Q)))</f>
        <v>#DIV/0!</v>
      </c>
      <c r="W261" s="8" t="e">
        <f t="shared" si="117"/>
        <v>#DIV/0!</v>
      </c>
      <c r="X261" s="179" t="e">
        <f>'Entrada e Saida'!$H$26*(IF('Entrada e Saida'!$H$15="PESO",(P261/(SUM(P:P))),(Q261/(SUM(Q:Q)))))</f>
        <v>#DIV/0!</v>
      </c>
      <c r="Y261" s="179" t="e">
        <f>'Entrada e Saida'!$H$27*(IF('Entrada e Saida'!$H$15="PESO",(P261/(SUM(P:P))),(Q261/(SUM(Q:Q)))))</f>
        <v>#DIV/0!</v>
      </c>
      <c r="Z261" s="179" t="e">
        <f>'Entrada e Saida'!$H$28*(IF('Entrada e Saida'!$H$15="PESO",(P261/(SUM(P:P))),(Q261/(SUM(Q:Q)))))</f>
        <v>#DIV/0!</v>
      </c>
      <c r="AA261" s="10" t="e">
        <f t="shared" si="118"/>
        <v>#DIV/0!</v>
      </c>
      <c r="AB261" s="3" t="e">
        <f t="shared" si="119"/>
        <v>#DIV/0!</v>
      </c>
      <c r="AC261" s="3" t="e">
        <f t="shared" si="120"/>
        <v>#DIV/0!</v>
      </c>
      <c r="AD261" s="3" t="e">
        <f t="shared" si="121"/>
        <v>#DIV/0!</v>
      </c>
      <c r="AE261" s="9" t="e">
        <f t="shared" si="122"/>
        <v>#DIV/0!</v>
      </c>
      <c r="AF261" s="126">
        <f>IFERROR(D261*F261*L261*'Entrada e Saida'!$K$8,0)</f>
        <v>0</v>
      </c>
      <c r="AG261" s="3" t="e">
        <f>((W261+AA261+AB261+AC261+AD261+AE261+AF261)/(1-'Entrada e Saida'!$G$65))*'Entrada e Saida'!$I$66</f>
        <v>#DIV/0!</v>
      </c>
      <c r="AH261" s="8" t="e">
        <f t="shared" si="123"/>
        <v>#DIV/0!</v>
      </c>
      <c r="AI261" s="183" t="e">
        <f>'Entrada e Saida'!$K$51*(IF('Entrada e Saida'!$H$15="PESO",(P261/(SUM(P:P))),(Q261/(SUM(Q:Q)))))</f>
        <v>#DIV/0!</v>
      </c>
      <c r="AJ261" s="7">
        <f>(('Entrada e Saida'!$K$10-'Entrada e Saida'!$K$8)*E261*D261)</f>
        <v>0</v>
      </c>
      <c r="AK261" s="184" t="e">
        <f>IF('Entrada e Saida'!$H$15="PESO",W261+AA261+AH261+AI261+AJ261,W261+AA261+AH261+AI261+AJ261-S261+T261-U261+V261)</f>
        <v>#DIV/0!</v>
      </c>
      <c r="AL261" s="6" t="e">
        <f>IF('Entrada e Saida'!$H$12="REAL",AC261,0)</f>
        <v>#DIV/0!</v>
      </c>
      <c r="AM261" s="6" t="e">
        <f>IF('Entrada e Saida'!$H$12="REAL",AD261,0)</f>
        <v>#DIV/0!</v>
      </c>
      <c r="AN261" s="5" t="e">
        <f>IF('Entrada e Saida'!$H$13= "NÃO",AE261,0)</f>
        <v>#DIV/0!</v>
      </c>
      <c r="AO261" s="5" t="e">
        <f t="shared" si="124"/>
        <v>#DIV/0!</v>
      </c>
      <c r="AP261" s="4" t="e">
        <f t="shared" si="125"/>
        <v>#DIV/0!</v>
      </c>
      <c r="AQ261" s="3" t="e">
        <f>IF('Entrada e Saida'!$H$11="TRADING",AU261*'Custo Resumido'!D261,0)</f>
        <v>#DIV/0!</v>
      </c>
      <c r="AR261" s="3" t="e">
        <f>IF('Entrada e Saida'!$H$11="TRADING",AU261*'Entrada e Saida'!$G$63,0)</f>
        <v>#DIV/0!</v>
      </c>
      <c r="AS261" s="3" t="e">
        <f>IF('Entrada e Saida'!$H$11="TRADING",AU261*'Entrada e Saida'!$G$64,0)</f>
        <v>#DIV/0!</v>
      </c>
      <c r="AT261" s="3" t="e">
        <f>IF('Entrada e Saida'!$H$11="TRADING",AU261*'Entrada e Saida'!$G$65,0)</f>
        <v>#DIV/0!</v>
      </c>
      <c r="AU261" s="4" t="e">
        <f>IF('Entrada e Saida'!$H$11="TRADING",AP261/(1-(SUM('Entrada e Saida'!$G$63:$G$65)+'Custo Resumido'!D261)),0)</f>
        <v>#DIV/0!</v>
      </c>
      <c r="AV261" s="3" t="e">
        <f>IF('Entrada e Saida'!$H$13="NÃO",AU261*M261,0)</f>
        <v>#DIV/0!</v>
      </c>
      <c r="AW261" s="4" t="e">
        <f t="shared" si="126"/>
        <v>#DIV/0!</v>
      </c>
      <c r="AX261" s="3" t="e">
        <f>'Entrada e Saida'!$G$74*AU261</f>
        <v>#DIV/0!</v>
      </c>
      <c r="AY261" s="4" t="e">
        <f t="shared" si="127"/>
        <v>#DIV/0!</v>
      </c>
      <c r="AZ261" s="4" t="e">
        <f>AQ261+('Entrada e Saida'!$G$65-'Entrada e Saida'!$I$65)*AU261-AX261</f>
        <v>#DIV/0!</v>
      </c>
      <c r="BA261" s="3" t="e">
        <f>IF('Entrada e Saida'!$H$12="REAL",AZ261*'Entrada e Saida'!$G$81,AU261*'Entrada e Saida'!$G$81)</f>
        <v>#DIV/0!</v>
      </c>
      <c r="BB261" s="3" t="e">
        <f>IF('Entrada e Saida'!$H$12="REAL",AZ261*'Entrada e Saida'!$G$82,AU261*'Entrada e Saida'!$G$82)</f>
        <v>#DIV/0!</v>
      </c>
      <c r="BC261" s="4" t="e">
        <f t="shared" si="128"/>
        <v>#DIV/0!</v>
      </c>
      <c r="BD261" s="3" t="e">
        <f>IF('Entrada e Saida'!$H$11="TRADING",AW261/D261,AK261/D261)</f>
        <v>#DIV/0!</v>
      </c>
      <c r="BE261" s="3" t="e">
        <f t="shared" si="129"/>
        <v>#DIV/0!</v>
      </c>
      <c r="BF261" s="2" t="e">
        <f t="shared" si="130"/>
        <v>#DIV/0!</v>
      </c>
      <c r="BG261" s="3" t="e">
        <f>IF('Entrada e Saida'!$H$11="TRADING",AV261/D261,AN261/D261)</f>
        <v>#DIV/0!</v>
      </c>
      <c r="BH261" s="3" t="e">
        <f>IF('Entrada e Saida'!$H$11="TRADING",IF('Entrada e Saida'!$H$12="REAL",AR261/D261,0),AL261/D261)</f>
        <v>#DIV/0!</v>
      </c>
      <c r="BI261" s="3" t="e">
        <f>IF('Entrada e Saida'!$H$11="TRADING",IF('Entrada e Saida'!$H$12="REAL",AS261/D261,0),AM261/D261)</f>
        <v>#DIV/0!</v>
      </c>
      <c r="BJ261" s="3" t="e">
        <f>IF('Entrada e Saida'!$H$11="TRADING",AT261/D261,AO261/D261)</f>
        <v>#DIV/0!</v>
      </c>
      <c r="BK261" s="2" t="e">
        <f t="shared" si="131"/>
        <v>#DIV/0!</v>
      </c>
      <c r="BL261" s="2">
        <f>IF(O261&gt;0,IFERROR(IF('Entrada e Saida'!$H$11="DIRETA",0,(IF('Entrada e Saida'!$H$14="P.JURIDICA",(BD261*(1+O261)*N261)-((BD261/(1+M261))*'Entrada e Saida'!$G$65),((Produtos!N261-'Entrada e Saida'!$G$65)*Produtos!BD261)))),0),0)</f>
        <v>0</v>
      </c>
      <c r="BM261" s="2" t="e">
        <f t="shared" si="132"/>
        <v>#DIV/0!</v>
      </c>
    </row>
    <row r="262" spans="1:65" s="1" customFormat="1">
      <c r="A262" s="127"/>
      <c r="B262" s="114"/>
      <c r="C262" s="116"/>
      <c r="D262" s="146"/>
      <c r="E262" s="115">
        <f>IFERROR(VLOOKUP(A262,'Master Modelo'!A:I,9,FALSE),0)</f>
        <v>0</v>
      </c>
      <c r="F262" s="189">
        <f>IFERROR(VLOOKUP(A262,'Master Modelo'!A:I,8,FALSE),0)</f>
        <v>0</v>
      </c>
      <c r="G262" s="189">
        <f>IFERROR(VLOOKUP(A262,'Master Modelo'!A:K,11,FALSE),0)</f>
        <v>0</v>
      </c>
      <c r="H262" s="114" t="e">
        <f t="shared" si="115"/>
        <v>#DIV/0!</v>
      </c>
      <c r="I262" s="150">
        <f>IFERROR(VLOOKUP(A262,'Master Modelo'!A:I,3,FALSE),0)</f>
        <v>0</v>
      </c>
      <c r="J262" s="151">
        <f>IFERROR(VLOOKUP(A262,'Master Modelo'!A:I,5,FALSE),0)</f>
        <v>0</v>
      </c>
      <c r="K262" s="151">
        <f>IFERROR(VLOOKUP(A262,'Master Modelo'!A:I,6,FALSE),0)</f>
        <v>0</v>
      </c>
      <c r="L262" s="152" t="e">
        <f>VLOOKUP(A262,'Master Modelo'!A:J,10,FALSE)</f>
        <v>#N/A</v>
      </c>
      <c r="M262" s="150">
        <f>IFERROR(VLOOKUP(A262,'Master Modelo'!A:I,4,FALSE),0)</f>
        <v>0</v>
      </c>
      <c r="N262" s="128"/>
      <c r="O262" s="129"/>
      <c r="P262" s="9">
        <f t="shared" si="116"/>
        <v>0</v>
      </c>
      <c r="Q262" s="177">
        <f t="shared" si="133"/>
        <v>0</v>
      </c>
      <c r="R262" s="3">
        <f>D262*E262*'Entrada e Saida'!$K$8</f>
        <v>0</v>
      </c>
      <c r="S262" s="179" t="e">
        <f>'Entrada e Saida'!$H$21*'Entrada e Saida'!$K$8*(P262/(SUM(P:P)))</f>
        <v>#DIV/0!</v>
      </c>
      <c r="T262" s="179" t="e">
        <f>'Entrada e Saida'!$H$21*'Entrada e Saida'!$K$8*(Q262/(SUM(Q:Q)))</f>
        <v>#DIV/0!</v>
      </c>
      <c r="U262" s="179" t="e">
        <f>'Entrada e Saida'!$H$22*(P262/(SUM(P:P)))</f>
        <v>#DIV/0!</v>
      </c>
      <c r="V262" s="179" t="e">
        <f>'Entrada e Saida'!$H$22*(Q262/(SUM(Q:Q)))</f>
        <v>#DIV/0!</v>
      </c>
      <c r="W262" s="8" t="e">
        <f t="shared" si="117"/>
        <v>#DIV/0!</v>
      </c>
      <c r="X262" s="179" t="e">
        <f>'Entrada e Saida'!$H$26*(IF('Entrada e Saida'!$H$15="PESO",(P262/(SUM(P:P))),(Q262/(SUM(Q:Q)))))</f>
        <v>#DIV/0!</v>
      </c>
      <c r="Y262" s="179" t="e">
        <f>'Entrada e Saida'!$H$27*(IF('Entrada e Saida'!$H$15="PESO",(P262/(SUM(P:P))),(Q262/(SUM(Q:Q)))))</f>
        <v>#DIV/0!</v>
      </c>
      <c r="Z262" s="179" t="e">
        <f>'Entrada e Saida'!$H$28*(IF('Entrada e Saida'!$H$15="PESO",(P262/(SUM(P:P))),(Q262/(SUM(Q:Q)))))</f>
        <v>#DIV/0!</v>
      </c>
      <c r="AA262" s="10" t="e">
        <f t="shared" si="118"/>
        <v>#DIV/0!</v>
      </c>
      <c r="AB262" s="3" t="e">
        <f t="shared" si="119"/>
        <v>#DIV/0!</v>
      </c>
      <c r="AC262" s="3" t="e">
        <f t="shared" si="120"/>
        <v>#DIV/0!</v>
      </c>
      <c r="AD262" s="3" t="e">
        <f t="shared" si="121"/>
        <v>#DIV/0!</v>
      </c>
      <c r="AE262" s="9" t="e">
        <f t="shared" si="122"/>
        <v>#DIV/0!</v>
      </c>
      <c r="AF262" s="126">
        <f>IFERROR(D262*F262*L262*'Entrada e Saida'!$K$8,0)</f>
        <v>0</v>
      </c>
      <c r="AG262" s="3" t="e">
        <f>((W262+AA262+AB262+AC262+AD262+AE262+AF262)/(1-'Entrada e Saida'!$G$65))*'Entrada e Saida'!$I$66</f>
        <v>#DIV/0!</v>
      </c>
      <c r="AH262" s="8" t="e">
        <f t="shared" si="123"/>
        <v>#DIV/0!</v>
      </c>
      <c r="AI262" s="183" t="e">
        <f>'Entrada e Saida'!$K$51*(IF('Entrada e Saida'!$H$15="PESO",(P262/(SUM(P:P))),(Q262/(SUM(Q:Q)))))</f>
        <v>#DIV/0!</v>
      </c>
      <c r="AJ262" s="7">
        <f>(('Entrada e Saida'!$K$10-'Entrada e Saida'!$K$8)*E262*D262)</f>
        <v>0</v>
      </c>
      <c r="AK262" s="184" t="e">
        <f>IF('Entrada e Saida'!$H$15="PESO",W262+AA262+AH262+AI262+AJ262,W262+AA262+AH262+AI262+AJ262-S262+T262-U262+V262)</f>
        <v>#DIV/0!</v>
      </c>
      <c r="AL262" s="6" t="e">
        <f>IF('Entrada e Saida'!$H$12="REAL",AC262,0)</f>
        <v>#DIV/0!</v>
      </c>
      <c r="AM262" s="6" t="e">
        <f>IF('Entrada e Saida'!$H$12="REAL",AD262,0)</f>
        <v>#DIV/0!</v>
      </c>
      <c r="AN262" s="5" t="e">
        <f>IF('Entrada e Saida'!$H$13= "NÃO",AE262,0)</f>
        <v>#DIV/0!</v>
      </c>
      <c r="AO262" s="5" t="e">
        <f t="shared" si="124"/>
        <v>#DIV/0!</v>
      </c>
      <c r="AP262" s="4" t="e">
        <f t="shared" si="125"/>
        <v>#DIV/0!</v>
      </c>
      <c r="AQ262" s="3" t="e">
        <f>IF('Entrada e Saida'!$H$11="TRADING",AU262*'Custo Resumido'!D262,0)</f>
        <v>#DIV/0!</v>
      </c>
      <c r="AR262" s="3" t="e">
        <f>IF('Entrada e Saida'!$H$11="TRADING",AU262*'Entrada e Saida'!$G$63,0)</f>
        <v>#DIV/0!</v>
      </c>
      <c r="AS262" s="3" t="e">
        <f>IF('Entrada e Saida'!$H$11="TRADING",AU262*'Entrada e Saida'!$G$64,0)</f>
        <v>#DIV/0!</v>
      </c>
      <c r="AT262" s="3" t="e">
        <f>IF('Entrada e Saida'!$H$11="TRADING",AU262*'Entrada e Saida'!$G$65,0)</f>
        <v>#DIV/0!</v>
      </c>
      <c r="AU262" s="4" t="e">
        <f>IF('Entrada e Saida'!$H$11="TRADING",AP262/(1-(SUM('Entrada e Saida'!$G$63:$G$65)+'Custo Resumido'!D262)),0)</f>
        <v>#DIV/0!</v>
      </c>
      <c r="AV262" s="3" t="e">
        <f>IF('Entrada e Saida'!$H$13="NÃO",AU262*M262,0)</f>
        <v>#DIV/0!</v>
      </c>
      <c r="AW262" s="4" t="e">
        <f t="shared" si="126"/>
        <v>#DIV/0!</v>
      </c>
      <c r="AX262" s="3" t="e">
        <f>'Entrada e Saida'!$G$74*AU262</f>
        <v>#DIV/0!</v>
      </c>
      <c r="AY262" s="4" t="e">
        <f t="shared" si="127"/>
        <v>#DIV/0!</v>
      </c>
      <c r="AZ262" s="4" t="e">
        <f>AQ262+('Entrada e Saida'!$G$65-'Entrada e Saida'!$I$65)*AU262-AX262</f>
        <v>#DIV/0!</v>
      </c>
      <c r="BA262" s="3" t="e">
        <f>IF('Entrada e Saida'!$H$12="REAL",AZ262*'Entrada e Saida'!$G$81,AU262*'Entrada e Saida'!$G$81)</f>
        <v>#DIV/0!</v>
      </c>
      <c r="BB262" s="3" t="e">
        <f>IF('Entrada e Saida'!$H$12="REAL",AZ262*'Entrada e Saida'!$G$82,AU262*'Entrada e Saida'!$G$82)</f>
        <v>#DIV/0!</v>
      </c>
      <c r="BC262" s="4" t="e">
        <f t="shared" si="128"/>
        <v>#DIV/0!</v>
      </c>
      <c r="BD262" s="3" t="e">
        <f>IF('Entrada e Saida'!$H$11="TRADING",AW262/D262,AK262/D262)</f>
        <v>#DIV/0!</v>
      </c>
      <c r="BE262" s="3" t="e">
        <f t="shared" si="129"/>
        <v>#DIV/0!</v>
      </c>
      <c r="BF262" s="2" t="e">
        <f t="shared" si="130"/>
        <v>#DIV/0!</v>
      </c>
      <c r="BG262" s="3" t="e">
        <f>IF('Entrada e Saida'!$H$11="TRADING",AV262/D262,AN262/D262)</f>
        <v>#DIV/0!</v>
      </c>
      <c r="BH262" s="3" t="e">
        <f>IF('Entrada e Saida'!$H$11="TRADING",IF('Entrada e Saida'!$H$12="REAL",AR262/D262,0),AL262/D262)</f>
        <v>#DIV/0!</v>
      </c>
      <c r="BI262" s="3" t="e">
        <f>IF('Entrada e Saida'!$H$11="TRADING",IF('Entrada e Saida'!$H$12="REAL",AS262/D262,0),AM262/D262)</f>
        <v>#DIV/0!</v>
      </c>
      <c r="BJ262" s="3" t="e">
        <f>IF('Entrada e Saida'!$H$11="TRADING",AT262/D262,AO262/D262)</f>
        <v>#DIV/0!</v>
      </c>
      <c r="BK262" s="2" t="e">
        <f t="shared" si="131"/>
        <v>#DIV/0!</v>
      </c>
      <c r="BL262" s="2">
        <f>IF(O262&gt;0,IFERROR(IF('Entrada e Saida'!$H$11="DIRETA",0,(IF('Entrada e Saida'!$H$14="P.JURIDICA",(BD262*(1+O262)*N262)-((BD262/(1+M262))*'Entrada e Saida'!$G$65),((Produtos!N262-'Entrada e Saida'!$G$65)*Produtos!BD262)))),0),0)</f>
        <v>0</v>
      </c>
      <c r="BM262" s="2" t="e">
        <f t="shared" si="132"/>
        <v>#DIV/0!</v>
      </c>
    </row>
    <row r="263" spans="1:65" s="1" customFormat="1">
      <c r="A263" s="127"/>
      <c r="B263" s="114"/>
      <c r="C263" s="116"/>
      <c r="D263" s="146"/>
      <c r="E263" s="115">
        <f>IFERROR(VLOOKUP(A263,'Master Modelo'!A:I,9,FALSE),0)</f>
        <v>0</v>
      </c>
      <c r="F263" s="189">
        <f>IFERROR(VLOOKUP(A263,'Master Modelo'!A:I,8,FALSE),0)</f>
        <v>0</v>
      </c>
      <c r="G263" s="189">
        <f>IFERROR(VLOOKUP(A263,'Master Modelo'!A:K,11,FALSE),0)</f>
        <v>0</v>
      </c>
      <c r="H263" s="114" t="e">
        <f t="shared" si="115"/>
        <v>#DIV/0!</v>
      </c>
      <c r="I263" s="150">
        <f>IFERROR(VLOOKUP(A263,'Master Modelo'!A:I,3,FALSE),0)</f>
        <v>0</v>
      </c>
      <c r="J263" s="151">
        <f>IFERROR(VLOOKUP(A263,'Master Modelo'!A:I,5,FALSE),0)</f>
        <v>0</v>
      </c>
      <c r="K263" s="151">
        <f>IFERROR(VLOOKUP(A263,'Master Modelo'!A:I,6,FALSE),0)</f>
        <v>0</v>
      </c>
      <c r="L263" s="152" t="e">
        <f>VLOOKUP(A263,'Master Modelo'!A:J,10,FALSE)</f>
        <v>#N/A</v>
      </c>
      <c r="M263" s="150">
        <f>IFERROR(VLOOKUP(A263,'Master Modelo'!A:I,4,FALSE),0)</f>
        <v>0</v>
      </c>
      <c r="N263" s="128"/>
      <c r="O263" s="129"/>
      <c r="P263" s="9">
        <f t="shared" si="116"/>
        <v>0</v>
      </c>
      <c r="Q263" s="177">
        <f t="shared" si="133"/>
        <v>0</v>
      </c>
      <c r="R263" s="3">
        <f>D263*E263*'Entrada e Saida'!$K$8</f>
        <v>0</v>
      </c>
      <c r="S263" s="179" t="e">
        <f>'Entrada e Saida'!$H$21*'Entrada e Saida'!$K$8*(P263/(SUM(P:P)))</f>
        <v>#DIV/0!</v>
      </c>
      <c r="T263" s="179" t="e">
        <f>'Entrada e Saida'!$H$21*'Entrada e Saida'!$K$8*(Q263/(SUM(Q:Q)))</f>
        <v>#DIV/0!</v>
      </c>
      <c r="U263" s="179" t="e">
        <f>'Entrada e Saida'!$H$22*(P263/(SUM(P:P)))</f>
        <v>#DIV/0!</v>
      </c>
      <c r="V263" s="179" t="e">
        <f>'Entrada e Saida'!$H$22*(Q263/(SUM(Q:Q)))</f>
        <v>#DIV/0!</v>
      </c>
      <c r="W263" s="8" t="e">
        <f t="shared" si="117"/>
        <v>#DIV/0!</v>
      </c>
      <c r="X263" s="179" t="e">
        <f>'Entrada e Saida'!$H$26*(IF('Entrada e Saida'!$H$15="PESO",(P263/(SUM(P:P))),(Q263/(SUM(Q:Q)))))</f>
        <v>#DIV/0!</v>
      </c>
      <c r="Y263" s="179" t="e">
        <f>'Entrada e Saida'!$H$27*(IF('Entrada e Saida'!$H$15="PESO",(P263/(SUM(P:P))),(Q263/(SUM(Q:Q)))))</f>
        <v>#DIV/0!</v>
      </c>
      <c r="Z263" s="179" t="e">
        <f>'Entrada e Saida'!$H$28*(IF('Entrada e Saida'!$H$15="PESO",(P263/(SUM(P:P))),(Q263/(SUM(Q:Q)))))</f>
        <v>#DIV/0!</v>
      </c>
      <c r="AA263" s="10" t="e">
        <f t="shared" si="118"/>
        <v>#DIV/0!</v>
      </c>
      <c r="AB263" s="3" t="e">
        <f t="shared" si="119"/>
        <v>#DIV/0!</v>
      </c>
      <c r="AC263" s="3" t="e">
        <f t="shared" si="120"/>
        <v>#DIV/0!</v>
      </c>
      <c r="AD263" s="3" t="e">
        <f t="shared" si="121"/>
        <v>#DIV/0!</v>
      </c>
      <c r="AE263" s="9" t="e">
        <f t="shared" si="122"/>
        <v>#DIV/0!</v>
      </c>
      <c r="AF263" s="126">
        <f>IFERROR(D263*F263*L263*'Entrada e Saida'!$K$8,0)</f>
        <v>0</v>
      </c>
      <c r="AG263" s="3" t="e">
        <f>((W263+AA263+AB263+AC263+AD263+AE263+AF263)/(1-'Entrada e Saida'!$G$65))*'Entrada e Saida'!$I$66</f>
        <v>#DIV/0!</v>
      </c>
      <c r="AH263" s="8" t="e">
        <f t="shared" si="123"/>
        <v>#DIV/0!</v>
      </c>
      <c r="AI263" s="183" t="e">
        <f>'Entrada e Saida'!$K$51*(IF('Entrada e Saida'!$H$15="PESO",(P263/(SUM(P:P))),(Q263/(SUM(Q:Q)))))</f>
        <v>#DIV/0!</v>
      </c>
      <c r="AJ263" s="7">
        <f>(('Entrada e Saida'!$K$10-'Entrada e Saida'!$K$8)*E263*D263)</f>
        <v>0</v>
      </c>
      <c r="AK263" s="184" t="e">
        <f>IF('Entrada e Saida'!$H$15="PESO",W263+AA263+AH263+AI263+AJ263,W263+AA263+AH263+AI263+AJ263-S263+T263-U263+V263)</f>
        <v>#DIV/0!</v>
      </c>
      <c r="AL263" s="6" t="e">
        <f>IF('Entrada e Saida'!$H$12="REAL",AC263,0)</f>
        <v>#DIV/0!</v>
      </c>
      <c r="AM263" s="6" t="e">
        <f>IF('Entrada e Saida'!$H$12="REAL",AD263,0)</f>
        <v>#DIV/0!</v>
      </c>
      <c r="AN263" s="5" t="e">
        <f>IF('Entrada e Saida'!$H$13= "NÃO",AE263,0)</f>
        <v>#DIV/0!</v>
      </c>
      <c r="AO263" s="5" t="e">
        <f t="shared" si="124"/>
        <v>#DIV/0!</v>
      </c>
      <c r="AP263" s="4" t="e">
        <f t="shared" si="125"/>
        <v>#DIV/0!</v>
      </c>
      <c r="AQ263" s="3" t="e">
        <f>IF('Entrada e Saida'!$H$11="TRADING",AU263*'Custo Resumido'!D263,0)</f>
        <v>#DIV/0!</v>
      </c>
      <c r="AR263" s="3" t="e">
        <f>IF('Entrada e Saida'!$H$11="TRADING",AU263*'Entrada e Saida'!$G$63,0)</f>
        <v>#DIV/0!</v>
      </c>
      <c r="AS263" s="3" t="e">
        <f>IF('Entrada e Saida'!$H$11="TRADING",AU263*'Entrada e Saida'!$G$64,0)</f>
        <v>#DIV/0!</v>
      </c>
      <c r="AT263" s="3" t="e">
        <f>IF('Entrada e Saida'!$H$11="TRADING",AU263*'Entrada e Saida'!$G$65,0)</f>
        <v>#DIV/0!</v>
      </c>
      <c r="AU263" s="4" t="e">
        <f>IF('Entrada e Saida'!$H$11="TRADING",AP263/(1-(SUM('Entrada e Saida'!$G$63:$G$65)+'Custo Resumido'!D263)),0)</f>
        <v>#DIV/0!</v>
      </c>
      <c r="AV263" s="3" t="e">
        <f>IF('Entrada e Saida'!$H$13="NÃO",AU263*M263,0)</f>
        <v>#DIV/0!</v>
      </c>
      <c r="AW263" s="4" t="e">
        <f t="shared" si="126"/>
        <v>#DIV/0!</v>
      </c>
      <c r="AX263" s="3" t="e">
        <f>'Entrada e Saida'!$G$74*AU263</f>
        <v>#DIV/0!</v>
      </c>
      <c r="AY263" s="4" t="e">
        <f t="shared" si="127"/>
        <v>#DIV/0!</v>
      </c>
      <c r="AZ263" s="4" t="e">
        <f>AQ263+('Entrada e Saida'!$G$65-'Entrada e Saida'!$I$65)*AU263-AX263</f>
        <v>#DIV/0!</v>
      </c>
      <c r="BA263" s="3" t="e">
        <f>IF('Entrada e Saida'!$H$12="REAL",AZ263*'Entrada e Saida'!$G$81,AU263*'Entrada e Saida'!$G$81)</f>
        <v>#DIV/0!</v>
      </c>
      <c r="BB263" s="3" t="e">
        <f>IF('Entrada e Saida'!$H$12="REAL",AZ263*'Entrada e Saida'!$G$82,AU263*'Entrada e Saida'!$G$82)</f>
        <v>#DIV/0!</v>
      </c>
      <c r="BC263" s="4" t="e">
        <f t="shared" si="128"/>
        <v>#DIV/0!</v>
      </c>
      <c r="BD263" s="3" t="e">
        <f>IF('Entrada e Saida'!$H$11="TRADING",AW263/D263,AK263/D263)</f>
        <v>#DIV/0!</v>
      </c>
      <c r="BE263" s="3" t="e">
        <f t="shared" si="129"/>
        <v>#DIV/0!</v>
      </c>
      <c r="BF263" s="2" t="e">
        <f t="shared" si="130"/>
        <v>#DIV/0!</v>
      </c>
      <c r="BG263" s="3" t="e">
        <f>IF('Entrada e Saida'!$H$11="TRADING",AV263/D263,AN263/D263)</f>
        <v>#DIV/0!</v>
      </c>
      <c r="BH263" s="3" t="e">
        <f>IF('Entrada e Saida'!$H$11="TRADING",IF('Entrada e Saida'!$H$12="REAL",AR263/D263,0),AL263/D263)</f>
        <v>#DIV/0!</v>
      </c>
      <c r="BI263" s="3" t="e">
        <f>IF('Entrada e Saida'!$H$11="TRADING",IF('Entrada e Saida'!$H$12="REAL",AS263/D263,0),AM263/D263)</f>
        <v>#DIV/0!</v>
      </c>
      <c r="BJ263" s="3" t="e">
        <f>IF('Entrada e Saida'!$H$11="TRADING",AT263/D263,AO263/D263)</f>
        <v>#DIV/0!</v>
      </c>
      <c r="BK263" s="2" t="e">
        <f t="shared" si="131"/>
        <v>#DIV/0!</v>
      </c>
      <c r="BL263" s="2">
        <f>IF(O263&gt;0,IFERROR(IF('Entrada e Saida'!$H$11="DIRETA",0,(IF('Entrada e Saida'!$H$14="P.JURIDICA",(BD263*(1+O263)*N263)-((BD263/(1+M263))*'Entrada e Saida'!$G$65),((Produtos!N263-'Entrada e Saida'!$G$65)*Produtos!BD263)))),0),0)</f>
        <v>0</v>
      </c>
      <c r="BM263" s="2" t="e">
        <f t="shared" si="132"/>
        <v>#DIV/0!</v>
      </c>
    </row>
    <row r="264" spans="1:65" s="1" customFormat="1">
      <c r="A264" s="127"/>
      <c r="B264" s="114"/>
      <c r="C264" s="116"/>
      <c r="D264" s="146"/>
      <c r="E264" s="115">
        <f>IFERROR(VLOOKUP(A264,'Master Modelo'!A:I,9,FALSE),0)</f>
        <v>0</v>
      </c>
      <c r="F264" s="189">
        <f>IFERROR(VLOOKUP(A264,'Master Modelo'!A:I,8,FALSE),0)</f>
        <v>0</v>
      </c>
      <c r="G264" s="189">
        <f>IFERROR(VLOOKUP(A264,'Master Modelo'!A:K,11,FALSE),0)</f>
        <v>0</v>
      </c>
      <c r="H264" s="114" t="e">
        <f t="shared" si="115"/>
        <v>#DIV/0!</v>
      </c>
      <c r="I264" s="150">
        <f>IFERROR(VLOOKUP(A264,'Master Modelo'!A:I,3,FALSE),0)</f>
        <v>0</v>
      </c>
      <c r="J264" s="151">
        <f>IFERROR(VLOOKUP(A264,'Master Modelo'!A:I,5,FALSE),0)</f>
        <v>0</v>
      </c>
      <c r="K264" s="151">
        <f>IFERROR(VLOOKUP(A264,'Master Modelo'!A:I,6,FALSE),0)</f>
        <v>0</v>
      </c>
      <c r="L264" s="152" t="e">
        <f>VLOOKUP(A264,'Master Modelo'!A:J,10,FALSE)</f>
        <v>#N/A</v>
      </c>
      <c r="M264" s="150">
        <f>IFERROR(VLOOKUP(A264,'Master Modelo'!A:I,4,FALSE),0)</f>
        <v>0</v>
      </c>
      <c r="N264" s="128"/>
      <c r="O264" s="129"/>
      <c r="P264" s="9">
        <f t="shared" si="116"/>
        <v>0</v>
      </c>
      <c r="Q264" s="177">
        <f t="shared" si="133"/>
        <v>0</v>
      </c>
      <c r="R264" s="3">
        <f>D264*E264*'Entrada e Saida'!$K$8</f>
        <v>0</v>
      </c>
      <c r="S264" s="179" t="e">
        <f>'Entrada e Saida'!$H$21*'Entrada e Saida'!$K$8*(P264/(SUM(P:P)))</f>
        <v>#DIV/0!</v>
      </c>
      <c r="T264" s="179" t="e">
        <f>'Entrada e Saida'!$H$21*'Entrada e Saida'!$K$8*(Q264/(SUM(Q:Q)))</f>
        <v>#DIV/0!</v>
      </c>
      <c r="U264" s="179" t="e">
        <f>'Entrada e Saida'!$H$22*(P264/(SUM(P:P)))</f>
        <v>#DIV/0!</v>
      </c>
      <c r="V264" s="179" t="e">
        <f>'Entrada e Saida'!$H$22*(Q264/(SUM(Q:Q)))</f>
        <v>#DIV/0!</v>
      </c>
      <c r="W264" s="8" t="e">
        <f t="shared" si="117"/>
        <v>#DIV/0!</v>
      </c>
      <c r="X264" s="179" t="e">
        <f>'Entrada e Saida'!$H$26*(IF('Entrada e Saida'!$H$15="PESO",(P264/(SUM(P:P))),(Q264/(SUM(Q:Q)))))</f>
        <v>#DIV/0!</v>
      </c>
      <c r="Y264" s="179" t="e">
        <f>'Entrada e Saida'!$H$27*(IF('Entrada e Saida'!$H$15="PESO",(P264/(SUM(P:P))),(Q264/(SUM(Q:Q)))))</f>
        <v>#DIV/0!</v>
      </c>
      <c r="Z264" s="179" t="e">
        <f>'Entrada e Saida'!$H$28*(IF('Entrada e Saida'!$H$15="PESO",(P264/(SUM(P:P))),(Q264/(SUM(Q:Q)))))</f>
        <v>#DIV/0!</v>
      </c>
      <c r="AA264" s="10" t="e">
        <f t="shared" si="118"/>
        <v>#DIV/0!</v>
      </c>
      <c r="AB264" s="3" t="e">
        <f t="shared" si="119"/>
        <v>#DIV/0!</v>
      </c>
      <c r="AC264" s="3" t="e">
        <f t="shared" si="120"/>
        <v>#DIV/0!</v>
      </c>
      <c r="AD264" s="3" t="e">
        <f t="shared" si="121"/>
        <v>#DIV/0!</v>
      </c>
      <c r="AE264" s="9" t="e">
        <f t="shared" si="122"/>
        <v>#DIV/0!</v>
      </c>
      <c r="AF264" s="126">
        <f>IFERROR(D264*F264*L264*'Entrada e Saida'!$K$8,0)</f>
        <v>0</v>
      </c>
      <c r="AG264" s="3" t="e">
        <f>((W264+AA264+AB264+AC264+AD264+AE264+AF264)/(1-'Entrada e Saida'!$G$65))*'Entrada e Saida'!$I$66</f>
        <v>#DIV/0!</v>
      </c>
      <c r="AH264" s="8" t="e">
        <f t="shared" si="123"/>
        <v>#DIV/0!</v>
      </c>
      <c r="AI264" s="183" t="e">
        <f>'Entrada e Saida'!$K$51*(IF('Entrada e Saida'!$H$15="PESO",(P264/(SUM(P:P))),(Q264/(SUM(Q:Q)))))</f>
        <v>#DIV/0!</v>
      </c>
      <c r="AJ264" s="7">
        <f>(('Entrada e Saida'!$K$10-'Entrada e Saida'!$K$8)*E264*D264)</f>
        <v>0</v>
      </c>
      <c r="AK264" s="184" t="e">
        <f>IF('Entrada e Saida'!$H$15="PESO",W264+AA264+AH264+AI264+AJ264,W264+AA264+AH264+AI264+AJ264-S264+T264-U264+V264)</f>
        <v>#DIV/0!</v>
      </c>
      <c r="AL264" s="6" t="e">
        <f>IF('Entrada e Saida'!$H$12="REAL",AC264,0)</f>
        <v>#DIV/0!</v>
      </c>
      <c r="AM264" s="6" t="e">
        <f>IF('Entrada e Saida'!$H$12="REAL",AD264,0)</f>
        <v>#DIV/0!</v>
      </c>
      <c r="AN264" s="5" t="e">
        <f>IF('Entrada e Saida'!$H$13= "NÃO",AE264,0)</f>
        <v>#DIV/0!</v>
      </c>
      <c r="AO264" s="5" t="e">
        <f t="shared" si="124"/>
        <v>#DIV/0!</v>
      </c>
      <c r="AP264" s="4" t="e">
        <f t="shared" si="125"/>
        <v>#DIV/0!</v>
      </c>
      <c r="AQ264" s="3" t="e">
        <f>IF('Entrada e Saida'!$H$11="TRADING",AU264*'Custo Resumido'!D264,0)</f>
        <v>#DIV/0!</v>
      </c>
      <c r="AR264" s="3" t="e">
        <f>IF('Entrada e Saida'!$H$11="TRADING",AU264*'Entrada e Saida'!$G$63,0)</f>
        <v>#DIV/0!</v>
      </c>
      <c r="AS264" s="3" t="e">
        <f>IF('Entrada e Saida'!$H$11="TRADING",AU264*'Entrada e Saida'!$G$64,0)</f>
        <v>#DIV/0!</v>
      </c>
      <c r="AT264" s="3" t="e">
        <f>IF('Entrada e Saida'!$H$11="TRADING",AU264*'Entrada e Saida'!$G$65,0)</f>
        <v>#DIV/0!</v>
      </c>
      <c r="AU264" s="4" t="e">
        <f>IF('Entrada e Saida'!$H$11="TRADING",AP264/(1-(SUM('Entrada e Saida'!$G$63:$G$65)+'Custo Resumido'!D264)),0)</f>
        <v>#DIV/0!</v>
      </c>
      <c r="AV264" s="3" t="e">
        <f>IF('Entrada e Saida'!$H$13="NÃO",AU264*M264,0)</f>
        <v>#DIV/0!</v>
      </c>
      <c r="AW264" s="4" t="e">
        <f t="shared" si="126"/>
        <v>#DIV/0!</v>
      </c>
      <c r="AX264" s="3" t="e">
        <f>'Entrada e Saida'!$G$74*AU264</f>
        <v>#DIV/0!</v>
      </c>
      <c r="AY264" s="4" t="e">
        <f t="shared" si="127"/>
        <v>#DIV/0!</v>
      </c>
      <c r="AZ264" s="4" t="e">
        <f>AQ264+('Entrada e Saida'!$G$65-'Entrada e Saida'!$I$65)*AU264-AX264</f>
        <v>#DIV/0!</v>
      </c>
      <c r="BA264" s="3" t="e">
        <f>IF('Entrada e Saida'!$H$12="REAL",AZ264*'Entrada e Saida'!$G$81,AU264*'Entrada e Saida'!$G$81)</f>
        <v>#DIV/0!</v>
      </c>
      <c r="BB264" s="3" t="e">
        <f>IF('Entrada e Saida'!$H$12="REAL",AZ264*'Entrada e Saida'!$G$82,AU264*'Entrada e Saida'!$G$82)</f>
        <v>#DIV/0!</v>
      </c>
      <c r="BC264" s="4" t="e">
        <f t="shared" si="128"/>
        <v>#DIV/0!</v>
      </c>
      <c r="BD264" s="3" t="e">
        <f>IF('Entrada e Saida'!$H$11="TRADING",AW264/D264,AK264/D264)</f>
        <v>#DIV/0!</v>
      </c>
      <c r="BE264" s="3" t="e">
        <f t="shared" si="129"/>
        <v>#DIV/0!</v>
      </c>
      <c r="BF264" s="2" t="e">
        <f t="shared" si="130"/>
        <v>#DIV/0!</v>
      </c>
      <c r="BG264" s="3" t="e">
        <f>IF('Entrada e Saida'!$H$11="TRADING",AV264/D264,AN264/D264)</f>
        <v>#DIV/0!</v>
      </c>
      <c r="BH264" s="3" t="e">
        <f>IF('Entrada e Saida'!$H$11="TRADING",IF('Entrada e Saida'!$H$12="REAL",AR264/D264,0),AL264/D264)</f>
        <v>#DIV/0!</v>
      </c>
      <c r="BI264" s="3" t="e">
        <f>IF('Entrada e Saida'!$H$11="TRADING",IF('Entrada e Saida'!$H$12="REAL",AS264/D264,0),AM264/D264)</f>
        <v>#DIV/0!</v>
      </c>
      <c r="BJ264" s="3" t="e">
        <f>IF('Entrada e Saida'!$H$11="TRADING",AT264/D264,AO264/D264)</f>
        <v>#DIV/0!</v>
      </c>
      <c r="BK264" s="2" t="e">
        <f t="shared" si="131"/>
        <v>#DIV/0!</v>
      </c>
      <c r="BL264" s="2">
        <f>IF(O264&gt;0,IFERROR(IF('Entrada e Saida'!$H$11="DIRETA",0,(IF('Entrada e Saida'!$H$14="P.JURIDICA",(BD264*(1+O264)*N264)-((BD264/(1+M264))*'Entrada e Saida'!$G$65),((Produtos!N264-'Entrada e Saida'!$G$65)*Produtos!BD264)))),0),0)</f>
        <v>0</v>
      </c>
      <c r="BM264" s="2" t="e">
        <f t="shared" si="132"/>
        <v>#DIV/0!</v>
      </c>
    </row>
    <row r="265" spans="1:65" s="1" customFormat="1">
      <c r="A265" s="127"/>
      <c r="B265" s="114"/>
      <c r="C265" s="116"/>
      <c r="D265" s="146"/>
      <c r="E265" s="115">
        <f>IFERROR(VLOOKUP(A265,'Master Modelo'!A:I,9,FALSE),0)</f>
        <v>0</v>
      </c>
      <c r="F265" s="189">
        <f>IFERROR(VLOOKUP(A265,'Master Modelo'!A:I,8,FALSE),0)</f>
        <v>0</v>
      </c>
      <c r="G265" s="189">
        <f>IFERROR(VLOOKUP(A265,'Master Modelo'!A:K,11,FALSE),0)</f>
        <v>0</v>
      </c>
      <c r="H265" s="114" t="e">
        <f t="shared" si="115"/>
        <v>#DIV/0!</v>
      </c>
      <c r="I265" s="150">
        <f>IFERROR(VLOOKUP(A265,'Master Modelo'!A:I,3,FALSE),0)</f>
        <v>0</v>
      </c>
      <c r="J265" s="151">
        <f>IFERROR(VLOOKUP(A265,'Master Modelo'!A:I,5,FALSE),0)</f>
        <v>0</v>
      </c>
      <c r="K265" s="151">
        <f>IFERROR(VLOOKUP(A265,'Master Modelo'!A:I,6,FALSE),0)</f>
        <v>0</v>
      </c>
      <c r="L265" s="152" t="e">
        <f>VLOOKUP(A265,'Master Modelo'!A:J,10,FALSE)</f>
        <v>#N/A</v>
      </c>
      <c r="M265" s="150">
        <f>IFERROR(VLOOKUP(A265,'Master Modelo'!A:I,4,FALSE),0)</f>
        <v>0</v>
      </c>
      <c r="N265" s="128"/>
      <c r="O265" s="129"/>
      <c r="P265" s="9">
        <f t="shared" si="116"/>
        <v>0</v>
      </c>
      <c r="Q265" s="177">
        <f t="shared" si="133"/>
        <v>0</v>
      </c>
      <c r="R265" s="3">
        <f>D265*E265*'Entrada e Saida'!$K$8</f>
        <v>0</v>
      </c>
      <c r="S265" s="179" t="e">
        <f>'Entrada e Saida'!$H$21*'Entrada e Saida'!$K$8*(P265/(SUM(P:P)))</f>
        <v>#DIV/0!</v>
      </c>
      <c r="T265" s="179" t="e">
        <f>'Entrada e Saida'!$H$21*'Entrada e Saida'!$K$8*(Q265/(SUM(Q:Q)))</f>
        <v>#DIV/0!</v>
      </c>
      <c r="U265" s="179" t="e">
        <f>'Entrada e Saida'!$H$22*(P265/(SUM(P:P)))</f>
        <v>#DIV/0!</v>
      </c>
      <c r="V265" s="179" t="e">
        <f>'Entrada e Saida'!$H$22*(Q265/(SUM(Q:Q)))</f>
        <v>#DIV/0!</v>
      </c>
      <c r="W265" s="8" t="e">
        <f t="shared" si="117"/>
        <v>#DIV/0!</v>
      </c>
      <c r="X265" s="179" t="e">
        <f>'Entrada e Saida'!$H$26*(IF('Entrada e Saida'!$H$15="PESO",(P265/(SUM(P:P))),(Q265/(SUM(Q:Q)))))</f>
        <v>#DIV/0!</v>
      </c>
      <c r="Y265" s="179" t="e">
        <f>'Entrada e Saida'!$H$27*(IF('Entrada e Saida'!$H$15="PESO",(P265/(SUM(P:P))),(Q265/(SUM(Q:Q)))))</f>
        <v>#DIV/0!</v>
      </c>
      <c r="Z265" s="179" t="e">
        <f>'Entrada e Saida'!$H$28*(IF('Entrada e Saida'!$H$15="PESO",(P265/(SUM(P:P))),(Q265/(SUM(Q:Q)))))</f>
        <v>#DIV/0!</v>
      </c>
      <c r="AA265" s="10" t="e">
        <f t="shared" si="118"/>
        <v>#DIV/0!</v>
      </c>
      <c r="AB265" s="3" t="e">
        <f t="shared" si="119"/>
        <v>#DIV/0!</v>
      </c>
      <c r="AC265" s="3" t="e">
        <f t="shared" si="120"/>
        <v>#DIV/0!</v>
      </c>
      <c r="AD265" s="3" t="e">
        <f t="shared" si="121"/>
        <v>#DIV/0!</v>
      </c>
      <c r="AE265" s="9" t="e">
        <f t="shared" si="122"/>
        <v>#DIV/0!</v>
      </c>
      <c r="AF265" s="126">
        <f>IFERROR(D265*F265*L265*'Entrada e Saida'!$K$8,0)</f>
        <v>0</v>
      </c>
      <c r="AG265" s="3" t="e">
        <f>((W265+AA265+AB265+AC265+AD265+AE265+AF265)/(1-'Entrada e Saida'!$G$65))*'Entrada e Saida'!$I$66</f>
        <v>#DIV/0!</v>
      </c>
      <c r="AH265" s="8" t="e">
        <f t="shared" si="123"/>
        <v>#DIV/0!</v>
      </c>
      <c r="AI265" s="183" t="e">
        <f>'Entrada e Saida'!$K$51*(IF('Entrada e Saida'!$H$15="PESO",(P265/(SUM(P:P))),(Q265/(SUM(Q:Q)))))</f>
        <v>#DIV/0!</v>
      </c>
      <c r="AJ265" s="7">
        <f>(('Entrada e Saida'!$K$10-'Entrada e Saida'!$K$8)*E265*D265)</f>
        <v>0</v>
      </c>
      <c r="AK265" s="184" t="e">
        <f>IF('Entrada e Saida'!$H$15="PESO",W265+AA265+AH265+AI265+AJ265,W265+AA265+AH265+AI265+AJ265-S265+T265-U265+V265)</f>
        <v>#DIV/0!</v>
      </c>
      <c r="AL265" s="6" t="e">
        <f>IF('Entrada e Saida'!$H$12="REAL",AC265,0)</f>
        <v>#DIV/0!</v>
      </c>
      <c r="AM265" s="6" t="e">
        <f>IF('Entrada e Saida'!$H$12="REAL",AD265,0)</f>
        <v>#DIV/0!</v>
      </c>
      <c r="AN265" s="5" t="e">
        <f>IF('Entrada e Saida'!$H$13= "NÃO",AE265,0)</f>
        <v>#DIV/0!</v>
      </c>
      <c r="AO265" s="5" t="e">
        <f t="shared" si="124"/>
        <v>#DIV/0!</v>
      </c>
      <c r="AP265" s="4" t="e">
        <f t="shared" si="125"/>
        <v>#DIV/0!</v>
      </c>
      <c r="AQ265" s="3" t="e">
        <f>IF('Entrada e Saida'!$H$11="TRADING",AU265*'Custo Resumido'!D265,0)</f>
        <v>#DIV/0!</v>
      </c>
      <c r="AR265" s="3" t="e">
        <f>IF('Entrada e Saida'!$H$11="TRADING",AU265*'Entrada e Saida'!$G$63,0)</f>
        <v>#DIV/0!</v>
      </c>
      <c r="AS265" s="3" t="e">
        <f>IF('Entrada e Saida'!$H$11="TRADING",AU265*'Entrada e Saida'!$G$64,0)</f>
        <v>#DIV/0!</v>
      </c>
      <c r="AT265" s="3" t="e">
        <f>IF('Entrada e Saida'!$H$11="TRADING",AU265*'Entrada e Saida'!$G$65,0)</f>
        <v>#DIV/0!</v>
      </c>
      <c r="AU265" s="4" t="e">
        <f>IF('Entrada e Saida'!$H$11="TRADING",AP265/(1-(SUM('Entrada e Saida'!$G$63:$G$65)+'Custo Resumido'!D265)),0)</f>
        <v>#DIV/0!</v>
      </c>
      <c r="AV265" s="3" t="e">
        <f>IF('Entrada e Saida'!$H$13="NÃO",AU265*M265,0)</f>
        <v>#DIV/0!</v>
      </c>
      <c r="AW265" s="4" t="e">
        <f t="shared" si="126"/>
        <v>#DIV/0!</v>
      </c>
      <c r="AX265" s="3" t="e">
        <f>'Entrada e Saida'!$G$74*AU265</f>
        <v>#DIV/0!</v>
      </c>
      <c r="AY265" s="4" t="e">
        <f t="shared" si="127"/>
        <v>#DIV/0!</v>
      </c>
      <c r="AZ265" s="4" t="e">
        <f>AQ265+('Entrada e Saida'!$G$65-'Entrada e Saida'!$I$65)*AU265-AX265</f>
        <v>#DIV/0!</v>
      </c>
      <c r="BA265" s="3" t="e">
        <f>IF('Entrada e Saida'!$H$12="REAL",AZ265*'Entrada e Saida'!$G$81,AU265*'Entrada e Saida'!$G$81)</f>
        <v>#DIV/0!</v>
      </c>
      <c r="BB265" s="3" t="e">
        <f>IF('Entrada e Saida'!$H$12="REAL",AZ265*'Entrada e Saida'!$G$82,AU265*'Entrada e Saida'!$G$82)</f>
        <v>#DIV/0!</v>
      </c>
      <c r="BC265" s="4" t="e">
        <f t="shared" si="128"/>
        <v>#DIV/0!</v>
      </c>
      <c r="BD265" s="3" t="e">
        <f>IF('Entrada e Saida'!$H$11="TRADING",AW265/D265,AK265/D265)</f>
        <v>#DIV/0!</v>
      </c>
      <c r="BE265" s="3" t="e">
        <f t="shared" si="129"/>
        <v>#DIV/0!</v>
      </c>
      <c r="BF265" s="2" t="e">
        <f t="shared" si="130"/>
        <v>#DIV/0!</v>
      </c>
      <c r="BG265" s="3" t="e">
        <f>IF('Entrada e Saida'!$H$11="TRADING",AV265/D265,AN265/D265)</f>
        <v>#DIV/0!</v>
      </c>
      <c r="BH265" s="3" t="e">
        <f>IF('Entrada e Saida'!$H$11="TRADING",IF('Entrada e Saida'!$H$12="REAL",AR265/D265,0),AL265/D265)</f>
        <v>#DIV/0!</v>
      </c>
      <c r="BI265" s="3" t="e">
        <f>IF('Entrada e Saida'!$H$11="TRADING",IF('Entrada e Saida'!$H$12="REAL",AS265/D265,0),AM265/D265)</f>
        <v>#DIV/0!</v>
      </c>
      <c r="BJ265" s="3" t="e">
        <f>IF('Entrada e Saida'!$H$11="TRADING",AT265/D265,AO265/D265)</f>
        <v>#DIV/0!</v>
      </c>
      <c r="BK265" s="2" t="e">
        <f t="shared" si="131"/>
        <v>#DIV/0!</v>
      </c>
      <c r="BL265" s="2">
        <f>IF(O265&gt;0,IFERROR(IF('Entrada e Saida'!$H$11="DIRETA",0,(IF('Entrada e Saida'!$H$14="P.JURIDICA",(BD265*(1+O265)*N265)-((BD265/(1+M265))*'Entrada e Saida'!$G$65),((Produtos!N265-'Entrada e Saida'!$G$65)*Produtos!BD265)))),0),0)</f>
        <v>0</v>
      </c>
      <c r="BM265" s="2" t="e">
        <f t="shared" si="132"/>
        <v>#DIV/0!</v>
      </c>
    </row>
    <row r="266" spans="1:65" s="1" customFormat="1">
      <c r="A266" s="127"/>
      <c r="B266" s="114"/>
      <c r="C266" s="116"/>
      <c r="D266" s="146"/>
      <c r="E266" s="115">
        <f>IFERROR(VLOOKUP(A266,'Master Modelo'!A:I,9,FALSE),0)</f>
        <v>0</v>
      </c>
      <c r="F266" s="189">
        <f>IFERROR(VLOOKUP(A266,'Master Modelo'!A:I,8,FALSE),0)</f>
        <v>0</v>
      </c>
      <c r="G266" s="189">
        <f>IFERROR(VLOOKUP(A266,'Master Modelo'!A:K,11,FALSE),0)</f>
        <v>0</v>
      </c>
      <c r="H266" s="114" t="e">
        <f t="shared" si="115"/>
        <v>#DIV/0!</v>
      </c>
      <c r="I266" s="150">
        <f>IFERROR(VLOOKUP(A266,'Master Modelo'!A:I,3,FALSE),0)</f>
        <v>0</v>
      </c>
      <c r="J266" s="151">
        <f>IFERROR(VLOOKUP(A266,'Master Modelo'!A:I,5,FALSE),0)</f>
        <v>0</v>
      </c>
      <c r="K266" s="151">
        <f>IFERROR(VLOOKUP(A266,'Master Modelo'!A:I,6,FALSE),0)</f>
        <v>0</v>
      </c>
      <c r="L266" s="152" t="e">
        <f>VLOOKUP(A266,'Master Modelo'!A:J,10,FALSE)</f>
        <v>#N/A</v>
      </c>
      <c r="M266" s="150">
        <f>IFERROR(VLOOKUP(A266,'Master Modelo'!A:I,4,FALSE),0)</f>
        <v>0</v>
      </c>
      <c r="N266" s="128"/>
      <c r="O266" s="129"/>
      <c r="P266" s="9">
        <f t="shared" si="116"/>
        <v>0</v>
      </c>
      <c r="Q266" s="177">
        <f t="shared" si="133"/>
        <v>0</v>
      </c>
      <c r="R266" s="3">
        <f>D266*E266*'Entrada e Saida'!$K$8</f>
        <v>0</v>
      </c>
      <c r="S266" s="179" t="e">
        <f>'Entrada e Saida'!$H$21*'Entrada e Saida'!$K$8*(P266/(SUM(P:P)))</f>
        <v>#DIV/0!</v>
      </c>
      <c r="T266" s="179" t="e">
        <f>'Entrada e Saida'!$H$21*'Entrada e Saida'!$K$8*(Q266/(SUM(Q:Q)))</f>
        <v>#DIV/0!</v>
      </c>
      <c r="U266" s="179" t="e">
        <f>'Entrada e Saida'!$H$22*(P266/(SUM(P:P)))</f>
        <v>#DIV/0!</v>
      </c>
      <c r="V266" s="179" t="e">
        <f>'Entrada e Saida'!$H$22*(Q266/(SUM(Q:Q)))</f>
        <v>#DIV/0!</v>
      </c>
      <c r="W266" s="8" t="e">
        <f t="shared" si="117"/>
        <v>#DIV/0!</v>
      </c>
      <c r="X266" s="179" t="e">
        <f>'Entrada e Saida'!$H$26*(IF('Entrada e Saida'!$H$15="PESO",(P266/(SUM(P:P))),(Q266/(SUM(Q:Q)))))</f>
        <v>#DIV/0!</v>
      </c>
      <c r="Y266" s="179" t="e">
        <f>'Entrada e Saida'!$H$27*(IF('Entrada e Saida'!$H$15="PESO",(P266/(SUM(P:P))),(Q266/(SUM(Q:Q)))))</f>
        <v>#DIV/0!</v>
      </c>
      <c r="Z266" s="179" t="e">
        <f>'Entrada e Saida'!$H$28*(IF('Entrada e Saida'!$H$15="PESO",(P266/(SUM(P:P))),(Q266/(SUM(Q:Q)))))</f>
        <v>#DIV/0!</v>
      </c>
      <c r="AA266" s="10" t="e">
        <f t="shared" si="118"/>
        <v>#DIV/0!</v>
      </c>
      <c r="AB266" s="3" t="e">
        <f t="shared" si="119"/>
        <v>#DIV/0!</v>
      </c>
      <c r="AC266" s="3" t="e">
        <f t="shared" si="120"/>
        <v>#DIV/0!</v>
      </c>
      <c r="AD266" s="3" t="e">
        <f t="shared" si="121"/>
        <v>#DIV/0!</v>
      </c>
      <c r="AE266" s="9" t="e">
        <f t="shared" si="122"/>
        <v>#DIV/0!</v>
      </c>
      <c r="AF266" s="126">
        <f>IFERROR(D266*F266*L266*'Entrada e Saida'!$K$8,0)</f>
        <v>0</v>
      </c>
      <c r="AG266" s="3" t="e">
        <f>((W266+AA266+AB266+AC266+AD266+AE266+AF266)/(1-'Entrada e Saida'!$G$65))*'Entrada e Saida'!$I$66</f>
        <v>#DIV/0!</v>
      </c>
      <c r="AH266" s="8" t="e">
        <f t="shared" si="123"/>
        <v>#DIV/0!</v>
      </c>
      <c r="AI266" s="183" t="e">
        <f>'Entrada e Saida'!$K$51*(IF('Entrada e Saida'!$H$15="PESO",(P266/(SUM(P:P))),(Q266/(SUM(Q:Q)))))</f>
        <v>#DIV/0!</v>
      </c>
      <c r="AJ266" s="7">
        <f>(('Entrada e Saida'!$K$10-'Entrada e Saida'!$K$8)*E266*D266)</f>
        <v>0</v>
      </c>
      <c r="AK266" s="184" t="e">
        <f>IF('Entrada e Saida'!$H$15="PESO",W266+AA266+AH266+AI266+AJ266,W266+AA266+AH266+AI266+AJ266-S266+T266-U266+V266)</f>
        <v>#DIV/0!</v>
      </c>
      <c r="AL266" s="6" t="e">
        <f>IF('Entrada e Saida'!$H$12="REAL",AC266,0)</f>
        <v>#DIV/0!</v>
      </c>
      <c r="AM266" s="6" t="e">
        <f>IF('Entrada e Saida'!$H$12="REAL",AD266,0)</f>
        <v>#DIV/0!</v>
      </c>
      <c r="AN266" s="5" t="e">
        <f>IF('Entrada e Saida'!$H$13= "NÃO",AE266,0)</f>
        <v>#DIV/0!</v>
      </c>
      <c r="AO266" s="5" t="e">
        <f t="shared" si="124"/>
        <v>#DIV/0!</v>
      </c>
      <c r="AP266" s="4" t="e">
        <f t="shared" si="125"/>
        <v>#DIV/0!</v>
      </c>
      <c r="AQ266" s="3" t="e">
        <f>IF('Entrada e Saida'!$H$11="TRADING",AU266*'Custo Resumido'!D266,0)</f>
        <v>#DIV/0!</v>
      </c>
      <c r="AR266" s="3" t="e">
        <f>IF('Entrada e Saida'!$H$11="TRADING",AU266*'Entrada e Saida'!$G$63,0)</f>
        <v>#DIV/0!</v>
      </c>
      <c r="AS266" s="3" t="e">
        <f>IF('Entrada e Saida'!$H$11="TRADING",AU266*'Entrada e Saida'!$G$64,0)</f>
        <v>#DIV/0!</v>
      </c>
      <c r="AT266" s="3" t="e">
        <f>IF('Entrada e Saida'!$H$11="TRADING",AU266*'Entrada e Saida'!$G$65,0)</f>
        <v>#DIV/0!</v>
      </c>
      <c r="AU266" s="4" t="e">
        <f>IF('Entrada e Saida'!$H$11="TRADING",AP266/(1-(SUM('Entrada e Saida'!$G$63:$G$65)+'Custo Resumido'!D266)),0)</f>
        <v>#DIV/0!</v>
      </c>
      <c r="AV266" s="3" t="e">
        <f>IF('Entrada e Saida'!$H$13="NÃO",AU266*M266,0)</f>
        <v>#DIV/0!</v>
      </c>
      <c r="AW266" s="4" t="e">
        <f t="shared" si="126"/>
        <v>#DIV/0!</v>
      </c>
      <c r="AX266" s="3" t="e">
        <f>'Entrada e Saida'!$G$74*AU266</f>
        <v>#DIV/0!</v>
      </c>
      <c r="AY266" s="4" t="e">
        <f t="shared" si="127"/>
        <v>#DIV/0!</v>
      </c>
      <c r="AZ266" s="4" t="e">
        <f>AQ266+('Entrada e Saida'!$G$65-'Entrada e Saida'!$I$65)*AU266-AX266</f>
        <v>#DIV/0!</v>
      </c>
      <c r="BA266" s="3" t="e">
        <f>IF('Entrada e Saida'!$H$12="REAL",AZ266*'Entrada e Saida'!$G$81,AU266*'Entrada e Saida'!$G$81)</f>
        <v>#DIV/0!</v>
      </c>
      <c r="BB266" s="3" t="e">
        <f>IF('Entrada e Saida'!$H$12="REAL",AZ266*'Entrada e Saida'!$G$82,AU266*'Entrada e Saida'!$G$82)</f>
        <v>#DIV/0!</v>
      </c>
      <c r="BC266" s="4" t="e">
        <f t="shared" si="128"/>
        <v>#DIV/0!</v>
      </c>
      <c r="BD266" s="3" t="e">
        <f>IF('Entrada e Saida'!$H$11="TRADING",AW266/D266,AK266/D266)</f>
        <v>#DIV/0!</v>
      </c>
      <c r="BE266" s="3" t="e">
        <f t="shared" si="129"/>
        <v>#DIV/0!</v>
      </c>
      <c r="BF266" s="2" t="e">
        <f t="shared" si="130"/>
        <v>#DIV/0!</v>
      </c>
      <c r="BG266" s="3" t="e">
        <f>IF('Entrada e Saida'!$H$11="TRADING",AV266/D266,AN266/D266)</f>
        <v>#DIV/0!</v>
      </c>
      <c r="BH266" s="3" t="e">
        <f>IF('Entrada e Saida'!$H$11="TRADING",IF('Entrada e Saida'!$H$12="REAL",AR266/D266,0),AL266/D266)</f>
        <v>#DIV/0!</v>
      </c>
      <c r="BI266" s="3" t="e">
        <f>IF('Entrada e Saida'!$H$11="TRADING",IF('Entrada e Saida'!$H$12="REAL",AS266/D266,0),AM266/D266)</f>
        <v>#DIV/0!</v>
      </c>
      <c r="BJ266" s="3" t="e">
        <f>IF('Entrada e Saida'!$H$11="TRADING",AT266/D266,AO266/D266)</f>
        <v>#DIV/0!</v>
      </c>
      <c r="BK266" s="2" t="e">
        <f t="shared" si="131"/>
        <v>#DIV/0!</v>
      </c>
      <c r="BL266" s="2">
        <f>IF(O266&gt;0,IFERROR(IF('Entrada e Saida'!$H$11="DIRETA",0,(IF('Entrada e Saida'!$H$14="P.JURIDICA",(BD266*(1+O266)*N266)-((BD266/(1+M266))*'Entrada e Saida'!$G$65),((Produtos!N266-'Entrada e Saida'!$G$65)*Produtos!BD266)))),0),0)</f>
        <v>0</v>
      </c>
      <c r="BM266" s="2" t="e">
        <f t="shared" si="132"/>
        <v>#DIV/0!</v>
      </c>
    </row>
    <row r="267" spans="1:65" s="1" customFormat="1">
      <c r="A267" s="127"/>
      <c r="B267" s="114"/>
      <c r="C267" s="116"/>
      <c r="D267" s="146"/>
      <c r="E267" s="115">
        <f>IFERROR(VLOOKUP(A267,'Master Modelo'!A:I,9,FALSE),0)</f>
        <v>0</v>
      </c>
      <c r="F267" s="189">
        <f>IFERROR(VLOOKUP(A267,'Master Modelo'!A:I,8,FALSE),0)</f>
        <v>0</v>
      </c>
      <c r="G267" s="189">
        <f>IFERROR(VLOOKUP(A267,'Master Modelo'!A:K,11,FALSE),0)</f>
        <v>0</v>
      </c>
      <c r="H267" s="114" t="e">
        <f t="shared" si="115"/>
        <v>#DIV/0!</v>
      </c>
      <c r="I267" s="150">
        <f>IFERROR(VLOOKUP(A267,'Master Modelo'!A:I,3,FALSE),0)</f>
        <v>0</v>
      </c>
      <c r="J267" s="151">
        <f>IFERROR(VLOOKUP(A267,'Master Modelo'!A:I,5,FALSE),0)</f>
        <v>0</v>
      </c>
      <c r="K267" s="151">
        <f>IFERROR(VLOOKUP(A267,'Master Modelo'!A:I,6,FALSE),0)</f>
        <v>0</v>
      </c>
      <c r="L267" s="152" t="e">
        <f>VLOOKUP(A267,'Master Modelo'!A:J,10,FALSE)</f>
        <v>#N/A</v>
      </c>
      <c r="M267" s="150">
        <f>IFERROR(VLOOKUP(A267,'Master Modelo'!A:I,4,FALSE),0)</f>
        <v>0</v>
      </c>
      <c r="N267" s="128"/>
      <c r="O267" s="129"/>
      <c r="P267" s="9">
        <f t="shared" si="116"/>
        <v>0</v>
      </c>
      <c r="Q267" s="177">
        <f t="shared" si="133"/>
        <v>0</v>
      </c>
      <c r="R267" s="3">
        <f>D267*E267*'Entrada e Saida'!$K$8</f>
        <v>0</v>
      </c>
      <c r="S267" s="179" t="e">
        <f>'Entrada e Saida'!$H$21*'Entrada e Saida'!$K$8*(P267/(SUM(P:P)))</f>
        <v>#DIV/0!</v>
      </c>
      <c r="T267" s="179" t="e">
        <f>'Entrada e Saida'!$H$21*'Entrada e Saida'!$K$8*(Q267/(SUM(Q:Q)))</f>
        <v>#DIV/0!</v>
      </c>
      <c r="U267" s="179" t="e">
        <f>'Entrada e Saida'!$H$22*(P267/(SUM(P:P)))</f>
        <v>#DIV/0!</v>
      </c>
      <c r="V267" s="179" t="e">
        <f>'Entrada e Saida'!$H$22*(Q267/(SUM(Q:Q)))</f>
        <v>#DIV/0!</v>
      </c>
      <c r="W267" s="8" t="e">
        <f t="shared" si="117"/>
        <v>#DIV/0!</v>
      </c>
      <c r="X267" s="179" t="e">
        <f>'Entrada e Saida'!$H$26*(IF('Entrada e Saida'!$H$15="PESO",(P267/(SUM(P:P))),(Q267/(SUM(Q:Q)))))</f>
        <v>#DIV/0!</v>
      </c>
      <c r="Y267" s="179" t="e">
        <f>'Entrada e Saida'!$H$27*(IF('Entrada e Saida'!$H$15="PESO",(P267/(SUM(P:P))),(Q267/(SUM(Q:Q)))))</f>
        <v>#DIV/0!</v>
      </c>
      <c r="Z267" s="179" t="e">
        <f>'Entrada e Saida'!$H$28*(IF('Entrada e Saida'!$H$15="PESO",(P267/(SUM(P:P))),(Q267/(SUM(Q:Q)))))</f>
        <v>#DIV/0!</v>
      </c>
      <c r="AA267" s="10" t="e">
        <f t="shared" si="118"/>
        <v>#DIV/0!</v>
      </c>
      <c r="AB267" s="3" t="e">
        <f t="shared" si="119"/>
        <v>#DIV/0!</v>
      </c>
      <c r="AC267" s="3" t="e">
        <f t="shared" si="120"/>
        <v>#DIV/0!</v>
      </c>
      <c r="AD267" s="3" t="e">
        <f t="shared" si="121"/>
        <v>#DIV/0!</v>
      </c>
      <c r="AE267" s="9" t="e">
        <f t="shared" si="122"/>
        <v>#DIV/0!</v>
      </c>
      <c r="AF267" s="126">
        <f>IFERROR(D267*F267*L267*'Entrada e Saida'!$K$8,0)</f>
        <v>0</v>
      </c>
      <c r="AG267" s="3" t="e">
        <f>((W267+AA267+AB267+AC267+AD267+AE267+AF267)/(1-'Entrada e Saida'!$G$65))*'Entrada e Saida'!$I$66</f>
        <v>#DIV/0!</v>
      </c>
      <c r="AH267" s="8" t="e">
        <f t="shared" si="123"/>
        <v>#DIV/0!</v>
      </c>
      <c r="AI267" s="183" t="e">
        <f>'Entrada e Saida'!$K$51*(IF('Entrada e Saida'!$H$15="PESO",(P267/(SUM(P:P))),(Q267/(SUM(Q:Q)))))</f>
        <v>#DIV/0!</v>
      </c>
      <c r="AJ267" s="7">
        <f>(('Entrada e Saida'!$K$10-'Entrada e Saida'!$K$8)*E267*D267)</f>
        <v>0</v>
      </c>
      <c r="AK267" s="184" t="e">
        <f>IF('Entrada e Saida'!$H$15="PESO",W267+AA267+AH267+AI267+AJ267,W267+AA267+AH267+AI267+AJ267-S267+T267-U267+V267)</f>
        <v>#DIV/0!</v>
      </c>
      <c r="AL267" s="6" t="e">
        <f>IF('Entrada e Saida'!$H$12="REAL",AC267,0)</f>
        <v>#DIV/0!</v>
      </c>
      <c r="AM267" s="6" t="e">
        <f>IF('Entrada e Saida'!$H$12="REAL",AD267,0)</f>
        <v>#DIV/0!</v>
      </c>
      <c r="AN267" s="5" t="e">
        <f>IF('Entrada e Saida'!$H$13= "NÃO",AE267,0)</f>
        <v>#DIV/0!</v>
      </c>
      <c r="AO267" s="5" t="e">
        <f t="shared" si="124"/>
        <v>#DIV/0!</v>
      </c>
      <c r="AP267" s="4" t="e">
        <f t="shared" si="125"/>
        <v>#DIV/0!</v>
      </c>
      <c r="AQ267" s="3" t="e">
        <f>IF('Entrada e Saida'!$H$11="TRADING",AU267*'Custo Resumido'!D267,0)</f>
        <v>#DIV/0!</v>
      </c>
      <c r="AR267" s="3" t="e">
        <f>IF('Entrada e Saida'!$H$11="TRADING",AU267*'Entrada e Saida'!$G$63,0)</f>
        <v>#DIV/0!</v>
      </c>
      <c r="AS267" s="3" t="e">
        <f>IF('Entrada e Saida'!$H$11="TRADING",AU267*'Entrada e Saida'!$G$64,0)</f>
        <v>#DIV/0!</v>
      </c>
      <c r="AT267" s="3" t="e">
        <f>IF('Entrada e Saida'!$H$11="TRADING",AU267*'Entrada e Saida'!$G$65,0)</f>
        <v>#DIV/0!</v>
      </c>
      <c r="AU267" s="4" t="e">
        <f>IF('Entrada e Saida'!$H$11="TRADING",AP267/(1-(SUM('Entrada e Saida'!$G$63:$G$65)+'Custo Resumido'!D267)),0)</f>
        <v>#DIV/0!</v>
      </c>
      <c r="AV267" s="3" t="e">
        <f>IF('Entrada e Saida'!$H$13="NÃO",AU267*M267,0)</f>
        <v>#DIV/0!</v>
      </c>
      <c r="AW267" s="4" t="e">
        <f t="shared" si="126"/>
        <v>#DIV/0!</v>
      </c>
      <c r="AX267" s="3" t="e">
        <f>'Entrada e Saida'!$G$74*AU267</f>
        <v>#DIV/0!</v>
      </c>
      <c r="AY267" s="4" t="e">
        <f t="shared" si="127"/>
        <v>#DIV/0!</v>
      </c>
      <c r="AZ267" s="4" t="e">
        <f>AQ267+('Entrada e Saida'!$G$65-'Entrada e Saida'!$I$65)*AU267-AX267</f>
        <v>#DIV/0!</v>
      </c>
      <c r="BA267" s="3" t="e">
        <f>IF('Entrada e Saida'!$H$12="REAL",AZ267*'Entrada e Saida'!$G$81,AU267*'Entrada e Saida'!$G$81)</f>
        <v>#DIV/0!</v>
      </c>
      <c r="BB267" s="3" t="e">
        <f>IF('Entrada e Saida'!$H$12="REAL",AZ267*'Entrada e Saida'!$G$82,AU267*'Entrada e Saida'!$G$82)</f>
        <v>#DIV/0!</v>
      </c>
      <c r="BC267" s="4" t="e">
        <f t="shared" si="128"/>
        <v>#DIV/0!</v>
      </c>
      <c r="BD267" s="3" t="e">
        <f>IF('Entrada e Saida'!$H$11="TRADING",AW267/D267,AK267/D267)</f>
        <v>#DIV/0!</v>
      </c>
      <c r="BE267" s="3" t="e">
        <f t="shared" si="129"/>
        <v>#DIV/0!</v>
      </c>
      <c r="BF267" s="2" t="e">
        <f t="shared" si="130"/>
        <v>#DIV/0!</v>
      </c>
      <c r="BG267" s="3" t="e">
        <f>IF('Entrada e Saida'!$H$11="TRADING",AV267/D267,AN267/D267)</f>
        <v>#DIV/0!</v>
      </c>
      <c r="BH267" s="3" t="e">
        <f>IF('Entrada e Saida'!$H$11="TRADING",IF('Entrada e Saida'!$H$12="REAL",AR267/D267,0),AL267/D267)</f>
        <v>#DIV/0!</v>
      </c>
      <c r="BI267" s="3" t="e">
        <f>IF('Entrada e Saida'!$H$11="TRADING",IF('Entrada e Saida'!$H$12="REAL",AS267/D267,0),AM267/D267)</f>
        <v>#DIV/0!</v>
      </c>
      <c r="BJ267" s="3" t="e">
        <f>IF('Entrada e Saida'!$H$11="TRADING",AT267/D267,AO267/D267)</f>
        <v>#DIV/0!</v>
      </c>
      <c r="BK267" s="2" t="e">
        <f t="shared" si="131"/>
        <v>#DIV/0!</v>
      </c>
      <c r="BL267" s="2">
        <f>IF(O267&gt;0,IFERROR(IF('Entrada e Saida'!$H$11="DIRETA",0,(IF('Entrada e Saida'!$H$14="P.JURIDICA",(BD267*(1+O267)*N267)-((BD267/(1+M267))*'Entrada e Saida'!$G$65),((Produtos!N267-'Entrada e Saida'!$G$65)*Produtos!BD267)))),0),0)</f>
        <v>0</v>
      </c>
      <c r="BM267" s="2" t="e">
        <f t="shared" si="132"/>
        <v>#DIV/0!</v>
      </c>
    </row>
    <row r="268" spans="1:65" s="1" customFormat="1">
      <c r="A268" s="127"/>
      <c r="B268" s="114"/>
      <c r="C268" s="116"/>
      <c r="D268" s="146"/>
      <c r="E268" s="115">
        <f>IFERROR(VLOOKUP(A268,'Master Modelo'!A:I,9,FALSE),0)</f>
        <v>0</v>
      </c>
      <c r="F268" s="189">
        <f>IFERROR(VLOOKUP(A268,'Master Modelo'!A:I,8,FALSE),0)</f>
        <v>0</v>
      </c>
      <c r="G268" s="189">
        <f>IFERROR(VLOOKUP(A268,'Master Modelo'!A:K,11,FALSE),0)</f>
        <v>0</v>
      </c>
      <c r="H268" s="114" t="e">
        <f t="shared" si="115"/>
        <v>#DIV/0!</v>
      </c>
      <c r="I268" s="150">
        <f>IFERROR(VLOOKUP(A268,'Master Modelo'!A:I,3,FALSE),0)</f>
        <v>0</v>
      </c>
      <c r="J268" s="151">
        <f>IFERROR(VLOOKUP(A268,'Master Modelo'!A:I,5,FALSE),0)</f>
        <v>0</v>
      </c>
      <c r="K268" s="151">
        <f>IFERROR(VLOOKUP(A268,'Master Modelo'!A:I,6,FALSE),0)</f>
        <v>0</v>
      </c>
      <c r="L268" s="152" t="e">
        <f>VLOOKUP(A268,'Master Modelo'!A:J,10,FALSE)</f>
        <v>#N/A</v>
      </c>
      <c r="M268" s="150">
        <f>IFERROR(VLOOKUP(A268,'Master Modelo'!A:I,4,FALSE),0)</f>
        <v>0</v>
      </c>
      <c r="N268" s="128"/>
      <c r="O268" s="129"/>
      <c r="P268" s="9">
        <f t="shared" si="116"/>
        <v>0</v>
      </c>
      <c r="Q268" s="177">
        <f t="shared" si="133"/>
        <v>0</v>
      </c>
      <c r="R268" s="3">
        <f>D268*E268*'Entrada e Saida'!$K$8</f>
        <v>0</v>
      </c>
      <c r="S268" s="179" t="e">
        <f>'Entrada e Saida'!$H$21*'Entrada e Saida'!$K$8*(P268/(SUM(P:P)))</f>
        <v>#DIV/0!</v>
      </c>
      <c r="T268" s="179" t="e">
        <f>'Entrada e Saida'!$H$21*'Entrada e Saida'!$K$8*(Q268/(SUM(Q:Q)))</f>
        <v>#DIV/0!</v>
      </c>
      <c r="U268" s="179" t="e">
        <f>'Entrada e Saida'!$H$22*(P268/(SUM(P:P)))</f>
        <v>#DIV/0!</v>
      </c>
      <c r="V268" s="179" t="e">
        <f>'Entrada e Saida'!$H$22*(Q268/(SUM(Q:Q)))</f>
        <v>#DIV/0!</v>
      </c>
      <c r="W268" s="8" t="e">
        <f t="shared" si="117"/>
        <v>#DIV/0!</v>
      </c>
      <c r="X268" s="179" t="e">
        <f>'Entrada e Saida'!$H$26*(IF('Entrada e Saida'!$H$15="PESO",(P268/(SUM(P:P))),(Q268/(SUM(Q:Q)))))</f>
        <v>#DIV/0!</v>
      </c>
      <c r="Y268" s="179" t="e">
        <f>'Entrada e Saida'!$H$27*(IF('Entrada e Saida'!$H$15="PESO",(P268/(SUM(P:P))),(Q268/(SUM(Q:Q)))))</f>
        <v>#DIV/0!</v>
      </c>
      <c r="Z268" s="179" t="e">
        <f>'Entrada e Saida'!$H$28*(IF('Entrada e Saida'!$H$15="PESO",(P268/(SUM(P:P))),(Q268/(SUM(Q:Q)))))</f>
        <v>#DIV/0!</v>
      </c>
      <c r="AA268" s="10" t="e">
        <f t="shared" si="118"/>
        <v>#DIV/0!</v>
      </c>
      <c r="AB268" s="3" t="e">
        <f t="shared" si="119"/>
        <v>#DIV/0!</v>
      </c>
      <c r="AC268" s="3" t="e">
        <f t="shared" si="120"/>
        <v>#DIV/0!</v>
      </c>
      <c r="AD268" s="3" t="e">
        <f t="shared" si="121"/>
        <v>#DIV/0!</v>
      </c>
      <c r="AE268" s="9" t="e">
        <f t="shared" si="122"/>
        <v>#DIV/0!</v>
      </c>
      <c r="AF268" s="126">
        <f>IFERROR(D268*F268*L268*'Entrada e Saida'!$K$8,0)</f>
        <v>0</v>
      </c>
      <c r="AG268" s="3" t="e">
        <f>((W268+AA268+AB268+AC268+AD268+AE268+AF268)/(1-'Entrada e Saida'!$G$65))*'Entrada e Saida'!$I$66</f>
        <v>#DIV/0!</v>
      </c>
      <c r="AH268" s="8" t="e">
        <f t="shared" si="123"/>
        <v>#DIV/0!</v>
      </c>
      <c r="AI268" s="183" t="e">
        <f>'Entrada e Saida'!$K$51*(IF('Entrada e Saida'!$H$15="PESO",(P268/(SUM(P:P))),(Q268/(SUM(Q:Q)))))</f>
        <v>#DIV/0!</v>
      </c>
      <c r="AJ268" s="7">
        <f>(('Entrada e Saida'!$K$10-'Entrada e Saida'!$K$8)*E268*D268)</f>
        <v>0</v>
      </c>
      <c r="AK268" s="184" t="e">
        <f>IF('Entrada e Saida'!$H$15="PESO",W268+AA268+AH268+AI268+AJ268,W268+AA268+AH268+AI268+AJ268-S268+T268-U268+V268)</f>
        <v>#DIV/0!</v>
      </c>
      <c r="AL268" s="6" t="e">
        <f>IF('Entrada e Saida'!$H$12="REAL",AC268,0)</f>
        <v>#DIV/0!</v>
      </c>
      <c r="AM268" s="6" t="e">
        <f>IF('Entrada e Saida'!$H$12="REAL",AD268,0)</f>
        <v>#DIV/0!</v>
      </c>
      <c r="AN268" s="5" t="e">
        <f>IF('Entrada e Saida'!$H$13= "NÃO",AE268,0)</f>
        <v>#DIV/0!</v>
      </c>
      <c r="AO268" s="5" t="e">
        <f t="shared" si="124"/>
        <v>#DIV/0!</v>
      </c>
      <c r="AP268" s="4" t="e">
        <f t="shared" si="125"/>
        <v>#DIV/0!</v>
      </c>
      <c r="AQ268" s="3" t="e">
        <f>IF('Entrada e Saida'!$H$11="TRADING",AU268*'Custo Resumido'!D268,0)</f>
        <v>#DIV/0!</v>
      </c>
      <c r="AR268" s="3" t="e">
        <f>IF('Entrada e Saida'!$H$11="TRADING",AU268*'Entrada e Saida'!$G$63,0)</f>
        <v>#DIV/0!</v>
      </c>
      <c r="AS268" s="3" t="e">
        <f>IF('Entrada e Saida'!$H$11="TRADING",AU268*'Entrada e Saida'!$G$64,0)</f>
        <v>#DIV/0!</v>
      </c>
      <c r="AT268" s="3" t="e">
        <f>IF('Entrada e Saida'!$H$11="TRADING",AU268*'Entrada e Saida'!$G$65,0)</f>
        <v>#DIV/0!</v>
      </c>
      <c r="AU268" s="4" t="e">
        <f>IF('Entrada e Saida'!$H$11="TRADING",AP268/(1-(SUM('Entrada e Saida'!$G$63:$G$65)+'Custo Resumido'!D268)),0)</f>
        <v>#DIV/0!</v>
      </c>
      <c r="AV268" s="3" t="e">
        <f>IF('Entrada e Saida'!$H$13="NÃO",AU268*M268,0)</f>
        <v>#DIV/0!</v>
      </c>
      <c r="AW268" s="4" t="e">
        <f t="shared" si="126"/>
        <v>#DIV/0!</v>
      </c>
      <c r="AX268" s="3" t="e">
        <f>'Entrada e Saida'!$G$74*AU268</f>
        <v>#DIV/0!</v>
      </c>
      <c r="AY268" s="4" t="e">
        <f t="shared" si="127"/>
        <v>#DIV/0!</v>
      </c>
      <c r="AZ268" s="4" t="e">
        <f>AQ268+('Entrada e Saida'!$G$65-'Entrada e Saida'!$I$65)*AU268-AX268</f>
        <v>#DIV/0!</v>
      </c>
      <c r="BA268" s="3" t="e">
        <f>IF('Entrada e Saida'!$H$12="REAL",AZ268*'Entrada e Saida'!$G$81,AU268*'Entrada e Saida'!$G$81)</f>
        <v>#DIV/0!</v>
      </c>
      <c r="BB268" s="3" t="e">
        <f>IF('Entrada e Saida'!$H$12="REAL",AZ268*'Entrada e Saida'!$G$82,AU268*'Entrada e Saida'!$G$82)</f>
        <v>#DIV/0!</v>
      </c>
      <c r="BC268" s="4" t="e">
        <f t="shared" si="128"/>
        <v>#DIV/0!</v>
      </c>
      <c r="BD268" s="3" t="e">
        <f>IF('Entrada e Saida'!$H$11="TRADING",AW268/D268,AK268/D268)</f>
        <v>#DIV/0!</v>
      </c>
      <c r="BE268" s="3" t="e">
        <f t="shared" si="129"/>
        <v>#DIV/0!</v>
      </c>
      <c r="BF268" s="2" t="e">
        <f t="shared" si="130"/>
        <v>#DIV/0!</v>
      </c>
      <c r="BG268" s="3" t="e">
        <f>IF('Entrada e Saida'!$H$11="TRADING",AV268/D268,AN268/D268)</f>
        <v>#DIV/0!</v>
      </c>
      <c r="BH268" s="3" t="e">
        <f>IF('Entrada e Saida'!$H$11="TRADING",IF('Entrada e Saida'!$H$12="REAL",AR268/D268,0),AL268/D268)</f>
        <v>#DIV/0!</v>
      </c>
      <c r="BI268" s="3" t="e">
        <f>IF('Entrada e Saida'!$H$11="TRADING",IF('Entrada e Saida'!$H$12="REAL",AS268/D268,0),AM268/D268)</f>
        <v>#DIV/0!</v>
      </c>
      <c r="BJ268" s="3" t="e">
        <f>IF('Entrada e Saida'!$H$11="TRADING",AT268/D268,AO268/D268)</f>
        <v>#DIV/0!</v>
      </c>
      <c r="BK268" s="2" t="e">
        <f t="shared" si="131"/>
        <v>#DIV/0!</v>
      </c>
      <c r="BL268" s="2">
        <f>IF(O268&gt;0,IFERROR(IF('Entrada e Saida'!$H$11="DIRETA",0,(IF('Entrada e Saida'!$H$14="P.JURIDICA",(BD268*(1+O268)*N268)-((BD268/(1+M268))*'Entrada e Saida'!$G$65),((Produtos!N268-'Entrada e Saida'!$G$65)*Produtos!BD268)))),0),0)</f>
        <v>0</v>
      </c>
      <c r="BM268" s="2" t="e">
        <f t="shared" si="132"/>
        <v>#DIV/0!</v>
      </c>
    </row>
    <row r="269" spans="1:65" s="1" customFormat="1">
      <c r="A269" s="127"/>
      <c r="B269" s="114"/>
      <c r="C269" s="116"/>
      <c r="D269" s="146"/>
      <c r="E269" s="115">
        <f>IFERROR(VLOOKUP(A269,'Master Modelo'!A:I,9,FALSE),0)</f>
        <v>0</v>
      </c>
      <c r="F269" s="189">
        <f>IFERROR(VLOOKUP(A269,'Master Modelo'!A:I,8,FALSE),0)</f>
        <v>0</v>
      </c>
      <c r="G269" s="189">
        <f>IFERROR(VLOOKUP(A269,'Master Modelo'!A:K,11,FALSE),0)</f>
        <v>0</v>
      </c>
      <c r="H269" s="114" t="e">
        <f t="shared" ref="H269:H332" si="134">(D269*E269)/(D269*F269)</f>
        <v>#DIV/0!</v>
      </c>
      <c r="I269" s="150">
        <f>IFERROR(VLOOKUP(A269,'Master Modelo'!A:I,3,FALSE),0)</f>
        <v>0</v>
      </c>
      <c r="J269" s="151">
        <f>IFERROR(VLOOKUP(A269,'Master Modelo'!A:I,5,FALSE),0)</f>
        <v>0</v>
      </c>
      <c r="K269" s="151">
        <f>IFERROR(VLOOKUP(A269,'Master Modelo'!A:I,6,FALSE),0)</f>
        <v>0</v>
      </c>
      <c r="L269" s="152" t="e">
        <f>VLOOKUP(A269,'Master Modelo'!A:J,10,FALSE)</f>
        <v>#N/A</v>
      </c>
      <c r="M269" s="150">
        <f>IFERROR(VLOOKUP(A269,'Master Modelo'!A:I,4,FALSE),0)</f>
        <v>0</v>
      </c>
      <c r="N269" s="128"/>
      <c r="O269" s="129"/>
      <c r="P269" s="9">
        <f t="shared" ref="P269:P332" si="135">D269*F269</f>
        <v>0</v>
      </c>
      <c r="Q269" s="177">
        <f t="shared" si="133"/>
        <v>0</v>
      </c>
      <c r="R269" s="3">
        <f>D269*E269*'Entrada e Saida'!$K$8</f>
        <v>0</v>
      </c>
      <c r="S269" s="179" t="e">
        <f>'Entrada e Saida'!$H$21*'Entrada e Saida'!$K$8*(P269/(SUM(P:P)))</f>
        <v>#DIV/0!</v>
      </c>
      <c r="T269" s="179" t="e">
        <f>'Entrada e Saida'!$H$21*'Entrada e Saida'!$K$8*(Q269/(SUM(Q:Q)))</f>
        <v>#DIV/0!</v>
      </c>
      <c r="U269" s="179" t="e">
        <f>'Entrada e Saida'!$H$22*(P269/(SUM(P:P)))</f>
        <v>#DIV/0!</v>
      </c>
      <c r="V269" s="179" t="e">
        <f>'Entrada e Saida'!$H$22*(Q269/(SUM(Q:Q)))</f>
        <v>#DIV/0!</v>
      </c>
      <c r="W269" s="8" t="e">
        <f t="shared" ref="W269:W332" si="136">R269+S269+U269</f>
        <v>#DIV/0!</v>
      </c>
      <c r="X269" s="179" t="e">
        <f>'Entrada e Saida'!$H$26*(IF('Entrada e Saida'!$H$15="PESO",(P269/(SUM(P:P))),(Q269/(SUM(Q:Q)))))</f>
        <v>#DIV/0!</v>
      </c>
      <c r="Y269" s="179" t="e">
        <f>'Entrada e Saida'!$H$27*(IF('Entrada e Saida'!$H$15="PESO",(P269/(SUM(P:P))),(Q269/(SUM(Q:Q)))))</f>
        <v>#DIV/0!</v>
      </c>
      <c r="Z269" s="179" t="e">
        <f>'Entrada e Saida'!$H$28*(IF('Entrada e Saida'!$H$15="PESO",(P269/(SUM(P:P))),(Q269/(SUM(Q:Q)))))</f>
        <v>#DIV/0!</v>
      </c>
      <c r="AA269" s="10" t="e">
        <f t="shared" ref="AA269:AA332" si="137">X269+Y269+Z269</f>
        <v>#DIV/0!</v>
      </c>
      <c r="AB269" s="3" t="e">
        <f t="shared" ref="AB269:AB332" si="138">W269*I269</f>
        <v>#DIV/0!</v>
      </c>
      <c r="AC269" s="3" t="e">
        <f t="shared" ref="AC269:AC332" si="139">W269*J269</f>
        <v>#DIV/0!</v>
      </c>
      <c r="AD269" s="3" t="e">
        <f t="shared" ref="AD269:AD332" si="140">W269*K269</f>
        <v>#DIV/0!</v>
      </c>
      <c r="AE269" s="9" t="e">
        <f t="shared" ref="AE269:AE332" si="141">(W269+AB269)*M269</f>
        <v>#DIV/0!</v>
      </c>
      <c r="AF269" s="126">
        <f>IFERROR(D269*F269*L269*'Entrada e Saida'!$K$8,0)</f>
        <v>0</v>
      </c>
      <c r="AG269" s="3" t="e">
        <f>((W269+AA269+AB269+AC269+AD269+AE269+AF269)/(1-'Entrada e Saida'!$G$65))*'Entrada e Saida'!$I$66</f>
        <v>#DIV/0!</v>
      </c>
      <c r="AH269" s="8" t="e">
        <f t="shared" ref="AH269:AH332" si="142">SUM(AB269:AG269)</f>
        <v>#DIV/0!</v>
      </c>
      <c r="AI269" s="183" t="e">
        <f>'Entrada e Saida'!$K$51*(IF('Entrada e Saida'!$H$15="PESO",(P269/(SUM(P:P))),(Q269/(SUM(Q:Q)))))</f>
        <v>#DIV/0!</v>
      </c>
      <c r="AJ269" s="7">
        <f>(('Entrada e Saida'!$K$10-'Entrada e Saida'!$K$8)*E269*D269)</f>
        <v>0</v>
      </c>
      <c r="AK269" s="184" t="e">
        <f>IF('Entrada e Saida'!$H$15="PESO",W269+AA269+AH269+AI269+AJ269,W269+AA269+AH269+AI269+AJ269-S269+T269-U269+V269)</f>
        <v>#DIV/0!</v>
      </c>
      <c r="AL269" s="6" t="e">
        <f>IF('Entrada e Saida'!$H$12="REAL",AC269,0)</f>
        <v>#DIV/0!</v>
      </c>
      <c r="AM269" s="6" t="e">
        <f>IF('Entrada e Saida'!$H$12="REAL",AD269,0)</f>
        <v>#DIV/0!</v>
      </c>
      <c r="AN269" s="5" t="e">
        <f>IF('Entrada e Saida'!$H$13= "NÃO",AE269,0)</f>
        <v>#DIV/0!</v>
      </c>
      <c r="AO269" s="5" t="e">
        <f t="shared" ref="AO269:AO332" si="143">AG269</f>
        <v>#DIV/0!</v>
      </c>
      <c r="AP269" s="4" t="e">
        <f t="shared" ref="AP269:AP332" si="144">AK269-SUM(AL269:AO269)</f>
        <v>#DIV/0!</v>
      </c>
      <c r="AQ269" s="3" t="e">
        <f>IF('Entrada e Saida'!$H$11="TRADING",AU269*'Custo Resumido'!D269,0)</f>
        <v>#DIV/0!</v>
      </c>
      <c r="AR269" s="3" t="e">
        <f>IF('Entrada e Saida'!$H$11="TRADING",AU269*'Entrada e Saida'!$G$63,0)</f>
        <v>#DIV/0!</v>
      </c>
      <c r="AS269" s="3" t="e">
        <f>IF('Entrada e Saida'!$H$11="TRADING",AU269*'Entrada e Saida'!$G$64,0)</f>
        <v>#DIV/0!</v>
      </c>
      <c r="AT269" s="3" t="e">
        <f>IF('Entrada e Saida'!$H$11="TRADING",AU269*'Entrada e Saida'!$G$65,0)</f>
        <v>#DIV/0!</v>
      </c>
      <c r="AU269" s="4" t="e">
        <f>IF('Entrada e Saida'!$H$11="TRADING",AP269/(1-(SUM('Entrada e Saida'!$G$63:$G$65)+'Custo Resumido'!D269)),0)</f>
        <v>#DIV/0!</v>
      </c>
      <c r="AV269" s="3" t="e">
        <f>IF('Entrada e Saida'!$H$13="NÃO",AU269*M269,0)</f>
        <v>#DIV/0!</v>
      </c>
      <c r="AW269" s="4" t="e">
        <f t="shared" ref="AW269:AW332" si="145">AU269+AV269</f>
        <v>#DIV/0!</v>
      </c>
      <c r="AX269" s="3" t="e">
        <f>'Entrada e Saida'!$G$74*AU269</f>
        <v>#DIV/0!</v>
      </c>
      <c r="AY269" s="4" t="e">
        <f t="shared" ref="AY269:AY332" si="146">AW269-AX269</f>
        <v>#DIV/0!</v>
      </c>
      <c r="AZ269" s="4" t="e">
        <f>AQ269+('Entrada e Saida'!$G$65-'Entrada e Saida'!$I$65)*AU269-AX269</f>
        <v>#DIV/0!</v>
      </c>
      <c r="BA269" s="3" t="e">
        <f>IF('Entrada e Saida'!$H$12="REAL",AZ269*'Entrada e Saida'!$G$81,AU269*'Entrada e Saida'!$G$81)</f>
        <v>#DIV/0!</v>
      </c>
      <c r="BB269" s="3" t="e">
        <f>IF('Entrada e Saida'!$H$12="REAL",AZ269*'Entrada e Saida'!$G$82,AU269*'Entrada e Saida'!$G$82)</f>
        <v>#DIV/0!</v>
      </c>
      <c r="BC269" s="4" t="e">
        <f t="shared" ref="BC269:BC332" si="147">AZ269-BA269-BB269</f>
        <v>#DIV/0!</v>
      </c>
      <c r="BD269" s="3" t="e">
        <f>IF('Entrada e Saida'!$H$11="TRADING",AW269/D269,AK269/D269)</f>
        <v>#DIV/0!</v>
      </c>
      <c r="BE269" s="3" t="e">
        <f t="shared" ref="BE269:BE332" si="148">AX269/D269</f>
        <v>#DIV/0!</v>
      </c>
      <c r="BF269" s="2" t="e">
        <f t="shared" ref="BF269:BF332" si="149">BD269-BE269</f>
        <v>#DIV/0!</v>
      </c>
      <c r="BG269" s="3" t="e">
        <f>IF('Entrada e Saida'!$H$11="TRADING",AV269/D269,AN269/D269)</f>
        <v>#DIV/0!</v>
      </c>
      <c r="BH269" s="3" t="e">
        <f>IF('Entrada e Saida'!$H$11="TRADING",IF('Entrada e Saida'!$H$12="REAL",AR269/D269,0),AL269/D269)</f>
        <v>#DIV/0!</v>
      </c>
      <c r="BI269" s="3" t="e">
        <f>IF('Entrada e Saida'!$H$11="TRADING",IF('Entrada e Saida'!$H$12="REAL",AS269/D269,0),AM269/D269)</f>
        <v>#DIV/0!</v>
      </c>
      <c r="BJ269" s="3" t="e">
        <f>IF('Entrada e Saida'!$H$11="TRADING",AT269/D269,AO269/D269)</f>
        <v>#DIV/0!</v>
      </c>
      <c r="BK269" s="2" t="e">
        <f t="shared" ref="BK269:BK332" si="150">BF269-SUM(BG269:BJ269)</f>
        <v>#DIV/0!</v>
      </c>
      <c r="BL269" s="2">
        <f>IF(O269&gt;0,IFERROR(IF('Entrada e Saida'!$H$11="DIRETA",0,(IF('Entrada e Saida'!$H$14="P.JURIDICA",(BD269*(1+O269)*N269)-((BD269/(1+M269))*'Entrada e Saida'!$G$65),((Produtos!N269-'Entrada e Saida'!$G$65)*Produtos!BD269)))),0),0)</f>
        <v>0</v>
      </c>
      <c r="BM269" s="2" t="e">
        <f t="shared" ref="BM269:BM332" si="151">BF269+BL269</f>
        <v>#DIV/0!</v>
      </c>
    </row>
    <row r="270" spans="1:65" s="1" customFormat="1">
      <c r="A270" s="127"/>
      <c r="B270" s="114"/>
      <c r="C270" s="116"/>
      <c r="D270" s="146"/>
      <c r="E270" s="115">
        <f>IFERROR(VLOOKUP(A270,'Master Modelo'!A:I,9,FALSE),0)</f>
        <v>0</v>
      </c>
      <c r="F270" s="189">
        <f>IFERROR(VLOOKUP(A270,'Master Modelo'!A:I,8,FALSE),0)</f>
        <v>0</v>
      </c>
      <c r="G270" s="189">
        <f>IFERROR(VLOOKUP(A270,'Master Modelo'!A:K,11,FALSE),0)</f>
        <v>0</v>
      </c>
      <c r="H270" s="114" t="e">
        <f t="shared" si="134"/>
        <v>#DIV/0!</v>
      </c>
      <c r="I270" s="150">
        <f>IFERROR(VLOOKUP(A270,'Master Modelo'!A:I,3,FALSE),0)</f>
        <v>0</v>
      </c>
      <c r="J270" s="151">
        <f>IFERROR(VLOOKUP(A270,'Master Modelo'!A:I,5,FALSE),0)</f>
        <v>0</v>
      </c>
      <c r="K270" s="151">
        <f>IFERROR(VLOOKUP(A270,'Master Modelo'!A:I,6,FALSE),0)</f>
        <v>0</v>
      </c>
      <c r="L270" s="152" t="e">
        <f>VLOOKUP(A270,'Master Modelo'!A:J,10,FALSE)</f>
        <v>#N/A</v>
      </c>
      <c r="M270" s="150">
        <f>IFERROR(VLOOKUP(A270,'Master Modelo'!A:I,4,FALSE),0)</f>
        <v>0</v>
      </c>
      <c r="N270" s="128"/>
      <c r="O270" s="129"/>
      <c r="P270" s="9">
        <f t="shared" si="135"/>
        <v>0</v>
      </c>
      <c r="Q270" s="177">
        <f t="shared" si="133"/>
        <v>0</v>
      </c>
      <c r="R270" s="3">
        <f>D270*E270*'Entrada e Saida'!$K$8</f>
        <v>0</v>
      </c>
      <c r="S270" s="179" t="e">
        <f>'Entrada e Saida'!$H$21*'Entrada e Saida'!$K$8*(P270/(SUM(P:P)))</f>
        <v>#DIV/0!</v>
      </c>
      <c r="T270" s="179" t="e">
        <f>'Entrada e Saida'!$H$21*'Entrada e Saida'!$K$8*(Q270/(SUM(Q:Q)))</f>
        <v>#DIV/0!</v>
      </c>
      <c r="U270" s="179" t="e">
        <f>'Entrada e Saida'!$H$22*(P270/(SUM(P:P)))</f>
        <v>#DIV/0!</v>
      </c>
      <c r="V270" s="179" t="e">
        <f>'Entrada e Saida'!$H$22*(Q270/(SUM(Q:Q)))</f>
        <v>#DIV/0!</v>
      </c>
      <c r="W270" s="8" t="e">
        <f t="shared" si="136"/>
        <v>#DIV/0!</v>
      </c>
      <c r="X270" s="179" t="e">
        <f>'Entrada e Saida'!$H$26*(IF('Entrada e Saida'!$H$15="PESO",(P270/(SUM(P:P))),(Q270/(SUM(Q:Q)))))</f>
        <v>#DIV/0!</v>
      </c>
      <c r="Y270" s="179" t="e">
        <f>'Entrada e Saida'!$H$27*(IF('Entrada e Saida'!$H$15="PESO",(P270/(SUM(P:P))),(Q270/(SUM(Q:Q)))))</f>
        <v>#DIV/0!</v>
      </c>
      <c r="Z270" s="179" t="e">
        <f>'Entrada e Saida'!$H$28*(IF('Entrada e Saida'!$H$15="PESO",(P270/(SUM(P:P))),(Q270/(SUM(Q:Q)))))</f>
        <v>#DIV/0!</v>
      </c>
      <c r="AA270" s="10" t="e">
        <f t="shared" si="137"/>
        <v>#DIV/0!</v>
      </c>
      <c r="AB270" s="3" t="e">
        <f t="shared" si="138"/>
        <v>#DIV/0!</v>
      </c>
      <c r="AC270" s="3" t="e">
        <f t="shared" si="139"/>
        <v>#DIV/0!</v>
      </c>
      <c r="AD270" s="3" t="e">
        <f t="shared" si="140"/>
        <v>#DIV/0!</v>
      </c>
      <c r="AE270" s="9" t="e">
        <f t="shared" si="141"/>
        <v>#DIV/0!</v>
      </c>
      <c r="AF270" s="126">
        <f>IFERROR(D270*F270*L270*'Entrada e Saida'!$K$8,0)</f>
        <v>0</v>
      </c>
      <c r="AG270" s="3" t="e">
        <f>((W270+AA270+AB270+AC270+AD270+AE270+AF270)/(1-'Entrada e Saida'!$G$65))*'Entrada e Saida'!$I$66</f>
        <v>#DIV/0!</v>
      </c>
      <c r="AH270" s="8" t="e">
        <f t="shared" si="142"/>
        <v>#DIV/0!</v>
      </c>
      <c r="AI270" s="183" t="e">
        <f>'Entrada e Saida'!$K$51*(IF('Entrada e Saida'!$H$15="PESO",(P270/(SUM(P:P))),(Q270/(SUM(Q:Q)))))</f>
        <v>#DIV/0!</v>
      </c>
      <c r="AJ270" s="7">
        <f>(('Entrada e Saida'!$K$10-'Entrada e Saida'!$K$8)*E270*D270)</f>
        <v>0</v>
      </c>
      <c r="AK270" s="184" t="e">
        <f>IF('Entrada e Saida'!$H$15="PESO",W270+AA270+AH270+AI270+AJ270,W270+AA270+AH270+AI270+AJ270-S270+T270-U270+V270)</f>
        <v>#DIV/0!</v>
      </c>
      <c r="AL270" s="6" t="e">
        <f>IF('Entrada e Saida'!$H$12="REAL",AC270,0)</f>
        <v>#DIV/0!</v>
      </c>
      <c r="AM270" s="6" t="e">
        <f>IF('Entrada e Saida'!$H$12="REAL",AD270,0)</f>
        <v>#DIV/0!</v>
      </c>
      <c r="AN270" s="5" t="e">
        <f>IF('Entrada e Saida'!$H$13= "NÃO",AE270,0)</f>
        <v>#DIV/0!</v>
      </c>
      <c r="AO270" s="5" t="e">
        <f t="shared" si="143"/>
        <v>#DIV/0!</v>
      </c>
      <c r="AP270" s="4" t="e">
        <f t="shared" si="144"/>
        <v>#DIV/0!</v>
      </c>
      <c r="AQ270" s="3" t="e">
        <f>IF('Entrada e Saida'!$H$11="TRADING",AU270*'Custo Resumido'!D270,0)</f>
        <v>#DIV/0!</v>
      </c>
      <c r="AR270" s="3" t="e">
        <f>IF('Entrada e Saida'!$H$11="TRADING",AU270*'Entrada e Saida'!$G$63,0)</f>
        <v>#DIV/0!</v>
      </c>
      <c r="AS270" s="3" t="e">
        <f>IF('Entrada e Saida'!$H$11="TRADING",AU270*'Entrada e Saida'!$G$64,0)</f>
        <v>#DIV/0!</v>
      </c>
      <c r="AT270" s="3" t="e">
        <f>IF('Entrada e Saida'!$H$11="TRADING",AU270*'Entrada e Saida'!$G$65,0)</f>
        <v>#DIV/0!</v>
      </c>
      <c r="AU270" s="4" t="e">
        <f>IF('Entrada e Saida'!$H$11="TRADING",AP270/(1-(SUM('Entrada e Saida'!$G$63:$G$65)+'Custo Resumido'!D270)),0)</f>
        <v>#DIV/0!</v>
      </c>
      <c r="AV270" s="3" t="e">
        <f>IF('Entrada e Saida'!$H$13="NÃO",AU270*M270,0)</f>
        <v>#DIV/0!</v>
      </c>
      <c r="AW270" s="4" t="e">
        <f t="shared" si="145"/>
        <v>#DIV/0!</v>
      </c>
      <c r="AX270" s="3" t="e">
        <f>'Entrada e Saida'!$G$74*AU270</f>
        <v>#DIV/0!</v>
      </c>
      <c r="AY270" s="4" t="e">
        <f t="shared" si="146"/>
        <v>#DIV/0!</v>
      </c>
      <c r="AZ270" s="4" t="e">
        <f>AQ270+('Entrada e Saida'!$G$65-'Entrada e Saida'!$I$65)*AU270-AX270</f>
        <v>#DIV/0!</v>
      </c>
      <c r="BA270" s="3" t="e">
        <f>IF('Entrada e Saida'!$H$12="REAL",AZ270*'Entrada e Saida'!$G$81,AU270*'Entrada e Saida'!$G$81)</f>
        <v>#DIV/0!</v>
      </c>
      <c r="BB270" s="3" t="e">
        <f>IF('Entrada e Saida'!$H$12="REAL",AZ270*'Entrada e Saida'!$G$82,AU270*'Entrada e Saida'!$G$82)</f>
        <v>#DIV/0!</v>
      </c>
      <c r="BC270" s="4" t="e">
        <f t="shared" si="147"/>
        <v>#DIV/0!</v>
      </c>
      <c r="BD270" s="3" t="e">
        <f>IF('Entrada e Saida'!$H$11="TRADING",AW270/D270,AK270/D270)</f>
        <v>#DIV/0!</v>
      </c>
      <c r="BE270" s="3" t="e">
        <f t="shared" si="148"/>
        <v>#DIV/0!</v>
      </c>
      <c r="BF270" s="2" t="e">
        <f t="shared" si="149"/>
        <v>#DIV/0!</v>
      </c>
      <c r="BG270" s="3" t="e">
        <f>IF('Entrada e Saida'!$H$11="TRADING",AV270/D270,AN270/D270)</f>
        <v>#DIV/0!</v>
      </c>
      <c r="BH270" s="3" t="e">
        <f>IF('Entrada e Saida'!$H$11="TRADING",IF('Entrada e Saida'!$H$12="REAL",AR270/D270,0),AL270/D270)</f>
        <v>#DIV/0!</v>
      </c>
      <c r="BI270" s="3" t="e">
        <f>IF('Entrada e Saida'!$H$11="TRADING",IF('Entrada e Saida'!$H$12="REAL",AS270/D270,0),AM270/D270)</f>
        <v>#DIV/0!</v>
      </c>
      <c r="BJ270" s="3" t="e">
        <f>IF('Entrada e Saida'!$H$11="TRADING",AT270/D270,AO270/D270)</f>
        <v>#DIV/0!</v>
      </c>
      <c r="BK270" s="2" t="e">
        <f t="shared" si="150"/>
        <v>#DIV/0!</v>
      </c>
      <c r="BL270" s="2">
        <f>IF(O270&gt;0,IFERROR(IF('Entrada e Saida'!$H$11="DIRETA",0,(IF('Entrada e Saida'!$H$14="P.JURIDICA",(BD270*(1+O270)*N270)-((BD270/(1+M270))*'Entrada e Saida'!$G$65),((Produtos!N270-'Entrada e Saida'!$G$65)*Produtos!BD270)))),0),0)</f>
        <v>0</v>
      </c>
      <c r="BM270" s="2" t="e">
        <f t="shared" si="151"/>
        <v>#DIV/0!</v>
      </c>
    </row>
    <row r="271" spans="1:65" s="1" customFormat="1">
      <c r="A271" s="127"/>
      <c r="B271" s="114"/>
      <c r="C271" s="116"/>
      <c r="D271" s="146"/>
      <c r="E271" s="115">
        <f>IFERROR(VLOOKUP(A271,'Master Modelo'!A:I,9,FALSE),0)</f>
        <v>0</v>
      </c>
      <c r="F271" s="189">
        <f>IFERROR(VLOOKUP(A271,'Master Modelo'!A:I,8,FALSE),0)</f>
        <v>0</v>
      </c>
      <c r="G271" s="189">
        <f>IFERROR(VLOOKUP(A271,'Master Modelo'!A:K,11,FALSE),0)</f>
        <v>0</v>
      </c>
      <c r="H271" s="114" t="e">
        <f t="shared" si="134"/>
        <v>#DIV/0!</v>
      </c>
      <c r="I271" s="150">
        <f>IFERROR(VLOOKUP(A271,'Master Modelo'!A:I,3,FALSE),0)</f>
        <v>0</v>
      </c>
      <c r="J271" s="151">
        <f>IFERROR(VLOOKUP(A271,'Master Modelo'!A:I,5,FALSE),0)</f>
        <v>0</v>
      </c>
      <c r="K271" s="151">
        <f>IFERROR(VLOOKUP(A271,'Master Modelo'!A:I,6,FALSE),0)</f>
        <v>0</v>
      </c>
      <c r="L271" s="152" t="e">
        <f>VLOOKUP(A271,'Master Modelo'!A:J,10,FALSE)</f>
        <v>#N/A</v>
      </c>
      <c r="M271" s="150">
        <f>IFERROR(VLOOKUP(A271,'Master Modelo'!A:I,4,FALSE),0)</f>
        <v>0</v>
      </c>
      <c r="N271" s="128"/>
      <c r="O271" s="129"/>
      <c r="P271" s="9">
        <f t="shared" si="135"/>
        <v>0</v>
      </c>
      <c r="Q271" s="177">
        <f t="shared" si="133"/>
        <v>0</v>
      </c>
      <c r="R271" s="3">
        <f>D271*E271*'Entrada e Saida'!$K$8</f>
        <v>0</v>
      </c>
      <c r="S271" s="179" t="e">
        <f>'Entrada e Saida'!$H$21*'Entrada e Saida'!$K$8*(P271/(SUM(P:P)))</f>
        <v>#DIV/0!</v>
      </c>
      <c r="T271" s="179" t="e">
        <f>'Entrada e Saida'!$H$21*'Entrada e Saida'!$K$8*(Q271/(SUM(Q:Q)))</f>
        <v>#DIV/0!</v>
      </c>
      <c r="U271" s="179" t="e">
        <f>'Entrada e Saida'!$H$22*(P271/(SUM(P:P)))</f>
        <v>#DIV/0!</v>
      </c>
      <c r="V271" s="179" t="e">
        <f>'Entrada e Saida'!$H$22*(Q271/(SUM(Q:Q)))</f>
        <v>#DIV/0!</v>
      </c>
      <c r="W271" s="8" t="e">
        <f t="shared" si="136"/>
        <v>#DIV/0!</v>
      </c>
      <c r="X271" s="179" t="e">
        <f>'Entrada e Saida'!$H$26*(IF('Entrada e Saida'!$H$15="PESO",(P271/(SUM(P:P))),(Q271/(SUM(Q:Q)))))</f>
        <v>#DIV/0!</v>
      </c>
      <c r="Y271" s="179" t="e">
        <f>'Entrada e Saida'!$H$27*(IF('Entrada e Saida'!$H$15="PESO",(P271/(SUM(P:P))),(Q271/(SUM(Q:Q)))))</f>
        <v>#DIV/0!</v>
      </c>
      <c r="Z271" s="179" t="e">
        <f>'Entrada e Saida'!$H$28*(IF('Entrada e Saida'!$H$15="PESO",(P271/(SUM(P:P))),(Q271/(SUM(Q:Q)))))</f>
        <v>#DIV/0!</v>
      </c>
      <c r="AA271" s="10" t="e">
        <f t="shared" si="137"/>
        <v>#DIV/0!</v>
      </c>
      <c r="AB271" s="3" t="e">
        <f t="shared" si="138"/>
        <v>#DIV/0!</v>
      </c>
      <c r="AC271" s="3" t="e">
        <f t="shared" si="139"/>
        <v>#DIV/0!</v>
      </c>
      <c r="AD271" s="3" t="e">
        <f t="shared" si="140"/>
        <v>#DIV/0!</v>
      </c>
      <c r="AE271" s="9" t="e">
        <f t="shared" si="141"/>
        <v>#DIV/0!</v>
      </c>
      <c r="AF271" s="126">
        <f>IFERROR(D271*F271*L271*'Entrada e Saida'!$K$8,0)</f>
        <v>0</v>
      </c>
      <c r="AG271" s="3" t="e">
        <f>((W271+AA271+AB271+AC271+AD271+AE271+AF271)/(1-'Entrada e Saida'!$G$65))*'Entrada e Saida'!$I$66</f>
        <v>#DIV/0!</v>
      </c>
      <c r="AH271" s="8" t="e">
        <f t="shared" si="142"/>
        <v>#DIV/0!</v>
      </c>
      <c r="AI271" s="183" t="e">
        <f>'Entrada e Saida'!$K$51*(IF('Entrada e Saida'!$H$15="PESO",(P271/(SUM(P:P))),(Q271/(SUM(Q:Q)))))</f>
        <v>#DIV/0!</v>
      </c>
      <c r="AJ271" s="7">
        <f>(('Entrada e Saida'!$K$10-'Entrada e Saida'!$K$8)*E271*D271)</f>
        <v>0</v>
      </c>
      <c r="AK271" s="184" t="e">
        <f>IF('Entrada e Saida'!$H$15="PESO",W271+AA271+AH271+AI271+AJ271,W271+AA271+AH271+AI271+AJ271-S271+T271-U271+V271)</f>
        <v>#DIV/0!</v>
      </c>
      <c r="AL271" s="6" t="e">
        <f>IF('Entrada e Saida'!$H$12="REAL",AC271,0)</f>
        <v>#DIV/0!</v>
      </c>
      <c r="AM271" s="6" t="e">
        <f>IF('Entrada e Saida'!$H$12="REAL",AD271,0)</f>
        <v>#DIV/0!</v>
      </c>
      <c r="AN271" s="5" t="e">
        <f>IF('Entrada e Saida'!$H$13= "NÃO",AE271,0)</f>
        <v>#DIV/0!</v>
      </c>
      <c r="AO271" s="5" t="e">
        <f t="shared" si="143"/>
        <v>#DIV/0!</v>
      </c>
      <c r="AP271" s="4" t="e">
        <f t="shared" si="144"/>
        <v>#DIV/0!</v>
      </c>
      <c r="AQ271" s="3" t="e">
        <f>IF('Entrada e Saida'!$H$11="TRADING",AU271*'Custo Resumido'!D271,0)</f>
        <v>#DIV/0!</v>
      </c>
      <c r="AR271" s="3" t="e">
        <f>IF('Entrada e Saida'!$H$11="TRADING",AU271*'Entrada e Saida'!$G$63,0)</f>
        <v>#DIV/0!</v>
      </c>
      <c r="AS271" s="3" t="e">
        <f>IF('Entrada e Saida'!$H$11="TRADING",AU271*'Entrada e Saida'!$G$64,0)</f>
        <v>#DIV/0!</v>
      </c>
      <c r="AT271" s="3" t="e">
        <f>IF('Entrada e Saida'!$H$11="TRADING",AU271*'Entrada e Saida'!$G$65,0)</f>
        <v>#DIV/0!</v>
      </c>
      <c r="AU271" s="4" t="e">
        <f>IF('Entrada e Saida'!$H$11="TRADING",AP271/(1-(SUM('Entrada e Saida'!$G$63:$G$65)+'Custo Resumido'!D271)),0)</f>
        <v>#DIV/0!</v>
      </c>
      <c r="AV271" s="3" t="e">
        <f>IF('Entrada e Saida'!$H$13="NÃO",AU271*M271,0)</f>
        <v>#DIV/0!</v>
      </c>
      <c r="AW271" s="4" t="e">
        <f t="shared" si="145"/>
        <v>#DIV/0!</v>
      </c>
      <c r="AX271" s="3" t="e">
        <f>'Entrada e Saida'!$G$74*AU271</f>
        <v>#DIV/0!</v>
      </c>
      <c r="AY271" s="4" t="e">
        <f t="shared" si="146"/>
        <v>#DIV/0!</v>
      </c>
      <c r="AZ271" s="4" t="e">
        <f>AQ271+('Entrada e Saida'!$G$65-'Entrada e Saida'!$I$65)*AU271-AX271</f>
        <v>#DIV/0!</v>
      </c>
      <c r="BA271" s="3" t="e">
        <f>IF('Entrada e Saida'!$H$12="REAL",AZ271*'Entrada e Saida'!$G$81,AU271*'Entrada e Saida'!$G$81)</f>
        <v>#DIV/0!</v>
      </c>
      <c r="BB271" s="3" t="e">
        <f>IF('Entrada e Saida'!$H$12="REAL",AZ271*'Entrada e Saida'!$G$82,AU271*'Entrada e Saida'!$G$82)</f>
        <v>#DIV/0!</v>
      </c>
      <c r="BC271" s="4" t="e">
        <f t="shared" si="147"/>
        <v>#DIV/0!</v>
      </c>
      <c r="BD271" s="3" t="e">
        <f>IF('Entrada e Saida'!$H$11="TRADING",AW271/D271,AK271/D271)</f>
        <v>#DIV/0!</v>
      </c>
      <c r="BE271" s="3" t="e">
        <f t="shared" si="148"/>
        <v>#DIV/0!</v>
      </c>
      <c r="BF271" s="2" t="e">
        <f t="shared" si="149"/>
        <v>#DIV/0!</v>
      </c>
      <c r="BG271" s="3" t="e">
        <f>IF('Entrada e Saida'!$H$11="TRADING",AV271/D271,AN271/D271)</f>
        <v>#DIV/0!</v>
      </c>
      <c r="BH271" s="3" t="e">
        <f>IF('Entrada e Saida'!$H$11="TRADING",IF('Entrada e Saida'!$H$12="REAL",AR271/D271,0),AL271/D271)</f>
        <v>#DIV/0!</v>
      </c>
      <c r="BI271" s="3" t="e">
        <f>IF('Entrada e Saida'!$H$11="TRADING",IF('Entrada e Saida'!$H$12="REAL",AS271/D271,0),AM271/D271)</f>
        <v>#DIV/0!</v>
      </c>
      <c r="BJ271" s="3" t="e">
        <f>IF('Entrada e Saida'!$H$11="TRADING",AT271/D271,AO271/D271)</f>
        <v>#DIV/0!</v>
      </c>
      <c r="BK271" s="2" t="e">
        <f t="shared" si="150"/>
        <v>#DIV/0!</v>
      </c>
      <c r="BL271" s="2">
        <f>IF(O271&gt;0,IFERROR(IF('Entrada e Saida'!$H$11="DIRETA",0,(IF('Entrada e Saida'!$H$14="P.JURIDICA",(BD271*(1+O271)*N271)-((BD271/(1+M271))*'Entrada e Saida'!$G$65),((Produtos!N271-'Entrada e Saida'!$G$65)*Produtos!BD271)))),0),0)</f>
        <v>0</v>
      </c>
      <c r="BM271" s="2" t="e">
        <f t="shared" si="151"/>
        <v>#DIV/0!</v>
      </c>
    </row>
    <row r="272" spans="1:65" s="1" customFormat="1">
      <c r="A272" s="127"/>
      <c r="B272" s="114"/>
      <c r="C272" s="116"/>
      <c r="D272" s="146"/>
      <c r="E272" s="115">
        <f>IFERROR(VLOOKUP(A272,'Master Modelo'!A:I,9,FALSE),0)</f>
        <v>0</v>
      </c>
      <c r="F272" s="189">
        <f>IFERROR(VLOOKUP(A272,'Master Modelo'!A:I,8,FALSE),0)</f>
        <v>0</v>
      </c>
      <c r="G272" s="189">
        <f>IFERROR(VLOOKUP(A272,'Master Modelo'!A:K,11,FALSE),0)</f>
        <v>0</v>
      </c>
      <c r="H272" s="114" t="e">
        <f t="shared" si="134"/>
        <v>#DIV/0!</v>
      </c>
      <c r="I272" s="150">
        <f>IFERROR(VLOOKUP(A272,'Master Modelo'!A:I,3,FALSE),0)</f>
        <v>0</v>
      </c>
      <c r="J272" s="151">
        <f>IFERROR(VLOOKUP(A272,'Master Modelo'!A:I,5,FALSE),0)</f>
        <v>0</v>
      </c>
      <c r="K272" s="151">
        <f>IFERROR(VLOOKUP(A272,'Master Modelo'!A:I,6,FALSE),0)</f>
        <v>0</v>
      </c>
      <c r="L272" s="152" t="e">
        <f>VLOOKUP(A272,'Master Modelo'!A:J,10,FALSE)</f>
        <v>#N/A</v>
      </c>
      <c r="M272" s="150">
        <f>IFERROR(VLOOKUP(A272,'Master Modelo'!A:I,4,FALSE),0)</f>
        <v>0</v>
      </c>
      <c r="N272" s="128"/>
      <c r="O272" s="129"/>
      <c r="P272" s="9">
        <f t="shared" si="135"/>
        <v>0</v>
      </c>
      <c r="Q272" s="177">
        <f t="shared" si="133"/>
        <v>0</v>
      </c>
      <c r="R272" s="3">
        <f>D272*E272*'Entrada e Saida'!$K$8</f>
        <v>0</v>
      </c>
      <c r="S272" s="179" t="e">
        <f>'Entrada e Saida'!$H$21*'Entrada e Saida'!$K$8*(P272/(SUM(P:P)))</f>
        <v>#DIV/0!</v>
      </c>
      <c r="T272" s="179" t="e">
        <f>'Entrada e Saida'!$H$21*'Entrada e Saida'!$K$8*(Q272/(SUM(Q:Q)))</f>
        <v>#DIV/0!</v>
      </c>
      <c r="U272" s="179" t="e">
        <f>'Entrada e Saida'!$H$22*(P272/(SUM(P:P)))</f>
        <v>#DIV/0!</v>
      </c>
      <c r="V272" s="179" t="e">
        <f>'Entrada e Saida'!$H$22*(Q272/(SUM(Q:Q)))</f>
        <v>#DIV/0!</v>
      </c>
      <c r="W272" s="8" t="e">
        <f t="shared" si="136"/>
        <v>#DIV/0!</v>
      </c>
      <c r="X272" s="179" t="e">
        <f>'Entrada e Saida'!$H$26*(IF('Entrada e Saida'!$H$15="PESO",(P272/(SUM(P:P))),(Q272/(SUM(Q:Q)))))</f>
        <v>#DIV/0!</v>
      </c>
      <c r="Y272" s="179" t="e">
        <f>'Entrada e Saida'!$H$27*(IF('Entrada e Saida'!$H$15="PESO",(P272/(SUM(P:P))),(Q272/(SUM(Q:Q)))))</f>
        <v>#DIV/0!</v>
      </c>
      <c r="Z272" s="179" t="e">
        <f>'Entrada e Saida'!$H$28*(IF('Entrada e Saida'!$H$15="PESO",(P272/(SUM(P:P))),(Q272/(SUM(Q:Q)))))</f>
        <v>#DIV/0!</v>
      </c>
      <c r="AA272" s="10" t="e">
        <f t="shared" si="137"/>
        <v>#DIV/0!</v>
      </c>
      <c r="AB272" s="3" t="e">
        <f t="shared" si="138"/>
        <v>#DIV/0!</v>
      </c>
      <c r="AC272" s="3" t="e">
        <f t="shared" si="139"/>
        <v>#DIV/0!</v>
      </c>
      <c r="AD272" s="3" t="e">
        <f t="shared" si="140"/>
        <v>#DIV/0!</v>
      </c>
      <c r="AE272" s="9" t="e">
        <f t="shared" si="141"/>
        <v>#DIV/0!</v>
      </c>
      <c r="AF272" s="126">
        <f>IFERROR(D272*F272*L272*'Entrada e Saida'!$K$8,0)</f>
        <v>0</v>
      </c>
      <c r="AG272" s="3" t="e">
        <f>((W272+AA272+AB272+AC272+AD272+AE272+AF272)/(1-'Entrada e Saida'!$G$65))*'Entrada e Saida'!$I$66</f>
        <v>#DIV/0!</v>
      </c>
      <c r="AH272" s="8" t="e">
        <f t="shared" si="142"/>
        <v>#DIV/0!</v>
      </c>
      <c r="AI272" s="183" t="e">
        <f>'Entrada e Saida'!$K$51*(IF('Entrada e Saida'!$H$15="PESO",(P272/(SUM(P:P))),(Q272/(SUM(Q:Q)))))</f>
        <v>#DIV/0!</v>
      </c>
      <c r="AJ272" s="7">
        <f>(('Entrada e Saida'!$K$10-'Entrada e Saida'!$K$8)*E272*D272)</f>
        <v>0</v>
      </c>
      <c r="AK272" s="184" t="e">
        <f>IF('Entrada e Saida'!$H$15="PESO",W272+AA272+AH272+AI272+AJ272,W272+AA272+AH272+AI272+AJ272-S272+T272-U272+V272)</f>
        <v>#DIV/0!</v>
      </c>
      <c r="AL272" s="6" t="e">
        <f>IF('Entrada e Saida'!$H$12="REAL",AC272,0)</f>
        <v>#DIV/0!</v>
      </c>
      <c r="AM272" s="6" t="e">
        <f>IF('Entrada e Saida'!$H$12="REAL",AD272,0)</f>
        <v>#DIV/0!</v>
      </c>
      <c r="AN272" s="5" t="e">
        <f>IF('Entrada e Saida'!$H$13= "NÃO",AE272,0)</f>
        <v>#DIV/0!</v>
      </c>
      <c r="AO272" s="5" t="e">
        <f t="shared" si="143"/>
        <v>#DIV/0!</v>
      </c>
      <c r="AP272" s="4" t="e">
        <f t="shared" si="144"/>
        <v>#DIV/0!</v>
      </c>
      <c r="AQ272" s="3" t="e">
        <f>IF('Entrada e Saida'!$H$11="TRADING",AU272*'Custo Resumido'!D272,0)</f>
        <v>#DIV/0!</v>
      </c>
      <c r="AR272" s="3" t="e">
        <f>IF('Entrada e Saida'!$H$11="TRADING",AU272*'Entrada e Saida'!$G$63,0)</f>
        <v>#DIV/0!</v>
      </c>
      <c r="AS272" s="3" t="e">
        <f>IF('Entrada e Saida'!$H$11="TRADING",AU272*'Entrada e Saida'!$G$64,0)</f>
        <v>#DIV/0!</v>
      </c>
      <c r="AT272" s="3" t="e">
        <f>IF('Entrada e Saida'!$H$11="TRADING",AU272*'Entrada e Saida'!$G$65,0)</f>
        <v>#DIV/0!</v>
      </c>
      <c r="AU272" s="4" t="e">
        <f>IF('Entrada e Saida'!$H$11="TRADING",AP272/(1-(SUM('Entrada e Saida'!$G$63:$G$65)+'Custo Resumido'!D272)),0)</f>
        <v>#DIV/0!</v>
      </c>
      <c r="AV272" s="3" t="e">
        <f>IF('Entrada e Saida'!$H$13="NÃO",AU272*M272,0)</f>
        <v>#DIV/0!</v>
      </c>
      <c r="AW272" s="4" t="e">
        <f t="shared" si="145"/>
        <v>#DIV/0!</v>
      </c>
      <c r="AX272" s="3" t="e">
        <f>'Entrada e Saida'!$G$74*AU272</f>
        <v>#DIV/0!</v>
      </c>
      <c r="AY272" s="4" t="e">
        <f t="shared" si="146"/>
        <v>#DIV/0!</v>
      </c>
      <c r="AZ272" s="4" t="e">
        <f>AQ272+('Entrada e Saida'!$G$65-'Entrada e Saida'!$I$65)*AU272-AX272</f>
        <v>#DIV/0!</v>
      </c>
      <c r="BA272" s="3" t="e">
        <f>IF('Entrada e Saida'!$H$12="REAL",AZ272*'Entrada e Saida'!$G$81,AU272*'Entrada e Saida'!$G$81)</f>
        <v>#DIV/0!</v>
      </c>
      <c r="BB272" s="3" t="e">
        <f>IF('Entrada e Saida'!$H$12="REAL",AZ272*'Entrada e Saida'!$G$82,AU272*'Entrada e Saida'!$G$82)</f>
        <v>#DIV/0!</v>
      </c>
      <c r="BC272" s="4" t="e">
        <f t="shared" si="147"/>
        <v>#DIV/0!</v>
      </c>
      <c r="BD272" s="3" t="e">
        <f>IF('Entrada e Saida'!$H$11="TRADING",AW272/D272,AK272/D272)</f>
        <v>#DIV/0!</v>
      </c>
      <c r="BE272" s="3" t="e">
        <f t="shared" si="148"/>
        <v>#DIV/0!</v>
      </c>
      <c r="BF272" s="2" t="e">
        <f t="shared" si="149"/>
        <v>#DIV/0!</v>
      </c>
      <c r="BG272" s="3" t="e">
        <f>IF('Entrada e Saida'!$H$11="TRADING",AV272/D272,AN272/D272)</f>
        <v>#DIV/0!</v>
      </c>
      <c r="BH272" s="3" t="e">
        <f>IF('Entrada e Saida'!$H$11="TRADING",IF('Entrada e Saida'!$H$12="REAL",AR272/D272,0),AL272/D272)</f>
        <v>#DIV/0!</v>
      </c>
      <c r="BI272" s="3" t="e">
        <f>IF('Entrada e Saida'!$H$11="TRADING",IF('Entrada e Saida'!$H$12="REAL",AS272/D272,0),AM272/D272)</f>
        <v>#DIV/0!</v>
      </c>
      <c r="BJ272" s="3" t="e">
        <f>IF('Entrada e Saida'!$H$11="TRADING",AT272/D272,AO272/D272)</f>
        <v>#DIV/0!</v>
      </c>
      <c r="BK272" s="2" t="e">
        <f t="shared" si="150"/>
        <v>#DIV/0!</v>
      </c>
      <c r="BL272" s="2">
        <f>IF(O272&gt;0,IFERROR(IF('Entrada e Saida'!$H$11="DIRETA",0,(IF('Entrada e Saida'!$H$14="P.JURIDICA",(BD272*(1+O272)*N272)-((BD272/(1+M272))*'Entrada e Saida'!$G$65),((Produtos!N272-'Entrada e Saida'!$G$65)*Produtos!BD272)))),0),0)</f>
        <v>0</v>
      </c>
      <c r="BM272" s="2" t="e">
        <f t="shared" si="151"/>
        <v>#DIV/0!</v>
      </c>
    </row>
    <row r="273" spans="1:65" s="1" customFormat="1">
      <c r="A273" s="127"/>
      <c r="B273" s="114"/>
      <c r="C273" s="116"/>
      <c r="D273" s="146"/>
      <c r="E273" s="115">
        <f>IFERROR(VLOOKUP(A273,'Master Modelo'!A:I,9,FALSE),0)</f>
        <v>0</v>
      </c>
      <c r="F273" s="189">
        <f>IFERROR(VLOOKUP(A273,'Master Modelo'!A:I,8,FALSE),0)</f>
        <v>0</v>
      </c>
      <c r="G273" s="189">
        <f>IFERROR(VLOOKUP(A273,'Master Modelo'!A:K,11,FALSE),0)</f>
        <v>0</v>
      </c>
      <c r="H273" s="114" t="e">
        <f t="shared" si="134"/>
        <v>#DIV/0!</v>
      </c>
      <c r="I273" s="150">
        <f>IFERROR(VLOOKUP(A273,'Master Modelo'!A:I,3,FALSE),0)</f>
        <v>0</v>
      </c>
      <c r="J273" s="151">
        <f>IFERROR(VLOOKUP(A273,'Master Modelo'!A:I,5,FALSE),0)</f>
        <v>0</v>
      </c>
      <c r="K273" s="151">
        <f>IFERROR(VLOOKUP(A273,'Master Modelo'!A:I,6,FALSE),0)</f>
        <v>0</v>
      </c>
      <c r="L273" s="152" t="e">
        <f>VLOOKUP(A273,'Master Modelo'!A:J,10,FALSE)</f>
        <v>#N/A</v>
      </c>
      <c r="M273" s="150">
        <f>IFERROR(VLOOKUP(A273,'Master Modelo'!A:I,4,FALSE),0)</f>
        <v>0</v>
      </c>
      <c r="N273" s="128"/>
      <c r="O273" s="129"/>
      <c r="P273" s="9">
        <f t="shared" si="135"/>
        <v>0</v>
      </c>
      <c r="Q273" s="177">
        <f t="shared" si="133"/>
        <v>0</v>
      </c>
      <c r="R273" s="3">
        <f>D273*E273*'Entrada e Saida'!$K$8</f>
        <v>0</v>
      </c>
      <c r="S273" s="179" t="e">
        <f>'Entrada e Saida'!$H$21*'Entrada e Saida'!$K$8*(P273/(SUM(P:P)))</f>
        <v>#DIV/0!</v>
      </c>
      <c r="T273" s="179" t="e">
        <f>'Entrada e Saida'!$H$21*'Entrada e Saida'!$K$8*(Q273/(SUM(Q:Q)))</f>
        <v>#DIV/0!</v>
      </c>
      <c r="U273" s="179" t="e">
        <f>'Entrada e Saida'!$H$22*(P273/(SUM(P:P)))</f>
        <v>#DIV/0!</v>
      </c>
      <c r="V273" s="179" t="e">
        <f>'Entrada e Saida'!$H$22*(Q273/(SUM(Q:Q)))</f>
        <v>#DIV/0!</v>
      </c>
      <c r="W273" s="8" t="e">
        <f t="shared" si="136"/>
        <v>#DIV/0!</v>
      </c>
      <c r="X273" s="179" t="e">
        <f>'Entrada e Saida'!$H$26*(IF('Entrada e Saida'!$H$15="PESO",(P273/(SUM(P:P))),(Q273/(SUM(Q:Q)))))</f>
        <v>#DIV/0!</v>
      </c>
      <c r="Y273" s="179" t="e">
        <f>'Entrada e Saida'!$H$27*(IF('Entrada e Saida'!$H$15="PESO",(P273/(SUM(P:P))),(Q273/(SUM(Q:Q)))))</f>
        <v>#DIV/0!</v>
      </c>
      <c r="Z273" s="179" t="e">
        <f>'Entrada e Saida'!$H$28*(IF('Entrada e Saida'!$H$15="PESO",(P273/(SUM(P:P))),(Q273/(SUM(Q:Q)))))</f>
        <v>#DIV/0!</v>
      </c>
      <c r="AA273" s="10" t="e">
        <f t="shared" si="137"/>
        <v>#DIV/0!</v>
      </c>
      <c r="AB273" s="3" t="e">
        <f t="shared" si="138"/>
        <v>#DIV/0!</v>
      </c>
      <c r="AC273" s="3" t="e">
        <f t="shared" si="139"/>
        <v>#DIV/0!</v>
      </c>
      <c r="AD273" s="3" t="e">
        <f t="shared" si="140"/>
        <v>#DIV/0!</v>
      </c>
      <c r="AE273" s="9" t="e">
        <f t="shared" si="141"/>
        <v>#DIV/0!</v>
      </c>
      <c r="AF273" s="126">
        <f>IFERROR(D273*F273*L273*'Entrada e Saida'!$K$8,0)</f>
        <v>0</v>
      </c>
      <c r="AG273" s="3" t="e">
        <f>((W273+AA273+AB273+AC273+AD273+AE273+AF273)/(1-'Entrada e Saida'!$G$65))*'Entrada e Saida'!$I$66</f>
        <v>#DIV/0!</v>
      </c>
      <c r="AH273" s="8" t="e">
        <f t="shared" si="142"/>
        <v>#DIV/0!</v>
      </c>
      <c r="AI273" s="183" t="e">
        <f>'Entrada e Saida'!$K$51*(IF('Entrada e Saida'!$H$15="PESO",(P273/(SUM(P:P))),(Q273/(SUM(Q:Q)))))</f>
        <v>#DIV/0!</v>
      </c>
      <c r="AJ273" s="7">
        <f>(('Entrada e Saida'!$K$10-'Entrada e Saida'!$K$8)*E273*D273)</f>
        <v>0</v>
      </c>
      <c r="AK273" s="184" t="e">
        <f>IF('Entrada e Saida'!$H$15="PESO",W273+AA273+AH273+AI273+AJ273,W273+AA273+AH273+AI273+AJ273-S273+T273-U273+V273)</f>
        <v>#DIV/0!</v>
      </c>
      <c r="AL273" s="6" t="e">
        <f>IF('Entrada e Saida'!$H$12="REAL",AC273,0)</f>
        <v>#DIV/0!</v>
      </c>
      <c r="AM273" s="6" t="e">
        <f>IF('Entrada e Saida'!$H$12="REAL",AD273,0)</f>
        <v>#DIV/0!</v>
      </c>
      <c r="AN273" s="5" t="e">
        <f>IF('Entrada e Saida'!$H$13= "NÃO",AE273,0)</f>
        <v>#DIV/0!</v>
      </c>
      <c r="AO273" s="5" t="e">
        <f t="shared" si="143"/>
        <v>#DIV/0!</v>
      </c>
      <c r="AP273" s="4" t="e">
        <f t="shared" si="144"/>
        <v>#DIV/0!</v>
      </c>
      <c r="AQ273" s="3" t="e">
        <f>IF('Entrada e Saida'!$H$11="TRADING",AU273*'Custo Resumido'!D273,0)</f>
        <v>#DIV/0!</v>
      </c>
      <c r="AR273" s="3" t="e">
        <f>IF('Entrada e Saida'!$H$11="TRADING",AU273*'Entrada e Saida'!$G$63,0)</f>
        <v>#DIV/0!</v>
      </c>
      <c r="AS273" s="3" t="e">
        <f>IF('Entrada e Saida'!$H$11="TRADING",AU273*'Entrada e Saida'!$G$64,0)</f>
        <v>#DIV/0!</v>
      </c>
      <c r="AT273" s="3" t="e">
        <f>IF('Entrada e Saida'!$H$11="TRADING",AU273*'Entrada e Saida'!$G$65,0)</f>
        <v>#DIV/0!</v>
      </c>
      <c r="AU273" s="4" t="e">
        <f>IF('Entrada e Saida'!$H$11="TRADING",AP273/(1-(SUM('Entrada e Saida'!$G$63:$G$65)+'Custo Resumido'!D273)),0)</f>
        <v>#DIV/0!</v>
      </c>
      <c r="AV273" s="3" t="e">
        <f>IF('Entrada e Saida'!$H$13="NÃO",AU273*M273,0)</f>
        <v>#DIV/0!</v>
      </c>
      <c r="AW273" s="4" t="e">
        <f t="shared" si="145"/>
        <v>#DIV/0!</v>
      </c>
      <c r="AX273" s="3" t="e">
        <f>'Entrada e Saida'!$G$74*AU273</f>
        <v>#DIV/0!</v>
      </c>
      <c r="AY273" s="4" t="e">
        <f t="shared" si="146"/>
        <v>#DIV/0!</v>
      </c>
      <c r="AZ273" s="4" t="e">
        <f>AQ273+('Entrada e Saida'!$G$65-'Entrada e Saida'!$I$65)*AU273-AX273</f>
        <v>#DIV/0!</v>
      </c>
      <c r="BA273" s="3" t="e">
        <f>IF('Entrada e Saida'!$H$12="REAL",AZ273*'Entrada e Saida'!$G$81,AU273*'Entrada e Saida'!$G$81)</f>
        <v>#DIV/0!</v>
      </c>
      <c r="BB273" s="3" t="e">
        <f>IF('Entrada e Saida'!$H$12="REAL",AZ273*'Entrada e Saida'!$G$82,AU273*'Entrada e Saida'!$G$82)</f>
        <v>#DIV/0!</v>
      </c>
      <c r="BC273" s="4" t="e">
        <f t="shared" si="147"/>
        <v>#DIV/0!</v>
      </c>
      <c r="BD273" s="3" t="e">
        <f>IF('Entrada e Saida'!$H$11="TRADING",AW273/D273,AK273/D273)</f>
        <v>#DIV/0!</v>
      </c>
      <c r="BE273" s="3" t="e">
        <f t="shared" si="148"/>
        <v>#DIV/0!</v>
      </c>
      <c r="BF273" s="2" t="e">
        <f t="shared" si="149"/>
        <v>#DIV/0!</v>
      </c>
      <c r="BG273" s="3" t="e">
        <f>IF('Entrada e Saida'!$H$11="TRADING",AV273/D273,AN273/D273)</f>
        <v>#DIV/0!</v>
      </c>
      <c r="BH273" s="3" t="e">
        <f>IF('Entrada e Saida'!$H$11="TRADING",IF('Entrada e Saida'!$H$12="REAL",AR273/D273,0),AL273/D273)</f>
        <v>#DIV/0!</v>
      </c>
      <c r="BI273" s="3" t="e">
        <f>IF('Entrada e Saida'!$H$11="TRADING",IF('Entrada e Saida'!$H$12="REAL",AS273/D273,0),AM273/D273)</f>
        <v>#DIV/0!</v>
      </c>
      <c r="BJ273" s="3" t="e">
        <f>IF('Entrada e Saida'!$H$11="TRADING",AT273/D273,AO273/D273)</f>
        <v>#DIV/0!</v>
      </c>
      <c r="BK273" s="2" t="e">
        <f t="shared" si="150"/>
        <v>#DIV/0!</v>
      </c>
      <c r="BL273" s="2">
        <f>IF(O273&gt;0,IFERROR(IF('Entrada e Saida'!$H$11="DIRETA",0,(IF('Entrada e Saida'!$H$14="P.JURIDICA",(BD273*(1+O273)*N273)-((BD273/(1+M273))*'Entrada e Saida'!$G$65),((Produtos!N273-'Entrada e Saida'!$G$65)*Produtos!BD273)))),0),0)</f>
        <v>0</v>
      </c>
      <c r="BM273" s="2" t="e">
        <f t="shared" si="151"/>
        <v>#DIV/0!</v>
      </c>
    </row>
    <row r="274" spans="1:65" s="1" customFormat="1">
      <c r="A274" s="127"/>
      <c r="B274" s="114"/>
      <c r="C274" s="116"/>
      <c r="D274" s="146"/>
      <c r="E274" s="115">
        <f>IFERROR(VLOOKUP(A274,'Master Modelo'!A:I,9,FALSE),0)</f>
        <v>0</v>
      </c>
      <c r="F274" s="189">
        <f>IFERROR(VLOOKUP(A274,'Master Modelo'!A:I,8,FALSE),0)</f>
        <v>0</v>
      </c>
      <c r="G274" s="189">
        <f>IFERROR(VLOOKUP(A274,'Master Modelo'!A:K,11,FALSE),0)</f>
        <v>0</v>
      </c>
      <c r="H274" s="114" t="e">
        <f t="shared" si="134"/>
        <v>#DIV/0!</v>
      </c>
      <c r="I274" s="150">
        <f>IFERROR(VLOOKUP(A274,'Master Modelo'!A:I,3,FALSE),0)</f>
        <v>0</v>
      </c>
      <c r="J274" s="151">
        <f>IFERROR(VLOOKUP(A274,'Master Modelo'!A:I,5,FALSE),0)</f>
        <v>0</v>
      </c>
      <c r="K274" s="151">
        <f>IFERROR(VLOOKUP(A274,'Master Modelo'!A:I,6,FALSE),0)</f>
        <v>0</v>
      </c>
      <c r="L274" s="152" t="e">
        <f>VLOOKUP(A274,'Master Modelo'!A:J,10,FALSE)</f>
        <v>#N/A</v>
      </c>
      <c r="M274" s="150">
        <f>IFERROR(VLOOKUP(A274,'Master Modelo'!A:I,4,FALSE),0)</f>
        <v>0</v>
      </c>
      <c r="N274" s="128"/>
      <c r="O274" s="129"/>
      <c r="P274" s="9">
        <f t="shared" si="135"/>
        <v>0</v>
      </c>
      <c r="Q274" s="177">
        <f t="shared" si="133"/>
        <v>0</v>
      </c>
      <c r="R274" s="3">
        <f>D274*E274*'Entrada e Saida'!$K$8</f>
        <v>0</v>
      </c>
      <c r="S274" s="179" t="e">
        <f>'Entrada e Saida'!$H$21*'Entrada e Saida'!$K$8*(P274/(SUM(P:P)))</f>
        <v>#DIV/0!</v>
      </c>
      <c r="T274" s="179" t="e">
        <f>'Entrada e Saida'!$H$21*'Entrada e Saida'!$K$8*(Q274/(SUM(Q:Q)))</f>
        <v>#DIV/0!</v>
      </c>
      <c r="U274" s="179" t="e">
        <f>'Entrada e Saida'!$H$22*(P274/(SUM(P:P)))</f>
        <v>#DIV/0!</v>
      </c>
      <c r="V274" s="179" t="e">
        <f>'Entrada e Saida'!$H$22*(Q274/(SUM(Q:Q)))</f>
        <v>#DIV/0!</v>
      </c>
      <c r="W274" s="8" t="e">
        <f t="shared" si="136"/>
        <v>#DIV/0!</v>
      </c>
      <c r="X274" s="179" t="e">
        <f>'Entrada e Saida'!$H$26*(IF('Entrada e Saida'!$H$15="PESO",(P274/(SUM(P:P))),(Q274/(SUM(Q:Q)))))</f>
        <v>#DIV/0!</v>
      </c>
      <c r="Y274" s="179" t="e">
        <f>'Entrada e Saida'!$H$27*(IF('Entrada e Saida'!$H$15="PESO",(P274/(SUM(P:P))),(Q274/(SUM(Q:Q)))))</f>
        <v>#DIV/0!</v>
      </c>
      <c r="Z274" s="179" t="e">
        <f>'Entrada e Saida'!$H$28*(IF('Entrada e Saida'!$H$15="PESO",(P274/(SUM(P:P))),(Q274/(SUM(Q:Q)))))</f>
        <v>#DIV/0!</v>
      </c>
      <c r="AA274" s="10" t="e">
        <f t="shared" si="137"/>
        <v>#DIV/0!</v>
      </c>
      <c r="AB274" s="3" t="e">
        <f t="shared" si="138"/>
        <v>#DIV/0!</v>
      </c>
      <c r="AC274" s="3" t="e">
        <f t="shared" si="139"/>
        <v>#DIV/0!</v>
      </c>
      <c r="AD274" s="3" t="e">
        <f t="shared" si="140"/>
        <v>#DIV/0!</v>
      </c>
      <c r="AE274" s="9" t="e">
        <f t="shared" si="141"/>
        <v>#DIV/0!</v>
      </c>
      <c r="AF274" s="126">
        <f>IFERROR(D274*F274*L274*'Entrada e Saida'!$K$8,0)</f>
        <v>0</v>
      </c>
      <c r="AG274" s="3" t="e">
        <f>((W274+AA274+AB274+AC274+AD274+AE274+AF274)/(1-'Entrada e Saida'!$G$65))*'Entrada e Saida'!$I$66</f>
        <v>#DIV/0!</v>
      </c>
      <c r="AH274" s="8" t="e">
        <f t="shared" si="142"/>
        <v>#DIV/0!</v>
      </c>
      <c r="AI274" s="183" t="e">
        <f>'Entrada e Saida'!$K$51*(IF('Entrada e Saida'!$H$15="PESO",(P274/(SUM(P:P))),(Q274/(SUM(Q:Q)))))</f>
        <v>#DIV/0!</v>
      </c>
      <c r="AJ274" s="7">
        <f>(('Entrada e Saida'!$K$10-'Entrada e Saida'!$K$8)*E274*D274)</f>
        <v>0</v>
      </c>
      <c r="AK274" s="184" t="e">
        <f>IF('Entrada e Saida'!$H$15="PESO",W274+AA274+AH274+AI274+AJ274,W274+AA274+AH274+AI274+AJ274-S274+T274-U274+V274)</f>
        <v>#DIV/0!</v>
      </c>
      <c r="AL274" s="6" t="e">
        <f>IF('Entrada e Saida'!$H$12="REAL",AC274,0)</f>
        <v>#DIV/0!</v>
      </c>
      <c r="AM274" s="6" t="e">
        <f>IF('Entrada e Saida'!$H$12="REAL",AD274,0)</f>
        <v>#DIV/0!</v>
      </c>
      <c r="AN274" s="5" t="e">
        <f>IF('Entrada e Saida'!$H$13= "NÃO",AE274,0)</f>
        <v>#DIV/0!</v>
      </c>
      <c r="AO274" s="5" t="e">
        <f t="shared" si="143"/>
        <v>#DIV/0!</v>
      </c>
      <c r="AP274" s="4" t="e">
        <f t="shared" si="144"/>
        <v>#DIV/0!</v>
      </c>
      <c r="AQ274" s="3" t="e">
        <f>IF('Entrada e Saida'!$H$11="TRADING",AU274*'Custo Resumido'!D274,0)</f>
        <v>#DIV/0!</v>
      </c>
      <c r="AR274" s="3" t="e">
        <f>IF('Entrada e Saida'!$H$11="TRADING",AU274*'Entrada e Saida'!$G$63,0)</f>
        <v>#DIV/0!</v>
      </c>
      <c r="AS274" s="3" t="e">
        <f>IF('Entrada e Saida'!$H$11="TRADING",AU274*'Entrada e Saida'!$G$64,0)</f>
        <v>#DIV/0!</v>
      </c>
      <c r="AT274" s="3" t="e">
        <f>IF('Entrada e Saida'!$H$11="TRADING",AU274*'Entrada e Saida'!$G$65,0)</f>
        <v>#DIV/0!</v>
      </c>
      <c r="AU274" s="4" t="e">
        <f>IF('Entrada e Saida'!$H$11="TRADING",AP274/(1-(SUM('Entrada e Saida'!$G$63:$G$65)+'Custo Resumido'!D274)),0)</f>
        <v>#DIV/0!</v>
      </c>
      <c r="AV274" s="3" t="e">
        <f>IF('Entrada e Saida'!$H$13="NÃO",AU274*M274,0)</f>
        <v>#DIV/0!</v>
      </c>
      <c r="AW274" s="4" t="e">
        <f t="shared" si="145"/>
        <v>#DIV/0!</v>
      </c>
      <c r="AX274" s="3" t="e">
        <f>'Entrada e Saida'!$G$74*AU274</f>
        <v>#DIV/0!</v>
      </c>
      <c r="AY274" s="4" t="e">
        <f t="shared" si="146"/>
        <v>#DIV/0!</v>
      </c>
      <c r="AZ274" s="4" t="e">
        <f>AQ274+('Entrada e Saida'!$G$65-'Entrada e Saida'!$I$65)*AU274-AX274</f>
        <v>#DIV/0!</v>
      </c>
      <c r="BA274" s="3" t="e">
        <f>IF('Entrada e Saida'!$H$12="REAL",AZ274*'Entrada e Saida'!$G$81,AU274*'Entrada e Saida'!$G$81)</f>
        <v>#DIV/0!</v>
      </c>
      <c r="BB274" s="3" t="e">
        <f>IF('Entrada e Saida'!$H$12="REAL",AZ274*'Entrada e Saida'!$G$82,AU274*'Entrada e Saida'!$G$82)</f>
        <v>#DIV/0!</v>
      </c>
      <c r="BC274" s="4" t="e">
        <f t="shared" si="147"/>
        <v>#DIV/0!</v>
      </c>
      <c r="BD274" s="3" t="e">
        <f>IF('Entrada e Saida'!$H$11="TRADING",AW274/D274,AK274/D274)</f>
        <v>#DIV/0!</v>
      </c>
      <c r="BE274" s="3" t="e">
        <f t="shared" si="148"/>
        <v>#DIV/0!</v>
      </c>
      <c r="BF274" s="2" t="e">
        <f t="shared" si="149"/>
        <v>#DIV/0!</v>
      </c>
      <c r="BG274" s="3" t="e">
        <f>IF('Entrada e Saida'!$H$11="TRADING",AV274/D274,AN274/D274)</f>
        <v>#DIV/0!</v>
      </c>
      <c r="BH274" s="3" t="e">
        <f>IF('Entrada e Saida'!$H$11="TRADING",IF('Entrada e Saida'!$H$12="REAL",AR274/D274,0),AL274/D274)</f>
        <v>#DIV/0!</v>
      </c>
      <c r="BI274" s="3" t="e">
        <f>IF('Entrada e Saida'!$H$11="TRADING",IF('Entrada e Saida'!$H$12="REAL",AS274/D274,0),AM274/D274)</f>
        <v>#DIV/0!</v>
      </c>
      <c r="BJ274" s="3" t="e">
        <f>IF('Entrada e Saida'!$H$11="TRADING",AT274/D274,AO274/D274)</f>
        <v>#DIV/0!</v>
      </c>
      <c r="BK274" s="2" t="e">
        <f t="shared" si="150"/>
        <v>#DIV/0!</v>
      </c>
      <c r="BL274" s="2">
        <f>IF(O274&gt;0,IFERROR(IF('Entrada e Saida'!$H$11="DIRETA",0,(IF('Entrada e Saida'!$H$14="P.JURIDICA",(BD274*(1+O274)*N274)-((BD274/(1+M274))*'Entrada e Saida'!$G$65),((Produtos!N274-'Entrada e Saida'!$G$65)*Produtos!BD274)))),0),0)</f>
        <v>0</v>
      </c>
      <c r="BM274" s="2" t="e">
        <f t="shared" si="151"/>
        <v>#DIV/0!</v>
      </c>
    </row>
    <row r="275" spans="1:65" s="1" customFormat="1">
      <c r="A275" s="127"/>
      <c r="B275" s="114"/>
      <c r="C275" s="116"/>
      <c r="D275" s="146"/>
      <c r="E275" s="115">
        <f>IFERROR(VLOOKUP(A275,'Master Modelo'!A:I,9,FALSE),0)</f>
        <v>0</v>
      </c>
      <c r="F275" s="189">
        <f>IFERROR(VLOOKUP(A275,'Master Modelo'!A:I,8,FALSE),0)</f>
        <v>0</v>
      </c>
      <c r="G275" s="189">
        <f>IFERROR(VLOOKUP(A275,'Master Modelo'!A:K,11,FALSE),0)</f>
        <v>0</v>
      </c>
      <c r="H275" s="114" t="e">
        <f t="shared" si="134"/>
        <v>#DIV/0!</v>
      </c>
      <c r="I275" s="150">
        <f>IFERROR(VLOOKUP(A275,'Master Modelo'!A:I,3,FALSE),0)</f>
        <v>0</v>
      </c>
      <c r="J275" s="151">
        <f>IFERROR(VLOOKUP(A275,'Master Modelo'!A:I,5,FALSE),0)</f>
        <v>0</v>
      </c>
      <c r="K275" s="151">
        <f>IFERROR(VLOOKUP(A275,'Master Modelo'!A:I,6,FALSE),0)</f>
        <v>0</v>
      </c>
      <c r="L275" s="152" t="e">
        <f>VLOOKUP(A275,'Master Modelo'!A:J,10,FALSE)</f>
        <v>#N/A</v>
      </c>
      <c r="M275" s="150">
        <f>IFERROR(VLOOKUP(A275,'Master Modelo'!A:I,4,FALSE),0)</f>
        <v>0</v>
      </c>
      <c r="N275" s="128"/>
      <c r="O275" s="129"/>
      <c r="P275" s="9">
        <f t="shared" si="135"/>
        <v>0</v>
      </c>
      <c r="Q275" s="177">
        <f t="shared" si="133"/>
        <v>0</v>
      </c>
      <c r="R275" s="3">
        <f>D275*E275*'Entrada e Saida'!$K$8</f>
        <v>0</v>
      </c>
      <c r="S275" s="179" t="e">
        <f>'Entrada e Saida'!$H$21*'Entrada e Saida'!$K$8*(P275/(SUM(P:P)))</f>
        <v>#DIV/0!</v>
      </c>
      <c r="T275" s="179" t="e">
        <f>'Entrada e Saida'!$H$21*'Entrada e Saida'!$K$8*(Q275/(SUM(Q:Q)))</f>
        <v>#DIV/0!</v>
      </c>
      <c r="U275" s="179" t="e">
        <f>'Entrada e Saida'!$H$22*(P275/(SUM(P:P)))</f>
        <v>#DIV/0!</v>
      </c>
      <c r="V275" s="179" t="e">
        <f>'Entrada e Saida'!$H$22*(Q275/(SUM(Q:Q)))</f>
        <v>#DIV/0!</v>
      </c>
      <c r="W275" s="8" t="e">
        <f t="shared" si="136"/>
        <v>#DIV/0!</v>
      </c>
      <c r="X275" s="179" t="e">
        <f>'Entrada e Saida'!$H$26*(IF('Entrada e Saida'!$H$15="PESO",(P275/(SUM(P:P))),(Q275/(SUM(Q:Q)))))</f>
        <v>#DIV/0!</v>
      </c>
      <c r="Y275" s="179" t="e">
        <f>'Entrada e Saida'!$H$27*(IF('Entrada e Saida'!$H$15="PESO",(P275/(SUM(P:P))),(Q275/(SUM(Q:Q)))))</f>
        <v>#DIV/0!</v>
      </c>
      <c r="Z275" s="179" t="e">
        <f>'Entrada e Saida'!$H$28*(IF('Entrada e Saida'!$H$15="PESO",(P275/(SUM(P:P))),(Q275/(SUM(Q:Q)))))</f>
        <v>#DIV/0!</v>
      </c>
      <c r="AA275" s="10" t="e">
        <f t="shared" si="137"/>
        <v>#DIV/0!</v>
      </c>
      <c r="AB275" s="3" t="e">
        <f t="shared" si="138"/>
        <v>#DIV/0!</v>
      </c>
      <c r="AC275" s="3" t="e">
        <f t="shared" si="139"/>
        <v>#DIV/0!</v>
      </c>
      <c r="AD275" s="3" t="e">
        <f t="shared" si="140"/>
        <v>#DIV/0!</v>
      </c>
      <c r="AE275" s="9" t="e">
        <f t="shared" si="141"/>
        <v>#DIV/0!</v>
      </c>
      <c r="AF275" s="126">
        <f>IFERROR(D275*F275*L275*'Entrada e Saida'!$K$8,0)</f>
        <v>0</v>
      </c>
      <c r="AG275" s="3" t="e">
        <f>((W275+AA275+AB275+AC275+AD275+AE275+AF275)/(1-'Entrada e Saida'!$G$65))*'Entrada e Saida'!$I$66</f>
        <v>#DIV/0!</v>
      </c>
      <c r="AH275" s="8" t="e">
        <f t="shared" si="142"/>
        <v>#DIV/0!</v>
      </c>
      <c r="AI275" s="183" t="e">
        <f>'Entrada e Saida'!$K$51*(IF('Entrada e Saida'!$H$15="PESO",(P275/(SUM(P:P))),(Q275/(SUM(Q:Q)))))</f>
        <v>#DIV/0!</v>
      </c>
      <c r="AJ275" s="7">
        <f>(('Entrada e Saida'!$K$10-'Entrada e Saida'!$K$8)*E275*D275)</f>
        <v>0</v>
      </c>
      <c r="AK275" s="184" t="e">
        <f>IF('Entrada e Saida'!$H$15="PESO",W275+AA275+AH275+AI275+AJ275,W275+AA275+AH275+AI275+AJ275-S275+T275-U275+V275)</f>
        <v>#DIV/0!</v>
      </c>
      <c r="AL275" s="6" t="e">
        <f>IF('Entrada e Saida'!$H$12="REAL",AC275,0)</f>
        <v>#DIV/0!</v>
      </c>
      <c r="AM275" s="6" t="e">
        <f>IF('Entrada e Saida'!$H$12="REAL",AD275,0)</f>
        <v>#DIV/0!</v>
      </c>
      <c r="AN275" s="5" t="e">
        <f>IF('Entrada e Saida'!$H$13= "NÃO",AE275,0)</f>
        <v>#DIV/0!</v>
      </c>
      <c r="AO275" s="5" t="e">
        <f t="shared" si="143"/>
        <v>#DIV/0!</v>
      </c>
      <c r="AP275" s="4" t="e">
        <f t="shared" si="144"/>
        <v>#DIV/0!</v>
      </c>
      <c r="AQ275" s="3" t="e">
        <f>IF('Entrada e Saida'!$H$11="TRADING",AU275*'Custo Resumido'!D275,0)</f>
        <v>#DIV/0!</v>
      </c>
      <c r="AR275" s="3" t="e">
        <f>IF('Entrada e Saida'!$H$11="TRADING",AU275*'Entrada e Saida'!$G$63,0)</f>
        <v>#DIV/0!</v>
      </c>
      <c r="AS275" s="3" t="e">
        <f>IF('Entrada e Saida'!$H$11="TRADING",AU275*'Entrada e Saida'!$G$64,0)</f>
        <v>#DIV/0!</v>
      </c>
      <c r="AT275" s="3" t="e">
        <f>IF('Entrada e Saida'!$H$11="TRADING",AU275*'Entrada e Saida'!$G$65,0)</f>
        <v>#DIV/0!</v>
      </c>
      <c r="AU275" s="4" t="e">
        <f>IF('Entrada e Saida'!$H$11="TRADING",AP275/(1-(SUM('Entrada e Saida'!$G$63:$G$65)+'Custo Resumido'!D275)),0)</f>
        <v>#DIV/0!</v>
      </c>
      <c r="AV275" s="3" t="e">
        <f>IF('Entrada e Saida'!$H$13="NÃO",AU275*M275,0)</f>
        <v>#DIV/0!</v>
      </c>
      <c r="AW275" s="4" t="e">
        <f t="shared" si="145"/>
        <v>#DIV/0!</v>
      </c>
      <c r="AX275" s="3" t="e">
        <f>'Entrada e Saida'!$G$74*AU275</f>
        <v>#DIV/0!</v>
      </c>
      <c r="AY275" s="4" t="e">
        <f t="shared" si="146"/>
        <v>#DIV/0!</v>
      </c>
      <c r="AZ275" s="4" t="e">
        <f>AQ275+('Entrada e Saida'!$G$65-'Entrada e Saida'!$I$65)*AU275-AX275</f>
        <v>#DIV/0!</v>
      </c>
      <c r="BA275" s="3" t="e">
        <f>IF('Entrada e Saida'!$H$12="REAL",AZ275*'Entrada e Saida'!$G$81,AU275*'Entrada e Saida'!$G$81)</f>
        <v>#DIV/0!</v>
      </c>
      <c r="BB275" s="3" t="e">
        <f>IF('Entrada e Saida'!$H$12="REAL",AZ275*'Entrada e Saida'!$G$82,AU275*'Entrada e Saida'!$G$82)</f>
        <v>#DIV/0!</v>
      </c>
      <c r="BC275" s="4" t="e">
        <f t="shared" si="147"/>
        <v>#DIV/0!</v>
      </c>
      <c r="BD275" s="3" t="e">
        <f>IF('Entrada e Saida'!$H$11="TRADING",AW275/D275,AK275/D275)</f>
        <v>#DIV/0!</v>
      </c>
      <c r="BE275" s="3" t="e">
        <f t="shared" si="148"/>
        <v>#DIV/0!</v>
      </c>
      <c r="BF275" s="2" t="e">
        <f t="shared" si="149"/>
        <v>#DIV/0!</v>
      </c>
      <c r="BG275" s="3" t="e">
        <f>IF('Entrada e Saida'!$H$11="TRADING",AV275/D275,AN275/D275)</f>
        <v>#DIV/0!</v>
      </c>
      <c r="BH275" s="3" t="e">
        <f>IF('Entrada e Saida'!$H$11="TRADING",IF('Entrada e Saida'!$H$12="REAL",AR275/D275,0),AL275/D275)</f>
        <v>#DIV/0!</v>
      </c>
      <c r="BI275" s="3" t="e">
        <f>IF('Entrada e Saida'!$H$11="TRADING",IF('Entrada e Saida'!$H$12="REAL",AS275/D275,0),AM275/D275)</f>
        <v>#DIV/0!</v>
      </c>
      <c r="BJ275" s="3" t="e">
        <f>IF('Entrada e Saida'!$H$11="TRADING",AT275/D275,AO275/D275)</f>
        <v>#DIV/0!</v>
      </c>
      <c r="BK275" s="2" t="e">
        <f t="shared" si="150"/>
        <v>#DIV/0!</v>
      </c>
      <c r="BL275" s="2">
        <f>IF(O275&gt;0,IFERROR(IF('Entrada e Saida'!$H$11="DIRETA",0,(IF('Entrada e Saida'!$H$14="P.JURIDICA",(BD275*(1+O275)*N275)-((BD275/(1+M275))*'Entrada e Saida'!$G$65),((Produtos!N275-'Entrada e Saida'!$G$65)*Produtos!BD275)))),0),0)</f>
        <v>0</v>
      </c>
      <c r="BM275" s="2" t="e">
        <f t="shared" si="151"/>
        <v>#DIV/0!</v>
      </c>
    </row>
    <row r="276" spans="1:65" s="1" customFormat="1">
      <c r="A276" s="127"/>
      <c r="B276" s="114"/>
      <c r="C276" s="116"/>
      <c r="D276" s="146"/>
      <c r="E276" s="115">
        <f>IFERROR(VLOOKUP(A276,'Master Modelo'!A:I,9,FALSE),0)</f>
        <v>0</v>
      </c>
      <c r="F276" s="189">
        <f>IFERROR(VLOOKUP(A276,'Master Modelo'!A:I,8,FALSE),0)</f>
        <v>0</v>
      </c>
      <c r="G276" s="189">
        <f>IFERROR(VLOOKUP(A276,'Master Modelo'!A:K,11,FALSE),0)</f>
        <v>0</v>
      </c>
      <c r="H276" s="114" t="e">
        <f t="shared" si="134"/>
        <v>#DIV/0!</v>
      </c>
      <c r="I276" s="150">
        <f>IFERROR(VLOOKUP(A276,'Master Modelo'!A:I,3,FALSE),0)</f>
        <v>0</v>
      </c>
      <c r="J276" s="151">
        <f>IFERROR(VLOOKUP(A276,'Master Modelo'!A:I,5,FALSE),0)</f>
        <v>0</v>
      </c>
      <c r="K276" s="151">
        <f>IFERROR(VLOOKUP(A276,'Master Modelo'!A:I,6,FALSE),0)</f>
        <v>0</v>
      </c>
      <c r="L276" s="152" t="e">
        <f>VLOOKUP(A276,'Master Modelo'!A:J,10,FALSE)</f>
        <v>#N/A</v>
      </c>
      <c r="M276" s="150">
        <f>IFERROR(VLOOKUP(A276,'Master Modelo'!A:I,4,FALSE),0)</f>
        <v>0</v>
      </c>
      <c r="N276" s="128"/>
      <c r="O276" s="129"/>
      <c r="P276" s="9">
        <f t="shared" si="135"/>
        <v>0</v>
      </c>
      <c r="Q276" s="177">
        <f t="shared" si="133"/>
        <v>0</v>
      </c>
      <c r="R276" s="3">
        <f>D276*E276*'Entrada e Saida'!$K$8</f>
        <v>0</v>
      </c>
      <c r="S276" s="179" t="e">
        <f>'Entrada e Saida'!$H$21*'Entrada e Saida'!$K$8*(P276/(SUM(P:P)))</f>
        <v>#DIV/0!</v>
      </c>
      <c r="T276" s="179" t="e">
        <f>'Entrada e Saida'!$H$21*'Entrada e Saida'!$K$8*(Q276/(SUM(Q:Q)))</f>
        <v>#DIV/0!</v>
      </c>
      <c r="U276" s="179" t="e">
        <f>'Entrada e Saida'!$H$22*(P276/(SUM(P:P)))</f>
        <v>#DIV/0!</v>
      </c>
      <c r="V276" s="179" t="e">
        <f>'Entrada e Saida'!$H$22*(Q276/(SUM(Q:Q)))</f>
        <v>#DIV/0!</v>
      </c>
      <c r="W276" s="8" t="e">
        <f t="shared" si="136"/>
        <v>#DIV/0!</v>
      </c>
      <c r="X276" s="179" t="e">
        <f>'Entrada e Saida'!$H$26*(IF('Entrada e Saida'!$H$15="PESO",(P276/(SUM(P:P))),(Q276/(SUM(Q:Q)))))</f>
        <v>#DIV/0!</v>
      </c>
      <c r="Y276" s="179" t="e">
        <f>'Entrada e Saida'!$H$27*(IF('Entrada e Saida'!$H$15="PESO",(P276/(SUM(P:P))),(Q276/(SUM(Q:Q)))))</f>
        <v>#DIV/0!</v>
      </c>
      <c r="Z276" s="179" t="e">
        <f>'Entrada e Saida'!$H$28*(IF('Entrada e Saida'!$H$15="PESO",(P276/(SUM(P:P))),(Q276/(SUM(Q:Q)))))</f>
        <v>#DIV/0!</v>
      </c>
      <c r="AA276" s="10" t="e">
        <f t="shared" si="137"/>
        <v>#DIV/0!</v>
      </c>
      <c r="AB276" s="3" t="e">
        <f t="shared" si="138"/>
        <v>#DIV/0!</v>
      </c>
      <c r="AC276" s="3" t="e">
        <f t="shared" si="139"/>
        <v>#DIV/0!</v>
      </c>
      <c r="AD276" s="3" t="e">
        <f t="shared" si="140"/>
        <v>#DIV/0!</v>
      </c>
      <c r="AE276" s="9" t="e">
        <f t="shared" si="141"/>
        <v>#DIV/0!</v>
      </c>
      <c r="AF276" s="126">
        <f>IFERROR(D276*F276*L276*'Entrada e Saida'!$K$8,0)</f>
        <v>0</v>
      </c>
      <c r="AG276" s="3" t="e">
        <f>((W276+AA276+AB276+AC276+AD276+AE276+AF276)/(1-'Entrada e Saida'!$G$65))*'Entrada e Saida'!$I$66</f>
        <v>#DIV/0!</v>
      </c>
      <c r="AH276" s="8" t="e">
        <f t="shared" si="142"/>
        <v>#DIV/0!</v>
      </c>
      <c r="AI276" s="183" t="e">
        <f>'Entrada e Saida'!$K$51*(IF('Entrada e Saida'!$H$15="PESO",(P276/(SUM(P:P))),(Q276/(SUM(Q:Q)))))</f>
        <v>#DIV/0!</v>
      </c>
      <c r="AJ276" s="7">
        <f>(('Entrada e Saida'!$K$10-'Entrada e Saida'!$K$8)*E276*D276)</f>
        <v>0</v>
      </c>
      <c r="AK276" s="184" t="e">
        <f>IF('Entrada e Saida'!$H$15="PESO",W276+AA276+AH276+AI276+AJ276,W276+AA276+AH276+AI276+AJ276-S276+T276-U276+V276)</f>
        <v>#DIV/0!</v>
      </c>
      <c r="AL276" s="6" t="e">
        <f>IF('Entrada e Saida'!$H$12="REAL",AC276,0)</f>
        <v>#DIV/0!</v>
      </c>
      <c r="AM276" s="6" t="e">
        <f>IF('Entrada e Saida'!$H$12="REAL",AD276,0)</f>
        <v>#DIV/0!</v>
      </c>
      <c r="AN276" s="5" t="e">
        <f>IF('Entrada e Saida'!$H$13= "NÃO",AE276,0)</f>
        <v>#DIV/0!</v>
      </c>
      <c r="AO276" s="5" t="e">
        <f t="shared" si="143"/>
        <v>#DIV/0!</v>
      </c>
      <c r="AP276" s="4" t="e">
        <f t="shared" si="144"/>
        <v>#DIV/0!</v>
      </c>
      <c r="AQ276" s="3" t="e">
        <f>IF('Entrada e Saida'!$H$11="TRADING",AU276*'Custo Resumido'!D276,0)</f>
        <v>#DIV/0!</v>
      </c>
      <c r="AR276" s="3" t="e">
        <f>IF('Entrada e Saida'!$H$11="TRADING",AU276*'Entrada e Saida'!$G$63,0)</f>
        <v>#DIV/0!</v>
      </c>
      <c r="AS276" s="3" t="e">
        <f>IF('Entrada e Saida'!$H$11="TRADING",AU276*'Entrada e Saida'!$G$64,0)</f>
        <v>#DIV/0!</v>
      </c>
      <c r="AT276" s="3" t="e">
        <f>IF('Entrada e Saida'!$H$11="TRADING",AU276*'Entrada e Saida'!$G$65,0)</f>
        <v>#DIV/0!</v>
      </c>
      <c r="AU276" s="4" t="e">
        <f>IF('Entrada e Saida'!$H$11="TRADING",AP276/(1-(SUM('Entrada e Saida'!$G$63:$G$65)+'Custo Resumido'!D276)),0)</f>
        <v>#DIV/0!</v>
      </c>
      <c r="AV276" s="3" t="e">
        <f>IF('Entrada e Saida'!$H$13="NÃO",AU276*M276,0)</f>
        <v>#DIV/0!</v>
      </c>
      <c r="AW276" s="4" t="e">
        <f t="shared" si="145"/>
        <v>#DIV/0!</v>
      </c>
      <c r="AX276" s="3" t="e">
        <f>'Entrada e Saida'!$G$74*AU276</f>
        <v>#DIV/0!</v>
      </c>
      <c r="AY276" s="4" t="e">
        <f t="shared" si="146"/>
        <v>#DIV/0!</v>
      </c>
      <c r="AZ276" s="4" t="e">
        <f>AQ276+('Entrada e Saida'!$G$65-'Entrada e Saida'!$I$65)*AU276-AX276</f>
        <v>#DIV/0!</v>
      </c>
      <c r="BA276" s="3" t="e">
        <f>IF('Entrada e Saida'!$H$12="REAL",AZ276*'Entrada e Saida'!$G$81,AU276*'Entrada e Saida'!$G$81)</f>
        <v>#DIV/0!</v>
      </c>
      <c r="BB276" s="3" t="e">
        <f>IF('Entrada e Saida'!$H$12="REAL",AZ276*'Entrada e Saida'!$G$82,AU276*'Entrada e Saida'!$G$82)</f>
        <v>#DIV/0!</v>
      </c>
      <c r="BC276" s="4" t="e">
        <f t="shared" si="147"/>
        <v>#DIV/0!</v>
      </c>
      <c r="BD276" s="3" t="e">
        <f>IF('Entrada e Saida'!$H$11="TRADING",AW276/D276,AK276/D276)</f>
        <v>#DIV/0!</v>
      </c>
      <c r="BE276" s="3" t="e">
        <f t="shared" si="148"/>
        <v>#DIV/0!</v>
      </c>
      <c r="BF276" s="2" t="e">
        <f t="shared" si="149"/>
        <v>#DIV/0!</v>
      </c>
      <c r="BG276" s="3" t="e">
        <f>IF('Entrada e Saida'!$H$11="TRADING",AV276/D276,AN276/D276)</f>
        <v>#DIV/0!</v>
      </c>
      <c r="BH276" s="3" t="e">
        <f>IF('Entrada e Saida'!$H$11="TRADING",IF('Entrada e Saida'!$H$12="REAL",AR276/D276,0),AL276/D276)</f>
        <v>#DIV/0!</v>
      </c>
      <c r="BI276" s="3" t="e">
        <f>IF('Entrada e Saida'!$H$11="TRADING",IF('Entrada e Saida'!$H$12="REAL",AS276/D276,0),AM276/D276)</f>
        <v>#DIV/0!</v>
      </c>
      <c r="BJ276" s="3" t="e">
        <f>IF('Entrada e Saida'!$H$11="TRADING",AT276/D276,AO276/D276)</f>
        <v>#DIV/0!</v>
      </c>
      <c r="BK276" s="2" t="e">
        <f t="shared" si="150"/>
        <v>#DIV/0!</v>
      </c>
      <c r="BL276" s="2">
        <f>IF(O276&gt;0,IFERROR(IF('Entrada e Saida'!$H$11="DIRETA",0,(IF('Entrada e Saida'!$H$14="P.JURIDICA",(BD276*(1+O276)*N276)-((BD276/(1+M276))*'Entrada e Saida'!$G$65),((Produtos!N276-'Entrada e Saida'!$G$65)*Produtos!BD276)))),0),0)</f>
        <v>0</v>
      </c>
      <c r="BM276" s="2" t="e">
        <f t="shared" si="151"/>
        <v>#DIV/0!</v>
      </c>
    </row>
    <row r="277" spans="1:65" s="1" customFormat="1">
      <c r="A277" s="127"/>
      <c r="B277" s="114"/>
      <c r="C277" s="116"/>
      <c r="D277" s="146"/>
      <c r="E277" s="115">
        <f>IFERROR(VLOOKUP(A277,'Master Modelo'!A:I,9,FALSE),0)</f>
        <v>0</v>
      </c>
      <c r="F277" s="189">
        <f>IFERROR(VLOOKUP(A277,'Master Modelo'!A:I,8,FALSE),0)</f>
        <v>0</v>
      </c>
      <c r="G277" s="189">
        <f>IFERROR(VLOOKUP(A277,'Master Modelo'!A:K,11,FALSE),0)</f>
        <v>0</v>
      </c>
      <c r="H277" s="114" t="e">
        <f t="shared" si="134"/>
        <v>#DIV/0!</v>
      </c>
      <c r="I277" s="150">
        <f>IFERROR(VLOOKUP(A277,'Master Modelo'!A:I,3,FALSE),0)</f>
        <v>0</v>
      </c>
      <c r="J277" s="151">
        <f>IFERROR(VLOOKUP(A277,'Master Modelo'!A:I,5,FALSE),0)</f>
        <v>0</v>
      </c>
      <c r="K277" s="151">
        <f>IFERROR(VLOOKUP(A277,'Master Modelo'!A:I,6,FALSE),0)</f>
        <v>0</v>
      </c>
      <c r="L277" s="152" t="e">
        <f>VLOOKUP(A277,'Master Modelo'!A:J,10,FALSE)</f>
        <v>#N/A</v>
      </c>
      <c r="M277" s="150">
        <f>IFERROR(VLOOKUP(A277,'Master Modelo'!A:I,4,FALSE),0)</f>
        <v>0</v>
      </c>
      <c r="N277" s="128"/>
      <c r="O277" s="129"/>
      <c r="P277" s="9">
        <f t="shared" si="135"/>
        <v>0</v>
      </c>
      <c r="Q277" s="177">
        <f t="shared" si="133"/>
        <v>0</v>
      </c>
      <c r="R277" s="3">
        <f>D277*E277*'Entrada e Saida'!$K$8</f>
        <v>0</v>
      </c>
      <c r="S277" s="179" t="e">
        <f>'Entrada e Saida'!$H$21*'Entrada e Saida'!$K$8*(P277/(SUM(P:P)))</f>
        <v>#DIV/0!</v>
      </c>
      <c r="T277" s="179" t="e">
        <f>'Entrada e Saida'!$H$21*'Entrada e Saida'!$K$8*(Q277/(SUM(Q:Q)))</f>
        <v>#DIV/0!</v>
      </c>
      <c r="U277" s="179" t="e">
        <f>'Entrada e Saida'!$H$22*(P277/(SUM(P:P)))</f>
        <v>#DIV/0!</v>
      </c>
      <c r="V277" s="179" t="e">
        <f>'Entrada e Saida'!$H$22*(Q277/(SUM(Q:Q)))</f>
        <v>#DIV/0!</v>
      </c>
      <c r="W277" s="8" t="e">
        <f t="shared" si="136"/>
        <v>#DIV/0!</v>
      </c>
      <c r="X277" s="179" t="e">
        <f>'Entrada e Saida'!$H$26*(IF('Entrada e Saida'!$H$15="PESO",(P277/(SUM(P:P))),(Q277/(SUM(Q:Q)))))</f>
        <v>#DIV/0!</v>
      </c>
      <c r="Y277" s="179" t="e">
        <f>'Entrada e Saida'!$H$27*(IF('Entrada e Saida'!$H$15="PESO",(P277/(SUM(P:P))),(Q277/(SUM(Q:Q)))))</f>
        <v>#DIV/0!</v>
      </c>
      <c r="Z277" s="179" t="e">
        <f>'Entrada e Saida'!$H$28*(IF('Entrada e Saida'!$H$15="PESO",(P277/(SUM(P:P))),(Q277/(SUM(Q:Q)))))</f>
        <v>#DIV/0!</v>
      </c>
      <c r="AA277" s="10" t="e">
        <f t="shared" si="137"/>
        <v>#DIV/0!</v>
      </c>
      <c r="AB277" s="3" t="e">
        <f t="shared" si="138"/>
        <v>#DIV/0!</v>
      </c>
      <c r="AC277" s="3" t="e">
        <f t="shared" si="139"/>
        <v>#DIV/0!</v>
      </c>
      <c r="AD277" s="3" t="e">
        <f t="shared" si="140"/>
        <v>#DIV/0!</v>
      </c>
      <c r="AE277" s="9" t="e">
        <f t="shared" si="141"/>
        <v>#DIV/0!</v>
      </c>
      <c r="AF277" s="126">
        <f>IFERROR(D277*F277*L277*'Entrada e Saida'!$K$8,0)</f>
        <v>0</v>
      </c>
      <c r="AG277" s="3" t="e">
        <f>((W277+AA277+AB277+AC277+AD277+AE277+AF277)/(1-'Entrada e Saida'!$G$65))*'Entrada e Saida'!$I$66</f>
        <v>#DIV/0!</v>
      </c>
      <c r="AH277" s="8" t="e">
        <f t="shared" si="142"/>
        <v>#DIV/0!</v>
      </c>
      <c r="AI277" s="183" t="e">
        <f>'Entrada e Saida'!$K$51*(IF('Entrada e Saida'!$H$15="PESO",(P277/(SUM(P:P))),(Q277/(SUM(Q:Q)))))</f>
        <v>#DIV/0!</v>
      </c>
      <c r="AJ277" s="7">
        <f>(('Entrada e Saida'!$K$10-'Entrada e Saida'!$K$8)*E277*D277)</f>
        <v>0</v>
      </c>
      <c r="AK277" s="184" t="e">
        <f>IF('Entrada e Saida'!$H$15="PESO",W277+AA277+AH277+AI277+AJ277,W277+AA277+AH277+AI277+AJ277-S277+T277-U277+V277)</f>
        <v>#DIV/0!</v>
      </c>
      <c r="AL277" s="6" t="e">
        <f>IF('Entrada e Saida'!$H$12="REAL",AC277,0)</f>
        <v>#DIV/0!</v>
      </c>
      <c r="AM277" s="6" t="e">
        <f>IF('Entrada e Saida'!$H$12="REAL",AD277,0)</f>
        <v>#DIV/0!</v>
      </c>
      <c r="AN277" s="5" t="e">
        <f>IF('Entrada e Saida'!$H$13= "NÃO",AE277,0)</f>
        <v>#DIV/0!</v>
      </c>
      <c r="AO277" s="5" t="e">
        <f t="shared" si="143"/>
        <v>#DIV/0!</v>
      </c>
      <c r="AP277" s="4" t="e">
        <f t="shared" si="144"/>
        <v>#DIV/0!</v>
      </c>
      <c r="AQ277" s="3" t="e">
        <f>IF('Entrada e Saida'!$H$11="TRADING",AU277*'Custo Resumido'!D277,0)</f>
        <v>#DIV/0!</v>
      </c>
      <c r="AR277" s="3" t="e">
        <f>IF('Entrada e Saida'!$H$11="TRADING",AU277*'Entrada e Saida'!$G$63,0)</f>
        <v>#DIV/0!</v>
      </c>
      <c r="AS277" s="3" t="e">
        <f>IF('Entrada e Saida'!$H$11="TRADING",AU277*'Entrada e Saida'!$G$64,0)</f>
        <v>#DIV/0!</v>
      </c>
      <c r="AT277" s="3" t="e">
        <f>IF('Entrada e Saida'!$H$11="TRADING",AU277*'Entrada e Saida'!$G$65,0)</f>
        <v>#DIV/0!</v>
      </c>
      <c r="AU277" s="4" t="e">
        <f>IF('Entrada e Saida'!$H$11="TRADING",AP277/(1-(SUM('Entrada e Saida'!$G$63:$G$65)+'Custo Resumido'!D277)),0)</f>
        <v>#DIV/0!</v>
      </c>
      <c r="AV277" s="3" t="e">
        <f>IF('Entrada e Saida'!$H$13="NÃO",AU277*M277,0)</f>
        <v>#DIV/0!</v>
      </c>
      <c r="AW277" s="4" t="e">
        <f t="shared" si="145"/>
        <v>#DIV/0!</v>
      </c>
      <c r="AX277" s="3" t="e">
        <f>'Entrada e Saida'!$G$74*AU277</f>
        <v>#DIV/0!</v>
      </c>
      <c r="AY277" s="4" t="e">
        <f t="shared" si="146"/>
        <v>#DIV/0!</v>
      </c>
      <c r="AZ277" s="4" t="e">
        <f>AQ277+('Entrada e Saida'!$G$65-'Entrada e Saida'!$I$65)*AU277-AX277</f>
        <v>#DIV/0!</v>
      </c>
      <c r="BA277" s="3" t="e">
        <f>IF('Entrada e Saida'!$H$12="REAL",AZ277*'Entrada e Saida'!$G$81,AU277*'Entrada e Saida'!$G$81)</f>
        <v>#DIV/0!</v>
      </c>
      <c r="BB277" s="3" t="e">
        <f>IF('Entrada e Saida'!$H$12="REAL",AZ277*'Entrada e Saida'!$G$82,AU277*'Entrada e Saida'!$G$82)</f>
        <v>#DIV/0!</v>
      </c>
      <c r="BC277" s="4" t="e">
        <f t="shared" si="147"/>
        <v>#DIV/0!</v>
      </c>
      <c r="BD277" s="3" t="e">
        <f>IF('Entrada e Saida'!$H$11="TRADING",AW277/D277,AK277/D277)</f>
        <v>#DIV/0!</v>
      </c>
      <c r="BE277" s="3" t="e">
        <f t="shared" si="148"/>
        <v>#DIV/0!</v>
      </c>
      <c r="BF277" s="2" t="e">
        <f t="shared" si="149"/>
        <v>#DIV/0!</v>
      </c>
      <c r="BG277" s="3" t="e">
        <f>IF('Entrada e Saida'!$H$11="TRADING",AV277/D277,AN277/D277)</f>
        <v>#DIV/0!</v>
      </c>
      <c r="BH277" s="3" t="e">
        <f>IF('Entrada e Saida'!$H$11="TRADING",IF('Entrada e Saida'!$H$12="REAL",AR277/D277,0),AL277/D277)</f>
        <v>#DIV/0!</v>
      </c>
      <c r="BI277" s="3" t="e">
        <f>IF('Entrada e Saida'!$H$11="TRADING",IF('Entrada e Saida'!$H$12="REAL",AS277/D277,0),AM277/D277)</f>
        <v>#DIV/0!</v>
      </c>
      <c r="BJ277" s="3" t="e">
        <f>IF('Entrada e Saida'!$H$11="TRADING",AT277/D277,AO277/D277)</f>
        <v>#DIV/0!</v>
      </c>
      <c r="BK277" s="2" t="e">
        <f t="shared" si="150"/>
        <v>#DIV/0!</v>
      </c>
      <c r="BL277" s="2">
        <f>IF(O277&gt;0,IFERROR(IF('Entrada e Saida'!$H$11="DIRETA",0,(IF('Entrada e Saida'!$H$14="P.JURIDICA",(BD277*(1+O277)*N277)-((BD277/(1+M277))*'Entrada e Saida'!$G$65),((Produtos!N277-'Entrada e Saida'!$G$65)*Produtos!BD277)))),0),0)</f>
        <v>0</v>
      </c>
      <c r="BM277" s="2" t="e">
        <f t="shared" si="151"/>
        <v>#DIV/0!</v>
      </c>
    </row>
    <row r="278" spans="1:65" s="1" customFormat="1">
      <c r="A278" s="127"/>
      <c r="B278" s="114"/>
      <c r="C278" s="116"/>
      <c r="D278" s="146"/>
      <c r="E278" s="115">
        <f>IFERROR(VLOOKUP(A278,'Master Modelo'!A:I,9,FALSE),0)</f>
        <v>0</v>
      </c>
      <c r="F278" s="189">
        <f>IFERROR(VLOOKUP(A278,'Master Modelo'!A:I,8,FALSE),0)</f>
        <v>0</v>
      </c>
      <c r="G278" s="189">
        <f>IFERROR(VLOOKUP(A278,'Master Modelo'!A:K,11,FALSE),0)</f>
        <v>0</v>
      </c>
      <c r="H278" s="114" t="e">
        <f t="shared" si="134"/>
        <v>#DIV/0!</v>
      </c>
      <c r="I278" s="150">
        <f>IFERROR(VLOOKUP(A278,'Master Modelo'!A:I,3,FALSE),0)</f>
        <v>0</v>
      </c>
      <c r="J278" s="151">
        <f>IFERROR(VLOOKUP(A278,'Master Modelo'!A:I,5,FALSE),0)</f>
        <v>0</v>
      </c>
      <c r="K278" s="151">
        <f>IFERROR(VLOOKUP(A278,'Master Modelo'!A:I,6,FALSE),0)</f>
        <v>0</v>
      </c>
      <c r="L278" s="152" t="e">
        <f>VLOOKUP(A278,'Master Modelo'!A:J,10,FALSE)</f>
        <v>#N/A</v>
      </c>
      <c r="M278" s="150">
        <f>IFERROR(VLOOKUP(A278,'Master Modelo'!A:I,4,FALSE),0)</f>
        <v>0</v>
      </c>
      <c r="N278" s="128"/>
      <c r="O278" s="129"/>
      <c r="P278" s="9">
        <f t="shared" si="135"/>
        <v>0</v>
      </c>
      <c r="Q278" s="177">
        <f t="shared" si="133"/>
        <v>0</v>
      </c>
      <c r="R278" s="3">
        <f>D278*E278*'Entrada e Saida'!$K$8</f>
        <v>0</v>
      </c>
      <c r="S278" s="179" t="e">
        <f>'Entrada e Saida'!$H$21*'Entrada e Saida'!$K$8*(P278/(SUM(P:P)))</f>
        <v>#DIV/0!</v>
      </c>
      <c r="T278" s="179" t="e">
        <f>'Entrada e Saida'!$H$21*'Entrada e Saida'!$K$8*(Q278/(SUM(Q:Q)))</f>
        <v>#DIV/0!</v>
      </c>
      <c r="U278" s="179" t="e">
        <f>'Entrada e Saida'!$H$22*(P278/(SUM(P:P)))</f>
        <v>#DIV/0!</v>
      </c>
      <c r="V278" s="179" t="e">
        <f>'Entrada e Saida'!$H$22*(Q278/(SUM(Q:Q)))</f>
        <v>#DIV/0!</v>
      </c>
      <c r="W278" s="8" t="e">
        <f t="shared" si="136"/>
        <v>#DIV/0!</v>
      </c>
      <c r="X278" s="179" t="e">
        <f>'Entrada e Saida'!$H$26*(IF('Entrada e Saida'!$H$15="PESO",(P278/(SUM(P:P))),(Q278/(SUM(Q:Q)))))</f>
        <v>#DIV/0!</v>
      </c>
      <c r="Y278" s="179" t="e">
        <f>'Entrada e Saida'!$H$27*(IF('Entrada e Saida'!$H$15="PESO",(P278/(SUM(P:P))),(Q278/(SUM(Q:Q)))))</f>
        <v>#DIV/0!</v>
      </c>
      <c r="Z278" s="179" t="e">
        <f>'Entrada e Saida'!$H$28*(IF('Entrada e Saida'!$H$15="PESO",(P278/(SUM(P:P))),(Q278/(SUM(Q:Q)))))</f>
        <v>#DIV/0!</v>
      </c>
      <c r="AA278" s="10" t="e">
        <f t="shared" si="137"/>
        <v>#DIV/0!</v>
      </c>
      <c r="AB278" s="3" t="e">
        <f t="shared" si="138"/>
        <v>#DIV/0!</v>
      </c>
      <c r="AC278" s="3" t="e">
        <f t="shared" si="139"/>
        <v>#DIV/0!</v>
      </c>
      <c r="AD278" s="3" t="e">
        <f t="shared" si="140"/>
        <v>#DIV/0!</v>
      </c>
      <c r="AE278" s="9" t="e">
        <f t="shared" si="141"/>
        <v>#DIV/0!</v>
      </c>
      <c r="AF278" s="126">
        <f>IFERROR(D278*F278*L278*'Entrada e Saida'!$K$8,0)</f>
        <v>0</v>
      </c>
      <c r="AG278" s="3" t="e">
        <f>((W278+AA278+AB278+AC278+AD278+AE278+AF278)/(1-'Entrada e Saida'!$G$65))*'Entrada e Saida'!$I$66</f>
        <v>#DIV/0!</v>
      </c>
      <c r="AH278" s="8" t="e">
        <f t="shared" si="142"/>
        <v>#DIV/0!</v>
      </c>
      <c r="AI278" s="183" t="e">
        <f>'Entrada e Saida'!$K$51*(IF('Entrada e Saida'!$H$15="PESO",(P278/(SUM(P:P))),(Q278/(SUM(Q:Q)))))</f>
        <v>#DIV/0!</v>
      </c>
      <c r="AJ278" s="7">
        <f>(('Entrada e Saida'!$K$10-'Entrada e Saida'!$K$8)*E278*D278)</f>
        <v>0</v>
      </c>
      <c r="AK278" s="184" t="e">
        <f>IF('Entrada e Saida'!$H$15="PESO",W278+AA278+AH278+AI278+AJ278,W278+AA278+AH278+AI278+AJ278-S278+T278-U278+V278)</f>
        <v>#DIV/0!</v>
      </c>
      <c r="AL278" s="6" t="e">
        <f>IF('Entrada e Saida'!$H$12="REAL",AC278,0)</f>
        <v>#DIV/0!</v>
      </c>
      <c r="AM278" s="6" t="e">
        <f>IF('Entrada e Saida'!$H$12="REAL",AD278,0)</f>
        <v>#DIV/0!</v>
      </c>
      <c r="AN278" s="5" t="e">
        <f>IF('Entrada e Saida'!$H$13= "NÃO",AE278,0)</f>
        <v>#DIV/0!</v>
      </c>
      <c r="AO278" s="5" t="e">
        <f t="shared" si="143"/>
        <v>#DIV/0!</v>
      </c>
      <c r="AP278" s="4" t="e">
        <f t="shared" si="144"/>
        <v>#DIV/0!</v>
      </c>
      <c r="AQ278" s="3" t="e">
        <f>IF('Entrada e Saida'!$H$11="TRADING",AU278*'Custo Resumido'!D278,0)</f>
        <v>#DIV/0!</v>
      </c>
      <c r="AR278" s="3" t="e">
        <f>IF('Entrada e Saida'!$H$11="TRADING",AU278*'Entrada e Saida'!$G$63,0)</f>
        <v>#DIV/0!</v>
      </c>
      <c r="AS278" s="3" t="e">
        <f>IF('Entrada e Saida'!$H$11="TRADING",AU278*'Entrada e Saida'!$G$64,0)</f>
        <v>#DIV/0!</v>
      </c>
      <c r="AT278" s="3" t="e">
        <f>IF('Entrada e Saida'!$H$11="TRADING",AU278*'Entrada e Saida'!$G$65,0)</f>
        <v>#DIV/0!</v>
      </c>
      <c r="AU278" s="4" t="e">
        <f>IF('Entrada e Saida'!$H$11="TRADING",AP278/(1-(SUM('Entrada e Saida'!$G$63:$G$65)+'Custo Resumido'!D278)),0)</f>
        <v>#DIV/0!</v>
      </c>
      <c r="AV278" s="3" t="e">
        <f>IF('Entrada e Saida'!$H$13="NÃO",AU278*M278,0)</f>
        <v>#DIV/0!</v>
      </c>
      <c r="AW278" s="4" t="e">
        <f t="shared" si="145"/>
        <v>#DIV/0!</v>
      </c>
      <c r="AX278" s="3" t="e">
        <f>'Entrada e Saida'!$G$74*AU278</f>
        <v>#DIV/0!</v>
      </c>
      <c r="AY278" s="4" t="e">
        <f t="shared" si="146"/>
        <v>#DIV/0!</v>
      </c>
      <c r="AZ278" s="4" t="e">
        <f>AQ278+('Entrada e Saida'!$G$65-'Entrada e Saida'!$I$65)*AU278-AX278</f>
        <v>#DIV/0!</v>
      </c>
      <c r="BA278" s="3" t="e">
        <f>IF('Entrada e Saida'!$H$12="REAL",AZ278*'Entrada e Saida'!$G$81,AU278*'Entrada e Saida'!$G$81)</f>
        <v>#DIV/0!</v>
      </c>
      <c r="BB278" s="3" t="e">
        <f>IF('Entrada e Saida'!$H$12="REAL",AZ278*'Entrada e Saida'!$G$82,AU278*'Entrada e Saida'!$G$82)</f>
        <v>#DIV/0!</v>
      </c>
      <c r="BC278" s="4" t="e">
        <f t="shared" si="147"/>
        <v>#DIV/0!</v>
      </c>
      <c r="BD278" s="3" t="e">
        <f>IF('Entrada e Saida'!$H$11="TRADING",AW278/D278,AK278/D278)</f>
        <v>#DIV/0!</v>
      </c>
      <c r="BE278" s="3" t="e">
        <f t="shared" si="148"/>
        <v>#DIV/0!</v>
      </c>
      <c r="BF278" s="2" t="e">
        <f t="shared" si="149"/>
        <v>#DIV/0!</v>
      </c>
      <c r="BG278" s="3" t="e">
        <f>IF('Entrada e Saida'!$H$11="TRADING",AV278/D278,AN278/D278)</f>
        <v>#DIV/0!</v>
      </c>
      <c r="BH278" s="3" t="e">
        <f>IF('Entrada e Saida'!$H$11="TRADING",IF('Entrada e Saida'!$H$12="REAL",AR278/D278,0),AL278/D278)</f>
        <v>#DIV/0!</v>
      </c>
      <c r="BI278" s="3" t="e">
        <f>IF('Entrada e Saida'!$H$11="TRADING",IF('Entrada e Saida'!$H$12="REAL",AS278/D278,0),AM278/D278)</f>
        <v>#DIV/0!</v>
      </c>
      <c r="BJ278" s="3" t="e">
        <f>IF('Entrada e Saida'!$H$11="TRADING",AT278/D278,AO278/D278)</f>
        <v>#DIV/0!</v>
      </c>
      <c r="BK278" s="2" t="e">
        <f t="shared" si="150"/>
        <v>#DIV/0!</v>
      </c>
      <c r="BL278" s="2">
        <f>IF(O278&gt;0,IFERROR(IF('Entrada e Saida'!$H$11="DIRETA",0,(IF('Entrada e Saida'!$H$14="P.JURIDICA",(BD278*(1+O278)*N278)-((BD278/(1+M278))*'Entrada e Saida'!$G$65),((Produtos!N278-'Entrada e Saida'!$G$65)*Produtos!BD278)))),0),0)</f>
        <v>0</v>
      </c>
      <c r="BM278" s="2" t="e">
        <f t="shared" si="151"/>
        <v>#DIV/0!</v>
      </c>
    </row>
    <row r="279" spans="1:65" s="1" customFormat="1">
      <c r="A279" s="127"/>
      <c r="B279" s="114"/>
      <c r="C279" s="116"/>
      <c r="D279" s="146"/>
      <c r="E279" s="115">
        <f>IFERROR(VLOOKUP(A279,'Master Modelo'!A:I,9,FALSE),0)</f>
        <v>0</v>
      </c>
      <c r="F279" s="189">
        <f>IFERROR(VLOOKUP(A279,'Master Modelo'!A:I,8,FALSE),0)</f>
        <v>0</v>
      </c>
      <c r="G279" s="189">
        <f>IFERROR(VLOOKUP(A279,'Master Modelo'!A:K,11,FALSE),0)</f>
        <v>0</v>
      </c>
      <c r="H279" s="114" t="e">
        <f t="shared" si="134"/>
        <v>#DIV/0!</v>
      </c>
      <c r="I279" s="150">
        <f>IFERROR(VLOOKUP(A279,'Master Modelo'!A:I,3,FALSE),0)</f>
        <v>0</v>
      </c>
      <c r="J279" s="151">
        <f>IFERROR(VLOOKUP(A279,'Master Modelo'!A:I,5,FALSE),0)</f>
        <v>0</v>
      </c>
      <c r="K279" s="151">
        <f>IFERROR(VLOOKUP(A279,'Master Modelo'!A:I,6,FALSE),0)</f>
        <v>0</v>
      </c>
      <c r="L279" s="152" t="e">
        <f>VLOOKUP(A279,'Master Modelo'!A:J,10,FALSE)</f>
        <v>#N/A</v>
      </c>
      <c r="M279" s="150">
        <f>IFERROR(VLOOKUP(A279,'Master Modelo'!A:I,4,FALSE),0)</f>
        <v>0</v>
      </c>
      <c r="N279" s="128"/>
      <c r="O279" s="129"/>
      <c r="P279" s="9">
        <f t="shared" si="135"/>
        <v>0</v>
      </c>
      <c r="Q279" s="177">
        <f t="shared" si="133"/>
        <v>0</v>
      </c>
      <c r="R279" s="3">
        <f>D279*E279*'Entrada e Saida'!$K$8</f>
        <v>0</v>
      </c>
      <c r="S279" s="179" t="e">
        <f>'Entrada e Saida'!$H$21*'Entrada e Saida'!$K$8*(P279/(SUM(P:P)))</f>
        <v>#DIV/0!</v>
      </c>
      <c r="T279" s="179" t="e">
        <f>'Entrada e Saida'!$H$21*'Entrada e Saida'!$K$8*(Q279/(SUM(Q:Q)))</f>
        <v>#DIV/0!</v>
      </c>
      <c r="U279" s="179" t="e">
        <f>'Entrada e Saida'!$H$22*(P279/(SUM(P:P)))</f>
        <v>#DIV/0!</v>
      </c>
      <c r="V279" s="179" t="e">
        <f>'Entrada e Saida'!$H$22*(Q279/(SUM(Q:Q)))</f>
        <v>#DIV/0!</v>
      </c>
      <c r="W279" s="8" t="e">
        <f t="shared" si="136"/>
        <v>#DIV/0!</v>
      </c>
      <c r="X279" s="179" t="e">
        <f>'Entrada e Saida'!$H$26*(IF('Entrada e Saida'!$H$15="PESO",(P279/(SUM(P:P))),(Q279/(SUM(Q:Q)))))</f>
        <v>#DIV/0!</v>
      </c>
      <c r="Y279" s="179" t="e">
        <f>'Entrada e Saida'!$H$27*(IF('Entrada e Saida'!$H$15="PESO",(P279/(SUM(P:P))),(Q279/(SUM(Q:Q)))))</f>
        <v>#DIV/0!</v>
      </c>
      <c r="Z279" s="179" t="e">
        <f>'Entrada e Saida'!$H$28*(IF('Entrada e Saida'!$H$15="PESO",(P279/(SUM(P:P))),(Q279/(SUM(Q:Q)))))</f>
        <v>#DIV/0!</v>
      </c>
      <c r="AA279" s="10" t="e">
        <f t="shared" si="137"/>
        <v>#DIV/0!</v>
      </c>
      <c r="AB279" s="3" t="e">
        <f t="shared" si="138"/>
        <v>#DIV/0!</v>
      </c>
      <c r="AC279" s="3" t="e">
        <f t="shared" si="139"/>
        <v>#DIV/0!</v>
      </c>
      <c r="AD279" s="3" t="e">
        <f t="shared" si="140"/>
        <v>#DIV/0!</v>
      </c>
      <c r="AE279" s="9" t="e">
        <f t="shared" si="141"/>
        <v>#DIV/0!</v>
      </c>
      <c r="AF279" s="126">
        <f>IFERROR(D279*F279*L279*'Entrada e Saida'!$K$8,0)</f>
        <v>0</v>
      </c>
      <c r="AG279" s="3" t="e">
        <f>((W279+AA279+AB279+AC279+AD279+AE279+AF279)/(1-'Entrada e Saida'!$G$65))*'Entrada e Saida'!$I$66</f>
        <v>#DIV/0!</v>
      </c>
      <c r="AH279" s="8" t="e">
        <f t="shared" si="142"/>
        <v>#DIV/0!</v>
      </c>
      <c r="AI279" s="183" t="e">
        <f>'Entrada e Saida'!$K$51*(IF('Entrada e Saida'!$H$15="PESO",(P279/(SUM(P:P))),(Q279/(SUM(Q:Q)))))</f>
        <v>#DIV/0!</v>
      </c>
      <c r="AJ279" s="7">
        <f>(('Entrada e Saida'!$K$10-'Entrada e Saida'!$K$8)*E279*D279)</f>
        <v>0</v>
      </c>
      <c r="AK279" s="184" t="e">
        <f>IF('Entrada e Saida'!$H$15="PESO",W279+AA279+AH279+AI279+AJ279,W279+AA279+AH279+AI279+AJ279-S279+T279-U279+V279)</f>
        <v>#DIV/0!</v>
      </c>
      <c r="AL279" s="6" t="e">
        <f>IF('Entrada e Saida'!$H$12="REAL",AC279,0)</f>
        <v>#DIV/0!</v>
      </c>
      <c r="AM279" s="6" t="e">
        <f>IF('Entrada e Saida'!$H$12="REAL",AD279,0)</f>
        <v>#DIV/0!</v>
      </c>
      <c r="AN279" s="5" t="e">
        <f>IF('Entrada e Saida'!$H$13= "NÃO",AE279,0)</f>
        <v>#DIV/0!</v>
      </c>
      <c r="AO279" s="5" t="e">
        <f t="shared" si="143"/>
        <v>#DIV/0!</v>
      </c>
      <c r="AP279" s="4" t="e">
        <f t="shared" si="144"/>
        <v>#DIV/0!</v>
      </c>
      <c r="AQ279" s="3" t="e">
        <f>IF('Entrada e Saida'!$H$11="TRADING",AU279*'Custo Resumido'!D279,0)</f>
        <v>#DIV/0!</v>
      </c>
      <c r="AR279" s="3" t="e">
        <f>IF('Entrada e Saida'!$H$11="TRADING",AU279*'Entrada e Saida'!$G$63,0)</f>
        <v>#DIV/0!</v>
      </c>
      <c r="AS279" s="3" t="e">
        <f>IF('Entrada e Saida'!$H$11="TRADING",AU279*'Entrada e Saida'!$G$64,0)</f>
        <v>#DIV/0!</v>
      </c>
      <c r="AT279" s="3" t="e">
        <f>IF('Entrada e Saida'!$H$11="TRADING",AU279*'Entrada e Saida'!$G$65,0)</f>
        <v>#DIV/0!</v>
      </c>
      <c r="AU279" s="4" t="e">
        <f>IF('Entrada e Saida'!$H$11="TRADING",AP279/(1-(SUM('Entrada e Saida'!$G$63:$G$65)+'Custo Resumido'!D279)),0)</f>
        <v>#DIV/0!</v>
      </c>
      <c r="AV279" s="3" t="e">
        <f>IF('Entrada e Saida'!$H$13="NÃO",AU279*M279,0)</f>
        <v>#DIV/0!</v>
      </c>
      <c r="AW279" s="4" t="e">
        <f t="shared" si="145"/>
        <v>#DIV/0!</v>
      </c>
      <c r="AX279" s="3" t="e">
        <f>'Entrada e Saida'!$G$74*AU279</f>
        <v>#DIV/0!</v>
      </c>
      <c r="AY279" s="4" t="e">
        <f t="shared" si="146"/>
        <v>#DIV/0!</v>
      </c>
      <c r="AZ279" s="4" t="e">
        <f>AQ279+('Entrada e Saida'!$G$65-'Entrada e Saida'!$I$65)*AU279-AX279</f>
        <v>#DIV/0!</v>
      </c>
      <c r="BA279" s="3" t="e">
        <f>IF('Entrada e Saida'!$H$12="REAL",AZ279*'Entrada e Saida'!$G$81,AU279*'Entrada e Saida'!$G$81)</f>
        <v>#DIV/0!</v>
      </c>
      <c r="BB279" s="3" t="e">
        <f>IF('Entrada e Saida'!$H$12="REAL",AZ279*'Entrada e Saida'!$G$82,AU279*'Entrada e Saida'!$G$82)</f>
        <v>#DIV/0!</v>
      </c>
      <c r="BC279" s="4" t="e">
        <f t="shared" si="147"/>
        <v>#DIV/0!</v>
      </c>
      <c r="BD279" s="3" t="e">
        <f>IF('Entrada e Saida'!$H$11="TRADING",AW279/D279,AK279/D279)</f>
        <v>#DIV/0!</v>
      </c>
      <c r="BE279" s="3" t="e">
        <f t="shared" si="148"/>
        <v>#DIV/0!</v>
      </c>
      <c r="BF279" s="2" t="e">
        <f t="shared" si="149"/>
        <v>#DIV/0!</v>
      </c>
      <c r="BG279" s="3" t="e">
        <f>IF('Entrada e Saida'!$H$11="TRADING",AV279/D279,AN279/D279)</f>
        <v>#DIV/0!</v>
      </c>
      <c r="BH279" s="3" t="e">
        <f>IF('Entrada e Saida'!$H$11="TRADING",IF('Entrada e Saida'!$H$12="REAL",AR279/D279,0),AL279/D279)</f>
        <v>#DIV/0!</v>
      </c>
      <c r="BI279" s="3" t="e">
        <f>IF('Entrada e Saida'!$H$11="TRADING",IF('Entrada e Saida'!$H$12="REAL",AS279/D279,0),AM279/D279)</f>
        <v>#DIV/0!</v>
      </c>
      <c r="BJ279" s="3" t="e">
        <f>IF('Entrada e Saida'!$H$11="TRADING",AT279/D279,AO279/D279)</f>
        <v>#DIV/0!</v>
      </c>
      <c r="BK279" s="2" t="e">
        <f t="shared" si="150"/>
        <v>#DIV/0!</v>
      </c>
      <c r="BL279" s="2">
        <f>IF(O279&gt;0,IFERROR(IF('Entrada e Saida'!$H$11="DIRETA",0,(IF('Entrada e Saida'!$H$14="P.JURIDICA",(BD279*(1+O279)*N279)-((BD279/(1+M279))*'Entrada e Saida'!$G$65),((Produtos!N279-'Entrada e Saida'!$G$65)*Produtos!BD279)))),0),0)</f>
        <v>0</v>
      </c>
      <c r="BM279" s="2" t="e">
        <f t="shared" si="151"/>
        <v>#DIV/0!</v>
      </c>
    </row>
    <row r="280" spans="1:65" s="1" customFormat="1">
      <c r="A280" s="127"/>
      <c r="B280" s="114"/>
      <c r="C280" s="116"/>
      <c r="D280" s="146"/>
      <c r="E280" s="115">
        <f>IFERROR(VLOOKUP(A280,'Master Modelo'!A:I,9,FALSE),0)</f>
        <v>0</v>
      </c>
      <c r="F280" s="189">
        <f>IFERROR(VLOOKUP(A280,'Master Modelo'!A:I,8,FALSE),0)</f>
        <v>0</v>
      </c>
      <c r="G280" s="189">
        <f>IFERROR(VLOOKUP(A280,'Master Modelo'!A:K,11,FALSE),0)</f>
        <v>0</v>
      </c>
      <c r="H280" s="114" t="e">
        <f t="shared" si="134"/>
        <v>#DIV/0!</v>
      </c>
      <c r="I280" s="150">
        <f>IFERROR(VLOOKUP(A280,'Master Modelo'!A:I,3,FALSE),0)</f>
        <v>0</v>
      </c>
      <c r="J280" s="151">
        <f>IFERROR(VLOOKUP(A280,'Master Modelo'!A:I,5,FALSE),0)</f>
        <v>0</v>
      </c>
      <c r="K280" s="151">
        <f>IFERROR(VLOOKUP(A280,'Master Modelo'!A:I,6,FALSE),0)</f>
        <v>0</v>
      </c>
      <c r="L280" s="152" t="e">
        <f>VLOOKUP(A280,'Master Modelo'!A:J,10,FALSE)</f>
        <v>#N/A</v>
      </c>
      <c r="M280" s="150">
        <f>IFERROR(VLOOKUP(A280,'Master Modelo'!A:I,4,FALSE),0)</f>
        <v>0</v>
      </c>
      <c r="N280" s="128"/>
      <c r="O280" s="129"/>
      <c r="P280" s="9">
        <f t="shared" si="135"/>
        <v>0</v>
      </c>
      <c r="Q280" s="177">
        <f t="shared" si="133"/>
        <v>0</v>
      </c>
      <c r="R280" s="3">
        <f>D280*E280*'Entrada e Saida'!$K$8</f>
        <v>0</v>
      </c>
      <c r="S280" s="179" t="e">
        <f>'Entrada e Saida'!$H$21*'Entrada e Saida'!$K$8*(P280/(SUM(P:P)))</f>
        <v>#DIV/0!</v>
      </c>
      <c r="T280" s="179" t="e">
        <f>'Entrada e Saida'!$H$21*'Entrada e Saida'!$K$8*(Q280/(SUM(Q:Q)))</f>
        <v>#DIV/0!</v>
      </c>
      <c r="U280" s="179" t="e">
        <f>'Entrada e Saida'!$H$22*(P280/(SUM(P:P)))</f>
        <v>#DIV/0!</v>
      </c>
      <c r="V280" s="179" t="e">
        <f>'Entrada e Saida'!$H$22*(Q280/(SUM(Q:Q)))</f>
        <v>#DIV/0!</v>
      </c>
      <c r="W280" s="8" t="e">
        <f t="shared" si="136"/>
        <v>#DIV/0!</v>
      </c>
      <c r="X280" s="179" t="e">
        <f>'Entrada e Saida'!$H$26*(IF('Entrada e Saida'!$H$15="PESO",(P280/(SUM(P:P))),(Q280/(SUM(Q:Q)))))</f>
        <v>#DIV/0!</v>
      </c>
      <c r="Y280" s="179" t="e">
        <f>'Entrada e Saida'!$H$27*(IF('Entrada e Saida'!$H$15="PESO",(P280/(SUM(P:P))),(Q280/(SUM(Q:Q)))))</f>
        <v>#DIV/0!</v>
      </c>
      <c r="Z280" s="179" t="e">
        <f>'Entrada e Saida'!$H$28*(IF('Entrada e Saida'!$H$15="PESO",(P280/(SUM(P:P))),(Q280/(SUM(Q:Q)))))</f>
        <v>#DIV/0!</v>
      </c>
      <c r="AA280" s="10" t="e">
        <f t="shared" si="137"/>
        <v>#DIV/0!</v>
      </c>
      <c r="AB280" s="3" t="e">
        <f t="shared" si="138"/>
        <v>#DIV/0!</v>
      </c>
      <c r="AC280" s="3" t="e">
        <f t="shared" si="139"/>
        <v>#DIV/0!</v>
      </c>
      <c r="AD280" s="3" t="e">
        <f t="shared" si="140"/>
        <v>#DIV/0!</v>
      </c>
      <c r="AE280" s="9" t="e">
        <f t="shared" si="141"/>
        <v>#DIV/0!</v>
      </c>
      <c r="AF280" s="126">
        <f>IFERROR(D280*F280*L280*'Entrada e Saida'!$K$8,0)</f>
        <v>0</v>
      </c>
      <c r="AG280" s="3" t="e">
        <f>((W280+AA280+AB280+AC280+AD280+AE280+AF280)/(1-'Entrada e Saida'!$G$65))*'Entrada e Saida'!$I$66</f>
        <v>#DIV/0!</v>
      </c>
      <c r="AH280" s="8" t="e">
        <f t="shared" si="142"/>
        <v>#DIV/0!</v>
      </c>
      <c r="AI280" s="183" t="e">
        <f>'Entrada e Saida'!$K$51*(IF('Entrada e Saida'!$H$15="PESO",(P280/(SUM(P:P))),(Q280/(SUM(Q:Q)))))</f>
        <v>#DIV/0!</v>
      </c>
      <c r="AJ280" s="7">
        <f>(('Entrada e Saida'!$K$10-'Entrada e Saida'!$K$8)*E280*D280)</f>
        <v>0</v>
      </c>
      <c r="AK280" s="184" t="e">
        <f>IF('Entrada e Saida'!$H$15="PESO",W280+AA280+AH280+AI280+AJ280,W280+AA280+AH280+AI280+AJ280-S280+T280-U280+V280)</f>
        <v>#DIV/0!</v>
      </c>
      <c r="AL280" s="6" t="e">
        <f>IF('Entrada e Saida'!$H$12="REAL",AC280,0)</f>
        <v>#DIV/0!</v>
      </c>
      <c r="AM280" s="6" t="e">
        <f>IF('Entrada e Saida'!$H$12="REAL",AD280,0)</f>
        <v>#DIV/0!</v>
      </c>
      <c r="AN280" s="5" t="e">
        <f>IF('Entrada e Saida'!$H$13= "NÃO",AE280,0)</f>
        <v>#DIV/0!</v>
      </c>
      <c r="AO280" s="5" t="e">
        <f t="shared" si="143"/>
        <v>#DIV/0!</v>
      </c>
      <c r="AP280" s="4" t="e">
        <f t="shared" si="144"/>
        <v>#DIV/0!</v>
      </c>
      <c r="AQ280" s="3" t="e">
        <f>IF('Entrada e Saida'!$H$11="TRADING",AU280*'Custo Resumido'!D280,0)</f>
        <v>#DIV/0!</v>
      </c>
      <c r="AR280" s="3" t="e">
        <f>IF('Entrada e Saida'!$H$11="TRADING",AU280*'Entrada e Saida'!$G$63,0)</f>
        <v>#DIV/0!</v>
      </c>
      <c r="AS280" s="3" t="e">
        <f>IF('Entrada e Saida'!$H$11="TRADING",AU280*'Entrada e Saida'!$G$64,0)</f>
        <v>#DIV/0!</v>
      </c>
      <c r="AT280" s="3" t="e">
        <f>IF('Entrada e Saida'!$H$11="TRADING",AU280*'Entrada e Saida'!$G$65,0)</f>
        <v>#DIV/0!</v>
      </c>
      <c r="AU280" s="4" t="e">
        <f>IF('Entrada e Saida'!$H$11="TRADING",AP280/(1-(SUM('Entrada e Saida'!$G$63:$G$65)+'Custo Resumido'!D280)),0)</f>
        <v>#DIV/0!</v>
      </c>
      <c r="AV280" s="3" t="e">
        <f>IF('Entrada e Saida'!$H$13="NÃO",AU280*M280,0)</f>
        <v>#DIV/0!</v>
      </c>
      <c r="AW280" s="4" t="e">
        <f t="shared" si="145"/>
        <v>#DIV/0!</v>
      </c>
      <c r="AX280" s="3" t="e">
        <f>'Entrada e Saida'!$G$74*AU280</f>
        <v>#DIV/0!</v>
      </c>
      <c r="AY280" s="4" t="e">
        <f t="shared" si="146"/>
        <v>#DIV/0!</v>
      </c>
      <c r="AZ280" s="4" t="e">
        <f>AQ280+('Entrada e Saida'!$G$65-'Entrada e Saida'!$I$65)*AU280-AX280</f>
        <v>#DIV/0!</v>
      </c>
      <c r="BA280" s="3" t="e">
        <f>IF('Entrada e Saida'!$H$12="REAL",AZ280*'Entrada e Saida'!$G$81,AU280*'Entrada e Saida'!$G$81)</f>
        <v>#DIV/0!</v>
      </c>
      <c r="BB280" s="3" t="e">
        <f>IF('Entrada e Saida'!$H$12="REAL",AZ280*'Entrada e Saida'!$G$82,AU280*'Entrada e Saida'!$G$82)</f>
        <v>#DIV/0!</v>
      </c>
      <c r="BC280" s="4" t="e">
        <f t="shared" si="147"/>
        <v>#DIV/0!</v>
      </c>
      <c r="BD280" s="3" t="e">
        <f>IF('Entrada e Saida'!$H$11="TRADING",AW280/D280,AK280/D280)</f>
        <v>#DIV/0!</v>
      </c>
      <c r="BE280" s="3" t="e">
        <f t="shared" si="148"/>
        <v>#DIV/0!</v>
      </c>
      <c r="BF280" s="2" t="e">
        <f t="shared" si="149"/>
        <v>#DIV/0!</v>
      </c>
      <c r="BG280" s="3" t="e">
        <f>IF('Entrada e Saida'!$H$11="TRADING",AV280/D280,AN280/D280)</f>
        <v>#DIV/0!</v>
      </c>
      <c r="BH280" s="3" t="e">
        <f>IF('Entrada e Saida'!$H$11="TRADING",IF('Entrada e Saida'!$H$12="REAL",AR280/D280,0),AL280/D280)</f>
        <v>#DIV/0!</v>
      </c>
      <c r="BI280" s="3" t="e">
        <f>IF('Entrada e Saida'!$H$11="TRADING",IF('Entrada e Saida'!$H$12="REAL",AS280/D280,0),AM280/D280)</f>
        <v>#DIV/0!</v>
      </c>
      <c r="BJ280" s="3" t="e">
        <f>IF('Entrada e Saida'!$H$11="TRADING",AT280/D280,AO280/D280)</f>
        <v>#DIV/0!</v>
      </c>
      <c r="BK280" s="2" t="e">
        <f t="shared" si="150"/>
        <v>#DIV/0!</v>
      </c>
      <c r="BL280" s="2">
        <f>IF(O280&gt;0,IFERROR(IF('Entrada e Saida'!$H$11="DIRETA",0,(IF('Entrada e Saida'!$H$14="P.JURIDICA",(BD280*(1+O280)*N280)-((BD280/(1+M280))*'Entrada e Saida'!$G$65),((Produtos!N280-'Entrada e Saida'!$G$65)*Produtos!BD280)))),0),0)</f>
        <v>0</v>
      </c>
      <c r="BM280" s="2" t="e">
        <f t="shared" si="151"/>
        <v>#DIV/0!</v>
      </c>
    </row>
    <row r="281" spans="1:65" s="1" customFormat="1">
      <c r="A281" s="127"/>
      <c r="B281" s="114"/>
      <c r="C281" s="116"/>
      <c r="D281" s="146"/>
      <c r="E281" s="115">
        <f>IFERROR(VLOOKUP(A281,'Master Modelo'!A:I,9,FALSE),0)</f>
        <v>0</v>
      </c>
      <c r="F281" s="189">
        <f>IFERROR(VLOOKUP(A281,'Master Modelo'!A:I,8,FALSE),0)</f>
        <v>0</v>
      </c>
      <c r="G281" s="189">
        <f>IFERROR(VLOOKUP(A281,'Master Modelo'!A:K,11,FALSE),0)</f>
        <v>0</v>
      </c>
      <c r="H281" s="114" t="e">
        <f t="shared" si="134"/>
        <v>#DIV/0!</v>
      </c>
      <c r="I281" s="150">
        <f>IFERROR(VLOOKUP(A281,'Master Modelo'!A:I,3,FALSE),0)</f>
        <v>0</v>
      </c>
      <c r="J281" s="151">
        <f>IFERROR(VLOOKUP(A281,'Master Modelo'!A:I,5,FALSE),0)</f>
        <v>0</v>
      </c>
      <c r="K281" s="151">
        <f>IFERROR(VLOOKUP(A281,'Master Modelo'!A:I,6,FALSE),0)</f>
        <v>0</v>
      </c>
      <c r="L281" s="152" t="e">
        <f>VLOOKUP(A281,'Master Modelo'!A:J,10,FALSE)</f>
        <v>#N/A</v>
      </c>
      <c r="M281" s="150">
        <f>IFERROR(VLOOKUP(A281,'Master Modelo'!A:I,4,FALSE),0)</f>
        <v>0</v>
      </c>
      <c r="N281" s="128"/>
      <c r="O281" s="129"/>
      <c r="P281" s="9">
        <f t="shared" si="135"/>
        <v>0</v>
      </c>
      <c r="Q281" s="177">
        <f t="shared" si="133"/>
        <v>0</v>
      </c>
      <c r="R281" s="3">
        <f>D281*E281*'Entrada e Saida'!$K$8</f>
        <v>0</v>
      </c>
      <c r="S281" s="179" t="e">
        <f>'Entrada e Saida'!$H$21*'Entrada e Saida'!$K$8*(P281/(SUM(P:P)))</f>
        <v>#DIV/0!</v>
      </c>
      <c r="T281" s="179" t="e">
        <f>'Entrada e Saida'!$H$21*'Entrada e Saida'!$K$8*(Q281/(SUM(Q:Q)))</f>
        <v>#DIV/0!</v>
      </c>
      <c r="U281" s="179" t="e">
        <f>'Entrada e Saida'!$H$22*(P281/(SUM(P:P)))</f>
        <v>#DIV/0!</v>
      </c>
      <c r="V281" s="179" t="e">
        <f>'Entrada e Saida'!$H$22*(Q281/(SUM(Q:Q)))</f>
        <v>#DIV/0!</v>
      </c>
      <c r="W281" s="8" t="e">
        <f t="shared" si="136"/>
        <v>#DIV/0!</v>
      </c>
      <c r="X281" s="179" t="e">
        <f>'Entrada e Saida'!$H$26*(IF('Entrada e Saida'!$H$15="PESO",(P281/(SUM(P:P))),(Q281/(SUM(Q:Q)))))</f>
        <v>#DIV/0!</v>
      </c>
      <c r="Y281" s="179" t="e">
        <f>'Entrada e Saida'!$H$27*(IF('Entrada e Saida'!$H$15="PESO",(P281/(SUM(P:P))),(Q281/(SUM(Q:Q)))))</f>
        <v>#DIV/0!</v>
      </c>
      <c r="Z281" s="179" t="e">
        <f>'Entrada e Saida'!$H$28*(IF('Entrada e Saida'!$H$15="PESO",(P281/(SUM(P:P))),(Q281/(SUM(Q:Q)))))</f>
        <v>#DIV/0!</v>
      </c>
      <c r="AA281" s="10" t="e">
        <f t="shared" si="137"/>
        <v>#DIV/0!</v>
      </c>
      <c r="AB281" s="3" t="e">
        <f t="shared" si="138"/>
        <v>#DIV/0!</v>
      </c>
      <c r="AC281" s="3" t="e">
        <f t="shared" si="139"/>
        <v>#DIV/0!</v>
      </c>
      <c r="AD281" s="3" t="e">
        <f t="shared" si="140"/>
        <v>#DIV/0!</v>
      </c>
      <c r="AE281" s="9" t="e">
        <f t="shared" si="141"/>
        <v>#DIV/0!</v>
      </c>
      <c r="AF281" s="126">
        <f>IFERROR(D281*F281*L281*'Entrada e Saida'!$K$8,0)</f>
        <v>0</v>
      </c>
      <c r="AG281" s="3" t="e">
        <f>((W281+AA281+AB281+AC281+AD281+AE281+AF281)/(1-'Entrada e Saida'!$G$65))*'Entrada e Saida'!$I$66</f>
        <v>#DIV/0!</v>
      </c>
      <c r="AH281" s="8" t="e">
        <f t="shared" si="142"/>
        <v>#DIV/0!</v>
      </c>
      <c r="AI281" s="183" t="e">
        <f>'Entrada e Saida'!$K$51*(IF('Entrada e Saida'!$H$15="PESO",(P281/(SUM(P:P))),(Q281/(SUM(Q:Q)))))</f>
        <v>#DIV/0!</v>
      </c>
      <c r="AJ281" s="7">
        <f>(('Entrada e Saida'!$K$10-'Entrada e Saida'!$K$8)*E281*D281)</f>
        <v>0</v>
      </c>
      <c r="AK281" s="184" t="e">
        <f>IF('Entrada e Saida'!$H$15="PESO",W281+AA281+AH281+AI281+AJ281,W281+AA281+AH281+AI281+AJ281-S281+T281-U281+V281)</f>
        <v>#DIV/0!</v>
      </c>
      <c r="AL281" s="6" t="e">
        <f>IF('Entrada e Saida'!$H$12="REAL",AC281,0)</f>
        <v>#DIV/0!</v>
      </c>
      <c r="AM281" s="6" t="e">
        <f>IF('Entrada e Saida'!$H$12="REAL",AD281,0)</f>
        <v>#DIV/0!</v>
      </c>
      <c r="AN281" s="5" t="e">
        <f>IF('Entrada e Saida'!$H$13= "NÃO",AE281,0)</f>
        <v>#DIV/0!</v>
      </c>
      <c r="AO281" s="5" t="e">
        <f t="shared" si="143"/>
        <v>#DIV/0!</v>
      </c>
      <c r="AP281" s="4" t="e">
        <f t="shared" si="144"/>
        <v>#DIV/0!</v>
      </c>
      <c r="AQ281" s="3" t="e">
        <f>IF('Entrada e Saida'!$H$11="TRADING",AU281*'Custo Resumido'!D281,0)</f>
        <v>#DIV/0!</v>
      </c>
      <c r="AR281" s="3" t="e">
        <f>IF('Entrada e Saida'!$H$11="TRADING",AU281*'Entrada e Saida'!$G$63,0)</f>
        <v>#DIV/0!</v>
      </c>
      <c r="AS281" s="3" t="e">
        <f>IF('Entrada e Saida'!$H$11="TRADING",AU281*'Entrada e Saida'!$G$64,0)</f>
        <v>#DIV/0!</v>
      </c>
      <c r="AT281" s="3" t="e">
        <f>IF('Entrada e Saida'!$H$11="TRADING",AU281*'Entrada e Saida'!$G$65,0)</f>
        <v>#DIV/0!</v>
      </c>
      <c r="AU281" s="4" t="e">
        <f>IF('Entrada e Saida'!$H$11="TRADING",AP281/(1-(SUM('Entrada e Saida'!$G$63:$G$65)+'Custo Resumido'!D281)),0)</f>
        <v>#DIV/0!</v>
      </c>
      <c r="AV281" s="3" t="e">
        <f>IF('Entrada e Saida'!$H$13="NÃO",AU281*M281,0)</f>
        <v>#DIV/0!</v>
      </c>
      <c r="AW281" s="4" t="e">
        <f t="shared" si="145"/>
        <v>#DIV/0!</v>
      </c>
      <c r="AX281" s="3" t="e">
        <f>'Entrada e Saida'!$G$74*AU281</f>
        <v>#DIV/0!</v>
      </c>
      <c r="AY281" s="4" t="e">
        <f t="shared" si="146"/>
        <v>#DIV/0!</v>
      </c>
      <c r="AZ281" s="4" t="e">
        <f>AQ281+('Entrada e Saida'!$G$65-'Entrada e Saida'!$I$65)*AU281-AX281</f>
        <v>#DIV/0!</v>
      </c>
      <c r="BA281" s="3" t="e">
        <f>IF('Entrada e Saida'!$H$12="REAL",AZ281*'Entrada e Saida'!$G$81,AU281*'Entrada e Saida'!$G$81)</f>
        <v>#DIV/0!</v>
      </c>
      <c r="BB281" s="3" t="e">
        <f>IF('Entrada e Saida'!$H$12="REAL",AZ281*'Entrada e Saida'!$G$82,AU281*'Entrada e Saida'!$G$82)</f>
        <v>#DIV/0!</v>
      </c>
      <c r="BC281" s="4" t="e">
        <f t="shared" si="147"/>
        <v>#DIV/0!</v>
      </c>
      <c r="BD281" s="3" t="e">
        <f>IF('Entrada e Saida'!$H$11="TRADING",AW281/D281,AK281/D281)</f>
        <v>#DIV/0!</v>
      </c>
      <c r="BE281" s="3" t="e">
        <f t="shared" si="148"/>
        <v>#DIV/0!</v>
      </c>
      <c r="BF281" s="2" t="e">
        <f t="shared" si="149"/>
        <v>#DIV/0!</v>
      </c>
      <c r="BG281" s="3" t="e">
        <f>IF('Entrada e Saida'!$H$11="TRADING",AV281/D281,AN281/D281)</f>
        <v>#DIV/0!</v>
      </c>
      <c r="BH281" s="3" t="e">
        <f>IF('Entrada e Saida'!$H$11="TRADING",IF('Entrada e Saida'!$H$12="REAL",AR281/D281,0),AL281/D281)</f>
        <v>#DIV/0!</v>
      </c>
      <c r="BI281" s="3" t="e">
        <f>IF('Entrada e Saida'!$H$11="TRADING",IF('Entrada e Saida'!$H$12="REAL",AS281/D281,0),AM281/D281)</f>
        <v>#DIV/0!</v>
      </c>
      <c r="BJ281" s="3" t="e">
        <f>IF('Entrada e Saida'!$H$11="TRADING",AT281/D281,AO281/D281)</f>
        <v>#DIV/0!</v>
      </c>
      <c r="BK281" s="2" t="e">
        <f t="shared" si="150"/>
        <v>#DIV/0!</v>
      </c>
      <c r="BL281" s="2">
        <f>IF(O281&gt;0,IFERROR(IF('Entrada e Saida'!$H$11="DIRETA",0,(IF('Entrada e Saida'!$H$14="P.JURIDICA",(BD281*(1+O281)*N281)-((BD281/(1+M281))*'Entrada e Saida'!$G$65),((Produtos!N281-'Entrada e Saida'!$G$65)*Produtos!BD281)))),0),0)</f>
        <v>0</v>
      </c>
      <c r="BM281" s="2" t="e">
        <f t="shared" si="151"/>
        <v>#DIV/0!</v>
      </c>
    </row>
    <row r="282" spans="1:65" s="1" customFormat="1">
      <c r="A282" s="127"/>
      <c r="B282" s="114"/>
      <c r="C282" s="116"/>
      <c r="D282" s="146"/>
      <c r="E282" s="115">
        <f>IFERROR(VLOOKUP(A282,'Master Modelo'!A:I,9,FALSE),0)</f>
        <v>0</v>
      </c>
      <c r="F282" s="189">
        <f>IFERROR(VLOOKUP(A282,'Master Modelo'!A:I,8,FALSE),0)</f>
        <v>0</v>
      </c>
      <c r="G282" s="189">
        <f>IFERROR(VLOOKUP(A282,'Master Modelo'!A:K,11,FALSE),0)</f>
        <v>0</v>
      </c>
      <c r="H282" s="114" t="e">
        <f t="shared" si="134"/>
        <v>#DIV/0!</v>
      </c>
      <c r="I282" s="150">
        <f>IFERROR(VLOOKUP(A282,'Master Modelo'!A:I,3,FALSE),0)</f>
        <v>0</v>
      </c>
      <c r="J282" s="151">
        <f>IFERROR(VLOOKUP(A282,'Master Modelo'!A:I,5,FALSE),0)</f>
        <v>0</v>
      </c>
      <c r="K282" s="151">
        <f>IFERROR(VLOOKUP(A282,'Master Modelo'!A:I,6,FALSE),0)</f>
        <v>0</v>
      </c>
      <c r="L282" s="152" t="e">
        <f>VLOOKUP(A282,'Master Modelo'!A:J,10,FALSE)</f>
        <v>#N/A</v>
      </c>
      <c r="M282" s="150">
        <f>IFERROR(VLOOKUP(A282,'Master Modelo'!A:I,4,FALSE),0)</f>
        <v>0</v>
      </c>
      <c r="N282" s="128"/>
      <c r="O282" s="129"/>
      <c r="P282" s="9">
        <f t="shared" si="135"/>
        <v>0</v>
      </c>
      <c r="Q282" s="177">
        <f t="shared" si="133"/>
        <v>0</v>
      </c>
      <c r="R282" s="3">
        <f>D282*E282*'Entrada e Saida'!$K$8</f>
        <v>0</v>
      </c>
      <c r="S282" s="179" t="e">
        <f>'Entrada e Saida'!$H$21*'Entrada e Saida'!$K$8*(P282/(SUM(P:P)))</f>
        <v>#DIV/0!</v>
      </c>
      <c r="T282" s="179" t="e">
        <f>'Entrada e Saida'!$H$21*'Entrada e Saida'!$K$8*(Q282/(SUM(Q:Q)))</f>
        <v>#DIV/0!</v>
      </c>
      <c r="U282" s="179" t="e">
        <f>'Entrada e Saida'!$H$22*(P282/(SUM(P:P)))</f>
        <v>#DIV/0!</v>
      </c>
      <c r="V282" s="179" t="e">
        <f>'Entrada e Saida'!$H$22*(Q282/(SUM(Q:Q)))</f>
        <v>#DIV/0!</v>
      </c>
      <c r="W282" s="8" t="e">
        <f t="shared" si="136"/>
        <v>#DIV/0!</v>
      </c>
      <c r="X282" s="179" t="e">
        <f>'Entrada e Saida'!$H$26*(IF('Entrada e Saida'!$H$15="PESO",(P282/(SUM(P:P))),(Q282/(SUM(Q:Q)))))</f>
        <v>#DIV/0!</v>
      </c>
      <c r="Y282" s="179" t="e">
        <f>'Entrada e Saida'!$H$27*(IF('Entrada e Saida'!$H$15="PESO",(P282/(SUM(P:P))),(Q282/(SUM(Q:Q)))))</f>
        <v>#DIV/0!</v>
      </c>
      <c r="Z282" s="179" t="e">
        <f>'Entrada e Saida'!$H$28*(IF('Entrada e Saida'!$H$15="PESO",(P282/(SUM(P:P))),(Q282/(SUM(Q:Q)))))</f>
        <v>#DIV/0!</v>
      </c>
      <c r="AA282" s="10" t="e">
        <f t="shared" si="137"/>
        <v>#DIV/0!</v>
      </c>
      <c r="AB282" s="3" t="e">
        <f t="shared" si="138"/>
        <v>#DIV/0!</v>
      </c>
      <c r="AC282" s="3" t="e">
        <f t="shared" si="139"/>
        <v>#DIV/0!</v>
      </c>
      <c r="AD282" s="3" t="e">
        <f t="shared" si="140"/>
        <v>#DIV/0!</v>
      </c>
      <c r="AE282" s="9" t="e">
        <f t="shared" si="141"/>
        <v>#DIV/0!</v>
      </c>
      <c r="AF282" s="126">
        <f>IFERROR(D282*F282*L282*'Entrada e Saida'!$K$8,0)</f>
        <v>0</v>
      </c>
      <c r="AG282" s="3" t="e">
        <f>((W282+AA282+AB282+AC282+AD282+AE282+AF282)/(1-'Entrada e Saida'!$G$65))*'Entrada e Saida'!$I$66</f>
        <v>#DIV/0!</v>
      </c>
      <c r="AH282" s="8" t="e">
        <f t="shared" si="142"/>
        <v>#DIV/0!</v>
      </c>
      <c r="AI282" s="183" t="e">
        <f>'Entrada e Saida'!$K$51*(IF('Entrada e Saida'!$H$15="PESO",(P282/(SUM(P:P))),(Q282/(SUM(Q:Q)))))</f>
        <v>#DIV/0!</v>
      </c>
      <c r="AJ282" s="7">
        <f>(('Entrada e Saida'!$K$10-'Entrada e Saida'!$K$8)*E282*D282)</f>
        <v>0</v>
      </c>
      <c r="AK282" s="184" t="e">
        <f>IF('Entrada e Saida'!$H$15="PESO",W282+AA282+AH282+AI282+AJ282,W282+AA282+AH282+AI282+AJ282-S282+T282-U282+V282)</f>
        <v>#DIV/0!</v>
      </c>
      <c r="AL282" s="6" t="e">
        <f>IF('Entrada e Saida'!$H$12="REAL",AC282,0)</f>
        <v>#DIV/0!</v>
      </c>
      <c r="AM282" s="6" t="e">
        <f>IF('Entrada e Saida'!$H$12="REAL",AD282,0)</f>
        <v>#DIV/0!</v>
      </c>
      <c r="AN282" s="5" t="e">
        <f>IF('Entrada e Saida'!$H$13= "NÃO",AE282,0)</f>
        <v>#DIV/0!</v>
      </c>
      <c r="AO282" s="5" t="e">
        <f t="shared" si="143"/>
        <v>#DIV/0!</v>
      </c>
      <c r="AP282" s="4" t="e">
        <f t="shared" si="144"/>
        <v>#DIV/0!</v>
      </c>
      <c r="AQ282" s="3" t="e">
        <f>IF('Entrada e Saida'!$H$11="TRADING",AU282*'Custo Resumido'!D282,0)</f>
        <v>#DIV/0!</v>
      </c>
      <c r="AR282" s="3" t="e">
        <f>IF('Entrada e Saida'!$H$11="TRADING",AU282*'Entrada e Saida'!$G$63,0)</f>
        <v>#DIV/0!</v>
      </c>
      <c r="AS282" s="3" t="e">
        <f>IF('Entrada e Saida'!$H$11="TRADING",AU282*'Entrada e Saida'!$G$64,0)</f>
        <v>#DIV/0!</v>
      </c>
      <c r="AT282" s="3" t="e">
        <f>IF('Entrada e Saida'!$H$11="TRADING",AU282*'Entrada e Saida'!$G$65,0)</f>
        <v>#DIV/0!</v>
      </c>
      <c r="AU282" s="4" t="e">
        <f>IF('Entrada e Saida'!$H$11="TRADING",AP282/(1-(SUM('Entrada e Saida'!$G$63:$G$65)+'Custo Resumido'!D282)),0)</f>
        <v>#DIV/0!</v>
      </c>
      <c r="AV282" s="3" t="e">
        <f>IF('Entrada e Saida'!$H$13="NÃO",AU282*M282,0)</f>
        <v>#DIV/0!</v>
      </c>
      <c r="AW282" s="4" t="e">
        <f t="shared" si="145"/>
        <v>#DIV/0!</v>
      </c>
      <c r="AX282" s="3" t="e">
        <f>'Entrada e Saida'!$G$74*AU282</f>
        <v>#DIV/0!</v>
      </c>
      <c r="AY282" s="4" t="e">
        <f t="shared" si="146"/>
        <v>#DIV/0!</v>
      </c>
      <c r="AZ282" s="4" t="e">
        <f>AQ282+('Entrada e Saida'!$G$65-'Entrada e Saida'!$I$65)*AU282-AX282</f>
        <v>#DIV/0!</v>
      </c>
      <c r="BA282" s="3" t="e">
        <f>IF('Entrada e Saida'!$H$12="REAL",AZ282*'Entrada e Saida'!$G$81,AU282*'Entrada e Saida'!$G$81)</f>
        <v>#DIV/0!</v>
      </c>
      <c r="BB282" s="3" t="e">
        <f>IF('Entrada e Saida'!$H$12="REAL",AZ282*'Entrada e Saida'!$G$82,AU282*'Entrada e Saida'!$G$82)</f>
        <v>#DIV/0!</v>
      </c>
      <c r="BC282" s="4" t="e">
        <f t="shared" si="147"/>
        <v>#DIV/0!</v>
      </c>
      <c r="BD282" s="3" t="e">
        <f>IF('Entrada e Saida'!$H$11="TRADING",AW282/D282,AK282/D282)</f>
        <v>#DIV/0!</v>
      </c>
      <c r="BE282" s="3" t="e">
        <f t="shared" si="148"/>
        <v>#DIV/0!</v>
      </c>
      <c r="BF282" s="2" t="e">
        <f t="shared" si="149"/>
        <v>#DIV/0!</v>
      </c>
      <c r="BG282" s="3" t="e">
        <f>IF('Entrada e Saida'!$H$11="TRADING",AV282/D282,AN282/D282)</f>
        <v>#DIV/0!</v>
      </c>
      <c r="BH282" s="3" t="e">
        <f>IF('Entrada e Saida'!$H$11="TRADING",IF('Entrada e Saida'!$H$12="REAL",AR282/D282,0),AL282/D282)</f>
        <v>#DIV/0!</v>
      </c>
      <c r="BI282" s="3" t="e">
        <f>IF('Entrada e Saida'!$H$11="TRADING",IF('Entrada e Saida'!$H$12="REAL",AS282/D282,0),AM282/D282)</f>
        <v>#DIV/0!</v>
      </c>
      <c r="BJ282" s="3" t="e">
        <f>IF('Entrada e Saida'!$H$11="TRADING",AT282/D282,AO282/D282)</f>
        <v>#DIV/0!</v>
      </c>
      <c r="BK282" s="2" t="e">
        <f t="shared" si="150"/>
        <v>#DIV/0!</v>
      </c>
      <c r="BL282" s="2">
        <f>IF(O282&gt;0,IFERROR(IF('Entrada e Saida'!$H$11="DIRETA",0,(IF('Entrada e Saida'!$H$14="P.JURIDICA",(BD282*(1+O282)*N282)-((BD282/(1+M282))*'Entrada e Saida'!$G$65),((Produtos!N282-'Entrada e Saida'!$G$65)*Produtos!BD282)))),0),0)</f>
        <v>0</v>
      </c>
      <c r="BM282" s="2" t="e">
        <f t="shared" si="151"/>
        <v>#DIV/0!</v>
      </c>
    </row>
    <row r="283" spans="1:65" s="1" customFormat="1">
      <c r="A283" s="127"/>
      <c r="B283" s="114"/>
      <c r="C283" s="116"/>
      <c r="D283" s="146"/>
      <c r="E283" s="115">
        <f>IFERROR(VLOOKUP(A283,'Master Modelo'!A:I,9,FALSE),0)</f>
        <v>0</v>
      </c>
      <c r="F283" s="189">
        <f>IFERROR(VLOOKUP(A283,'Master Modelo'!A:I,8,FALSE),0)</f>
        <v>0</v>
      </c>
      <c r="G283" s="189">
        <f>IFERROR(VLOOKUP(A283,'Master Modelo'!A:K,11,FALSE),0)</f>
        <v>0</v>
      </c>
      <c r="H283" s="114" t="e">
        <f t="shared" si="134"/>
        <v>#DIV/0!</v>
      </c>
      <c r="I283" s="150">
        <f>IFERROR(VLOOKUP(A283,'Master Modelo'!A:I,3,FALSE),0)</f>
        <v>0</v>
      </c>
      <c r="J283" s="151">
        <f>IFERROR(VLOOKUP(A283,'Master Modelo'!A:I,5,FALSE),0)</f>
        <v>0</v>
      </c>
      <c r="K283" s="151">
        <f>IFERROR(VLOOKUP(A283,'Master Modelo'!A:I,6,FALSE),0)</f>
        <v>0</v>
      </c>
      <c r="L283" s="152" t="e">
        <f>VLOOKUP(A283,'Master Modelo'!A:J,10,FALSE)</f>
        <v>#N/A</v>
      </c>
      <c r="M283" s="150">
        <f>IFERROR(VLOOKUP(A283,'Master Modelo'!A:I,4,FALSE),0)</f>
        <v>0</v>
      </c>
      <c r="N283" s="128"/>
      <c r="O283" s="129"/>
      <c r="P283" s="9">
        <f t="shared" si="135"/>
        <v>0</v>
      </c>
      <c r="Q283" s="177">
        <f t="shared" si="133"/>
        <v>0</v>
      </c>
      <c r="R283" s="3">
        <f>D283*E283*'Entrada e Saida'!$K$8</f>
        <v>0</v>
      </c>
      <c r="S283" s="179" t="e">
        <f>'Entrada e Saida'!$H$21*'Entrada e Saida'!$K$8*(P283/(SUM(P:P)))</f>
        <v>#DIV/0!</v>
      </c>
      <c r="T283" s="179" t="e">
        <f>'Entrada e Saida'!$H$21*'Entrada e Saida'!$K$8*(Q283/(SUM(Q:Q)))</f>
        <v>#DIV/0!</v>
      </c>
      <c r="U283" s="179" t="e">
        <f>'Entrada e Saida'!$H$22*(P283/(SUM(P:P)))</f>
        <v>#DIV/0!</v>
      </c>
      <c r="V283" s="179" t="e">
        <f>'Entrada e Saida'!$H$22*(Q283/(SUM(Q:Q)))</f>
        <v>#DIV/0!</v>
      </c>
      <c r="W283" s="8" t="e">
        <f t="shared" si="136"/>
        <v>#DIV/0!</v>
      </c>
      <c r="X283" s="179" t="e">
        <f>'Entrada e Saida'!$H$26*(IF('Entrada e Saida'!$H$15="PESO",(P283/(SUM(P:P))),(Q283/(SUM(Q:Q)))))</f>
        <v>#DIV/0!</v>
      </c>
      <c r="Y283" s="179" t="e">
        <f>'Entrada e Saida'!$H$27*(IF('Entrada e Saida'!$H$15="PESO",(P283/(SUM(P:P))),(Q283/(SUM(Q:Q)))))</f>
        <v>#DIV/0!</v>
      </c>
      <c r="Z283" s="179" t="e">
        <f>'Entrada e Saida'!$H$28*(IF('Entrada e Saida'!$H$15="PESO",(P283/(SUM(P:P))),(Q283/(SUM(Q:Q)))))</f>
        <v>#DIV/0!</v>
      </c>
      <c r="AA283" s="10" t="e">
        <f t="shared" si="137"/>
        <v>#DIV/0!</v>
      </c>
      <c r="AB283" s="3" t="e">
        <f t="shared" si="138"/>
        <v>#DIV/0!</v>
      </c>
      <c r="AC283" s="3" t="e">
        <f t="shared" si="139"/>
        <v>#DIV/0!</v>
      </c>
      <c r="AD283" s="3" t="e">
        <f t="shared" si="140"/>
        <v>#DIV/0!</v>
      </c>
      <c r="AE283" s="9" t="e">
        <f t="shared" si="141"/>
        <v>#DIV/0!</v>
      </c>
      <c r="AF283" s="126">
        <f>IFERROR(D283*F283*L283*'Entrada e Saida'!$K$8,0)</f>
        <v>0</v>
      </c>
      <c r="AG283" s="3" t="e">
        <f>((W283+AA283+AB283+AC283+AD283+AE283+AF283)/(1-'Entrada e Saida'!$G$65))*'Entrada e Saida'!$I$66</f>
        <v>#DIV/0!</v>
      </c>
      <c r="AH283" s="8" t="e">
        <f t="shared" si="142"/>
        <v>#DIV/0!</v>
      </c>
      <c r="AI283" s="183" t="e">
        <f>'Entrada e Saida'!$K$51*(IF('Entrada e Saida'!$H$15="PESO",(P283/(SUM(P:P))),(Q283/(SUM(Q:Q)))))</f>
        <v>#DIV/0!</v>
      </c>
      <c r="AJ283" s="7">
        <f>(('Entrada e Saida'!$K$10-'Entrada e Saida'!$K$8)*E283*D283)</f>
        <v>0</v>
      </c>
      <c r="AK283" s="184" t="e">
        <f>IF('Entrada e Saida'!$H$15="PESO",W283+AA283+AH283+AI283+AJ283,W283+AA283+AH283+AI283+AJ283-S283+T283-U283+V283)</f>
        <v>#DIV/0!</v>
      </c>
      <c r="AL283" s="6" t="e">
        <f>IF('Entrada e Saida'!$H$12="REAL",AC283,0)</f>
        <v>#DIV/0!</v>
      </c>
      <c r="AM283" s="6" t="e">
        <f>IF('Entrada e Saida'!$H$12="REAL",AD283,0)</f>
        <v>#DIV/0!</v>
      </c>
      <c r="AN283" s="5" t="e">
        <f>IF('Entrada e Saida'!$H$13= "NÃO",AE283,0)</f>
        <v>#DIV/0!</v>
      </c>
      <c r="AO283" s="5" t="e">
        <f t="shared" si="143"/>
        <v>#DIV/0!</v>
      </c>
      <c r="AP283" s="4" t="e">
        <f t="shared" si="144"/>
        <v>#DIV/0!</v>
      </c>
      <c r="AQ283" s="3" t="e">
        <f>IF('Entrada e Saida'!$H$11="TRADING",AU283*'Custo Resumido'!D283,0)</f>
        <v>#DIV/0!</v>
      </c>
      <c r="AR283" s="3" t="e">
        <f>IF('Entrada e Saida'!$H$11="TRADING",AU283*'Entrada e Saida'!$G$63,0)</f>
        <v>#DIV/0!</v>
      </c>
      <c r="AS283" s="3" t="e">
        <f>IF('Entrada e Saida'!$H$11="TRADING",AU283*'Entrada e Saida'!$G$64,0)</f>
        <v>#DIV/0!</v>
      </c>
      <c r="AT283" s="3" t="e">
        <f>IF('Entrada e Saida'!$H$11="TRADING",AU283*'Entrada e Saida'!$G$65,0)</f>
        <v>#DIV/0!</v>
      </c>
      <c r="AU283" s="4" t="e">
        <f>IF('Entrada e Saida'!$H$11="TRADING",AP283/(1-(SUM('Entrada e Saida'!$G$63:$G$65)+'Custo Resumido'!D283)),0)</f>
        <v>#DIV/0!</v>
      </c>
      <c r="AV283" s="3" t="e">
        <f>IF('Entrada e Saida'!$H$13="NÃO",AU283*M283,0)</f>
        <v>#DIV/0!</v>
      </c>
      <c r="AW283" s="4" t="e">
        <f t="shared" si="145"/>
        <v>#DIV/0!</v>
      </c>
      <c r="AX283" s="3" t="e">
        <f>'Entrada e Saida'!$G$74*AU283</f>
        <v>#DIV/0!</v>
      </c>
      <c r="AY283" s="4" t="e">
        <f t="shared" si="146"/>
        <v>#DIV/0!</v>
      </c>
      <c r="AZ283" s="4" t="e">
        <f>AQ283+('Entrada e Saida'!$G$65-'Entrada e Saida'!$I$65)*AU283-AX283</f>
        <v>#DIV/0!</v>
      </c>
      <c r="BA283" s="3" t="e">
        <f>IF('Entrada e Saida'!$H$12="REAL",AZ283*'Entrada e Saida'!$G$81,AU283*'Entrada e Saida'!$G$81)</f>
        <v>#DIV/0!</v>
      </c>
      <c r="BB283" s="3" t="e">
        <f>IF('Entrada e Saida'!$H$12="REAL",AZ283*'Entrada e Saida'!$G$82,AU283*'Entrada e Saida'!$G$82)</f>
        <v>#DIV/0!</v>
      </c>
      <c r="BC283" s="4" t="e">
        <f t="shared" si="147"/>
        <v>#DIV/0!</v>
      </c>
      <c r="BD283" s="3" t="e">
        <f>IF('Entrada e Saida'!$H$11="TRADING",AW283/D283,AK283/D283)</f>
        <v>#DIV/0!</v>
      </c>
      <c r="BE283" s="3" t="e">
        <f t="shared" si="148"/>
        <v>#DIV/0!</v>
      </c>
      <c r="BF283" s="2" t="e">
        <f t="shared" si="149"/>
        <v>#DIV/0!</v>
      </c>
      <c r="BG283" s="3" t="e">
        <f>IF('Entrada e Saida'!$H$11="TRADING",AV283/D283,AN283/D283)</f>
        <v>#DIV/0!</v>
      </c>
      <c r="BH283" s="3" t="e">
        <f>IF('Entrada e Saida'!$H$11="TRADING",IF('Entrada e Saida'!$H$12="REAL",AR283/D283,0),AL283/D283)</f>
        <v>#DIV/0!</v>
      </c>
      <c r="BI283" s="3" t="e">
        <f>IF('Entrada e Saida'!$H$11="TRADING",IF('Entrada e Saida'!$H$12="REAL",AS283/D283,0),AM283/D283)</f>
        <v>#DIV/0!</v>
      </c>
      <c r="BJ283" s="3" t="e">
        <f>IF('Entrada e Saida'!$H$11="TRADING",AT283/D283,AO283/D283)</f>
        <v>#DIV/0!</v>
      </c>
      <c r="BK283" s="2" t="e">
        <f t="shared" si="150"/>
        <v>#DIV/0!</v>
      </c>
      <c r="BL283" s="2">
        <f>IF(O283&gt;0,IFERROR(IF('Entrada e Saida'!$H$11="DIRETA",0,(IF('Entrada e Saida'!$H$14="P.JURIDICA",(BD283*(1+O283)*N283)-((BD283/(1+M283))*'Entrada e Saida'!$G$65),((Produtos!N283-'Entrada e Saida'!$G$65)*Produtos!BD283)))),0),0)</f>
        <v>0</v>
      </c>
      <c r="BM283" s="2" t="e">
        <f t="shared" si="151"/>
        <v>#DIV/0!</v>
      </c>
    </row>
    <row r="284" spans="1:65" s="1" customFormat="1">
      <c r="A284" s="127"/>
      <c r="B284" s="114"/>
      <c r="C284" s="116"/>
      <c r="D284" s="146"/>
      <c r="E284" s="115">
        <f>IFERROR(VLOOKUP(A284,'Master Modelo'!A:I,9,FALSE),0)</f>
        <v>0</v>
      </c>
      <c r="F284" s="189">
        <f>IFERROR(VLOOKUP(A284,'Master Modelo'!A:I,8,FALSE),0)</f>
        <v>0</v>
      </c>
      <c r="G284" s="189">
        <f>IFERROR(VLOOKUP(A284,'Master Modelo'!A:K,11,FALSE),0)</f>
        <v>0</v>
      </c>
      <c r="H284" s="114" t="e">
        <f t="shared" si="134"/>
        <v>#DIV/0!</v>
      </c>
      <c r="I284" s="150">
        <f>IFERROR(VLOOKUP(A284,'Master Modelo'!A:I,3,FALSE),0)</f>
        <v>0</v>
      </c>
      <c r="J284" s="151">
        <f>IFERROR(VLOOKUP(A284,'Master Modelo'!A:I,5,FALSE),0)</f>
        <v>0</v>
      </c>
      <c r="K284" s="151">
        <f>IFERROR(VLOOKUP(A284,'Master Modelo'!A:I,6,FALSE),0)</f>
        <v>0</v>
      </c>
      <c r="L284" s="152" t="e">
        <f>VLOOKUP(A284,'Master Modelo'!A:J,10,FALSE)</f>
        <v>#N/A</v>
      </c>
      <c r="M284" s="150">
        <f>IFERROR(VLOOKUP(A284,'Master Modelo'!A:I,4,FALSE),0)</f>
        <v>0</v>
      </c>
      <c r="N284" s="128"/>
      <c r="O284" s="129"/>
      <c r="P284" s="9">
        <f t="shared" si="135"/>
        <v>0</v>
      </c>
      <c r="Q284" s="177">
        <f t="shared" si="133"/>
        <v>0</v>
      </c>
      <c r="R284" s="3">
        <f>D284*E284*'Entrada e Saida'!$K$8</f>
        <v>0</v>
      </c>
      <c r="S284" s="179" t="e">
        <f>'Entrada e Saida'!$H$21*'Entrada e Saida'!$K$8*(P284/(SUM(P:P)))</f>
        <v>#DIV/0!</v>
      </c>
      <c r="T284" s="179" t="e">
        <f>'Entrada e Saida'!$H$21*'Entrada e Saida'!$K$8*(Q284/(SUM(Q:Q)))</f>
        <v>#DIV/0!</v>
      </c>
      <c r="U284" s="179" t="e">
        <f>'Entrada e Saida'!$H$22*(P284/(SUM(P:P)))</f>
        <v>#DIV/0!</v>
      </c>
      <c r="V284" s="179" t="e">
        <f>'Entrada e Saida'!$H$22*(Q284/(SUM(Q:Q)))</f>
        <v>#DIV/0!</v>
      </c>
      <c r="W284" s="8" t="e">
        <f t="shared" si="136"/>
        <v>#DIV/0!</v>
      </c>
      <c r="X284" s="179" t="e">
        <f>'Entrada e Saida'!$H$26*(IF('Entrada e Saida'!$H$15="PESO",(P284/(SUM(P:P))),(Q284/(SUM(Q:Q)))))</f>
        <v>#DIV/0!</v>
      </c>
      <c r="Y284" s="179" t="e">
        <f>'Entrada e Saida'!$H$27*(IF('Entrada e Saida'!$H$15="PESO",(P284/(SUM(P:P))),(Q284/(SUM(Q:Q)))))</f>
        <v>#DIV/0!</v>
      </c>
      <c r="Z284" s="179" t="e">
        <f>'Entrada e Saida'!$H$28*(IF('Entrada e Saida'!$H$15="PESO",(P284/(SUM(P:P))),(Q284/(SUM(Q:Q)))))</f>
        <v>#DIV/0!</v>
      </c>
      <c r="AA284" s="10" t="e">
        <f t="shared" si="137"/>
        <v>#DIV/0!</v>
      </c>
      <c r="AB284" s="3" t="e">
        <f t="shared" si="138"/>
        <v>#DIV/0!</v>
      </c>
      <c r="AC284" s="3" t="e">
        <f t="shared" si="139"/>
        <v>#DIV/0!</v>
      </c>
      <c r="AD284" s="3" t="e">
        <f t="shared" si="140"/>
        <v>#DIV/0!</v>
      </c>
      <c r="AE284" s="9" t="e">
        <f t="shared" si="141"/>
        <v>#DIV/0!</v>
      </c>
      <c r="AF284" s="126">
        <f>IFERROR(D284*F284*L284*'Entrada e Saida'!$K$8,0)</f>
        <v>0</v>
      </c>
      <c r="AG284" s="3" t="e">
        <f>((W284+AA284+AB284+AC284+AD284+AE284+AF284)/(1-'Entrada e Saida'!$G$65))*'Entrada e Saida'!$I$66</f>
        <v>#DIV/0!</v>
      </c>
      <c r="AH284" s="8" t="e">
        <f t="shared" si="142"/>
        <v>#DIV/0!</v>
      </c>
      <c r="AI284" s="183" t="e">
        <f>'Entrada e Saida'!$K$51*(IF('Entrada e Saida'!$H$15="PESO",(P284/(SUM(P:P))),(Q284/(SUM(Q:Q)))))</f>
        <v>#DIV/0!</v>
      </c>
      <c r="AJ284" s="7">
        <f>(('Entrada e Saida'!$K$10-'Entrada e Saida'!$K$8)*E284*D284)</f>
        <v>0</v>
      </c>
      <c r="AK284" s="184" t="e">
        <f>IF('Entrada e Saida'!$H$15="PESO",W284+AA284+AH284+AI284+AJ284,W284+AA284+AH284+AI284+AJ284-S284+T284-U284+V284)</f>
        <v>#DIV/0!</v>
      </c>
      <c r="AL284" s="6" t="e">
        <f>IF('Entrada e Saida'!$H$12="REAL",AC284,0)</f>
        <v>#DIV/0!</v>
      </c>
      <c r="AM284" s="6" t="e">
        <f>IF('Entrada e Saida'!$H$12="REAL",AD284,0)</f>
        <v>#DIV/0!</v>
      </c>
      <c r="AN284" s="5" t="e">
        <f>IF('Entrada e Saida'!$H$13= "NÃO",AE284,0)</f>
        <v>#DIV/0!</v>
      </c>
      <c r="AO284" s="5" t="e">
        <f t="shared" si="143"/>
        <v>#DIV/0!</v>
      </c>
      <c r="AP284" s="4" t="e">
        <f t="shared" si="144"/>
        <v>#DIV/0!</v>
      </c>
      <c r="AQ284" s="3" t="e">
        <f>IF('Entrada e Saida'!$H$11="TRADING",AU284*'Custo Resumido'!D284,0)</f>
        <v>#DIV/0!</v>
      </c>
      <c r="AR284" s="3" t="e">
        <f>IF('Entrada e Saida'!$H$11="TRADING",AU284*'Entrada e Saida'!$G$63,0)</f>
        <v>#DIV/0!</v>
      </c>
      <c r="AS284" s="3" t="e">
        <f>IF('Entrada e Saida'!$H$11="TRADING",AU284*'Entrada e Saida'!$G$64,0)</f>
        <v>#DIV/0!</v>
      </c>
      <c r="AT284" s="3" t="e">
        <f>IF('Entrada e Saida'!$H$11="TRADING",AU284*'Entrada e Saida'!$G$65,0)</f>
        <v>#DIV/0!</v>
      </c>
      <c r="AU284" s="4" t="e">
        <f>IF('Entrada e Saida'!$H$11="TRADING",AP284/(1-(SUM('Entrada e Saida'!$G$63:$G$65)+'Custo Resumido'!D284)),0)</f>
        <v>#DIV/0!</v>
      </c>
      <c r="AV284" s="3" t="e">
        <f>IF('Entrada e Saida'!$H$13="NÃO",AU284*M284,0)</f>
        <v>#DIV/0!</v>
      </c>
      <c r="AW284" s="4" t="e">
        <f t="shared" si="145"/>
        <v>#DIV/0!</v>
      </c>
      <c r="AX284" s="3" t="e">
        <f>'Entrada e Saida'!$G$74*AU284</f>
        <v>#DIV/0!</v>
      </c>
      <c r="AY284" s="4" t="e">
        <f t="shared" si="146"/>
        <v>#DIV/0!</v>
      </c>
      <c r="AZ284" s="4" t="e">
        <f>AQ284+('Entrada e Saida'!$G$65-'Entrada e Saida'!$I$65)*AU284-AX284</f>
        <v>#DIV/0!</v>
      </c>
      <c r="BA284" s="3" t="e">
        <f>IF('Entrada e Saida'!$H$12="REAL",AZ284*'Entrada e Saida'!$G$81,AU284*'Entrada e Saida'!$G$81)</f>
        <v>#DIV/0!</v>
      </c>
      <c r="BB284" s="3" t="e">
        <f>IF('Entrada e Saida'!$H$12="REAL",AZ284*'Entrada e Saida'!$G$82,AU284*'Entrada e Saida'!$G$82)</f>
        <v>#DIV/0!</v>
      </c>
      <c r="BC284" s="4" t="e">
        <f t="shared" si="147"/>
        <v>#DIV/0!</v>
      </c>
      <c r="BD284" s="3" t="e">
        <f>IF('Entrada e Saida'!$H$11="TRADING",AW284/D284,AK284/D284)</f>
        <v>#DIV/0!</v>
      </c>
      <c r="BE284" s="3" t="e">
        <f t="shared" si="148"/>
        <v>#DIV/0!</v>
      </c>
      <c r="BF284" s="2" t="e">
        <f t="shared" si="149"/>
        <v>#DIV/0!</v>
      </c>
      <c r="BG284" s="3" t="e">
        <f>IF('Entrada e Saida'!$H$11="TRADING",AV284/D284,AN284/D284)</f>
        <v>#DIV/0!</v>
      </c>
      <c r="BH284" s="3" t="e">
        <f>IF('Entrada e Saida'!$H$11="TRADING",IF('Entrada e Saida'!$H$12="REAL",AR284/D284,0),AL284/D284)</f>
        <v>#DIV/0!</v>
      </c>
      <c r="BI284" s="3" t="e">
        <f>IF('Entrada e Saida'!$H$11="TRADING",IF('Entrada e Saida'!$H$12="REAL",AS284/D284,0),AM284/D284)</f>
        <v>#DIV/0!</v>
      </c>
      <c r="BJ284" s="3" t="e">
        <f>IF('Entrada e Saida'!$H$11="TRADING",AT284/D284,AO284/D284)</f>
        <v>#DIV/0!</v>
      </c>
      <c r="BK284" s="2" t="e">
        <f t="shared" si="150"/>
        <v>#DIV/0!</v>
      </c>
      <c r="BL284" s="2">
        <f>IF(O284&gt;0,IFERROR(IF('Entrada e Saida'!$H$11="DIRETA",0,(IF('Entrada e Saida'!$H$14="P.JURIDICA",(BD284*(1+O284)*N284)-((BD284/(1+M284))*'Entrada e Saida'!$G$65),((Produtos!N284-'Entrada e Saida'!$G$65)*Produtos!BD284)))),0),0)</f>
        <v>0</v>
      </c>
      <c r="BM284" s="2" t="e">
        <f t="shared" si="151"/>
        <v>#DIV/0!</v>
      </c>
    </row>
    <row r="285" spans="1:65" s="1" customFormat="1">
      <c r="A285" s="127"/>
      <c r="B285" s="114"/>
      <c r="C285" s="116"/>
      <c r="D285" s="146"/>
      <c r="E285" s="115">
        <f>IFERROR(VLOOKUP(A285,'Master Modelo'!A:I,9,FALSE),0)</f>
        <v>0</v>
      </c>
      <c r="F285" s="189">
        <f>IFERROR(VLOOKUP(A285,'Master Modelo'!A:I,8,FALSE),0)</f>
        <v>0</v>
      </c>
      <c r="G285" s="189">
        <f>IFERROR(VLOOKUP(A285,'Master Modelo'!A:K,11,FALSE),0)</f>
        <v>0</v>
      </c>
      <c r="H285" s="114" t="e">
        <f t="shared" si="134"/>
        <v>#DIV/0!</v>
      </c>
      <c r="I285" s="150">
        <f>IFERROR(VLOOKUP(A285,'Master Modelo'!A:I,3,FALSE),0)</f>
        <v>0</v>
      </c>
      <c r="J285" s="151">
        <f>IFERROR(VLOOKUP(A285,'Master Modelo'!A:I,5,FALSE),0)</f>
        <v>0</v>
      </c>
      <c r="K285" s="151">
        <f>IFERROR(VLOOKUP(A285,'Master Modelo'!A:I,6,FALSE),0)</f>
        <v>0</v>
      </c>
      <c r="L285" s="152" t="e">
        <f>VLOOKUP(A285,'Master Modelo'!A:J,10,FALSE)</f>
        <v>#N/A</v>
      </c>
      <c r="M285" s="150">
        <f>IFERROR(VLOOKUP(A285,'Master Modelo'!A:I,4,FALSE),0)</f>
        <v>0</v>
      </c>
      <c r="N285" s="128"/>
      <c r="O285" s="129"/>
      <c r="P285" s="9">
        <f t="shared" si="135"/>
        <v>0</v>
      </c>
      <c r="Q285" s="177">
        <f t="shared" si="133"/>
        <v>0</v>
      </c>
      <c r="R285" s="3">
        <f>D285*E285*'Entrada e Saida'!$K$8</f>
        <v>0</v>
      </c>
      <c r="S285" s="179" t="e">
        <f>'Entrada e Saida'!$H$21*'Entrada e Saida'!$K$8*(P285/(SUM(P:P)))</f>
        <v>#DIV/0!</v>
      </c>
      <c r="T285" s="179" t="e">
        <f>'Entrada e Saida'!$H$21*'Entrada e Saida'!$K$8*(Q285/(SUM(Q:Q)))</f>
        <v>#DIV/0!</v>
      </c>
      <c r="U285" s="179" t="e">
        <f>'Entrada e Saida'!$H$22*(P285/(SUM(P:P)))</f>
        <v>#DIV/0!</v>
      </c>
      <c r="V285" s="179" t="e">
        <f>'Entrada e Saida'!$H$22*(Q285/(SUM(Q:Q)))</f>
        <v>#DIV/0!</v>
      </c>
      <c r="W285" s="8" t="e">
        <f t="shared" si="136"/>
        <v>#DIV/0!</v>
      </c>
      <c r="X285" s="179" t="e">
        <f>'Entrada e Saida'!$H$26*(IF('Entrada e Saida'!$H$15="PESO",(P285/(SUM(P:P))),(Q285/(SUM(Q:Q)))))</f>
        <v>#DIV/0!</v>
      </c>
      <c r="Y285" s="179" t="e">
        <f>'Entrada e Saida'!$H$27*(IF('Entrada e Saida'!$H$15="PESO",(P285/(SUM(P:P))),(Q285/(SUM(Q:Q)))))</f>
        <v>#DIV/0!</v>
      </c>
      <c r="Z285" s="179" t="e">
        <f>'Entrada e Saida'!$H$28*(IF('Entrada e Saida'!$H$15="PESO",(P285/(SUM(P:P))),(Q285/(SUM(Q:Q)))))</f>
        <v>#DIV/0!</v>
      </c>
      <c r="AA285" s="10" t="e">
        <f t="shared" si="137"/>
        <v>#DIV/0!</v>
      </c>
      <c r="AB285" s="3" t="e">
        <f t="shared" si="138"/>
        <v>#DIV/0!</v>
      </c>
      <c r="AC285" s="3" t="e">
        <f t="shared" si="139"/>
        <v>#DIV/0!</v>
      </c>
      <c r="AD285" s="3" t="e">
        <f t="shared" si="140"/>
        <v>#DIV/0!</v>
      </c>
      <c r="AE285" s="9" t="e">
        <f t="shared" si="141"/>
        <v>#DIV/0!</v>
      </c>
      <c r="AF285" s="126">
        <f>IFERROR(D285*F285*L285*'Entrada e Saida'!$K$8,0)</f>
        <v>0</v>
      </c>
      <c r="AG285" s="3" t="e">
        <f>((W285+AA285+AB285+AC285+AD285+AE285+AF285)/(1-'Entrada e Saida'!$G$65))*'Entrada e Saida'!$I$66</f>
        <v>#DIV/0!</v>
      </c>
      <c r="AH285" s="8" t="e">
        <f t="shared" si="142"/>
        <v>#DIV/0!</v>
      </c>
      <c r="AI285" s="183" t="e">
        <f>'Entrada e Saida'!$K$51*(IF('Entrada e Saida'!$H$15="PESO",(P285/(SUM(P:P))),(Q285/(SUM(Q:Q)))))</f>
        <v>#DIV/0!</v>
      </c>
      <c r="AJ285" s="7">
        <f>(('Entrada e Saida'!$K$10-'Entrada e Saida'!$K$8)*E285*D285)</f>
        <v>0</v>
      </c>
      <c r="AK285" s="184" t="e">
        <f>IF('Entrada e Saida'!$H$15="PESO",W285+AA285+AH285+AI285+AJ285,W285+AA285+AH285+AI285+AJ285-S285+T285-U285+V285)</f>
        <v>#DIV/0!</v>
      </c>
      <c r="AL285" s="6" t="e">
        <f>IF('Entrada e Saida'!$H$12="REAL",AC285,0)</f>
        <v>#DIV/0!</v>
      </c>
      <c r="AM285" s="6" t="e">
        <f>IF('Entrada e Saida'!$H$12="REAL",AD285,0)</f>
        <v>#DIV/0!</v>
      </c>
      <c r="AN285" s="5" t="e">
        <f>IF('Entrada e Saida'!$H$13= "NÃO",AE285,0)</f>
        <v>#DIV/0!</v>
      </c>
      <c r="AO285" s="5" t="e">
        <f t="shared" si="143"/>
        <v>#DIV/0!</v>
      </c>
      <c r="AP285" s="4" t="e">
        <f t="shared" si="144"/>
        <v>#DIV/0!</v>
      </c>
      <c r="AQ285" s="3" t="e">
        <f>IF('Entrada e Saida'!$H$11="TRADING",AU285*'Custo Resumido'!D285,0)</f>
        <v>#DIV/0!</v>
      </c>
      <c r="AR285" s="3" t="e">
        <f>IF('Entrada e Saida'!$H$11="TRADING",AU285*'Entrada e Saida'!$G$63,0)</f>
        <v>#DIV/0!</v>
      </c>
      <c r="AS285" s="3" t="e">
        <f>IF('Entrada e Saida'!$H$11="TRADING",AU285*'Entrada e Saida'!$G$64,0)</f>
        <v>#DIV/0!</v>
      </c>
      <c r="AT285" s="3" t="e">
        <f>IF('Entrada e Saida'!$H$11="TRADING",AU285*'Entrada e Saida'!$G$65,0)</f>
        <v>#DIV/0!</v>
      </c>
      <c r="AU285" s="4" t="e">
        <f>IF('Entrada e Saida'!$H$11="TRADING",AP285/(1-(SUM('Entrada e Saida'!$G$63:$G$65)+'Custo Resumido'!D285)),0)</f>
        <v>#DIV/0!</v>
      </c>
      <c r="AV285" s="3" t="e">
        <f>IF('Entrada e Saida'!$H$13="NÃO",AU285*M285,0)</f>
        <v>#DIV/0!</v>
      </c>
      <c r="AW285" s="4" t="e">
        <f t="shared" si="145"/>
        <v>#DIV/0!</v>
      </c>
      <c r="AX285" s="3" t="e">
        <f>'Entrada e Saida'!$G$74*AU285</f>
        <v>#DIV/0!</v>
      </c>
      <c r="AY285" s="4" t="e">
        <f t="shared" si="146"/>
        <v>#DIV/0!</v>
      </c>
      <c r="AZ285" s="4" t="e">
        <f>AQ285+('Entrada e Saida'!$G$65-'Entrada e Saida'!$I$65)*AU285-AX285</f>
        <v>#DIV/0!</v>
      </c>
      <c r="BA285" s="3" t="e">
        <f>IF('Entrada e Saida'!$H$12="REAL",AZ285*'Entrada e Saida'!$G$81,AU285*'Entrada e Saida'!$G$81)</f>
        <v>#DIV/0!</v>
      </c>
      <c r="BB285" s="3" t="e">
        <f>IF('Entrada e Saida'!$H$12="REAL",AZ285*'Entrada e Saida'!$G$82,AU285*'Entrada e Saida'!$G$82)</f>
        <v>#DIV/0!</v>
      </c>
      <c r="BC285" s="4" t="e">
        <f t="shared" si="147"/>
        <v>#DIV/0!</v>
      </c>
      <c r="BD285" s="3" t="e">
        <f>IF('Entrada e Saida'!$H$11="TRADING",AW285/D285,AK285/D285)</f>
        <v>#DIV/0!</v>
      </c>
      <c r="BE285" s="3" t="e">
        <f t="shared" si="148"/>
        <v>#DIV/0!</v>
      </c>
      <c r="BF285" s="2" t="e">
        <f t="shared" si="149"/>
        <v>#DIV/0!</v>
      </c>
      <c r="BG285" s="3" t="e">
        <f>IF('Entrada e Saida'!$H$11="TRADING",AV285/D285,AN285/D285)</f>
        <v>#DIV/0!</v>
      </c>
      <c r="BH285" s="3" t="e">
        <f>IF('Entrada e Saida'!$H$11="TRADING",IF('Entrada e Saida'!$H$12="REAL",AR285/D285,0),AL285/D285)</f>
        <v>#DIV/0!</v>
      </c>
      <c r="BI285" s="3" t="e">
        <f>IF('Entrada e Saida'!$H$11="TRADING",IF('Entrada e Saida'!$H$12="REAL",AS285/D285,0),AM285/D285)</f>
        <v>#DIV/0!</v>
      </c>
      <c r="BJ285" s="3" t="e">
        <f>IF('Entrada e Saida'!$H$11="TRADING",AT285/D285,AO285/D285)</f>
        <v>#DIV/0!</v>
      </c>
      <c r="BK285" s="2" t="e">
        <f t="shared" si="150"/>
        <v>#DIV/0!</v>
      </c>
      <c r="BL285" s="2">
        <f>IF(O285&gt;0,IFERROR(IF('Entrada e Saida'!$H$11="DIRETA",0,(IF('Entrada e Saida'!$H$14="P.JURIDICA",(BD285*(1+O285)*N285)-((BD285/(1+M285))*'Entrada e Saida'!$G$65),((Produtos!N285-'Entrada e Saida'!$G$65)*Produtos!BD285)))),0),0)</f>
        <v>0</v>
      </c>
      <c r="BM285" s="2" t="e">
        <f t="shared" si="151"/>
        <v>#DIV/0!</v>
      </c>
    </row>
    <row r="286" spans="1:65" s="1" customFormat="1">
      <c r="A286" s="127"/>
      <c r="B286" s="114"/>
      <c r="C286" s="116"/>
      <c r="D286" s="146"/>
      <c r="E286" s="115">
        <f>IFERROR(VLOOKUP(A286,'Master Modelo'!A:I,9,FALSE),0)</f>
        <v>0</v>
      </c>
      <c r="F286" s="189">
        <f>IFERROR(VLOOKUP(A286,'Master Modelo'!A:I,8,FALSE),0)</f>
        <v>0</v>
      </c>
      <c r="G286" s="189">
        <f>IFERROR(VLOOKUP(A286,'Master Modelo'!A:K,11,FALSE),0)</f>
        <v>0</v>
      </c>
      <c r="H286" s="114" t="e">
        <f t="shared" si="134"/>
        <v>#DIV/0!</v>
      </c>
      <c r="I286" s="150">
        <f>IFERROR(VLOOKUP(A286,'Master Modelo'!A:I,3,FALSE),0)</f>
        <v>0</v>
      </c>
      <c r="J286" s="151">
        <f>IFERROR(VLOOKUP(A286,'Master Modelo'!A:I,5,FALSE),0)</f>
        <v>0</v>
      </c>
      <c r="K286" s="151">
        <f>IFERROR(VLOOKUP(A286,'Master Modelo'!A:I,6,FALSE),0)</f>
        <v>0</v>
      </c>
      <c r="L286" s="152" t="e">
        <f>VLOOKUP(A286,'Master Modelo'!A:J,10,FALSE)</f>
        <v>#N/A</v>
      </c>
      <c r="M286" s="150">
        <f>IFERROR(VLOOKUP(A286,'Master Modelo'!A:I,4,FALSE),0)</f>
        <v>0</v>
      </c>
      <c r="N286" s="128"/>
      <c r="O286" s="129"/>
      <c r="P286" s="9">
        <f t="shared" si="135"/>
        <v>0</v>
      </c>
      <c r="Q286" s="177">
        <f t="shared" si="133"/>
        <v>0</v>
      </c>
      <c r="R286" s="3">
        <f>D286*E286*'Entrada e Saida'!$K$8</f>
        <v>0</v>
      </c>
      <c r="S286" s="179" t="e">
        <f>'Entrada e Saida'!$H$21*'Entrada e Saida'!$K$8*(P286/(SUM(P:P)))</f>
        <v>#DIV/0!</v>
      </c>
      <c r="T286" s="179" t="e">
        <f>'Entrada e Saida'!$H$21*'Entrada e Saida'!$K$8*(Q286/(SUM(Q:Q)))</f>
        <v>#DIV/0!</v>
      </c>
      <c r="U286" s="179" t="e">
        <f>'Entrada e Saida'!$H$22*(P286/(SUM(P:P)))</f>
        <v>#DIV/0!</v>
      </c>
      <c r="V286" s="179" t="e">
        <f>'Entrada e Saida'!$H$22*(Q286/(SUM(Q:Q)))</f>
        <v>#DIV/0!</v>
      </c>
      <c r="W286" s="8" t="e">
        <f t="shared" si="136"/>
        <v>#DIV/0!</v>
      </c>
      <c r="X286" s="179" t="e">
        <f>'Entrada e Saida'!$H$26*(IF('Entrada e Saida'!$H$15="PESO",(P286/(SUM(P:P))),(Q286/(SUM(Q:Q)))))</f>
        <v>#DIV/0!</v>
      </c>
      <c r="Y286" s="179" t="e">
        <f>'Entrada e Saida'!$H$27*(IF('Entrada e Saida'!$H$15="PESO",(P286/(SUM(P:P))),(Q286/(SUM(Q:Q)))))</f>
        <v>#DIV/0!</v>
      </c>
      <c r="Z286" s="179" t="e">
        <f>'Entrada e Saida'!$H$28*(IF('Entrada e Saida'!$H$15="PESO",(P286/(SUM(P:P))),(Q286/(SUM(Q:Q)))))</f>
        <v>#DIV/0!</v>
      </c>
      <c r="AA286" s="10" t="e">
        <f t="shared" si="137"/>
        <v>#DIV/0!</v>
      </c>
      <c r="AB286" s="3" t="e">
        <f t="shared" si="138"/>
        <v>#DIV/0!</v>
      </c>
      <c r="AC286" s="3" t="e">
        <f t="shared" si="139"/>
        <v>#DIV/0!</v>
      </c>
      <c r="AD286" s="3" t="e">
        <f t="shared" si="140"/>
        <v>#DIV/0!</v>
      </c>
      <c r="AE286" s="9" t="e">
        <f t="shared" si="141"/>
        <v>#DIV/0!</v>
      </c>
      <c r="AF286" s="126">
        <f>IFERROR(D286*F286*L286*'Entrada e Saida'!$K$8,0)</f>
        <v>0</v>
      </c>
      <c r="AG286" s="3" t="e">
        <f>((W286+AA286+AB286+AC286+AD286+AE286+AF286)/(1-'Entrada e Saida'!$G$65))*'Entrada e Saida'!$I$66</f>
        <v>#DIV/0!</v>
      </c>
      <c r="AH286" s="8" t="e">
        <f t="shared" si="142"/>
        <v>#DIV/0!</v>
      </c>
      <c r="AI286" s="183" t="e">
        <f>'Entrada e Saida'!$K$51*(IF('Entrada e Saida'!$H$15="PESO",(P286/(SUM(P:P))),(Q286/(SUM(Q:Q)))))</f>
        <v>#DIV/0!</v>
      </c>
      <c r="AJ286" s="7">
        <f>(('Entrada e Saida'!$K$10-'Entrada e Saida'!$K$8)*E286*D286)</f>
        <v>0</v>
      </c>
      <c r="AK286" s="184" t="e">
        <f>IF('Entrada e Saida'!$H$15="PESO",W286+AA286+AH286+AI286+AJ286,W286+AA286+AH286+AI286+AJ286-S286+T286-U286+V286)</f>
        <v>#DIV/0!</v>
      </c>
      <c r="AL286" s="6" t="e">
        <f>IF('Entrada e Saida'!$H$12="REAL",AC286,0)</f>
        <v>#DIV/0!</v>
      </c>
      <c r="AM286" s="6" t="e">
        <f>IF('Entrada e Saida'!$H$12="REAL",AD286,0)</f>
        <v>#DIV/0!</v>
      </c>
      <c r="AN286" s="5" t="e">
        <f>IF('Entrada e Saida'!$H$13= "NÃO",AE286,0)</f>
        <v>#DIV/0!</v>
      </c>
      <c r="AO286" s="5" t="e">
        <f t="shared" si="143"/>
        <v>#DIV/0!</v>
      </c>
      <c r="AP286" s="4" t="e">
        <f t="shared" si="144"/>
        <v>#DIV/0!</v>
      </c>
      <c r="AQ286" s="3" t="e">
        <f>IF('Entrada e Saida'!$H$11="TRADING",AU286*'Custo Resumido'!D286,0)</f>
        <v>#DIV/0!</v>
      </c>
      <c r="AR286" s="3" t="e">
        <f>IF('Entrada e Saida'!$H$11="TRADING",AU286*'Entrada e Saida'!$G$63,0)</f>
        <v>#DIV/0!</v>
      </c>
      <c r="AS286" s="3" t="e">
        <f>IF('Entrada e Saida'!$H$11="TRADING",AU286*'Entrada e Saida'!$G$64,0)</f>
        <v>#DIV/0!</v>
      </c>
      <c r="AT286" s="3" t="e">
        <f>IF('Entrada e Saida'!$H$11="TRADING",AU286*'Entrada e Saida'!$G$65,0)</f>
        <v>#DIV/0!</v>
      </c>
      <c r="AU286" s="4" t="e">
        <f>IF('Entrada e Saida'!$H$11="TRADING",AP286/(1-(SUM('Entrada e Saida'!$G$63:$G$65)+'Custo Resumido'!D286)),0)</f>
        <v>#DIV/0!</v>
      </c>
      <c r="AV286" s="3" t="e">
        <f>IF('Entrada e Saida'!$H$13="NÃO",AU286*M286,0)</f>
        <v>#DIV/0!</v>
      </c>
      <c r="AW286" s="4" t="e">
        <f t="shared" si="145"/>
        <v>#DIV/0!</v>
      </c>
      <c r="AX286" s="3" t="e">
        <f>'Entrada e Saida'!$G$74*AU286</f>
        <v>#DIV/0!</v>
      </c>
      <c r="AY286" s="4" t="e">
        <f t="shared" si="146"/>
        <v>#DIV/0!</v>
      </c>
      <c r="AZ286" s="4" t="e">
        <f>AQ286+('Entrada e Saida'!$G$65-'Entrada e Saida'!$I$65)*AU286-AX286</f>
        <v>#DIV/0!</v>
      </c>
      <c r="BA286" s="3" t="e">
        <f>IF('Entrada e Saida'!$H$12="REAL",AZ286*'Entrada e Saida'!$G$81,AU286*'Entrada e Saida'!$G$81)</f>
        <v>#DIV/0!</v>
      </c>
      <c r="BB286" s="3" t="e">
        <f>IF('Entrada e Saida'!$H$12="REAL",AZ286*'Entrada e Saida'!$G$82,AU286*'Entrada e Saida'!$G$82)</f>
        <v>#DIV/0!</v>
      </c>
      <c r="BC286" s="4" t="e">
        <f t="shared" si="147"/>
        <v>#DIV/0!</v>
      </c>
      <c r="BD286" s="3" t="e">
        <f>IF('Entrada e Saida'!$H$11="TRADING",AW286/D286,AK286/D286)</f>
        <v>#DIV/0!</v>
      </c>
      <c r="BE286" s="3" t="e">
        <f t="shared" si="148"/>
        <v>#DIV/0!</v>
      </c>
      <c r="BF286" s="2" t="e">
        <f t="shared" si="149"/>
        <v>#DIV/0!</v>
      </c>
      <c r="BG286" s="3" t="e">
        <f>IF('Entrada e Saida'!$H$11="TRADING",AV286/D286,AN286/D286)</f>
        <v>#DIV/0!</v>
      </c>
      <c r="BH286" s="3" t="e">
        <f>IF('Entrada e Saida'!$H$11="TRADING",IF('Entrada e Saida'!$H$12="REAL",AR286/D286,0),AL286/D286)</f>
        <v>#DIV/0!</v>
      </c>
      <c r="BI286" s="3" t="e">
        <f>IF('Entrada e Saida'!$H$11="TRADING",IF('Entrada e Saida'!$H$12="REAL",AS286/D286,0),AM286/D286)</f>
        <v>#DIV/0!</v>
      </c>
      <c r="BJ286" s="3" t="e">
        <f>IF('Entrada e Saida'!$H$11="TRADING",AT286/D286,AO286/D286)</f>
        <v>#DIV/0!</v>
      </c>
      <c r="BK286" s="2" t="e">
        <f t="shared" si="150"/>
        <v>#DIV/0!</v>
      </c>
      <c r="BL286" s="2">
        <f>IF(O286&gt;0,IFERROR(IF('Entrada e Saida'!$H$11="DIRETA",0,(IF('Entrada e Saida'!$H$14="P.JURIDICA",(BD286*(1+O286)*N286)-((BD286/(1+M286))*'Entrada e Saida'!$G$65),((Produtos!N286-'Entrada e Saida'!$G$65)*Produtos!BD286)))),0),0)</f>
        <v>0</v>
      </c>
      <c r="BM286" s="2" t="e">
        <f t="shared" si="151"/>
        <v>#DIV/0!</v>
      </c>
    </row>
    <row r="287" spans="1:65" s="1" customFormat="1">
      <c r="A287" s="127"/>
      <c r="B287" s="114"/>
      <c r="C287" s="116"/>
      <c r="D287" s="146"/>
      <c r="E287" s="115">
        <f>IFERROR(VLOOKUP(A287,'Master Modelo'!A:I,9,FALSE),0)</f>
        <v>0</v>
      </c>
      <c r="F287" s="189">
        <f>IFERROR(VLOOKUP(A287,'Master Modelo'!A:I,8,FALSE),0)</f>
        <v>0</v>
      </c>
      <c r="G287" s="189">
        <f>IFERROR(VLOOKUP(A287,'Master Modelo'!A:K,11,FALSE),0)</f>
        <v>0</v>
      </c>
      <c r="H287" s="114" t="e">
        <f t="shared" si="134"/>
        <v>#DIV/0!</v>
      </c>
      <c r="I287" s="150">
        <f>IFERROR(VLOOKUP(A287,'Master Modelo'!A:I,3,FALSE),0)</f>
        <v>0</v>
      </c>
      <c r="J287" s="151">
        <f>IFERROR(VLOOKUP(A287,'Master Modelo'!A:I,5,FALSE),0)</f>
        <v>0</v>
      </c>
      <c r="K287" s="151">
        <f>IFERROR(VLOOKUP(A287,'Master Modelo'!A:I,6,FALSE),0)</f>
        <v>0</v>
      </c>
      <c r="L287" s="152" t="e">
        <f>VLOOKUP(A287,'Master Modelo'!A:J,10,FALSE)</f>
        <v>#N/A</v>
      </c>
      <c r="M287" s="150">
        <f>IFERROR(VLOOKUP(A287,'Master Modelo'!A:I,4,FALSE),0)</f>
        <v>0</v>
      </c>
      <c r="N287" s="128"/>
      <c r="O287" s="129"/>
      <c r="P287" s="9">
        <f t="shared" si="135"/>
        <v>0</v>
      </c>
      <c r="Q287" s="177">
        <f t="shared" si="133"/>
        <v>0</v>
      </c>
      <c r="R287" s="3">
        <f>D287*E287*'Entrada e Saida'!$K$8</f>
        <v>0</v>
      </c>
      <c r="S287" s="179" t="e">
        <f>'Entrada e Saida'!$H$21*'Entrada e Saida'!$K$8*(P287/(SUM(P:P)))</f>
        <v>#DIV/0!</v>
      </c>
      <c r="T287" s="179" t="e">
        <f>'Entrada e Saida'!$H$21*'Entrada e Saida'!$K$8*(Q287/(SUM(Q:Q)))</f>
        <v>#DIV/0!</v>
      </c>
      <c r="U287" s="179" t="e">
        <f>'Entrada e Saida'!$H$22*(P287/(SUM(P:P)))</f>
        <v>#DIV/0!</v>
      </c>
      <c r="V287" s="179" t="e">
        <f>'Entrada e Saida'!$H$22*(Q287/(SUM(Q:Q)))</f>
        <v>#DIV/0!</v>
      </c>
      <c r="W287" s="8" t="e">
        <f t="shared" si="136"/>
        <v>#DIV/0!</v>
      </c>
      <c r="X287" s="179" t="e">
        <f>'Entrada e Saida'!$H$26*(IF('Entrada e Saida'!$H$15="PESO",(P287/(SUM(P:P))),(Q287/(SUM(Q:Q)))))</f>
        <v>#DIV/0!</v>
      </c>
      <c r="Y287" s="179" t="e">
        <f>'Entrada e Saida'!$H$27*(IF('Entrada e Saida'!$H$15="PESO",(P287/(SUM(P:P))),(Q287/(SUM(Q:Q)))))</f>
        <v>#DIV/0!</v>
      </c>
      <c r="Z287" s="179" t="e">
        <f>'Entrada e Saida'!$H$28*(IF('Entrada e Saida'!$H$15="PESO",(P287/(SUM(P:P))),(Q287/(SUM(Q:Q)))))</f>
        <v>#DIV/0!</v>
      </c>
      <c r="AA287" s="10" t="e">
        <f t="shared" si="137"/>
        <v>#DIV/0!</v>
      </c>
      <c r="AB287" s="3" t="e">
        <f t="shared" si="138"/>
        <v>#DIV/0!</v>
      </c>
      <c r="AC287" s="3" t="e">
        <f t="shared" si="139"/>
        <v>#DIV/0!</v>
      </c>
      <c r="AD287" s="3" t="e">
        <f t="shared" si="140"/>
        <v>#DIV/0!</v>
      </c>
      <c r="AE287" s="9" t="e">
        <f t="shared" si="141"/>
        <v>#DIV/0!</v>
      </c>
      <c r="AF287" s="126">
        <f>IFERROR(D287*F287*L287*'Entrada e Saida'!$K$8,0)</f>
        <v>0</v>
      </c>
      <c r="AG287" s="3" t="e">
        <f>((W287+AA287+AB287+AC287+AD287+AE287+AF287)/(1-'Entrada e Saida'!$G$65))*'Entrada e Saida'!$I$66</f>
        <v>#DIV/0!</v>
      </c>
      <c r="AH287" s="8" t="e">
        <f t="shared" si="142"/>
        <v>#DIV/0!</v>
      </c>
      <c r="AI287" s="183" t="e">
        <f>'Entrada e Saida'!$K$51*(IF('Entrada e Saida'!$H$15="PESO",(P287/(SUM(P:P))),(Q287/(SUM(Q:Q)))))</f>
        <v>#DIV/0!</v>
      </c>
      <c r="AJ287" s="7">
        <f>(('Entrada e Saida'!$K$10-'Entrada e Saida'!$K$8)*E287*D287)</f>
        <v>0</v>
      </c>
      <c r="AK287" s="184" t="e">
        <f>IF('Entrada e Saida'!$H$15="PESO",W287+AA287+AH287+AI287+AJ287,W287+AA287+AH287+AI287+AJ287-S287+T287-U287+V287)</f>
        <v>#DIV/0!</v>
      </c>
      <c r="AL287" s="6" t="e">
        <f>IF('Entrada e Saida'!$H$12="REAL",AC287,0)</f>
        <v>#DIV/0!</v>
      </c>
      <c r="AM287" s="6" t="e">
        <f>IF('Entrada e Saida'!$H$12="REAL",AD287,0)</f>
        <v>#DIV/0!</v>
      </c>
      <c r="AN287" s="5" t="e">
        <f>IF('Entrada e Saida'!$H$13= "NÃO",AE287,0)</f>
        <v>#DIV/0!</v>
      </c>
      <c r="AO287" s="5" t="e">
        <f t="shared" si="143"/>
        <v>#DIV/0!</v>
      </c>
      <c r="AP287" s="4" t="e">
        <f t="shared" si="144"/>
        <v>#DIV/0!</v>
      </c>
      <c r="AQ287" s="3" t="e">
        <f>IF('Entrada e Saida'!$H$11="TRADING",AU287*'Custo Resumido'!D287,0)</f>
        <v>#DIV/0!</v>
      </c>
      <c r="AR287" s="3" t="e">
        <f>IF('Entrada e Saida'!$H$11="TRADING",AU287*'Entrada e Saida'!$G$63,0)</f>
        <v>#DIV/0!</v>
      </c>
      <c r="AS287" s="3" t="e">
        <f>IF('Entrada e Saida'!$H$11="TRADING",AU287*'Entrada e Saida'!$G$64,0)</f>
        <v>#DIV/0!</v>
      </c>
      <c r="AT287" s="3" t="e">
        <f>IF('Entrada e Saida'!$H$11="TRADING",AU287*'Entrada e Saida'!$G$65,0)</f>
        <v>#DIV/0!</v>
      </c>
      <c r="AU287" s="4" t="e">
        <f>IF('Entrada e Saida'!$H$11="TRADING",AP287/(1-(SUM('Entrada e Saida'!$G$63:$G$65)+'Custo Resumido'!D287)),0)</f>
        <v>#DIV/0!</v>
      </c>
      <c r="AV287" s="3" t="e">
        <f>IF('Entrada e Saida'!$H$13="NÃO",AU287*M287,0)</f>
        <v>#DIV/0!</v>
      </c>
      <c r="AW287" s="4" t="e">
        <f t="shared" si="145"/>
        <v>#DIV/0!</v>
      </c>
      <c r="AX287" s="3" t="e">
        <f>'Entrada e Saida'!$G$74*AU287</f>
        <v>#DIV/0!</v>
      </c>
      <c r="AY287" s="4" t="e">
        <f t="shared" si="146"/>
        <v>#DIV/0!</v>
      </c>
      <c r="AZ287" s="4" t="e">
        <f>AQ287+('Entrada e Saida'!$G$65-'Entrada e Saida'!$I$65)*AU287-AX287</f>
        <v>#DIV/0!</v>
      </c>
      <c r="BA287" s="3" t="e">
        <f>IF('Entrada e Saida'!$H$12="REAL",AZ287*'Entrada e Saida'!$G$81,AU287*'Entrada e Saida'!$G$81)</f>
        <v>#DIV/0!</v>
      </c>
      <c r="BB287" s="3" t="e">
        <f>IF('Entrada e Saida'!$H$12="REAL",AZ287*'Entrada e Saida'!$G$82,AU287*'Entrada e Saida'!$G$82)</f>
        <v>#DIV/0!</v>
      </c>
      <c r="BC287" s="4" t="e">
        <f t="shared" si="147"/>
        <v>#DIV/0!</v>
      </c>
      <c r="BD287" s="3" t="e">
        <f>IF('Entrada e Saida'!$H$11="TRADING",AW287/D287,AK287/D287)</f>
        <v>#DIV/0!</v>
      </c>
      <c r="BE287" s="3" t="e">
        <f t="shared" si="148"/>
        <v>#DIV/0!</v>
      </c>
      <c r="BF287" s="2" t="e">
        <f t="shared" si="149"/>
        <v>#DIV/0!</v>
      </c>
      <c r="BG287" s="3" t="e">
        <f>IF('Entrada e Saida'!$H$11="TRADING",AV287/D287,AN287/D287)</f>
        <v>#DIV/0!</v>
      </c>
      <c r="BH287" s="3" t="e">
        <f>IF('Entrada e Saida'!$H$11="TRADING",IF('Entrada e Saida'!$H$12="REAL",AR287/D287,0),AL287/D287)</f>
        <v>#DIV/0!</v>
      </c>
      <c r="BI287" s="3" t="e">
        <f>IF('Entrada e Saida'!$H$11="TRADING",IF('Entrada e Saida'!$H$12="REAL",AS287/D287,0),AM287/D287)</f>
        <v>#DIV/0!</v>
      </c>
      <c r="BJ287" s="3" t="e">
        <f>IF('Entrada e Saida'!$H$11="TRADING",AT287/D287,AO287/D287)</f>
        <v>#DIV/0!</v>
      </c>
      <c r="BK287" s="2" t="e">
        <f t="shared" si="150"/>
        <v>#DIV/0!</v>
      </c>
      <c r="BL287" s="2">
        <f>IF(O287&gt;0,IFERROR(IF('Entrada e Saida'!$H$11="DIRETA",0,(IF('Entrada e Saida'!$H$14="P.JURIDICA",(BD287*(1+O287)*N287)-((BD287/(1+M287))*'Entrada e Saida'!$G$65),((Produtos!N287-'Entrada e Saida'!$G$65)*Produtos!BD287)))),0),0)</f>
        <v>0</v>
      </c>
      <c r="BM287" s="2" t="e">
        <f t="shared" si="151"/>
        <v>#DIV/0!</v>
      </c>
    </row>
    <row r="288" spans="1:65" s="1" customFormat="1">
      <c r="A288" s="127"/>
      <c r="B288" s="114"/>
      <c r="C288" s="116"/>
      <c r="D288" s="146"/>
      <c r="E288" s="115">
        <f>IFERROR(VLOOKUP(A288,'Master Modelo'!A:I,9,FALSE),0)</f>
        <v>0</v>
      </c>
      <c r="F288" s="189">
        <f>IFERROR(VLOOKUP(A288,'Master Modelo'!A:I,8,FALSE),0)</f>
        <v>0</v>
      </c>
      <c r="G288" s="189">
        <f>IFERROR(VLOOKUP(A288,'Master Modelo'!A:K,11,FALSE),0)</f>
        <v>0</v>
      </c>
      <c r="H288" s="114" t="e">
        <f t="shared" si="134"/>
        <v>#DIV/0!</v>
      </c>
      <c r="I288" s="150">
        <f>IFERROR(VLOOKUP(A288,'Master Modelo'!A:I,3,FALSE),0)</f>
        <v>0</v>
      </c>
      <c r="J288" s="151">
        <f>IFERROR(VLOOKUP(A288,'Master Modelo'!A:I,5,FALSE),0)</f>
        <v>0</v>
      </c>
      <c r="K288" s="151">
        <f>IFERROR(VLOOKUP(A288,'Master Modelo'!A:I,6,FALSE),0)</f>
        <v>0</v>
      </c>
      <c r="L288" s="152" t="e">
        <f>VLOOKUP(A288,'Master Modelo'!A:J,10,FALSE)</f>
        <v>#N/A</v>
      </c>
      <c r="M288" s="150">
        <f>IFERROR(VLOOKUP(A288,'Master Modelo'!A:I,4,FALSE),0)</f>
        <v>0</v>
      </c>
      <c r="N288" s="128"/>
      <c r="O288" s="129"/>
      <c r="P288" s="9">
        <f t="shared" si="135"/>
        <v>0</v>
      </c>
      <c r="Q288" s="177">
        <f t="shared" si="133"/>
        <v>0</v>
      </c>
      <c r="R288" s="3">
        <f>D288*E288*'Entrada e Saida'!$K$8</f>
        <v>0</v>
      </c>
      <c r="S288" s="179" t="e">
        <f>'Entrada e Saida'!$H$21*'Entrada e Saida'!$K$8*(P288/(SUM(P:P)))</f>
        <v>#DIV/0!</v>
      </c>
      <c r="T288" s="179" t="e">
        <f>'Entrada e Saida'!$H$21*'Entrada e Saida'!$K$8*(Q288/(SUM(Q:Q)))</f>
        <v>#DIV/0!</v>
      </c>
      <c r="U288" s="179" t="e">
        <f>'Entrada e Saida'!$H$22*(P288/(SUM(P:P)))</f>
        <v>#DIV/0!</v>
      </c>
      <c r="V288" s="179" t="e">
        <f>'Entrada e Saida'!$H$22*(Q288/(SUM(Q:Q)))</f>
        <v>#DIV/0!</v>
      </c>
      <c r="W288" s="8" t="e">
        <f t="shared" si="136"/>
        <v>#DIV/0!</v>
      </c>
      <c r="X288" s="179" t="e">
        <f>'Entrada e Saida'!$H$26*(IF('Entrada e Saida'!$H$15="PESO",(P288/(SUM(P:P))),(Q288/(SUM(Q:Q)))))</f>
        <v>#DIV/0!</v>
      </c>
      <c r="Y288" s="179" t="e">
        <f>'Entrada e Saida'!$H$27*(IF('Entrada e Saida'!$H$15="PESO",(P288/(SUM(P:P))),(Q288/(SUM(Q:Q)))))</f>
        <v>#DIV/0!</v>
      </c>
      <c r="Z288" s="179" t="e">
        <f>'Entrada e Saida'!$H$28*(IF('Entrada e Saida'!$H$15="PESO",(P288/(SUM(P:P))),(Q288/(SUM(Q:Q)))))</f>
        <v>#DIV/0!</v>
      </c>
      <c r="AA288" s="10" t="e">
        <f t="shared" si="137"/>
        <v>#DIV/0!</v>
      </c>
      <c r="AB288" s="3" t="e">
        <f t="shared" si="138"/>
        <v>#DIV/0!</v>
      </c>
      <c r="AC288" s="3" t="e">
        <f t="shared" si="139"/>
        <v>#DIV/0!</v>
      </c>
      <c r="AD288" s="3" t="e">
        <f t="shared" si="140"/>
        <v>#DIV/0!</v>
      </c>
      <c r="AE288" s="9" t="e">
        <f t="shared" si="141"/>
        <v>#DIV/0!</v>
      </c>
      <c r="AF288" s="126">
        <f>IFERROR(D288*F288*L288*'Entrada e Saida'!$K$8,0)</f>
        <v>0</v>
      </c>
      <c r="AG288" s="3" t="e">
        <f>((W288+AA288+AB288+AC288+AD288+AE288+AF288)/(1-'Entrada e Saida'!$G$65))*'Entrada e Saida'!$I$66</f>
        <v>#DIV/0!</v>
      </c>
      <c r="AH288" s="8" t="e">
        <f t="shared" si="142"/>
        <v>#DIV/0!</v>
      </c>
      <c r="AI288" s="183" t="e">
        <f>'Entrada e Saida'!$K$51*(IF('Entrada e Saida'!$H$15="PESO",(P288/(SUM(P:P))),(Q288/(SUM(Q:Q)))))</f>
        <v>#DIV/0!</v>
      </c>
      <c r="AJ288" s="7">
        <f>(('Entrada e Saida'!$K$10-'Entrada e Saida'!$K$8)*E288*D288)</f>
        <v>0</v>
      </c>
      <c r="AK288" s="184" t="e">
        <f>IF('Entrada e Saida'!$H$15="PESO",W288+AA288+AH288+AI288+AJ288,W288+AA288+AH288+AI288+AJ288-S288+T288-U288+V288)</f>
        <v>#DIV/0!</v>
      </c>
      <c r="AL288" s="6" t="e">
        <f>IF('Entrada e Saida'!$H$12="REAL",AC288,0)</f>
        <v>#DIV/0!</v>
      </c>
      <c r="AM288" s="6" t="e">
        <f>IF('Entrada e Saida'!$H$12="REAL",AD288,0)</f>
        <v>#DIV/0!</v>
      </c>
      <c r="AN288" s="5" t="e">
        <f>IF('Entrada e Saida'!$H$13= "NÃO",AE288,0)</f>
        <v>#DIV/0!</v>
      </c>
      <c r="AO288" s="5" t="e">
        <f t="shared" si="143"/>
        <v>#DIV/0!</v>
      </c>
      <c r="AP288" s="4" t="e">
        <f t="shared" si="144"/>
        <v>#DIV/0!</v>
      </c>
      <c r="AQ288" s="3" t="e">
        <f>IF('Entrada e Saida'!$H$11="TRADING",AU288*'Custo Resumido'!D288,0)</f>
        <v>#DIV/0!</v>
      </c>
      <c r="AR288" s="3" t="e">
        <f>IF('Entrada e Saida'!$H$11="TRADING",AU288*'Entrada e Saida'!$G$63,0)</f>
        <v>#DIV/0!</v>
      </c>
      <c r="AS288" s="3" t="e">
        <f>IF('Entrada e Saida'!$H$11="TRADING",AU288*'Entrada e Saida'!$G$64,0)</f>
        <v>#DIV/0!</v>
      </c>
      <c r="AT288" s="3" t="e">
        <f>IF('Entrada e Saida'!$H$11="TRADING",AU288*'Entrada e Saida'!$G$65,0)</f>
        <v>#DIV/0!</v>
      </c>
      <c r="AU288" s="4" t="e">
        <f>IF('Entrada e Saida'!$H$11="TRADING",AP288/(1-(SUM('Entrada e Saida'!$G$63:$G$65)+'Custo Resumido'!D288)),0)</f>
        <v>#DIV/0!</v>
      </c>
      <c r="AV288" s="3" t="e">
        <f>IF('Entrada e Saida'!$H$13="NÃO",AU288*M288,0)</f>
        <v>#DIV/0!</v>
      </c>
      <c r="AW288" s="4" t="e">
        <f t="shared" si="145"/>
        <v>#DIV/0!</v>
      </c>
      <c r="AX288" s="3" t="e">
        <f>'Entrada e Saida'!$G$74*AU288</f>
        <v>#DIV/0!</v>
      </c>
      <c r="AY288" s="4" t="e">
        <f t="shared" si="146"/>
        <v>#DIV/0!</v>
      </c>
      <c r="AZ288" s="4" t="e">
        <f>AQ288+('Entrada e Saida'!$G$65-'Entrada e Saida'!$I$65)*AU288-AX288</f>
        <v>#DIV/0!</v>
      </c>
      <c r="BA288" s="3" t="e">
        <f>IF('Entrada e Saida'!$H$12="REAL",AZ288*'Entrada e Saida'!$G$81,AU288*'Entrada e Saida'!$G$81)</f>
        <v>#DIV/0!</v>
      </c>
      <c r="BB288" s="3" t="e">
        <f>IF('Entrada e Saida'!$H$12="REAL",AZ288*'Entrada e Saida'!$G$82,AU288*'Entrada e Saida'!$G$82)</f>
        <v>#DIV/0!</v>
      </c>
      <c r="BC288" s="4" t="e">
        <f t="shared" si="147"/>
        <v>#DIV/0!</v>
      </c>
      <c r="BD288" s="3" t="e">
        <f>IF('Entrada e Saida'!$H$11="TRADING",AW288/D288,AK288/D288)</f>
        <v>#DIV/0!</v>
      </c>
      <c r="BE288" s="3" t="e">
        <f t="shared" si="148"/>
        <v>#DIV/0!</v>
      </c>
      <c r="BF288" s="2" t="e">
        <f t="shared" si="149"/>
        <v>#DIV/0!</v>
      </c>
      <c r="BG288" s="3" t="e">
        <f>IF('Entrada e Saida'!$H$11="TRADING",AV288/D288,AN288/D288)</f>
        <v>#DIV/0!</v>
      </c>
      <c r="BH288" s="3" t="e">
        <f>IF('Entrada e Saida'!$H$11="TRADING",IF('Entrada e Saida'!$H$12="REAL",AR288/D288,0),AL288/D288)</f>
        <v>#DIV/0!</v>
      </c>
      <c r="BI288" s="3" t="e">
        <f>IF('Entrada e Saida'!$H$11="TRADING",IF('Entrada e Saida'!$H$12="REAL",AS288/D288,0),AM288/D288)</f>
        <v>#DIV/0!</v>
      </c>
      <c r="BJ288" s="3" t="e">
        <f>IF('Entrada e Saida'!$H$11="TRADING",AT288/D288,AO288/D288)</f>
        <v>#DIV/0!</v>
      </c>
      <c r="BK288" s="2" t="e">
        <f t="shared" si="150"/>
        <v>#DIV/0!</v>
      </c>
      <c r="BL288" s="2">
        <f>IF(O288&gt;0,IFERROR(IF('Entrada e Saida'!$H$11="DIRETA",0,(IF('Entrada e Saida'!$H$14="P.JURIDICA",(BD288*(1+O288)*N288)-((BD288/(1+M288))*'Entrada e Saida'!$G$65),((Produtos!N288-'Entrada e Saida'!$G$65)*Produtos!BD288)))),0),0)</f>
        <v>0</v>
      </c>
      <c r="BM288" s="2" t="e">
        <f t="shared" si="151"/>
        <v>#DIV/0!</v>
      </c>
    </row>
    <row r="289" spans="1:65" s="1" customFormat="1">
      <c r="A289" s="127"/>
      <c r="B289" s="114"/>
      <c r="C289" s="116"/>
      <c r="D289" s="146"/>
      <c r="E289" s="115">
        <f>IFERROR(VLOOKUP(A289,'Master Modelo'!A:I,9,FALSE),0)</f>
        <v>0</v>
      </c>
      <c r="F289" s="189">
        <f>IFERROR(VLOOKUP(A289,'Master Modelo'!A:I,8,FALSE),0)</f>
        <v>0</v>
      </c>
      <c r="G289" s="189">
        <f>IFERROR(VLOOKUP(A289,'Master Modelo'!A:K,11,FALSE),0)</f>
        <v>0</v>
      </c>
      <c r="H289" s="114" t="e">
        <f t="shared" si="134"/>
        <v>#DIV/0!</v>
      </c>
      <c r="I289" s="150">
        <f>IFERROR(VLOOKUP(A289,'Master Modelo'!A:I,3,FALSE),0)</f>
        <v>0</v>
      </c>
      <c r="J289" s="151">
        <f>IFERROR(VLOOKUP(A289,'Master Modelo'!A:I,5,FALSE),0)</f>
        <v>0</v>
      </c>
      <c r="K289" s="151">
        <f>IFERROR(VLOOKUP(A289,'Master Modelo'!A:I,6,FALSE),0)</f>
        <v>0</v>
      </c>
      <c r="L289" s="152" t="e">
        <f>VLOOKUP(A289,'Master Modelo'!A:J,10,FALSE)</f>
        <v>#N/A</v>
      </c>
      <c r="M289" s="150">
        <f>IFERROR(VLOOKUP(A289,'Master Modelo'!A:I,4,FALSE),0)</f>
        <v>0</v>
      </c>
      <c r="N289" s="128"/>
      <c r="O289" s="129"/>
      <c r="P289" s="9">
        <f t="shared" si="135"/>
        <v>0</v>
      </c>
      <c r="Q289" s="177">
        <f t="shared" si="133"/>
        <v>0</v>
      </c>
      <c r="R289" s="3">
        <f>D289*E289*'Entrada e Saida'!$K$8</f>
        <v>0</v>
      </c>
      <c r="S289" s="179" t="e">
        <f>'Entrada e Saida'!$H$21*'Entrada e Saida'!$K$8*(P289/(SUM(P:P)))</f>
        <v>#DIV/0!</v>
      </c>
      <c r="T289" s="179" t="e">
        <f>'Entrada e Saida'!$H$21*'Entrada e Saida'!$K$8*(Q289/(SUM(Q:Q)))</f>
        <v>#DIV/0!</v>
      </c>
      <c r="U289" s="179" t="e">
        <f>'Entrada e Saida'!$H$22*(P289/(SUM(P:P)))</f>
        <v>#DIV/0!</v>
      </c>
      <c r="V289" s="179" t="e">
        <f>'Entrada e Saida'!$H$22*(Q289/(SUM(Q:Q)))</f>
        <v>#DIV/0!</v>
      </c>
      <c r="W289" s="8" t="e">
        <f t="shared" si="136"/>
        <v>#DIV/0!</v>
      </c>
      <c r="X289" s="179" t="e">
        <f>'Entrada e Saida'!$H$26*(IF('Entrada e Saida'!$H$15="PESO",(P289/(SUM(P:P))),(Q289/(SUM(Q:Q)))))</f>
        <v>#DIV/0!</v>
      </c>
      <c r="Y289" s="179" t="e">
        <f>'Entrada e Saida'!$H$27*(IF('Entrada e Saida'!$H$15="PESO",(P289/(SUM(P:P))),(Q289/(SUM(Q:Q)))))</f>
        <v>#DIV/0!</v>
      </c>
      <c r="Z289" s="179" t="e">
        <f>'Entrada e Saida'!$H$28*(IF('Entrada e Saida'!$H$15="PESO",(P289/(SUM(P:P))),(Q289/(SUM(Q:Q)))))</f>
        <v>#DIV/0!</v>
      </c>
      <c r="AA289" s="10" t="e">
        <f t="shared" si="137"/>
        <v>#DIV/0!</v>
      </c>
      <c r="AB289" s="3" t="e">
        <f t="shared" si="138"/>
        <v>#DIV/0!</v>
      </c>
      <c r="AC289" s="3" t="e">
        <f t="shared" si="139"/>
        <v>#DIV/0!</v>
      </c>
      <c r="AD289" s="3" t="e">
        <f t="shared" si="140"/>
        <v>#DIV/0!</v>
      </c>
      <c r="AE289" s="9" t="e">
        <f t="shared" si="141"/>
        <v>#DIV/0!</v>
      </c>
      <c r="AF289" s="126">
        <f>IFERROR(D289*F289*L289*'Entrada e Saida'!$K$8,0)</f>
        <v>0</v>
      </c>
      <c r="AG289" s="3" t="e">
        <f>((W289+AA289+AB289+AC289+AD289+AE289+AF289)/(1-'Entrada e Saida'!$G$65))*'Entrada e Saida'!$I$66</f>
        <v>#DIV/0!</v>
      </c>
      <c r="AH289" s="8" t="e">
        <f t="shared" si="142"/>
        <v>#DIV/0!</v>
      </c>
      <c r="AI289" s="183" t="e">
        <f>'Entrada e Saida'!$K$51*(IF('Entrada e Saida'!$H$15="PESO",(P289/(SUM(P:P))),(Q289/(SUM(Q:Q)))))</f>
        <v>#DIV/0!</v>
      </c>
      <c r="AJ289" s="7">
        <f>(('Entrada e Saida'!$K$10-'Entrada e Saida'!$K$8)*E289*D289)</f>
        <v>0</v>
      </c>
      <c r="AK289" s="184" t="e">
        <f>IF('Entrada e Saida'!$H$15="PESO",W289+AA289+AH289+AI289+AJ289,W289+AA289+AH289+AI289+AJ289-S289+T289-U289+V289)</f>
        <v>#DIV/0!</v>
      </c>
      <c r="AL289" s="6" t="e">
        <f>IF('Entrada e Saida'!$H$12="REAL",AC289,0)</f>
        <v>#DIV/0!</v>
      </c>
      <c r="AM289" s="6" t="e">
        <f>IF('Entrada e Saida'!$H$12="REAL",AD289,0)</f>
        <v>#DIV/0!</v>
      </c>
      <c r="AN289" s="5" t="e">
        <f>IF('Entrada e Saida'!$H$13= "NÃO",AE289,0)</f>
        <v>#DIV/0!</v>
      </c>
      <c r="AO289" s="5" t="e">
        <f t="shared" si="143"/>
        <v>#DIV/0!</v>
      </c>
      <c r="AP289" s="4" t="e">
        <f t="shared" si="144"/>
        <v>#DIV/0!</v>
      </c>
      <c r="AQ289" s="3" t="e">
        <f>IF('Entrada e Saida'!$H$11="TRADING",AU289*'Custo Resumido'!D289,0)</f>
        <v>#DIV/0!</v>
      </c>
      <c r="AR289" s="3" t="e">
        <f>IF('Entrada e Saida'!$H$11="TRADING",AU289*'Entrada e Saida'!$G$63,0)</f>
        <v>#DIV/0!</v>
      </c>
      <c r="AS289" s="3" t="e">
        <f>IF('Entrada e Saida'!$H$11="TRADING",AU289*'Entrada e Saida'!$G$64,0)</f>
        <v>#DIV/0!</v>
      </c>
      <c r="AT289" s="3" t="e">
        <f>IF('Entrada e Saida'!$H$11="TRADING",AU289*'Entrada e Saida'!$G$65,0)</f>
        <v>#DIV/0!</v>
      </c>
      <c r="AU289" s="4" t="e">
        <f>IF('Entrada e Saida'!$H$11="TRADING",AP289/(1-(SUM('Entrada e Saida'!$G$63:$G$65)+'Custo Resumido'!D289)),0)</f>
        <v>#DIV/0!</v>
      </c>
      <c r="AV289" s="3" t="e">
        <f>IF('Entrada e Saida'!$H$13="NÃO",AU289*M289,0)</f>
        <v>#DIV/0!</v>
      </c>
      <c r="AW289" s="4" t="e">
        <f t="shared" si="145"/>
        <v>#DIV/0!</v>
      </c>
      <c r="AX289" s="3" t="e">
        <f>'Entrada e Saida'!$G$74*AU289</f>
        <v>#DIV/0!</v>
      </c>
      <c r="AY289" s="4" t="e">
        <f t="shared" si="146"/>
        <v>#DIV/0!</v>
      </c>
      <c r="AZ289" s="4" t="e">
        <f>AQ289+('Entrada e Saida'!$G$65-'Entrada e Saida'!$I$65)*AU289-AX289</f>
        <v>#DIV/0!</v>
      </c>
      <c r="BA289" s="3" t="e">
        <f>IF('Entrada e Saida'!$H$12="REAL",AZ289*'Entrada e Saida'!$G$81,AU289*'Entrada e Saida'!$G$81)</f>
        <v>#DIV/0!</v>
      </c>
      <c r="BB289" s="3" t="e">
        <f>IF('Entrada e Saida'!$H$12="REAL",AZ289*'Entrada e Saida'!$G$82,AU289*'Entrada e Saida'!$G$82)</f>
        <v>#DIV/0!</v>
      </c>
      <c r="BC289" s="4" t="e">
        <f t="shared" si="147"/>
        <v>#DIV/0!</v>
      </c>
      <c r="BD289" s="3" t="e">
        <f>IF('Entrada e Saida'!$H$11="TRADING",AW289/D289,AK289/D289)</f>
        <v>#DIV/0!</v>
      </c>
      <c r="BE289" s="3" t="e">
        <f t="shared" si="148"/>
        <v>#DIV/0!</v>
      </c>
      <c r="BF289" s="2" t="e">
        <f t="shared" si="149"/>
        <v>#DIV/0!</v>
      </c>
      <c r="BG289" s="3" t="e">
        <f>IF('Entrada e Saida'!$H$11="TRADING",AV289/D289,AN289/D289)</f>
        <v>#DIV/0!</v>
      </c>
      <c r="BH289" s="3" t="e">
        <f>IF('Entrada e Saida'!$H$11="TRADING",IF('Entrada e Saida'!$H$12="REAL",AR289/D289,0),AL289/D289)</f>
        <v>#DIV/0!</v>
      </c>
      <c r="BI289" s="3" t="e">
        <f>IF('Entrada e Saida'!$H$11="TRADING",IF('Entrada e Saida'!$H$12="REAL",AS289/D289,0),AM289/D289)</f>
        <v>#DIV/0!</v>
      </c>
      <c r="BJ289" s="3" t="e">
        <f>IF('Entrada e Saida'!$H$11="TRADING",AT289/D289,AO289/D289)</f>
        <v>#DIV/0!</v>
      </c>
      <c r="BK289" s="2" t="e">
        <f t="shared" si="150"/>
        <v>#DIV/0!</v>
      </c>
      <c r="BL289" s="2">
        <f>IF(O289&gt;0,IFERROR(IF('Entrada e Saida'!$H$11="DIRETA",0,(IF('Entrada e Saida'!$H$14="P.JURIDICA",(BD289*(1+O289)*N289)-((BD289/(1+M289))*'Entrada e Saida'!$G$65),((Produtos!N289-'Entrada e Saida'!$G$65)*Produtos!BD289)))),0),0)</f>
        <v>0</v>
      </c>
      <c r="BM289" s="2" t="e">
        <f t="shared" si="151"/>
        <v>#DIV/0!</v>
      </c>
    </row>
    <row r="290" spans="1:65" s="1" customFormat="1">
      <c r="A290" s="127"/>
      <c r="B290" s="114"/>
      <c r="C290" s="116"/>
      <c r="D290" s="146"/>
      <c r="E290" s="115">
        <f>IFERROR(VLOOKUP(A290,'Master Modelo'!A:I,9,FALSE),0)</f>
        <v>0</v>
      </c>
      <c r="F290" s="189">
        <f>IFERROR(VLOOKUP(A290,'Master Modelo'!A:I,8,FALSE),0)</f>
        <v>0</v>
      </c>
      <c r="G290" s="189">
        <f>IFERROR(VLOOKUP(A290,'Master Modelo'!A:K,11,FALSE),0)</f>
        <v>0</v>
      </c>
      <c r="H290" s="114" t="e">
        <f t="shared" si="134"/>
        <v>#DIV/0!</v>
      </c>
      <c r="I290" s="150">
        <f>IFERROR(VLOOKUP(A290,'Master Modelo'!A:I,3,FALSE),0)</f>
        <v>0</v>
      </c>
      <c r="J290" s="151">
        <f>IFERROR(VLOOKUP(A290,'Master Modelo'!A:I,5,FALSE),0)</f>
        <v>0</v>
      </c>
      <c r="K290" s="151">
        <f>IFERROR(VLOOKUP(A290,'Master Modelo'!A:I,6,FALSE),0)</f>
        <v>0</v>
      </c>
      <c r="L290" s="152" t="e">
        <f>VLOOKUP(A290,'Master Modelo'!A:J,10,FALSE)</f>
        <v>#N/A</v>
      </c>
      <c r="M290" s="150">
        <f>IFERROR(VLOOKUP(A290,'Master Modelo'!A:I,4,FALSE),0)</f>
        <v>0</v>
      </c>
      <c r="N290" s="128"/>
      <c r="O290" s="129"/>
      <c r="P290" s="9">
        <f t="shared" si="135"/>
        <v>0</v>
      </c>
      <c r="Q290" s="177">
        <f t="shared" si="133"/>
        <v>0</v>
      </c>
      <c r="R290" s="3">
        <f>D290*E290*'Entrada e Saida'!$K$8</f>
        <v>0</v>
      </c>
      <c r="S290" s="179" t="e">
        <f>'Entrada e Saida'!$H$21*'Entrada e Saida'!$K$8*(P290/(SUM(P:P)))</f>
        <v>#DIV/0!</v>
      </c>
      <c r="T290" s="179" t="e">
        <f>'Entrada e Saida'!$H$21*'Entrada e Saida'!$K$8*(Q290/(SUM(Q:Q)))</f>
        <v>#DIV/0!</v>
      </c>
      <c r="U290" s="179" t="e">
        <f>'Entrada e Saida'!$H$22*(P290/(SUM(P:P)))</f>
        <v>#DIV/0!</v>
      </c>
      <c r="V290" s="179" t="e">
        <f>'Entrada e Saida'!$H$22*(Q290/(SUM(Q:Q)))</f>
        <v>#DIV/0!</v>
      </c>
      <c r="W290" s="8" t="e">
        <f t="shared" si="136"/>
        <v>#DIV/0!</v>
      </c>
      <c r="X290" s="179" t="e">
        <f>'Entrada e Saida'!$H$26*(IF('Entrada e Saida'!$H$15="PESO",(P290/(SUM(P:P))),(Q290/(SUM(Q:Q)))))</f>
        <v>#DIV/0!</v>
      </c>
      <c r="Y290" s="179" t="e">
        <f>'Entrada e Saida'!$H$27*(IF('Entrada e Saida'!$H$15="PESO",(P290/(SUM(P:P))),(Q290/(SUM(Q:Q)))))</f>
        <v>#DIV/0!</v>
      </c>
      <c r="Z290" s="179" t="e">
        <f>'Entrada e Saida'!$H$28*(IF('Entrada e Saida'!$H$15="PESO",(P290/(SUM(P:P))),(Q290/(SUM(Q:Q)))))</f>
        <v>#DIV/0!</v>
      </c>
      <c r="AA290" s="10" t="e">
        <f t="shared" si="137"/>
        <v>#DIV/0!</v>
      </c>
      <c r="AB290" s="3" t="e">
        <f t="shared" si="138"/>
        <v>#DIV/0!</v>
      </c>
      <c r="AC290" s="3" t="e">
        <f t="shared" si="139"/>
        <v>#DIV/0!</v>
      </c>
      <c r="AD290" s="3" t="e">
        <f t="shared" si="140"/>
        <v>#DIV/0!</v>
      </c>
      <c r="AE290" s="9" t="e">
        <f t="shared" si="141"/>
        <v>#DIV/0!</v>
      </c>
      <c r="AF290" s="126">
        <f>IFERROR(D290*F290*L290*'Entrada e Saida'!$K$8,0)</f>
        <v>0</v>
      </c>
      <c r="AG290" s="3" t="e">
        <f>((W290+AA290+AB290+AC290+AD290+AE290+AF290)/(1-'Entrada e Saida'!$G$65))*'Entrada e Saida'!$I$66</f>
        <v>#DIV/0!</v>
      </c>
      <c r="AH290" s="8" t="e">
        <f t="shared" si="142"/>
        <v>#DIV/0!</v>
      </c>
      <c r="AI290" s="183" t="e">
        <f>'Entrada e Saida'!$K$51*(IF('Entrada e Saida'!$H$15="PESO",(P290/(SUM(P:P))),(Q290/(SUM(Q:Q)))))</f>
        <v>#DIV/0!</v>
      </c>
      <c r="AJ290" s="7">
        <f>(('Entrada e Saida'!$K$10-'Entrada e Saida'!$K$8)*E290*D290)</f>
        <v>0</v>
      </c>
      <c r="AK290" s="184" t="e">
        <f>IF('Entrada e Saida'!$H$15="PESO",W290+AA290+AH290+AI290+AJ290,W290+AA290+AH290+AI290+AJ290-S290+T290-U290+V290)</f>
        <v>#DIV/0!</v>
      </c>
      <c r="AL290" s="6" t="e">
        <f>IF('Entrada e Saida'!$H$12="REAL",AC290,0)</f>
        <v>#DIV/0!</v>
      </c>
      <c r="AM290" s="6" t="e">
        <f>IF('Entrada e Saida'!$H$12="REAL",AD290,0)</f>
        <v>#DIV/0!</v>
      </c>
      <c r="AN290" s="5" t="e">
        <f>IF('Entrada e Saida'!$H$13= "NÃO",AE290,0)</f>
        <v>#DIV/0!</v>
      </c>
      <c r="AO290" s="5" t="e">
        <f t="shared" si="143"/>
        <v>#DIV/0!</v>
      </c>
      <c r="AP290" s="4" t="e">
        <f t="shared" si="144"/>
        <v>#DIV/0!</v>
      </c>
      <c r="AQ290" s="3" t="e">
        <f>IF('Entrada e Saida'!$H$11="TRADING",AU290*'Custo Resumido'!D290,0)</f>
        <v>#DIV/0!</v>
      </c>
      <c r="AR290" s="3" t="e">
        <f>IF('Entrada e Saida'!$H$11="TRADING",AU290*'Entrada e Saida'!$G$63,0)</f>
        <v>#DIV/0!</v>
      </c>
      <c r="AS290" s="3" t="e">
        <f>IF('Entrada e Saida'!$H$11="TRADING",AU290*'Entrada e Saida'!$G$64,0)</f>
        <v>#DIV/0!</v>
      </c>
      <c r="AT290" s="3" t="e">
        <f>IF('Entrada e Saida'!$H$11="TRADING",AU290*'Entrada e Saida'!$G$65,0)</f>
        <v>#DIV/0!</v>
      </c>
      <c r="AU290" s="4" t="e">
        <f>IF('Entrada e Saida'!$H$11="TRADING",AP290/(1-(SUM('Entrada e Saida'!$G$63:$G$65)+'Custo Resumido'!D290)),0)</f>
        <v>#DIV/0!</v>
      </c>
      <c r="AV290" s="3" t="e">
        <f>IF('Entrada e Saida'!$H$13="NÃO",AU290*M290,0)</f>
        <v>#DIV/0!</v>
      </c>
      <c r="AW290" s="4" t="e">
        <f t="shared" si="145"/>
        <v>#DIV/0!</v>
      </c>
      <c r="AX290" s="3" t="e">
        <f>'Entrada e Saida'!$G$74*AU290</f>
        <v>#DIV/0!</v>
      </c>
      <c r="AY290" s="4" t="e">
        <f t="shared" si="146"/>
        <v>#DIV/0!</v>
      </c>
      <c r="AZ290" s="4" t="e">
        <f>AQ290+('Entrada e Saida'!$G$65-'Entrada e Saida'!$I$65)*AU290-AX290</f>
        <v>#DIV/0!</v>
      </c>
      <c r="BA290" s="3" t="e">
        <f>IF('Entrada e Saida'!$H$12="REAL",AZ290*'Entrada e Saida'!$G$81,AU290*'Entrada e Saida'!$G$81)</f>
        <v>#DIV/0!</v>
      </c>
      <c r="BB290" s="3" t="e">
        <f>IF('Entrada e Saida'!$H$12="REAL",AZ290*'Entrada e Saida'!$G$82,AU290*'Entrada e Saida'!$G$82)</f>
        <v>#DIV/0!</v>
      </c>
      <c r="BC290" s="4" t="e">
        <f t="shared" si="147"/>
        <v>#DIV/0!</v>
      </c>
      <c r="BD290" s="3" t="e">
        <f>IF('Entrada e Saida'!$H$11="TRADING",AW290/D290,AK290/D290)</f>
        <v>#DIV/0!</v>
      </c>
      <c r="BE290" s="3" t="e">
        <f t="shared" si="148"/>
        <v>#DIV/0!</v>
      </c>
      <c r="BF290" s="2" t="e">
        <f t="shared" si="149"/>
        <v>#DIV/0!</v>
      </c>
      <c r="BG290" s="3" t="e">
        <f>IF('Entrada e Saida'!$H$11="TRADING",AV290/D290,AN290/D290)</f>
        <v>#DIV/0!</v>
      </c>
      <c r="BH290" s="3" t="e">
        <f>IF('Entrada e Saida'!$H$11="TRADING",IF('Entrada e Saida'!$H$12="REAL",AR290/D290,0),AL290/D290)</f>
        <v>#DIV/0!</v>
      </c>
      <c r="BI290" s="3" t="e">
        <f>IF('Entrada e Saida'!$H$11="TRADING",IF('Entrada e Saida'!$H$12="REAL",AS290/D290,0),AM290/D290)</f>
        <v>#DIV/0!</v>
      </c>
      <c r="BJ290" s="3" t="e">
        <f>IF('Entrada e Saida'!$H$11="TRADING",AT290/D290,AO290/D290)</f>
        <v>#DIV/0!</v>
      </c>
      <c r="BK290" s="2" t="e">
        <f t="shared" si="150"/>
        <v>#DIV/0!</v>
      </c>
      <c r="BL290" s="2">
        <f>IF(O290&gt;0,IFERROR(IF('Entrada e Saida'!$H$11="DIRETA",0,(IF('Entrada e Saida'!$H$14="P.JURIDICA",(BD290*(1+O290)*N290)-((BD290/(1+M290))*'Entrada e Saida'!$G$65),((Produtos!N290-'Entrada e Saida'!$G$65)*Produtos!BD290)))),0),0)</f>
        <v>0</v>
      </c>
      <c r="BM290" s="2" t="e">
        <f t="shared" si="151"/>
        <v>#DIV/0!</v>
      </c>
    </row>
    <row r="291" spans="1:65" s="1" customFormat="1">
      <c r="A291" s="127"/>
      <c r="B291" s="114"/>
      <c r="C291" s="116"/>
      <c r="D291" s="146"/>
      <c r="E291" s="115">
        <f>IFERROR(VLOOKUP(A291,'Master Modelo'!A:I,9,FALSE),0)</f>
        <v>0</v>
      </c>
      <c r="F291" s="189">
        <f>IFERROR(VLOOKUP(A291,'Master Modelo'!A:I,8,FALSE),0)</f>
        <v>0</v>
      </c>
      <c r="G291" s="189">
        <f>IFERROR(VLOOKUP(A291,'Master Modelo'!A:K,11,FALSE),0)</f>
        <v>0</v>
      </c>
      <c r="H291" s="114" t="e">
        <f t="shared" si="134"/>
        <v>#DIV/0!</v>
      </c>
      <c r="I291" s="150">
        <f>IFERROR(VLOOKUP(A291,'Master Modelo'!A:I,3,FALSE),0)</f>
        <v>0</v>
      </c>
      <c r="J291" s="151">
        <f>IFERROR(VLOOKUP(A291,'Master Modelo'!A:I,5,FALSE),0)</f>
        <v>0</v>
      </c>
      <c r="K291" s="151">
        <f>IFERROR(VLOOKUP(A291,'Master Modelo'!A:I,6,FALSE),0)</f>
        <v>0</v>
      </c>
      <c r="L291" s="152" t="e">
        <f>VLOOKUP(A291,'Master Modelo'!A:J,10,FALSE)</f>
        <v>#N/A</v>
      </c>
      <c r="M291" s="150">
        <f>IFERROR(VLOOKUP(A291,'Master Modelo'!A:I,4,FALSE),0)</f>
        <v>0</v>
      </c>
      <c r="N291" s="128"/>
      <c r="O291" s="129"/>
      <c r="P291" s="9">
        <f t="shared" si="135"/>
        <v>0</v>
      </c>
      <c r="Q291" s="177">
        <f t="shared" si="133"/>
        <v>0</v>
      </c>
      <c r="R291" s="3">
        <f>D291*E291*'Entrada e Saida'!$K$8</f>
        <v>0</v>
      </c>
      <c r="S291" s="179" t="e">
        <f>'Entrada e Saida'!$H$21*'Entrada e Saida'!$K$8*(P291/(SUM(P:P)))</f>
        <v>#DIV/0!</v>
      </c>
      <c r="T291" s="179" t="e">
        <f>'Entrada e Saida'!$H$21*'Entrada e Saida'!$K$8*(Q291/(SUM(Q:Q)))</f>
        <v>#DIV/0!</v>
      </c>
      <c r="U291" s="179" t="e">
        <f>'Entrada e Saida'!$H$22*(P291/(SUM(P:P)))</f>
        <v>#DIV/0!</v>
      </c>
      <c r="V291" s="179" t="e">
        <f>'Entrada e Saida'!$H$22*(Q291/(SUM(Q:Q)))</f>
        <v>#DIV/0!</v>
      </c>
      <c r="W291" s="8" t="e">
        <f t="shared" si="136"/>
        <v>#DIV/0!</v>
      </c>
      <c r="X291" s="179" t="e">
        <f>'Entrada e Saida'!$H$26*(IF('Entrada e Saida'!$H$15="PESO",(P291/(SUM(P:P))),(Q291/(SUM(Q:Q)))))</f>
        <v>#DIV/0!</v>
      </c>
      <c r="Y291" s="179" t="e">
        <f>'Entrada e Saida'!$H$27*(IF('Entrada e Saida'!$H$15="PESO",(P291/(SUM(P:P))),(Q291/(SUM(Q:Q)))))</f>
        <v>#DIV/0!</v>
      </c>
      <c r="Z291" s="179" t="e">
        <f>'Entrada e Saida'!$H$28*(IF('Entrada e Saida'!$H$15="PESO",(P291/(SUM(P:P))),(Q291/(SUM(Q:Q)))))</f>
        <v>#DIV/0!</v>
      </c>
      <c r="AA291" s="10" t="e">
        <f t="shared" si="137"/>
        <v>#DIV/0!</v>
      </c>
      <c r="AB291" s="3" t="e">
        <f t="shared" si="138"/>
        <v>#DIV/0!</v>
      </c>
      <c r="AC291" s="3" t="e">
        <f t="shared" si="139"/>
        <v>#DIV/0!</v>
      </c>
      <c r="AD291" s="3" t="e">
        <f t="shared" si="140"/>
        <v>#DIV/0!</v>
      </c>
      <c r="AE291" s="9" t="e">
        <f t="shared" si="141"/>
        <v>#DIV/0!</v>
      </c>
      <c r="AF291" s="126">
        <f>IFERROR(D291*F291*L291*'Entrada e Saida'!$K$8,0)</f>
        <v>0</v>
      </c>
      <c r="AG291" s="3" t="e">
        <f>((W291+AA291+AB291+AC291+AD291+AE291+AF291)/(1-'Entrada e Saida'!$G$65))*'Entrada e Saida'!$I$66</f>
        <v>#DIV/0!</v>
      </c>
      <c r="AH291" s="8" t="e">
        <f t="shared" si="142"/>
        <v>#DIV/0!</v>
      </c>
      <c r="AI291" s="183" t="e">
        <f>'Entrada e Saida'!$K$51*(IF('Entrada e Saida'!$H$15="PESO",(P291/(SUM(P:P))),(Q291/(SUM(Q:Q)))))</f>
        <v>#DIV/0!</v>
      </c>
      <c r="AJ291" s="7">
        <f>(('Entrada e Saida'!$K$10-'Entrada e Saida'!$K$8)*E291*D291)</f>
        <v>0</v>
      </c>
      <c r="AK291" s="184" t="e">
        <f>IF('Entrada e Saida'!$H$15="PESO",W291+AA291+AH291+AI291+AJ291,W291+AA291+AH291+AI291+AJ291-S291+T291-U291+V291)</f>
        <v>#DIV/0!</v>
      </c>
      <c r="AL291" s="6" t="e">
        <f>IF('Entrada e Saida'!$H$12="REAL",AC291,0)</f>
        <v>#DIV/0!</v>
      </c>
      <c r="AM291" s="6" t="e">
        <f>IF('Entrada e Saida'!$H$12="REAL",AD291,0)</f>
        <v>#DIV/0!</v>
      </c>
      <c r="AN291" s="5" t="e">
        <f>IF('Entrada e Saida'!$H$13= "NÃO",AE291,0)</f>
        <v>#DIV/0!</v>
      </c>
      <c r="AO291" s="5" t="e">
        <f t="shared" si="143"/>
        <v>#DIV/0!</v>
      </c>
      <c r="AP291" s="4" t="e">
        <f t="shared" si="144"/>
        <v>#DIV/0!</v>
      </c>
      <c r="AQ291" s="3" t="e">
        <f>IF('Entrada e Saida'!$H$11="TRADING",AU291*'Custo Resumido'!D291,0)</f>
        <v>#DIV/0!</v>
      </c>
      <c r="AR291" s="3" t="e">
        <f>IF('Entrada e Saida'!$H$11="TRADING",AU291*'Entrada e Saida'!$G$63,0)</f>
        <v>#DIV/0!</v>
      </c>
      <c r="AS291" s="3" t="e">
        <f>IF('Entrada e Saida'!$H$11="TRADING",AU291*'Entrada e Saida'!$G$64,0)</f>
        <v>#DIV/0!</v>
      </c>
      <c r="AT291" s="3" t="e">
        <f>IF('Entrada e Saida'!$H$11="TRADING",AU291*'Entrada e Saida'!$G$65,0)</f>
        <v>#DIV/0!</v>
      </c>
      <c r="AU291" s="4" t="e">
        <f>IF('Entrada e Saida'!$H$11="TRADING",AP291/(1-(SUM('Entrada e Saida'!$G$63:$G$65)+'Custo Resumido'!D291)),0)</f>
        <v>#DIV/0!</v>
      </c>
      <c r="AV291" s="3" t="e">
        <f>IF('Entrada e Saida'!$H$13="NÃO",AU291*M291,0)</f>
        <v>#DIV/0!</v>
      </c>
      <c r="AW291" s="4" t="e">
        <f t="shared" si="145"/>
        <v>#DIV/0!</v>
      </c>
      <c r="AX291" s="3" t="e">
        <f>'Entrada e Saida'!$G$74*AU291</f>
        <v>#DIV/0!</v>
      </c>
      <c r="AY291" s="4" t="e">
        <f t="shared" si="146"/>
        <v>#DIV/0!</v>
      </c>
      <c r="AZ291" s="4" t="e">
        <f>AQ291+('Entrada e Saida'!$G$65-'Entrada e Saida'!$I$65)*AU291-AX291</f>
        <v>#DIV/0!</v>
      </c>
      <c r="BA291" s="3" t="e">
        <f>IF('Entrada e Saida'!$H$12="REAL",AZ291*'Entrada e Saida'!$G$81,AU291*'Entrada e Saida'!$G$81)</f>
        <v>#DIV/0!</v>
      </c>
      <c r="BB291" s="3" t="e">
        <f>IF('Entrada e Saida'!$H$12="REAL",AZ291*'Entrada e Saida'!$G$82,AU291*'Entrada e Saida'!$G$82)</f>
        <v>#DIV/0!</v>
      </c>
      <c r="BC291" s="4" t="e">
        <f t="shared" si="147"/>
        <v>#DIV/0!</v>
      </c>
      <c r="BD291" s="3" t="e">
        <f>IF('Entrada e Saida'!$H$11="TRADING",AW291/D291,AK291/D291)</f>
        <v>#DIV/0!</v>
      </c>
      <c r="BE291" s="3" t="e">
        <f t="shared" si="148"/>
        <v>#DIV/0!</v>
      </c>
      <c r="BF291" s="2" t="e">
        <f t="shared" si="149"/>
        <v>#DIV/0!</v>
      </c>
      <c r="BG291" s="3" t="e">
        <f>IF('Entrada e Saida'!$H$11="TRADING",AV291/D291,AN291/D291)</f>
        <v>#DIV/0!</v>
      </c>
      <c r="BH291" s="3" t="e">
        <f>IF('Entrada e Saida'!$H$11="TRADING",IF('Entrada e Saida'!$H$12="REAL",AR291/D291,0),AL291/D291)</f>
        <v>#DIV/0!</v>
      </c>
      <c r="BI291" s="3" t="e">
        <f>IF('Entrada e Saida'!$H$11="TRADING",IF('Entrada e Saida'!$H$12="REAL",AS291/D291,0),AM291/D291)</f>
        <v>#DIV/0!</v>
      </c>
      <c r="BJ291" s="3" t="e">
        <f>IF('Entrada e Saida'!$H$11="TRADING",AT291/D291,AO291/D291)</f>
        <v>#DIV/0!</v>
      </c>
      <c r="BK291" s="2" t="e">
        <f t="shared" si="150"/>
        <v>#DIV/0!</v>
      </c>
      <c r="BL291" s="2">
        <f>IF(O291&gt;0,IFERROR(IF('Entrada e Saida'!$H$11="DIRETA",0,(IF('Entrada e Saida'!$H$14="P.JURIDICA",(BD291*(1+O291)*N291)-((BD291/(1+M291))*'Entrada e Saida'!$G$65),((Produtos!N291-'Entrada e Saida'!$G$65)*Produtos!BD291)))),0),0)</f>
        <v>0</v>
      </c>
      <c r="BM291" s="2" t="e">
        <f t="shared" si="151"/>
        <v>#DIV/0!</v>
      </c>
    </row>
    <row r="292" spans="1:65" s="1" customFormat="1">
      <c r="A292" s="127"/>
      <c r="B292" s="114"/>
      <c r="C292" s="116"/>
      <c r="D292" s="146"/>
      <c r="E292" s="115">
        <f>IFERROR(VLOOKUP(A292,'Master Modelo'!A:I,9,FALSE),0)</f>
        <v>0</v>
      </c>
      <c r="F292" s="189">
        <f>IFERROR(VLOOKUP(A292,'Master Modelo'!A:I,8,FALSE),0)</f>
        <v>0</v>
      </c>
      <c r="G292" s="189">
        <f>IFERROR(VLOOKUP(A292,'Master Modelo'!A:K,11,FALSE),0)</f>
        <v>0</v>
      </c>
      <c r="H292" s="114" t="e">
        <f t="shared" si="134"/>
        <v>#DIV/0!</v>
      </c>
      <c r="I292" s="150">
        <f>IFERROR(VLOOKUP(A292,'Master Modelo'!A:I,3,FALSE),0)</f>
        <v>0</v>
      </c>
      <c r="J292" s="151">
        <f>IFERROR(VLOOKUP(A292,'Master Modelo'!A:I,5,FALSE),0)</f>
        <v>0</v>
      </c>
      <c r="K292" s="151">
        <f>IFERROR(VLOOKUP(A292,'Master Modelo'!A:I,6,FALSE),0)</f>
        <v>0</v>
      </c>
      <c r="L292" s="152" t="e">
        <f>VLOOKUP(A292,'Master Modelo'!A:J,10,FALSE)</f>
        <v>#N/A</v>
      </c>
      <c r="M292" s="150">
        <f>IFERROR(VLOOKUP(A292,'Master Modelo'!A:I,4,FALSE),0)</f>
        <v>0</v>
      </c>
      <c r="N292" s="128"/>
      <c r="O292" s="129"/>
      <c r="P292" s="9">
        <f t="shared" si="135"/>
        <v>0</v>
      </c>
      <c r="Q292" s="177">
        <f t="shared" si="133"/>
        <v>0</v>
      </c>
      <c r="R292" s="3">
        <f>D292*E292*'Entrada e Saida'!$K$8</f>
        <v>0</v>
      </c>
      <c r="S292" s="179" t="e">
        <f>'Entrada e Saida'!$H$21*'Entrada e Saida'!$K$8*(P292/(SUM(P:P)))</f>
        <v>#DIV/0!</v>
      </c>
      <c r="T292" s="179" t="e">
        <f>'Entrada e Saida'!$H$21*'Entrada e Saida'!$K$8*(Q292/(SUM(Q:Q)))</f>
        <v>#DIV/0!</v>
      </c>
      <c r="U292" s="179" t="e">
        <f>'Entrada e Saida'!$H$22*(P292/(SUM(P:P)))</f>
        <v>#DIV/0!</v>
      </c>
      <c r="V292" s="179" t="e">
        <f>'Entrada e Saida'!$H$22*(Q292/(SUM(Q:Q)))</f>
        <v>#DIV/0!</v>
      </c>
      <c r="W292" s="8" t="e">
        <f t="shared" si="136"/>
        <v>#DIV/0!</v>
      </c>
      <c r="X292" s="179" t="e">
        <f>'Entrada e Saida'!$H$26*(IF('Entrada e Saida'!$H$15="PESO",(P292/(SUM(P:P))),(Q292/(SUM(Q:Q)))))</f>
        <v>#DIV/0!</v>
      </c>
      <c r="Y292" s="179" t="e">
        <f>'Entrada e Saida'!$H$27*(IF('Entrada e Saida'!$H$15="PESO",(P292/(SUM(P:P))),(Q292/(SUM(Q:Q)))))</f>
        <v>#DIV/0!</v>
      </c>
      <c r="Z292" s="179" t="e">
        <f>'Entrada e Saida'!$H$28*(IF('Entrada e Saida'!$H$15="PESO",(P292/(SUM(P:P))),(Q292/(SUM(Q:Q)))))</f>
        <v>#DIV/0!</v>
      </c>
      <c r="AA292" s="10" t="e">
        <f t="shared" si="137"/>
        <v>#DIV/0!</v>
      </c>
      <c r="AB292" s="3" t="e">
        <f t="shared" si="138"/>
        <v>#DIV/0!</v>
      </c>
      <c r="AC292" s="3" t="e">
        <f t="shared" si="139"/>
        <v>#DIV/0!</v>
      </c>
      <c r="AD292" s="3" t="e">
        <f t="shared" si="140"/>
        <v>#DIV/0!</v>
      </c>
      <c r="AE292" s="9" t="e">
        <f t="shared" si="141"/>
        <v>#DIV/0!</v>
      </c>
      <c r="AF292" s="126">
        <f>IFERROR(D292*F292*L292*'Entrada e Saida'!$K$8,0)</f>
        <v>0</v>
      </c>
      <c r="AG292" s="3" t="e">
        <f>((W292+AA292+AB292+AC292+AD292+AE292+AF292)/(1-'Entrada e Saida'!$G$65))*'Entrada e Saida'!$I$66</f>
        <v>#DIV/0!</v>
      </c>
      <c r="AH292" s="8" t="e">
        <f t="shared" si="142"/>
        <v>#DIV/0!</v>
      </c>
      <c r="AI292" s="183" t="e">
        <f>'Entrada e Saida'!$K$51*(IF('Entrada e Saida'!$H$15="PESO",(P292/(SUM(P:P))),(Q292/(SUM(Q:Q)))))</f>
        <v>#DIV/0!</v>
      </c>
      <c r="AJ292" s="7">
        <f>(('Entrada e Saida'!$K$10-'Entrada e Saida'!$K$8)*E292*D292)</f>
        <v>0</v>
      </c>
      <c r="AK292" s="184" t="e">
        <f>IF('Entrada e Saida'!$H$15="PESO",W292+AA292+AH292+AI292+AJ292,W292+AA292+AH292+AI292+AJ292-S292+T292-U292+V292)</f>
        <v>#DIV/0!</v>
      </c>
      <c r="AL292" s="6" t="e">
        <f>IF('Entrada e Saida'!$H$12="REAL",AC292,0)</f>
        <v>#DIV/0!</v>
      </c>
      <c r="AM292" s="6" t="e">
        <f>IF('Entrada e Saida'!$H$12="REAL",AD292,0)</f>
        <v>#DIV/0!</v>
      </c>
      <c r="AN292" s="5" t="e">
        <f>IF('Entrada e Saida'!$H$13= "NÃO",AE292,0)</f>
        <v>#DIV/0!</v>
      </c>
      <c r="AO292" s="5" t="e">
        <f t="shared" si="143"/>
        <v>#DIV/0!</v>
      </c>
      <c r="AP292" s="4" t="e">
        <f t="shared" si="144"/>
        <v>#DIV/0!</v>
      </c>
      <c r="AQ292" s="3" t="e">
        <f>IF('Entrada e Saida'!$H$11="TRADING",AU292*'Custo Resumido'!D292,0)</f>
        <v>#DIV/0!</v>
      </c>
      <c r="AR292" s="3" t="e">
        <f>IF('Entrada e Saida'!$H$11="TRADING",AU292*'Entrada e Saida'!$G$63,0)</f>
        <v>#DIV/0!</v>
      </c>
      <c r="AS292" s="3" t="e">
        <f>IF('Entrada e Saida'!$H$11="TRADING",AU292*'Entrada e Saida'!$G$64,0)</f>
        <v>#DIV/0!</v>
      </c>
      <c r="AT292" s="3" t="e">
        <f>IF('Entrada e Saida'!$H$11="TRADING",AU292*'Entrada e Saida'!$G$65,0)</f>
        <v>#DIV/0!</v>
      </c>
      <c r="AU292" s="4" t="e">
        <f>IF('Entrada e Saida'!$H$11="TRADING",AP292/(1-(SUM('Entrada e Saida'!$G$63:$G$65)+'Custo Resumido'!D292)),0)</f>
        <v>#DIV/0!</v>
      </c>
      <c r="AV292" s="3" t="e">
        <f>IF('Entrada e Saida'!$H$13="NÃO",AU292*M292,0)</f>
        <v>#DIV/0!</v>
      </c>
      <c r="AW292" s="4" t="e">
        <f t="shared" si="145"/>
        <v>#DIV/0!</v>
      </c>
      <c r="AX292" s="3" t="e">
        <f>'Entrada e Saida'!$G$74*AU292</f>
        <v>#DIV/0!</v>
      </c>
      <c r="AY292" s="4" t="e">
        <f t="shared" si="146"/>
        <v>#DIV/0!</v>
      </c>
      <c r="AZ292" s="4" t="e">
        <f>AQ292+('Entrada e Saida'!$G$65-'Entrada e Saida'!$I$65)*AU292-AX292</f>
        <v>#DIV/0!</v>
      </c>
      <c r="BA292" s="3" t="e">
        <f>IF('Entrada e Saida'!$H$12="REAL",AZ292*'Entrada e Saida'!$G$81,AU292*'Entrada e Saida'!$G$81)</f>
        <v>#DIV/0!</v>
      </c>
      <c r="BB292" s="3" t="e">
        <f>IF('Entrada e Saida'!$H$12="REAL",AZ292*'Entrada e Saida'!$G$82,AU292*'Entrada e Saida'!$G$82)</f>
        <v>#DIV/0!</v>
      </c>
      <c r="BC292" s="4" t="e">
        <f t="shared" si="147"/>
        <v>#DIV/0!</v>
      </c>
      <c r="BD292" s="3" t="e">
        <f>IF('Entrada e Saida'!$H$11="TRADING",AW292/D292,AK292/D292)</f>
        <v>#DIV/0!</v>
      </c>
      <c r="BE292" s="3" t="e">
        <f t="shared" si="148"/>
        <v>#DIV/0!</v>
      </c>
      <c r="BF292" s="2" t="e">
        <f t="shared" si="149"/>
        <v>#DIV/0!</v>
      </c>
      <c r="BG292" s="3" t="e">
        <f>IF('Entrada e Saida'!$H$11="TRADING",AV292/D292,AN292/D292)</f>
        <v>#DIV/0!</v>
      </c>
      <c r="BH292" s="3" t="e">
        <f>IF('Entrada e Saida'!$H$11="TRADING",IF('Entrada e Saida'!$H$12="REAL",AR292/D292,0),AL292/D292)</f>
        <v>#DIV/0!</v>
      </c>
      <c r="BI292" s="3" t="e">
        <f>IF('Entrada e Saida'!$H$11="TRADING",IF('Entrada e Saida'!$H$12="REAL",AS292/D292,0),AM292/D292)</f>
        <v>#DIV/0!</v>
      </c>
      <c r="BJ292" s="3" t="e">
        <f>IF('Entrada e Saida'!$H$11="TRADING",AT292/D292,AO292/D292)</f>
        <v>#DIV/0!</v>
      </c>
      <c r="BK292" s="2" t="e">
        <f t="shared" si="150"/>
        <v>#DIV/0!</v>
      </c>
      <c r="BL292" s="2">
        <f>IF(O292&gt;0,IFERROR(IF('Entrada e Saida'!$H$11="DIRETA",0,(IF('Entrada e Saida'!$H$14="P.JURIDICA",(BD292*(1+O292)*N292)-((BD292/(1+M292))*'Entrada e Saida'!$G$65),((Produtos!N292-'Entrada e Saida'!$G$65)*Produtos!BD292)))),0),0)</f>
        <v>0</v>
      </c>
      <c r="BM292" s="2" t="e">
        <f t="shared" si="151"/>
        <v>#DIV/0!</v>
      </c>
    </row>
    <row r="293" spans="1:65" s="1" customFormat="1">
      <c r="A293" s="127"/>
      <c r="B293" s="114"/>
      <c r="C293" s="116"/>
      <c r="D293" s="146"/>
      <c r="E293" s="115">
        <f>IFERROR(VLOOKUP(A293,'Master Modelo'!A:I,9,FALSE),0)</f>
        <v>0</v>
      </c>
      <c r="F293" s="189">
        <f>IFERROR(VLOOKUP(A293,'Master Modelo'!A:I,8,FALSE),0)</f>
        <v>0</v>
      </c>
      <c r="G293" s="189">
        <f>IFERROR(VLOOKUP(A293,'Master Modelo'!A:K,11,FALSE),0)</f>
        <v>0</v>
      </c>
      <c r="H293" s="114" t="e">
        <f t="shared" si="134"/>
        <v>#DIV/0!</v>
      </c>
      <c r="I293" s="150">
        <f>IFERROR(VLOOKUP(A293,'Master Modelo'!A:I,3,FALSE),0)</f>
        <v>0</v>
      </c>
      <c r="J293" s="151">
        <f>IFERROR(VLOOKUP(A293,'Master Modelo'!A:I,5,FALSE),0)</f>
        <v>0</v>
      </c>
      <c r="K293" s="151">
        <f>IFERROR(VLOOKUP(A293,'Master Modelo'!A:I,6,FALSE),0)</f>
        <v>0</v>
      </c>
      <c r="L293" s="152" t="e">
        <f>VLOOKUP(A293,'Master Modelo'!A:J,10,FALSE)</f>
        <v>#N/A</v>
      </c>
      <c r="M293" s="150">
        <f>IFERROR(VLOOKUP(A293,'Master Modelo'!A:I,4,FALSE),0)</f>
        <v>0</v>
      </c>
      <c r="N293" s="128"/>
      <c r="O293" s="129"/>
      <c r="P293" s="9">
        <f t="shared" si="135"/>
        <v>0</v>
      </c>
      <c r="Q293" s="177">
        <f t="shared" si="133"/>
        <v>0</v>
      </c>
      <c r="R293" s="3">
        <f>D293*E293*'Entrada e Saida'!$K$8</f>
        <v>0</v>
      </c>
      <c r="S293" s="179" t="e">
        <f>'Entrada e Saida'!$H$21*'Entrada e Saida'!$K$8*(P293/(SUM(P:P)))</f>
        <v>#DIV/0!</v>
      </c>
      <c r="T293" s="179" t="e">
        <f>'Entrada e Saida'!$H$21*'Entrada e Saida'!$K$8*(Q293/(SUM(Q:Q)))</f>
        <v>#DIV/0!</v>
      </c>
      <c r="U293" s="179" t="e">
        <f>'Entrada e Saida'!$H$22*(P293/(SUM(P:P)))</f>
        <v>#DIV/0!</v>
      </c>
      <c r="V293" s="179" t="e">
        <f>'Entrada e Saida'!$H$22*(Q293/(SUM(Q:Q)))</f>
        <v>#DIV/0!</v>
      </c>
      <c r="W293" s="8" t="e">
        <f t="shared" si="136"/>
        <v>#DIV/0!</v>
      </c>
      <c r="X293" s="179" t="e">
        <f>'Entrada e Saida'!$H$26*(IF('Entrada e Saida'!$H$15="PESO",(P293/(SUM(P:P))),(Q293/(SUM(Q:Q)))))</f>
        <v>#DIV/0!</v>
      </c>
      <c r="Y293" s="179" t="e">
        <f>'Entrada e Saida'!$H$27*(IF('Entrada e Saida'!$H$15="PESO",(P293/(SUM(P:P))),(Q293/(SUM(Q:Q)))))</f>
        <v>#DIV/0!</v>
      </c>
      <c r="Z293" s="179" t="e">
        <f>'Entrada e Saida'!$H$28*(IF('Entrada e Saida'!$H$15="PESO",(P293/(SUM(P:P))),(Q293/(SUM(Q:Q)))))</f>
        <v>#DIV/0!</v>
      </c>
      <c r="AA293" s="10" t="e">
        <f t="shared" si="137"/>
        <v>#DIV/0!</v>
      </c>
      <c r="AB293" s="3" t="e">
        <f t="shared" si="138"/>
        <v>#DIV/0!</v>
      </c>
      <c r="AC293" s="3" t="e">
        <f t="shared" si="139"/>
        <v>#DIV/0!</v>
      </c>
      <c r="AD293" s="3" t="e">
        <f t="shared" si="140"/>
        <v>#DIV/0!</v>
      </c>
      <c r="AE293" s="9" t="e">
        <f t="shared" si="141"/>
        <v>#DIV/0!</v>
      </c>
      <c r="AF293" s="126">
        <f>IFERROR(D293*F293*L293*'Entrada e Saida'!$K$8,0)</f>
        <v>0</v>
      </c>
      <c r="AG293" s="3" t="e">
        <f>((W293+AA293+AB293+AC293+AD293+AE293+AF293)/(1-'Entrada e Saida'!$G$65))*'Entrada e Saida'!$I$66</f>
        <v>#DIV/0!</v>
      </c>
      <c r="AH293" s="8" t="e">
        <f t="shared" si="142"/>
        <v>#DIV/0!</v>
      </c>
      <c r="AI293" s="183" t="e">
        <f>'Entrada e Saida'!$K$51*(IF('Entrada e Saida'!$H$15="PESO",(P293/(SUM(P:P))),(Q293/(SUM(Q:Q)))))</f>
        <v>#DIV/0!</v>
      </c>
      <c r="AJ293" s="7">
        <f>(('Entrada e Saida'!$K$10-'Entrada e Saida'!$K$8)*E293*D293)</f>
        <v>0</v>
      </c>
      <c r="AK293" s="184" t="e">
        <f>IF('Entrada e Saida'!$H$15="PESO",W293+AA293+AH293+AI293+AJ293,W293+AA293+AH293+AI293+AJ293-S293+T293-U293+V293)</f>
        <v>#DIV/0!</v>
      </c>
      <c r="AL293" s="6" t="e">
        <f>IF('Entrada e Saida'!$H$12="REAL",AC293,0)</f>
        <v>#DIV/0!</v>
      </c>
      <c r="AM293" s="6" t="e">
        <f>IF('Entrada e Saida'!$H$12="REAL",AD293,0)</f>
        <v>#DIV/0!</v>
      </c>
      <c r="AN293" s="5" t="e">
        <f>IF('Entrada e Saida'!$H$13= "NÃO",AE293,0)</f>
        <v>#DIV/0!</v>
      </c>
      <c r="AO293" s="5" t="e">
        <f t="shared" si="143"/>
        <v>#DIV/0!</v>
      </c>
      <c r="AP293" s="4" t="e">
        <f t="shared" si="144"/>
        <v>#DIV/0!</v>
      </c>
      <c r="AQ293" s="3" t="e">
        <f>IF('Entrada e Saida'!$H$11="TRADING",AU293*'Custo Resumido'!D293,0)</f>
        <v>#DIV/0!</v>
      </c>
      <c r="AR293" s="3" t="e">
        <f>IF('Entrada e Saida'!$H$11="TRADING",AU293*'Entrada e Saida'!$G$63,0)</f>
        <v>#DIV/0!</v>
      </c>
      <c r="AS293" s="3" t="e">
        <f>IF('Entrada e Saida'!$H$11="TRADING",AU293*'Entrada e Saida'!$G$64,0)</f>
        <v>#DIV/0!</v>
      </c>
      <c r="AT293" s="3" t="e">
        <f>IF('Entrada e Saida'!$H$11="TRADING",AU293*'Entrada e Saida'!$G$65,0)</f>
        <v>#DIV/0!</v>
      </c>
      <c r="AU293" s="4" t="e">
        <f>IF('Entrada e Saida'!$H$11="TRADING",AP293/(1-(SUM('Entrada e Saida'!$G$63:$G$65)+'Custo Resumido'!D293)),0)</f>
        <v>#DIV/0!</v>
      </c>
      <c r="AV293" s="3" t="e">
        <f>IF('Entrada e Saida'!$H$13="NÃO",AU293*M293,0)</f>
        <v>#DIV/0!</v>
      </c>
      <c r="AW293" s="4" t="e">
        <f t="shared" si="145"/>
        <v>#DIV/0!</v>
      </c>
      <c r="AX293" s="3" t="e">
        <f>'Entrada e Saida'!$G$74*AU293</f>
        <v>#DIV/0!</v>
      </c>
      <c r="AY293" s="4" t="e">
        <f t="shared" si="146"/>
        <v>#DIV/0!</v>
      </c>
      <c r="AZ293" s="4" t="e">
        <f>AQ293+('Entrada e Saida'!$G$65-'Entrada e Saida'!$I$65)*AU293-AX293</f>
        <v>#DIV/0!</v>
      </c>
      <c r="BA293" s="3" t="e">
        <f>IF('Entrada e Saida'!$H$12="REAL",AZ293*'Entrada e Saida'!$G$81,AU293*'Entrada e Saida'!$G$81)</f>
        <v>#DIV/0!</v>
      </c>
      <c r="BB293" s="3" t="e">
        <f>IF('Entrada e Saida'!$H$12="REAL",AZ293*'Entrada e Saida'!$G$82,AU293*'Entrada e Saida'!$G$82)</f>
        <v>#DIV/0!</v>
      </c>
      <c r="BC293" s="4" t="e">
        <f t="shared" si="147"/>
        <v>#DIV/0!</v>
      </c>
      <c r="BD293" s="3" t="e">
        <f>IF('Entrada e Saida'!$H$11="TRADING",AW293/D293,AK293/D293)</f>
        <v>#DIV/0!</v>
      </c>
      <c r="BE293" s="3" t="e">
        <f t="shared" si="148"/>
        <v>#DIV/0!</v>
      </c>
      <c r="BF293" s="2" t="e">
        <f t="shared" si="149"/>
        <v>#DIV/0!</v>
      </c>
      <c r="BG293" s="3" t="e">
        <f>IF('Entrada e Saida'!$H$11="TRADING",AV293/D293,AN293/D293)</f>
        <v>#DIV/0!</v>
      </c>
      <c r="BH293" s="3" t="e">
        <f>IF('Entrada e Saida'!$H$11="TRADING",IF('Entrada e Saida'!$H$12="REAL",AR293/D293,0),AL293/D293)</f>
        <v>#DIV/0!</v>
      </c>
      <c r="BI293" s="3" t="e">
        <f>IF('Entrada e Saida'!$H$11="TRADING",IF('Entrada e Saida'!$H$12="REAL",AS293/D293,0),AM293/D293)</f>
        <v>#DIV/0!</v>
      </c>
      <c r="BJ293" s="3" t="e">
        <f>IF('Entrada e Saida'!$H$11="TRADING",AT293/D293,AO293/D293)</f>
        <v>#DIV/0!</v>
      </c>
      <c r="BK293" s="2" t="e">
        <f t="shared" si="150"/>
        <v>#DIV/0!</v>
      </c>
      <c r="BL293" s="2">
        <f>IF(O293&gt;0,IFERROR(IF('Entrada e Saida'!$H$11="DIRETA",0,(IF('Entrada e Saida'!$H$14="P.JURIDICA",(BD293*(1+O293)*N293)-((BD293/(1+M293))*'Entrada e Saida'!$G$65),((Produtos!N293-'Entrada e Saida'!$G$65)*Produtos!BD293)))),0),0)</f>
        <v>0</v>
      </c>
      <c r="BM293" s="2" t="e">
        <f t="shared" si="151"/>
        <v>#DIV/0!</v>
      </c>
    </row>
    <row r="294" spans="1:65" s="1" customFormat="1">
      <c r="A294" s="127"/>
      <c r="B294" s="114"/>
      <c r="C294" s="116"/>
      <c r="D294" s="146"/>
      <c r="E294" s="115">
        <f>IFERROR(VLOOKUP(A294,'Master Modelo'!A:I,9,FALSE),0)</f>
        <v>0</v>
      </c>
      <c r="F294" s="189">
        <f>IFERROR(VLOOKUP(A294,'Master Modelo'!A:I,8,FALSE),0)</f>
        <v>0</v>
      </c>
      <c r="G294" s="189">
        <f>IFERROR(VLOOKUP(A294,'Master Modelo'!A:K,11,FALSE),0)</f>
        <v>0</v>
      </c>
      <c r="H294" s="114" t="e">
        <f t="shared" si="134"/>
        <v>#DIV/0!</v>
      </c>
      <c r="I294" s="150">
        <f>IFERROR(VLOOKUP(A294,'Master Modelo'!A:I,3,FALSE),0)</f>
        <v>0</v>
      </c>
      <c r="J294" s="151">
        <f>IFERROR(VLOOKUP(A294,'Master Modelo'!A:I,5,FALSE),0)</f>
        <v>0</v>
      </c>
      <c r="K294" s="151">
        <f>IFERROR(VLOOKUP(A294,'Master Modelo'!A:I,6,FALSE),0)</f>
        <v>0</v>
      </c>
      <c r="L294" s="152" t="e">
        <f>VLOOKUP(A294,'Master Modelo'!A:J,10,FALSE)</f>
        <v>#N/A</v>
      </c>
      <c r="M294" s="150">
        <f>IFERROR(VLOOKUP(A294,'Master Modelo'!A:I,4,FALSE),0)</f>
        <v>0</v>
      </c>
      <c r="N294" s="128"/>
      <c r="O294" s="129"/>
      <c r="P294" s="9">
        <f t="shared" si="135"/>
        <v>0</v>
      </c>
      <c r="Q294" s="177">
        <f t="shared" si="133"/>
        <v>0</v>
      </c>
      <c r="R294" s="3">
        <f>D294*E294*'Entrada e Saida'!$K$8</f>
        <v>0</v>
      </c>
      <c r="S294" s="179" t="e">
        <f>'Entrada e Saida'!$H$21*'Entrada e Saida'!$K$8*(P294/(SUM(P:P)))</f>
        <v>#DIV/0!</v>
      </c>
      <c r="T294" s="179" t="e">
        <f>'Entrada e Saida'!$H$21*'Entrada e Saida'!$K$8*(Q294/(SUM(Q:Q)))</f>
        <v>#DIV/0!</v>
      </c>
      <c r="U294" s="179" t="e">
        <f>'Entrada e Saida'!$H$22*(P294/(SUM(P:P)))</f>
        <v>#DIV/0!</v>
      </c>
      <c r="V294" s="179" t="e">
        <f>'Entrada e Saida'!$H$22*(Q294/(SUM(Q:Q)))</f>
        <v>#DIV/0!</v>
      </c>
      <c r="W294" s="8" t="e">
        <f t="shared" si="136"/>
        <v>#DIV/0!</v>
      </c>
      <c r="X294" s="179" t="e">
        <f>'Entrada e Saida'!$H$26*(IF('Entrada e Saida'!$H$15="PESO",(P294/(SUM(P:P))),(Q294/(SUM(Q:Q)))))</f>
        <v>#DIV/0!</v>
      </c>
      <c r="Y294" s="179" t="e">
        <f>'Entrada e Saida'!$H$27*(IF('Entrada e Saida'!$H$15="PESO",(P294/(SUM(P:P))),(Q294/(SUM(Q:Q)))))</f>
        <v>#DIV/0!</v>
      </c>
      <c r="Z294" s="179" t="e">
        <f>'Entrada e Saida'!$H$28*(IF('Entrada e Saida'!$H$15="PESO",(P294/(SUM(P:P))),(Q294/(SUM(Q:Q)))))</f>
        <v>#DIV/0!</v>
      </c>
      <c r="AA294" s="10" t="e">
        <f t="shared" si="137"/>
        <v>#DIV/0!</v>
      </c>
      <c r="AB294" s="3" t="e">
        <f t="shared" si="138"/>
        <v>#DIV/0!</v>
      </c>
      <c r="AC294" s="3" t="e">
        <f t="shared" si="139"/>
        <v>#DIV/0!</v>
      </c>
      <c r="AD294" s="3" t="e">
        <f t="shared" si="140"/>
        <v>#DIV/0!</v>
      </c>
      <c r="AE294" s="9" t="e">
        <f t="shared" si="141"/>
        <v>#DIV/0!</v>
      </c>
      <c r="AF294" s="126">
        <f>IFERROR(D294*F294*L294*'Entrada e Saida'!$K$8,0)</f>
        <v>0</v>
      </c>
      <c r="AG294" s="3" t="e">
        <f>((W294+AA294+AB294+AC294+AD294+AE294+AF294)/(1-'Entrada e Saida'!$G$65))*'Entrada e Saida'!$I$66</f>
        <v>#DIV/0!</v>
      </c>
      <c r="AH294" s="8" t="e">
        <f t="shared" si="142"/>
        <v>#DIV/0!</v>
      </c>
      <c r="AI294" s="183" t="e">
        <f>'Entrada e Saida'!$K$51*(IF('Entrada e Saida'!$H$15="PESO",(P294/(SUM(P:P))),(Q294/(SUM(Q:Q)))))</f>
        <v>#DIV/0!</v>
      </c>
      <c r="AJ294" s="7">
        <f>(('Entrada e Saida'!$K$10-'Entrada e Saida'!$K$8)*E294*D294)</f>
        <v>0</v>
      </c>
      <c r="AK294" s="184" t="e">
        <f>IF('Entrada e Saida'!$H$15="PESO",W294+AA294+AH294+AI294+AJ294,W294+AA294+AH294+AI294+AJ294-S294+T294-U294+V294)</f>
        <v>#DIV/0!</v>
      </c>
      <c r="AL294" s="6" t="e">
        <f>IF('Entrada e Saida'!$H$12="REAL",AC294,0)</f>
        <v>#DIV/0!</v>
      </c>
      <c r="AM294" s="6" t="e">
        <f>IF('Entrada e Saida'!$H$12="REAL",AD294,0)</f>
        <v>#DIV/0!</v>
      </c>
      <c r="AN294" s="5" t="e">
        <f>IF('Entrada e Saida'!$H$13= "NÃO",AE294,0)</f>
        <v>#DIV/0!</v>
      </c>
      <c r="AO294" s="5" t="e">
        <f t="shared" si="143"/>
        <v>#DIV/0!</v>
      </c>
      <c r="AP294" s="4" t="e">
        <f t="shared" si="144"/>
        <v>#DIV/0!</v>
      </c>
      <c r="AQ294" s="3" t="e">
        <f>IF('Entrada e Saida'!$H$11="TRADING",AU294*'Custo Resumido'!D294,0)</f>
        <v>#DIV/0!</v>
      </c>
      <c r="AR294" s="3" t="e">
        <f>IF('Entrada e Saida'!$H$11="TRADING",AU294*'Entrada e Saida'!$G$63,0)</f>
        <v>#DIV/0!</v>
      </c>
      <c r="AS294" s="3" t="e">
        <f>IF('Entrada e Saida'!$H$11="TRADING",AU294*'Entrada e Saida'!$G$64,0)</f>
        <v>#DIV/0!</v>
      </c>
      <c r="AT294" s="3" t="e">
        <f>IF('Entrada e Saida'!$H$11="TRADING",AU294*'Entrada e Saida'!$G$65,0)</f>
        <v>#DIV/0!</v>
      </c>
      <c r="AU294" s="4" t="e">
        <f>IF('Entrada e Saida'!$H$11="TRADING",AP294/(1-(SUM('Entrada e Saida'!$G$63:$G$65)+'Custo Resumido'!D294)),0)</f>
        <v>#DIV/0!</v>
      </c>
      <c r="AV294" s="3" t="e">
        <f>IF('Entrada e Saida'!$H$13="NÃO",AU294*M294,0)</f>
        <v>#DIV/0!</v>
      </c>
      <c r="AW294" s="4" t="e">
        <f t="shared" si="145"/>
        <v>#DIV/0!</v>
      </c>
      <c r="AX294" s="3" t="e">
        <f>'Entrada e Saida'!$G$74*AU294</f>
        <v>#DIV/0!</v>
      </c>
      <c r="AY294" s="4" t="e">
        <f t="shared" si="146"/>
        <v>#DIV/0!</v>
      </c>
      <c r="AZ294" s="4" t="e">
        <f>AQ294+('Entrada e Saida'!$G$65-'Entrada e Saida'!$I$65)*AU294-AX294</f>
        <v>#DIV/0!</v>
      </c>
      <c r="BA294" s="3" t="e">
        <f>IF('Entrada e Saida'!$H$12="REAL",AZ294*'Entrada e Saida'!$G$81,AU294*'Entrada e Saida'!$G$81)</f>
        <v>#DIV/0!</v>
      </c>
      <c r="BB294" s="3" t="e">
        <f>IF('Entrada e Saida'!$H$12="REAL",AZ294*'Entrada e Saida'!$G$82,AU294*'Entrada e Saida'!$G$82)</f>
        <v>#DIV/0!</v>
      </c>
      <c r="BC294" s="4" t="e">
        <f t="shared" si="147"/>
        <v>#DIV/0!</v>
      </c>
      <c r="BD294" s="3" t="e">
        <f>IF('Entrada e Saida'!$H$11="TRADING",AW294/D294,AK294/D294)</f>
        <v>#DIV/0!</v>
      </c>
      <c r="BE294" s="3" t="e">
        <f t="shared" si="148"/>
        <v>#DIV/0!</v>
      </c>
      <c r="BF294" s="2" t="e">
        <f t="shared" si="149"/>
        <v>#DIV/0!</v>
      </c>
      <c r="BG294" s="3" t="e">
        <f>IF('Entrada e Saida'!$H$11="TRADING",AV294/D294,AN294/D294)</f>
        <v>#DIV/0!</v>
      </c>
      <c r="BH294" s="3" t="e">
        <f>IF('Entrada e Saida'!$H$11="TRADING",IF('Entrada e Saida'!$H$12="REAL",AR294/D294,0),AL294/D294)</f>
        <v>#DIV/0!</v>
      </c>
      <c r="BI294" s="3" t="e">
        <f>IF('Entrada e Saida'!$H$11="TRADING",IF('Entrada e Saida'!$H$12="REAL",AS294/D294,0),AM294/D294)</f>
        <v>#DIV/0!</v>
      </c>
      <c r="BJ294" s="3" t="e">
        <f>IF('Entrada e Saida'!$H$11="TRADING",AT294/D294,AO294/D294)</f>
        <v>#DIV/0!</v>
      </c>
      <c r="BK294" s="2" t="e">
        <f t="shared" si="150"/>
        <v>#DIV/0!</v>
      </c>
      <c r="BL294" s="2">
        <f>IF(O294&gt;0,IFERROR(IF('Entrada e Saida'!$H$11="DIRETA",0,(IF('Entrada e Saida'!$H$14="P.JURIDICA",(BD294*(1+O294)*N294)-((BD294/(1+M294))*'Entrada e Saida'!$G$65),((Produtos!N294-'Entrada e Saida'!$G$65)*Produtos!BD294)))),0),0)</f>
        <v>0</v>
      </c>
      <c r="BM294" s="2" t="e">
        <f t="shared" si="151"/>
        <v>#DIV/0!</v>
      </c>
    </row>
    <row r="295" spans="1:65" s="1" customFormat="1">
      <c r="A295" s="127"/>
      <c r="B295" s="114"/>
      <c r="C295" s="116"/>
      <c r="D295" s="146"/>
      <c r="E295" s="115">
        <f>IFERROR(VLOOKUP(A295,'Master Modelo'!A:I,9,FALSE),0)</f>
        <v>0</v>
      </c>
      <c r="F295" s="189">
        <f>IFERROR(VLOOKUP(A295,'Master Modelo'!A:I,8,FALSE),0)</f>
        <v>0</v>
      </c>
      <c r="G295" s="189">
        <f>IFERROR(VLOOKUP(A295,'Master Modelo'!A:K,11,FALSE),0)</f>
        <v>0</v>
      </c>
      <c r="H295" s="114" t="e">
        <f t="shared" si="134"/>
        <v>#DIV/0!</v>
      </c>
      <c r="I295" s="150">
        <f>IFERROR(VLOOKUP(A295,'Master Modelo'!A:I,3,FALSE),0)</f>
        <v>0</v>
      </c>
      <c r="J295" s="151">
        <f>IFERROR(VLOOKUP(A295,'Master Modelo'!A:I,5,FALSE),0)</f>
        <v>0</v>
      </c>
      <c r="K295" s="151">
        <f>IFERROR(VLOOKUP(A295,'Master Modelo'!A:I,6,FALSE),0)</f>
        <v>0</v>
      </c>
      <c r="L295" s="152" t="e">
        <f>VLOOKUP(A295,'Master Modelo'!A:J,10,FALSE)</f>
        <v>#N/A</v>
      </c>
      <c r="M295" s="150">
        <f>IFERROR(VLOOKUP(A295,'Master Modelo'!A:I,4,FALSE),0)</f>
        <v>0</v>
      </c>
      <c r="N295" s="128"/>
      <c r="O295" s="129"/>
      <c r="P295" s="9">
        <f t="shared" si="135"/>
        <v>0</v>
      </c>
      <c r="Q295" s="177">
        <f t="shared" si="133"/>
        <v>0</v>
      </c>
      <c r="R295" s="3">
        <f>D295*E295*'Entrada e Saida'!$K$8</f>
        <v>0</v>
      </c>
      <c r="S295" s="179" t="e">
        <f>'Entrada e Saida'!$H$21*'Entrada e Saida'!$K$8*(P295/(SUM(P:P)))</f>
        <v>#DIV/0!</v>
      </c>
      <c r="T295" s="179" t="e">
        <f>'Entrada e Saida'!$H$21*'Entrada e Saida'!$K$8*(Q295/(SUM(Q:Q)))</f>
        <v>#DIV/0!</v>
      </c>
      <c r="U295" s="179" t="e">
        <f>'Entrada e Saida'!$H$22*(P295/(SUM(P:P)))</f>
        <v>#DIV/0!</v>
      </c>
      <c r="V295" s="179" t="e">
        <f>'Entrada e Saida'!$H$22*(Q295/(SUM(Q:Q)))</f>
        <v>#DIV/0!</v>
      </c>
      <c r="W295" s="8" t="e">
        <f t="shared" si="136"/>
        <v>#DIV/0!</v>
      </c>
      <c r="X295" s="179" t="e">
        <f>'Entrada e Saida'!$H$26*(IF('Entrada e Saida'!$H$15="PESO",(P295/(SUM(P:P))),(Q295/(SUM(Q:Q)))))</f>
        <v>#DIV/0!</v>
      </c>
      <c r="Y295" s="179" t="e">
        <f>'Entrada e Saida'!$H$27*(IF('Entrada e Saida'!$H$15="PESO",(P295/(SUM(P:P))),(Q295/(SUM(Q:Q)))))</f>
        <v>#DIV/0!</v>
      </c>
      <c r="Z295" s="179" t="e">
        <f>'Entrada e Saida'!$H$28*(IF('Entrada e Saida'!$H$15="PESO",(P295/(SUM(P:P))),(Q295/(SUM(Q:Q)))))</f>
        <v>#DIV/0!</v>
      </c>
      <c r="AA295" s="10" t="e">
        <f t="shared" si="137"/>
        <v>#DIV/0!</v>
      </c>
      <c r="AB295" s="3" t="e">
        <f t="shared" si="138"/>
        <v>#DIV/0!</v>
      </c>
      <c r="AC295" s="3" t="e">
        <f t="shared" si="139"/>
        <v>#DIV/0!</v>
      </c>
      <c r="AD295" s="3" t="e">
        <f t="shared" si="140"/>
        <v>#DIV/0!</v>
      </c>
      <c r="AE295" s="9" t="e">
        <f t="shared" si="141"/>
        <v>#DIV/0!</v>
      </c>
      <c r="AF295" s="126">
        <f>IFERROR(D295*F295*L295*'Entrada e Saida'!$K$8,0)</f>
        <v>0</v>
      </c>
      <c r="AG295" s="3" t="e">
        <f>((W295+AA295+AB295+AC295+AD295+AE295+AF295)/(1-'Entrada e Saida'!$G$65))*'Entrada e Saida'!$I$66</f>
        <v>#DIV/0!</v>
      </c>
      <c r="AH295" s="8" t="e">
        <f t="shared" si="142"/>
        <v>#DIV/0!</v>
      </c>
      <c r="AI295" s="183" t="e">
        <f>'Entrada e Saida'!$K$51*(IF('Entrada e Saida'!$H$15="PESO",(P295/(SUM(P:P))),(Q295/(SUM(Q:Q)))))</f>
        <v>#DIV/0!</v>
      </c>
      <c r="AJ295" s="7">
        <f>(('Entrada e Saida'!$K$10-'Entrada e Saida'!$K$8)*E295*D295)</f>
        <v>0</v>
      </c>
      <c r="AK295" s="184" t="e">
        <f>IF('Entrada e Saida'!$H$15="PESO",W295+AA295+AH295+AI295+AJ295,W295+AA295+AH295+AI295+AJ295-S295+T295-U295+V295)</f>
        <v>#DIV/0!</v>
      </c>
      <c r="AL295" s="6" t="e">
        <f>IF('Entrada e Saida'!$H$12="REAL",AC295,0)</f>
        <v>#DIV/0!</v>
      </c>
      <c r="AM295" s="6" t="e">
        <f>IF('Entrada e Saida'!$H$12="REAL",AD295,0)</f>
        <v>#DIV/0!</v>
      </c>
      <c r="AN295" s="5" t="e">
        <f>IF('Entrada e Saida'!$H$13= "NÃO",AE295,0)</f>
        <v>#DIV/0!</v>
      </c>
      <c r="AO295" s="5" t="e">
        <f t="shared" si="143"/>
        <v>#DIV/0!</v>
      </c>
      <c r="AP295" s="4" t="e">
        <f t="shared" si="144"/>
        <v>#DIV/0!</v>
      </c>
      <c r="AQ295" s="3" t="e">
        <f>IF('Entrada e Saida'!$H$11="TRADING",AU295*'Custo Resumido'!D295,0)</f>
        <v>#DIV/0!</v>
      </c>
      <c r="AR295" s="3" t="e">
        <f>IF('Entrada e Saida'!$H$11="TRADING",AU295*'Entrada e Saida'!$G$63,0)</f>
        <v>#DIV/0!</v>
      </c>
      <c r="AS295" s="3" t="e">
        <f>IF('Entrada e Saida'!$H$11="TRADING",AU295*'Entrada e Saida'!$G$64,0)</f>
        <v>#DIV/0!</v>
      </c>
      <c r="AT295" s="3" t="e">
        <f>IF('Entrada e Saida'!$H$11="TRADING",AU295*'Entrada e Saida'!$G$65,0)</f>
        <v>#DIV/0!</v>
      </c>
      <c r="AU295" s="4" t="e">
        <f>IF('Entrada e Saida'!$H$11="TRADING",AP295/(1-(SUM('Entrada e Saida'!$G$63:$G$65)+'Custo Resumido'!D295)),0)</f>
        <v>#DIV/0!</v>
      </c>
      <c r="AV295" s="3" t="e">
        <f>IF('Entrada e Saida'!$H$13="NÃO",AU295*M295,0)</f>
        <v>#DIV/0!</v>
      </c>
      <c r="AW295" s="4" t="e">
        <f t="shared" si="145"/>
        <v>#DIV/0!</v>
      </c>
      <c r="AX295" s="3" t="e">
        <f>'Entrada e Saida'!$G$74*AU295</f>
        <v>#DIV/0!</v>
      </c>
      <c r="AY295" s="4" t="e">
        <f t="shared" si="146"/>
        <v>#DIV/0!</v>
      </c>
      <c r="AZ295" s="4" t="e">
        <f>AQ295+('Entrada e Saida'!$G$65-'Entrada e Saida'!$I$65)*AU295-AX295</f>
        <v>#DIV/0!</v>
      </c>
      <c r="BA295" s="3" t="e">
        <f>IF('Entrada e Saida'!$H$12="REAL",AZ295*'Entrada e Saida'!$G$81,AU295*'Entrada e Saida'!$G$81)</f>
        <v>#DIV/0!</v>
      </c>
      <c r="BB295" s="3" t="e">
        <f>IF('Entrada e Saida'!$H$12="REAL",AZ295*'Entrada e Saida'!$G$82,AU295*'Entrada e Saida'!$G$82)</f>
        <v>#DIV/0!</v>
      </c>
      <c r="BC295" s="4" t="e">
        <f t="shared" si="147"/>
        <v>#DIV/0!</v>
      </c>
      <c r="BD295" s="3" t="e">
        <f>IF('Entrada e Saida'!$H$11="TRADING",AW295/D295,AK295/D295)</f>
        <v>#DIV/0!</v>
      </c>
      <c r="BE295" s="3" t="e">
        <f t="shared" si="148"/>
        <v>#DIV/0!</v>
      </c>
      <c r="BF295" s="2" t="e">
        <f t="shared" si="149"/>
        <v>#DIV/0!</v>
      </c>
      <c r="BG295" s="3" t="e">
        <f>IF('Entrada e Saida'!$H$11="TRADING",AV295/D295,AN295/D295)</f>
        <v>#DIV/0!</v>
      </c>
      <c r="BH295" s="3" t="e">
        <f>IF('Entrada e Saida'!$H$11="TRADING",IF('Entrada e Saida'!$H$12="REAL",AR295/D295,0),AL295/D295)</f>
        <v>#DIV/0!</v>
      </c>
      <c r="BI295" s="3" t="e">
        <f>IF('Entrada e Saida'!$H$11="TRADING",IF('Entrada e Saida'!$H$12="REAL",AS295/D295,0),AM295/D295)</f>
        <v>#DIV/0!</v>
      </c>
      <c r="BJ295" s="3" t="e">
        <f>IF('Entrada e Saida'!$H$11="TRADING",AT295/D295,AO295/D295)</f>
        <v>#DIV/0!</v>
      </c>
      <c r="BK295" s="2" t="e">
        <f t="shared" si="150"/>
        <v>#DIV/0!</v>
      </c>
      <c r="BL295" s="2">
        <f>IF(O295&gt;0,IFERROR(IF('Entrada e Saida'!$H$11="DIRETA",0,(IF('Entrada e Saida'!$H$14="P.JURIDICA",(BD295*(1+O295)*N295)-((BD295/(1+M295))*'Entrada e Saida'!$G$65),((Produtos!N295-'Entrada e Saida'!$G$65)*Produtos!BD295)))),0),0)</f>
        <v>0</v>
      </c>
      <c r="BM295" s="2" t="e">
        <f t="shared" si="151"/>
        <v>#DIV/0!</v>
      </c>
    </row>
    <row r="296" spans="1:65" s="1" customFormat="1">
      <c r="A296" s="127"/>
      <c r="B296" s="114"/>
      <c r="C296" s="116"/>
      <c r="D296" s="146"/>
      <c r="E296" s="115">
        <f>IFERROR(VLOOKUP(A296,'Master Modelo'!A:I,9,FALSE),0)</f>
        <v>0</v>
      </c>
      <c r="F296" s="189">
        <f>IFERROR(VLOOKUP(A296,'Master Modelo'!A:I,8,FALSE),0)</f>
        <v>0</v>
      </c>
      <c r="G296" s="189">
        <f>IFERROR(VLOOKUP(A296,'Master Modelo'!A:K,11,FALSE),0)</f>
        <v>0</v>
      </c>
      <c r="H296" s="114" t="e">
        <f t="shared" si="134"/>
        <v>#DIV/0!</v>
      </c>
      <c r="I296" s="150">
        <f>IFERROR(VLOOKUP(A296,'Master Modelo'!A:I,3,FALSE),0)</f>
        <v>0</v>
      </c>
      <c r="J296" s="151">
        <f>IFERROR(VLOOKUP(A296,'Master Modelo'!A:I,5,FALSE),0)</f>
        <v>0</v>
      </c>
      <c r="K296" s="151">
        <f>IFERROR(VLOOKUP(A296,'Master Modelo'!A:I,6,FALSE),0)</f>
        <v>0</v>
      </c>
      <c r="L296" s="152" t="e">
        <f>VLOOKUP(A296,'Master Modelo'!A:J,10,FALSE)</f>
        <v>#N/A</v>
      </c>
      <c r="M296" s="150">
        <f>IFERROR(VLOOKUP(A296,'Master Modelo'!A:I,4,FALSE),0)</f>
        <v>0</v>
      </c>
      <c r="N296" s="128"/>
      <c r="O296" s="129"/>
      <c r="P296" s="9">
        <f t="shared" si="135"/>
        <v>0</v>
      </c>
      <c r="Q296" s="177">
        <f t="shared" si="133"/>
        <v>0</v>
      </c>
      <c r="R296" s="3">
        <f>D296*E296*'Entrada e Saida'!$K$8</f>
        <v>0</v>
      </c>
      <c r="S296" s="179" t="e">
        <f>'Entrada e Saida'!$H$21*'Entrada e Saida'!$K$8*(P296/(SUM(P:P)))</f>
        <v>#DIV/0!</v>
      </c>
      <c r="T296" s="179" t="e">
        <f>'Entrada e Saida'!$H$21*'Entrada e Saida'!$K$8*(Q296/(SUM(Q:Q)))</f>
        <v>#DIV/0!</v>
      </c>
      <c r="U296" s="179" t="e">
        <f>'Entrada e Saida'!$H$22*(P296/(SUM(P:P)))</f>
        <v>#DIV/0!</v>
      </c>
      <c r="V296" s="179" t="e">
        <f>'Entrada e Saida'!$H$22*(Q296/(SUM(Q:Q)))</f>
        <v>#DIV/0!</v>
      </c>
      <c r="W296" s="8" t="e">
        <f t="shared" si="136"/>
        <v>#DIV/0!</v>
      </c>
      <c r="X296" s="179" t="e">
        <f>'Entrada e Saida'!$H$26*(IF('Entrada e Saida'!$H$15="PESO",(P296/(SUM(P:P))),(Q296/(SUM(Q:Q)))))</f>
        <v>#DIV/0!</v>
      </c>
      <c r="Y296" s="179" t="e">
        <f>'Entrada e Saida'!$H$27*(IF('Entrada e Saida'!$H$15="PESO",(P296/(SUM(P:P))),(Q296/(SUM(Q:Q)))))</f>
        <v>#DIV/0!</v>
      </c>
      <c r="Z296" s="179" t="e">
        <f>'Entrada e Saida'!$H$28*(IF('Entrada e Saida'!$H$15="PESO",(P296/(SUM(P:P))),(Q296/(SUM(Q:Q)))))</f>
        <v>#DIV/0!</v>
      </c>
      <c r="AA296" s="10" t="e">
        <f t="shared" si="137"/>
        <v>#DIV/0!</v>
      </c>
      <c r="AB296" s="3" t="e">
        <f t="shared" si="138"/>
        <v>#DIV/0!</v>
      </c>
      <c r="AC296" s="3" t="e">
        <f t="shared" si="139"/>
        <v>#DIV/0!</v>
      </c>
      <c r="AD296" s="3" t="e">
        <f t="shared" si="140"/>
        <v>#DIV/0!</v>
      </c>
      <c r="AE296" s="9" t="e">
        <f t="shared" si="141"/>
        <v>#DIV/0!</v>
      </c>
      <c r="AF296" s="126">
        <f>IFERROR(D296*F296*L296*'Entrada e Saida'!$K$8,0)</f>
        <v>0</v>
      </c>
      <c r="AG296" s="3" t="e">
        <f>((W296+AA296+AB296+AC296+AD296+AE296+AF296)/(1-'Entrada e Saida'!$G$65))*'Entrada e Saida'!$I$66</f>
        <v>#DIV/0!</v>
      </c>
      <c r="AH296" s="8" t="e">
        <f t="shared" si="142"/>
        <v>#DIV/0!</v>
      </c>
      <c r="AI296" s="183" t="e">
        <f>'Entrada e Saida'!$K$51*(IF('Entrada e Saida'!$H$15="PESO",(P296/(SUM(P:P))),(Q296/(SUM(Q:Q)))))</f>
        <v>#DIV/0!</v>
      </c>
      <c r="AJ296" s="7">
        <f>(('Entrada e Saida'!$K$10-'Entrada e Saida'!$K$8)*E296*D296)</f>
        <v>0</v>
      </c>
      <c r="AK296" s="184" t="e">
        <f>IF('Entrada e Saida'!$H$15="PESO",W296+AA296+AH296+AI296+AJ296,W296+AA296+AH296+AI296+AJ296-S296+T296-U296+V296)</f>
        <v>#DIV/0!</v>
      </c>
      <c r="AL296" s="6" t="e">
        <f>IF('Entrada e Saida'!$H$12="REAL",AC296,0)</f>
        <v>#DIV/0!</v>
      </c>
      <c r="AM296" s="6" t="e">
        <f>IF('Entrada e Saida'!$H$12="REAL",AD296,0)</f>
        <v>#DIV/0!</v>
      </c>
      <c r="AN296" s="5" t="e">
        <f>IF('Entrada e Saida'!$H$13= "NÃO",AE296,0)</f>
        <v>#DIV/0!</v>
      </c>
      <c r="AO296" s="5" t="e">
        <f t="shared" si="143"/>
        <v>#DIV/0!</v>
      </c>
      <c r="AP296" s="4" t="e">
        <f t="shared" si="144"/>
        <v>#DIV/0!</v>
      </c>
      <c r="AQ296" s="3" t="e">
        <f>IF('Entrada e Saida'!$H$11="TRADING",AU296*'Custo Resumido'!D296,0)</f>
        <v>#DIV/0!</v>
      </c>
      <c r="AR296" s="3" t="e">
        <f>IF('Entrada e Saida'!$H$11="TRADING",AU296*'Entrada e Saida'!$G$63,0)</f>
        <v>#DIV/0!</v>
      </c>
      <c r="AS296" s="3" t="e">
        <f>IF('Entrada e Saida'!$H$11="TRADING",AU296*'Entrada e Saida'!$G$64,0)</f>
        <v>#DIV/0!</v>
      </c>
      <c r="AT296" s="3" t="e">
        <f>IF('Entrada e Saida'!$H$11="TRADING",AU296*'Entrada e Saida'!$G$65,0)</f>
        <v>#DIV/0!</v>
      </c>
      <c r="AU296" s="4" t="e">
        <f>IF('Entrada e Saida'!$H$11="TRADING",AP296/(1-(SUM('Entrada e Saida'!$G$63:$G$65)+'Custo Resumido'!D296)),0)</f>
        <v>#DIV/0!</v>
      </c>
      <c r="AV296" s="3" t="e">
        <f>IF('Entrada e Saida'!$H$13="NÃO",AU296*M296,0)</f>
        <v>#DIV/0!</v>
      </c>
      <c r="AW296" s="4" t="e">
        <f t="shared" si="145"/>
        <v>#DIV/0!</v>
      </c>
      <c r="AX296" s="3" t="e">
        <f>'Entrada e Saida'!$G$74*AU296</f>
        <v>#DIV/0!</v>
      </c>
      <c r="AY296" s="4" t="e">
        <f t="shared" si="146"/>
        <v>#DIV/0!</v>
      </c>
      <c r="AZ296" s="4" t="e">
        <f>AQ296+('Entrada e Saida'!$G$65-'Entrada e Saida'!$I$65)*AU296-AX296</f>
        <v>#DIV/0!</v>
      </c>
      <c r="BA296" s="3" t="e">
        <f>IF('Entrada e Saida'!$H$12="REAL",AZ296*'Entrada e Saida'!$G$81,AU296*'Entrada e Saida'!$G$81)</f>
        <v>#DIV/0!</v>
      </c>
      <c r="BB296" s="3" t="e">
        <f>IF('Entrada e Saida'!$H$12="REAL",AZ296*'Entrada e Saida'!$G$82,AU296*'Entrada e Saida'!$G$82)</f>
        <v>#DIV/0!</v>
      </c>
      <c r="BC296" s="4" t="e">
        <f t="shared" si="147"/>
        <v>#DIV/0!</v>
      </c>
      <c r="BD296" s="3" t="e">
        <f>IF('Entrada e Saida'!$H$11="TRADING",AW296/D296,AK296/D296)</f>
        <v>#DIV/0!</v>
      </c>
      <c r="BE296" s="3" t="e">
        <f t="shared" si="148"/>
        <v>#DIV/0!</v>
      </c>
      <c r="BF296" s="2" t="e">
        <f t="shared" si="149"/>
        <v>#DIV/0!</v>
      </c>
      <c r="BG296" s="3" t="e">
        <f>IF('Entrada e Saida'!$H$11="TRADING",AV296/D296,AN296/D296)</f>
        <v>#DIV/0!</v>
      </c>
      <c r="BH296" s="3" t="e">
        <f>IF('Entrada e Saida'!$H$11="TRADING",IF('Entrada e Saida'!$H$12="REAL",AR296/D296,0),AL296/D296)</f>
        <v>#DIV/0!</v>
      </c>
      <c r="BI296" s="3" t="e">
        <f>IF('Entrada e Saida'!$H$11="TRADING",IF('Entrada e Saida'!$H$12="REAL",AS296/D296,0),AM296/D296)</f>
        <v>#DIV/0!</v>
      </c>
      <c r="BJ296" s="3" t="e">
        <f>IF('Entrada e Saida'!$H$11="TRADING",AT296/D296,AO296/D296)</f>
        <v>#DIV/0!</v>
      </c>
      <c r="BK296" s="2" t="e">
        <f t="shared" si="150"/>
        <v>#DIV/0!</v>
      </c>
      <c r="BL296" s="2">
        <f>IF(O296&gt;0,IFERROR(IF('Entrada e Saida'!$H$11="DIRETA",0,(IF('Entrada e Saida'!$H$14="P.JURIDICA",(BD296*(1+O296)*N296)-((BD296/(1+M296))*'Entrada e Saida'!$G$65),((Produtos!N296-'Entrada e Saida'!$G$65)*Produtos!BD296)))),0),0)</f>
        <v>0</v>
      </c>
      <c r="BM296" s="2" t="e">
        <f t="shared" si="151"/>
        <v>#DIV/0!</v>
      </c>
    </row>
    <row r="297" spans="1:65" s="1" customFormat="1">
      <c r="A297" s="127"/>
      <c r="B297" s="114"/>
      <c r="C297" s="116"/>
      <c r="D297" s="146"/>
      <c r="E297" s="115">
        <f>IFERROR(VLOOKUP(A297,'Master Modelo'!A:I,9,FALSE),0)</f>
        <v>0</v>
      </c>
      <c r="F297" s="189">
        <f>IFERROR(VLOOKUP(A297,'Master Modelo'!A:I,8,FALSE),0)</f>
        <v>0</v>
      </c>
      <c r="G297" s="189">
        <f>IFERROR(VLOOKUP(A297,'Master Modelo'!A:K,11,FALSE),0)</f>
        <v>0</v>
      </c>
      <c r="H297" s="114" t="e">
        <f t="shared" si="134"/>
        <v>#DIV/0!</v>
      </c>
      <c r="I297" s="150">
        <f>IFERROR(VLOOKUP(A297,'Master Modelo'!A:I,3,FALSE),0)</f>
        <v>0</v>
      </c>
      <c r="J297" s="151">
        <f>IFERROR(VLOOKUP(A297,'Master Modelo'!A:I,5,FALSE),0)</f>
        <v>0</v>
      </c>
      <c r="K297" s="151">
        <f>IFERROR(VLOOKUP(A297,'Master Modelo'!A:I,6,FALSE),0)</f>
        <v>0</v>
      </c>
      <c r="L297" s="152" t="e">
        <f>VLOOKUP(A297,'Master Modelo'!A:J,10,FALSE)</f>
        <v>#N/A</v>
      </c>
      <c r="M297" s="150">
        <f>IFERROR(VLOOKUP(A297,'Master Modelo'!A:I,4,FALSE),0)</f>
        <v>0</v>
      </c>
      <c r="N297" s="128"/>
      <c r="O297" s="129"/>
      <c r="P297" s="9">
        <f t="shared" si="135"/>
        <v>0</v>
      </c>
      <c r="Q297" s="177">
        <f t="shared" si="133"/>
        <v>0</v>
      </c>
      <c r="R297" s="3">
        <f>D297*E297*'Entrada e Saida'!$K$8</f>
        <v>0</v>
      </c>
      <c r="S297" s="179" t="e">
        <f>'Entrada e Saida'!$H$21*'Entrada e Saida'!$K$8*(P297/(SUM(P:P)))</f>
        <v>#DIV/0!</v>
      </c>
      <c r="T297" s="179" t="e">
        <f>'Entrada e Saida'!$H$21*'Entrada e Saida'!$K$8*(Q297/(SUM(Q:Q)))</f>
        <v>#DIV/0!</v>
      </c>
      <c r="U297" s="179" t="e">
        <f>'Entrada e Saida'!$H$22*(P297/(SUM(P:P)))</f>
        <v>#DIV/0!</v>
      </c>
      <c r="V297" s="179" t="e">
        <f>'Entrada e Saida'!$H$22*(Q297/(SUM(Q:Q)))</f>
        <v>#DIV/0!</v>
      </c>
      <c r="W297" s="8" t="e">
        <f t="shared" si="136"/>
        <v>#DIV/0!</v>
      </c>
      <c r="X297" s="179" t="e">
        <f>'Entrada e Saida'!$H$26*(IF('Entrada e Saida'!$H$15="PESO",(P297/(SUM(P:P))),(Q297/(SUM(Q:Q)))))</f>
        <v>#DIV/0!</v>
      </c>
      <c r="Y297" s="179" t="e">
        <f>'Entrada e Saida'!$H$27*(IF('Entrada e Saida'!$H$15="PESO",(P297/(SUM(P:P))),(Q297/(SUM(Q:Q)))))</f>
        <v>#DIV/0!</v>
      </c>
      <c r="Z297" s="179" t="e">
        <f>'Entrada e Saida'!$H$28*(IF('Entrada e Saida'!$H$15="PESO",(P297/(SUM(P:P))),(Q297/(SUM(Q:Q)))))</f>
        <v>#DIV/0!</v>
      </c>
      <c r="AA297" s="10" t="e">
        <f t="shared" si="137"/>
        <v>#DIV/0!</v>
      </c>
      <c r="AB297" s="3" t="e">
        <f t="shared" si="138"/>
        <v>#DIV/0!</v>
      </c>
      <c r="AC297" s="3" t="e">
        <f t="shared" si="139"/>
        <v>#DIV/0!</v>
      </c>
      <c r="AD297" s="3" t="e">
        <f t="shared" si="140"/>
        <v>#DIV/0!</v>
      </c>
      <c r="AE297" s="9" t="e">
        <f t="shared" si="141"/>
        <v>#DIV/0!</v>
      </c>
      <c r="AF297" s="126">
        <f>IFERROR(D297*F297*L297*'Entrada e Saida'!$K$8,0)</f>
        <v>0</v>
      </c>
      <c r="AG297" s="3" t="e">
        <f>((W297+AA297+AB297+AC297+AD297+AE297+AF297)/(1-'Entrada e Saida'!$G$65))*'Entrada e Saida'!$I$66</f>
        <v>#DIV/0!</v>
      </c>
      <c r="AH297" s="8" t="e">
        <f t="shared" si="142"/>
        <v>#DIV/0!</v>
      </c>
      <c r="AI297" s="183" t="e">
        <f>'Entrada e Saida'!$K$51*(IF('Entrada e Saida'!$H$15="PESO",(P297/(SUM(P:P))),(Q297/(SUM(Q:Q)))))</f>
        <v>#DIV/0!</v>
      </c>
      <c r="AJ297" s="7">
        <f>(('Entrada e Saida'!$K$10-'Entrada e Saida'!$K$8)*E297*D297)</f>
        <v>0</v>
      </c>
      <c r="AK297" s="184" t="e">
        <f>IF('Entrada e Saida'!$H$15="PESO",W297+AA297+AH297+AI297+AJ297,W297+AA297+AH297+AI297+AJ297-S297+T297-U297+V297)</f>
        <v>#DIV/0!</v>
      </c>
      <c r="AL297" s="6" t="e">
        <f>IF('Entrada e Saida'!$H$12="REAL",AC297,0)</f>
        <v>#DIV/0!</v>
      </c>
      <c r="AM297" s="6" t="e">
        <f>IF('Entrada e Saida'!$H$12="REAL",AD297,0)</f>
        <v>#DIV/0!</v>
      </c>
      <c r="AN297" s="5" t="e">
        <f>IF('Entrada e Saida'!$H$13= "NÃO",AE297,0)</f>
        <v>#DIV/0!</v>
      </c>
      <c r="AO297" s="5" t="e">
        <f t="shared" si="143"/>
        <v>#DIV/0!</v>
      </c>
      <c r="AP297" s="4" t="e">
        <f t="shared" si="144"/>
        <v>#DIV/0!</v>
      </c>
      <c r="AQ297" s="3" t="e">
        <f>IF('Entrada e Saida'!$H$11="TRADING",AU297*'Custo Resumido'!D297,0)</f>
        <v>#DIV/0!</v>
      </c>
      <c r="AR297" s="3" t="e">
        <f>IF('Entrada e Saida'!$H$11="TRADING",AU297*'Entrada e Saida'!$G$63,0)</f>
        <v>#DIV/0!</v>
      </c>
      <c r="AS297" s="3" t="e">
        <f>IF('Entrada e Saida'!$H$11="TRADING",AU297*'Entrada e Saida'!$G$64,0)</f>
        <v>#DIV/0!</v>
      </c>
      <c r="AT297" s="3" t="e">
        <f>IF('Entrada e Saida'!$H$11="TRADING",AU297*'Entrada e Saida'!$G$65,0)</f>
        <v>#DIV/0!</v>
      </c>
      <c r="AU297" s="4" t="e">
        <f>IF('Entrada e Saida'!$H$11="TRADING",AP297/(1-(SUM('Entrada e Saida'!$G$63:$G$65)+'Custo Resumido'!D297)),0)</f>
        <v>#DIV/0!</v>
      </c>
      <c r="AV297" s="3" t="e">
        <f>IF('Entrada e Saida'!$H$13="NÃO",AU297*M297,0)</f>
        <v>#DIV/0!</v>
      </c>
      <c r="AW297" s="4" t="e">
        <f t="shared" si="145"/>
        <v>#DIV/0!</v>
      </c>
      <c r="AX297" s="3" t="e">
        <f>'Entrada e Saida'!$G$74*AU297</f>
        <v>#DIV/0!</v>
      </c>
      <c r="AY297" s="4" t="e">
        <f t="shared" si="146"/>
        <v>#DIV/0!</v>
      </c>
      <c r="AZ297" s="4" t="e">
        <f>AQ297+('Entrada e Saida'!$G$65-'Entrada e Saida'!$I$65)*AU297-AX297</f>
        <v>#DIV/0!</v>
      </c>
      <c r="BA297" s="3" t="e">
        <f>IF('Entrada e Saida'!$H$12="REAL",AZ297*'Entrada e Saida'!$G$81,AU297*'Entrada e Saida'!$G$81)</f>
        <v>#DIV/0!</v>
      </c>
      <c r="BB297" s="3" t="e">
        <f>IF('Entrada e Saida'!$H$12="REAL",AZ297*'Entrada e Saida'!$G$82,AU297*'Entrada e Saida'!$G$82)</f>
        <v>#DIV/0!</v>
      </c>
      <c r="BC297" s="4" t="e">
        <f t="shared" si="147"/>
        <v>#DIV/0!</v>
      </c>
      <c r="BD297" s="3" t="e">
        <f>IF('Entrada e Saida'!$H$11="TRADING",AW297/D297,AK297/D297)</f>
        <v>#DIV/0!</v>
      </c>
      <c r="BE297" s="3" t="e">
        <f t="shared" si="148"/>
        <v>#DIV/0!</v>
      </c>
      <c r="BF297" s="2" t="e">
        <f t="shared" si="149"/>
        <v>#DIV/0!</v>
      </c>
      <c r="BG297" s="3" t="e">
        <f>IF('Entrada e Saida'!$H$11="TRADING",AV297/D297,AN297/D297)</f>
        <v>#DIV/0!</v>
      </c>
      <c r="BH297" s="3" t="e">
        <f>IF('Entrada e Saida'!$H$11="TRADING",IF('Entrada e Saida'!$H$12="REAL",AR297/D297,0),AL297/D297)</f>
        <v>#DIV/0!</v>
      </c>
      <c r="BI297" s="3" t="e">
        <f>IF('Entrada e Saida'!$H$11="TRADING",IF('Entrada e Saida'!$H$12="REAL",AS297/D297,0),AM297/D297)</f>
        <v>#DIV/0!</v>
      </c>
      <c r="BJ297" s="3" t="e">
        <f>IF('Entrada e Saida'!$H$11="TRADING",AT297/D297,AO297/D297)</f>
        <v>#DIV/0!</v>
      </c>
      <c r="BK297" s="2" t="e">
        <f t="shared" si="150"/>
        <v>#DIV/0!</v>
      </c>
      <c r="BL297" s="2">
        <f>IF(O297&gt;0,IFERROR(IF('Entrada e Saida'!$H$11="DIRETA",0,(IF('Entrada e Saida'!$H$14="P.JURIDICA",(BD297*(1+O297)*N297)-((BD297/(1+M297))*'Entrada e Saida'!$G$65),((Produtos!N297-'Entrada e Saida'!$G$65)*Produtos!BD297)))),0),0)</f>
        <v>0</v>
      </c>
      <c r="BM297" s="2" t="e">
        <f t="shared" si="151"/>
        <v>#DIV/0!</v>
      </c>
    </row>
    <row r="298" spans="1:65" s="1" customFormat="1">
      <c r="A298" s="127"/>
      <c r="B298" s="114"/>
      <c r="C298" s="116"/>
      <c r="D298" s="146"/>
      <c r="E298" s="115">
        <f>IFERROR(VLOOKUP(A298,'Master Modelo'!A:I,9,FALSE),0)</f>
        <v>0</v>
      </c>
      <c r="F298" s="189">
        <f>IFERROR(VLOOKUP(A298,'Master Modelo'!A:I,8,FALSE),0)</f>
        <v>0</v>
      </c>
      <c r="G298" s="189">
        <f>IFERROR(VLOOKUP(A298,'Master Modelo'!A:K,11,FALSE),0)</f>
        <v>0</v>
      </c>
      <c r="H298" s="114" t="e">
        <f t="shared" si="134"/>
        <v>#DIV/0!</v>
      </c>
      <c r="I298" s="150">
        <f>IFERROR(VLOOKUP(A298,'Master Modelo'!A:I,3,FALSE),0)</f>
        <v>0</v>
      </c>
      <c r="J298" s="151">
        <f>IFERROR(VLOOKUP(A298,'Master Modelo'!A:I,5,FALSE),0)</f>
        <v>0</v>
      </c>
      <c r="K298" s="151">
        <f>IFERROR(VLOOKUP(A298,'Master Modelo'!A:I,6,FALSE),0)</f>
        <v>0</v>
      </c>
      <c r="L298" s="152" t="e">
        <f>VLOOKUP(A298,'Master Modelo'!A:J,10,FALSE)</f>
        <v>#N/A</v>
      </c>
      <c r="M298" s="150">
        <f>IFERROR(VLOOKUP(A298,'Master Modelo'!A:I,4,FALSE),0)</f>
        <v>0</v>
      </c>
      <c r="N298" s="128"/>
      <c r="O298" s="129"/>
      <c r="P298" s="9">
        <f t="shared" si="135"/>
        <v>0</v>
      </c>
      <c r="Q298" s="177">
        <f t="shared" si="133"/>
        <v>0</v>
      </c>
      <c r="R298" s="3">
        <f>D298*E298*'Entrada e Saida'!$K$8</f>
        <v>0</v>
      </c>
      <c r="S298" s="179" t="e">
        <f>'Entrada e Saida'!$H$21*'Entrada e Saida'!$K$8*(P298/(SUM(P:P)))</f>
        <v>#DIV/0!</v>
      </c>
      <c r="T298" s="179" t="e">
        <f>'Entrada e Saida'!$H$21*'Entrada e Saida'!$K$8*(Q298/(SUM(Q:Q)))</f>
        <v>#DIV/0!</v>
      </c>
      <c r="U298" s="179" t="e">
        <f>'Entrada e Saida'!$H$22*(P298/(SUM(P:P)))</f>
        <v>#DIV/0!</v>
      </c>
      <c r="V298" s="179" t="e">
        <f>'Entrada e Saida'!$H$22*(Q298/(SUM(Q:Q)))</f>
        <v>#DIV/0!</v>
      </c>
      <c r="W298" s="8" t="e">
        <f t="shared" si="136"/>
        <v>#DIV/0!</v>
      </c>
      <c r="X298" s="179" t="e">
        <f>'Entrada e Saida'!$H$26*(IF('Entrada e Saida'!$H$15="PESO",(P298/(SUM(P:P))),(Q298/(SUM(Q:Q)))))</f>
        <v>#DIV/0!</v>
      </c>
      <c r="Y298" s="179" t="e">
        <f>'Entrada e Saida'!$H$27*(IF('Entrada e Saida'!$H$15="PESO",(P298/(SUM(P:P))),(Q298/(SUM(Q:Q)))))</f>
        <v>#DIV/0!</v>
      </c>
      <c r="Z298" s="179" t="e">
        <f>'Entrada e Saida'!$H$28*(IF('Entrada e Saida'!$H$15="PESO",(P298/(SUM(P:P))),(Q298/(SUM(Q:Q)))))</f>
        <v>#DIV/0!</v>
      </c>
      <c r="AA298" s="10" t="e">
        <f t="shared" si="137"/>
        <v>#DIV/0!</v>
      </c>
      <c r="AB298" s="3" t="e">
        <f t="shared" si="138"/>
        <v>#DIV/0!</v>
      </c>
      <c r="AC298" s="3" t="e">
        <f t="shared" si="139"/>
        <v>#DIV/0!</v>
      </c>
      <c r="AD298" s="3" t="e">
        <f t="shared" si="140"/>
        <v>#DIV/0!</v>
      </c>
      <c r="AE298" s="9" t="e">
        <f t="shared" si="141"/>
        <v>#DIV/0!</v>
      </c>
      <c r="AF298" s="126">
        <f>IFERROR(D298*F298*L298*'Entrada e Saida'!$K$8,0)</f>
        <v>0</v>
      </c>
      <c r="AG298" s="3" t="e">
        <f>((W298+AA298+AB298+AC298+AD298+AE298+AF298)/(1-'Entrada e Saida'!$G$65))*'Entrada e Saida'!$I$66</f>
        <v>#DIV/0!</v>
      </c>
      <c r="AH298" s="8" t="e">
        <f t="shared" si="142"/>
        <v>#DIV/0!</v>
      </c>
      <c r="AI298" s="183" t="e">
        <f>'Entrada e Saida'!$K$51*(IF('Entrada e Saida'!$H$15="PESO",(P298/(SUM(P:P))),(Q298/(SUM(Q:Q)))))</f>
        <v>#DIV/0!</v>
      </c>
      <c r="AJ298" s="7">
        <f>(('Entrada e Saida'!$K$10-'Entrada e Saida'!$K$8)*E298*D298)</f>
        <v>0</v>
      </c>
      <c r="AK298" s="184" t="e">
        <f>IF('Entrada e Saida'!$H$15="PESO",W298+AA298+AH298+AI298+AJ298,W298+AA298+AH298+AI298+AJ298-S298+T298-U298+V298)</f>
        <v>#DIV/0!</v>
      </c>
      <c r="AL298" s="6" t="e">
        <f>IF('Entrada e Saida'!$H$12="REAL",AC298,0)</f>
        <v>#DIV/0!</v>
      </c>
      <c r="AM298" s="6" t="e">
        <f>IF('Entrada e Saida'!$H$12="REAL",AD298,0)</f>
        <v>#DIV/0!</v>
      </c>
      <c r="AN298" s="5" t="e">
        <f>IF('Entrada e Saida'!$H$13= "NÃO",AE298,0)</f>
        <v>#DIV/0!</v>
      </c>
      <c r="AO298" s="5" t="e">
        <f t="shared" si="143"/>
        <v>#DIV/0!</v>
      </c>
      <c r="AP298" s="4" t="e">
        <f t="shared" si="144"/>
        <v>#DIV/0!</v>
      </c>
      <c r="AQ298" s="3" t="e">
        <f>IF('Entrada e Saida'!$H$11="TRADING",AU298*'Custo Resumido'!D298,0)</f>
        <v>#DIV/0!</v>
      </c>
      <c r="AR298" s="3" t="e">
        <f>IF('Entrada e Saida'!$H$11="TRADING",AU298*'Entrada e Saida'!$G$63,0)</f>
        <v>#DIV/0!</v>
      </c>
      <c r="AS298" s="3" t="e">
        <f>IF('Entrada e Saida'!$H$11="TRADING",AU298*'Entrada e Saida'!$G$64,0)</f>
        <v>#DIV/0!</v>
      </c>
      <c r="AT298" s="3" t="e">
        <f>IF('Entrada e Saida'!$H$11="TRADING",AU298*'Entrada e Saida'!$G$65,0)</f>
        <v>#DIV/0!</v>
      </c>
      <c r="AU298" s="4" t="e">
        <f>IF('Entrada e Saida'!$H$11="TRADING",AP298/(1-(SUM('Entrada e Saida'!$G$63:$G$65)+'Custo Resumido'!D298)),0)</f>
        <v>#DIV/0!</v>
      </c>
      <c r="AV298" s="3" t="e">
        <f>IF('Entrada e Saida'!$H$13="NÃO",AU298*M298,0)</f>
        <v>#DIV/0!</v>
      </c>
      <c r="AW298" s="4" t="e">
        <f t="shared" si="145"/>
        <v>#DIV/0!</v>
      </c>
      <c r="AX298" s="3" t="e">
        <f>'Entrada e Saida'!$G$74*AU298</f>
        <v>#DIV/0!</v>
      </c>
      <c r="AY298" s="4" t="e">
        <f t="shared" si="146"/>
        <v>#DIV/0!</v>
      </c>
      <c r="AZ298" s="4" t="e">
        <f>AQ298+('Entrada e Saida'!$G$65-'Entrada e Saida'!$I$65)*AU298-AX298</f>
        <v>#DIV/0!</v>
      </c>
      <c r="BA298" s="3" t="e">
        <f>IF('Entrada e Saida'!$H$12="REAL",AZ298*'Entrada e Saida'!$G$81,AU298*'Entrada e Saida'!$G$81)</f>
        <v>#DIV/0!</v>
      </c>
      <c r="BB298" s="3" t="e">
        <f>IF('Entrada e Saida'!$H$12="REAL",AZ298*'Entrada e Saida'!$G$82,AU298*'Entrada e Saida'!$G$82)</f>
        <v>#DIV/0!</v>
      </c>
      <c r="BC298" s="4" t="e">
        <f t="shared" si="147"/>
        <v>#DIV/0!</v>
      </c>
      <c r="BD298" s="3" t="e">
        <f>IF('Entrada e Saida'!$H$11="TRADING",AW298/D298,AK298/D298)</f>
        <v>#DIV/0!</v>
      </c>
      <c r="BE298" s="3" t="e">
        <f t="shared" si="148"/>
        <v>#DIV/0!</v>
      </c>
      <c r="BF298" s="2" t="e">
        <f t="shared" si="149"/>
        <v>#DIV/0!</v>
      </c>
      <c r="BG298" s="3" t="e">
        <f>IF('Entrada e Saida'!$H$11="TRADING",AV298/D298,AN298/D298)</f>
        <v>#DIV/0!</v>
      </c>
      <c r="BH298" s="3" t="e">
        <f>IF('Entrada e Saida'!$H$11="TRADING",IF('Entrada e Saida'!$H$12="REAL",AR298/D298,0),AL298/D298)</f>
        <v>#DIV/0!</v>
      </c>
      <c r="BI298" s="3" t="e">
        <f>IF('Entrada e Saida'!$H$11="TRADING",IF('Entrada e Saida'!$H$12="REAL",AS298/D298,0),AM298/D298)</f>
        <v>#DIV/0!</v>
      </c>
      <c r="BJ298" s="3" t="e">
        <f>IF('Entrada e Saida'!$H$11="TRADING",AT298/D298,AO298/D298)</f>
        <v>#DIV/0!</v>
      </c>
      <c r="BK298" s="2" t="e">
        <f t="shared" si="150"/>
        <v>#DIV/0!</v>
      </c>
      <c r="BL298" s="2">
        <f>IF(O298&gt;0,IFERROR(IF('Entrada e Saida'!$H$11="DIRETA",0,(IF('Entrada e Saida'!$H$14="P.JURIDICA",(BD298*(1+O298)*N298)-((BD298/(1+M298))*'Entrada e Saida'!$G$65),((Produtos!N298-'Entrada e Saida'!$G$65)*Produtos!BD298)))),0),0)</f>
        <v>0</v>
      </c>
      <c r="BM298" s="2" t="e">
        <f t="shared" si="151"/>
        <v>#DIV/0!</v>
      </c>
    </row>
    <row r="299" spans="1:65" s="1" customFormat="1">
      <c r="A299" s="127"/>
      <c r="B299" s="114"/>
      <c r="C299" s="116"/>
      <c r="D299" s="146"/>
      <c r="E299" s="115">
        <f>IFERROR(VLOOKUP(A299,'Master Modelo'!A:I,9,FALSE),0)</f>
        <v>0</v>
      </c>
      <c r="F299" s="189">
        <f>IFERROR(VLOOKUP(A299,'Master Modelo'!A:I,8,FALSE),0)</f>
        <v>0</v>
      </c>
      <c r="G299" s="189">
        <f>IFERROR(VLOOKUP(A299,'Master Modelo'!A:K,11,FALSE),0)</f>
        <v>0</v>
      </c>
      <c r="H299" s="114" t="e">
        <f t="shared" si="134"/>
        <v>#DIV/0!</v>
      </c>
      <c r="I299" s="150">
        <f>IFERROR(VLOOKUP(A299,'Master Modelo'!A:I,3,FALSE),0)</f>
        <v>0</v>
      </c>
      <c r="J299" s="151">
        <f>IFERROR(VLOOKUP(A299,'Master Modelo'!A:I,5,FALSE),0)</f>
        <v>0</v>
      </c>
      <c r="K299" s="151">
        <f>IFERROR(VLOOKUP(A299,'Master Modelo'!A:I,6,FALSE),0)</f>
        <v>0</v>
      </c>
      <c r="L299" s="152" t="e">
        <f>VLOOKUP(A299,'Master Modelo'!A:J,10,FALSE)</f>
        <v>#N/A</v>
      </c>
      <c r="M299" s="150">
        <f>IFERROR(VLOOKUP(A299,'Master Modelo'!A:I,4,FALSE),0)</f>
        <v>0</v>
      </c>
      <c r="N299" s="128"/>
      <c r="O299" s="129"/>
      <c r="P299" s="9">
        <f t="shared" si="135"/>
        <v>0</v>
      </c>
      <c r="Q299" s="177">
        <f t="shared" si="133"/>
        <v>0</v>
      </c>
      <c r="R299" s="3">
        <f>D299*E299*'Entrada e Saida'!$K$8</f>
        <v>0</v>
      </c>
      <c r="S299" s="179" t="e">
        <f>'Entrada e Saida'!$H$21*'Entrada e Saida'!$K$8*(P299/(SUM(P:P)))</f>
        <v>#DIV/0!</v>
      </c>
      <c r="T299" s="179" t="e">
        <f>'Entrada e Saida'!$H$21*'Entrada e Saida'!$K$8*(Q299/(SUM(Q:Q)))</f>
        <v>#DIV/0!</v>
      </c>
      <c r="U299" s="179" t="e">
        <f>'Entrada e Saida'!$H$22*(P299/(SUM(P:P)))</f>
        <v>#DIV/0!</v>
      </c>
      <c r="V299" s="179" t="e">
        <f>'Entrada e Saida'!$H$22*(Q299/(SUM(Q:Q)))</f>
        <v>#DIV/0!</v>
      </c>
      <c r="W299" s="8" t="e">
        <f t="shared" si="136"/>
        <v>#DIV/0!</v>
      </c>
      <c r="X299" s="179" t="e">
        <f>'Entrada e Saida'!$H$26*(IF('Entrada e Saida'!$H$15="PESO",(P299/(SUM(P:P))),(Q299/(SUM(Q:Q)))))</f>
        <v>#DIV/0!</v>
      </c>
      <c r="Y299" s="179" t="e">
        <f>'Entrada e Saida'!$H$27*(IF('Entrada e Saida'!$H$15="PESO",(P299/(SUM(P:P))),(Q299/(SUM(Q:Q)))))</f>
        <v>#DIV/0!</v>
      </c>
      <c r="Z299" s="179" t="e">
        <f>'Entrada e Saida'!$H$28*(IF('Entrada e Saida'!$H$15="PESO",(P299/(SUM(P:P))),(Q299/(SUM(Q:Q)))))</f>
        <v>#DIV/0!</v>
      </c>
      <c r="AA299" s="10" t="e">
        <f t="shared" si="137"/>
        <v>#DIV/0!</v>
      </c>
      <c r="AB299" s="3" t="e">
        <f t="shared" si="138"/>
        <v>#DIV/0!</v>
      </c>
      <c r="AC299" s="3" t="e">
        <f t="shared" si="139"/>
        <v>#DIV/0!</v>
      </c>
      <c r="AD299" s="3" t="e">
        <f t="shared" si="140"/>
        <v>#DIV/0!</v>
      </c>
      <c r="AE299" s="9" t="e">
        <f t="shared" si="141"/>
        <v>#DIV/0!</v>
      </c>
      <c r="AF299" s="126">
        <f>IFERROR(D299*F299*L299*'Entrada e Saida'!$K$8,0)</f>
        <v>0</v>
      </c>
      <c r="AG299" s="3" t="e">
        <f>((W299+AA299+AB299+AC299+AD299+AE299+AF299)/(1-'Entrada e Saida'!$G$65))*'Entrada e Saida'!$I$66</f>
        <v>#DIV/0!</v>
      </c>
      <c r="AH299" s="8" t="e">
        <f t="shared" si="142"/>
        <v>#DIV/0!</v>
      </c>
      <c r="AI299" s="183" t="e">
        <f>'Entrada e Saida'!$K$51*(IF('Entrada e Saida'!$H$15="PESO",(P299/(SUM(P:P))),(Q299/(SUM(Q:Q)))))</f>
        <v>#DIV/0!</v>
      </c>
      <c r="AJ299" s="7">
        <f>(('Entrada e Saida'!$K$10-'Entrada e Saida'!$K$8)*E299*D299)</f>
        <v>0</v>
      </c>
      <c r="AK299" s="184" t="e">
        <f>IF('Entrada e Saida'!$H$15="PESO",W299+AA299+AH299+AI299+AJ299,W299+AA299+AH299+AI299+AJ299-S299+T299-U299+V299)</f>
        <v>#DIV/0!</v>
      </c>
      <c r="AL299" s="6" t="e">
        <f>IF('Entrada e Saida'!$H$12="REAL",AC299,0)</f>
        <v>#DIV/0!</v>
      </c>
      <c r="AM299" s="6" t="e">
        <f>IF('Entrada e Saida'!$H$12="REAL",AD299,0)</f>
        <v>#DIV/0!</v>
      </c>
      <c r="AN299" s="5" t="e">
        <f>IF('Entrada e Saida'!$H$13= "NÃO",AE299,0)</f>
        <v>#DIV/0!</v>
      </c>
      <c r="AO299" s="5" t="e">
        <f t="shared" si="143"/>
        <v>#DIV/0!</v>
      </c>
      <c r="AP299" s="4" t="e">
        <f t="shared" si="144"/>
        <v>#DIV/0!</v>
      </c>
      <c r="AQ299" s="3" t="e">
        <f>IF('Entrada e Saida'!$H$11="TRADING",AU299*'Custo Resumido'!D299,0)</f>
        <v>#DIV/0!</v>
      </c>
      <c r="AR299" s="3" t="e">
        <f>IF('Entrada e Saida'!$H$11="TRADING",AU299*'Entrada e Saida'!$G$63,0)</f>
        <v>#DIV/0!</v>
      </c>
      <c r="AS299" s="3" t="e">
        <f>IF('Entrada e Saida'!$H$11="TRADING",AU299*'Entrada e Saida'!$G$64,0)</f>
        <v>#DIV/0!</v>
      </c>
      <c r="AT299" s="3" t="e">
        <f>IF('Entrada e Saida'!$H$11="TRADING",AU299*'Entrada e Saida'!$G$65,0)</f>
        <v>#DIV/0!</v>
      </c>
      <c r="AU299" s="4" t="e">
        <f>IF('Entrada e Saida'!$H$11="TRADING",AP299/(1-(SUM('Entrada e Saida'!$G$63:$G$65)+'Custo Resumido'!D299)),0)</f>
        <v>#DIV/0!</v>
      </c>
      <c r="AV299" s="3" t="e">
        <f>IF('Entrada e Saida'!$H$13="NÃO",AU299*M299,0)</f>
        <v>#DIV/0!</v>
      </c>
      <c r="AW299" s="4" t="e">
        <f t="shared" si="145"/>
        <v>#DIV/0!</v>
      </c>
      <c r="AX299" s="3" t="e">
        <f>'Entrada e Saida'!$G$74*AU299</f>
        <v>#DIV/0!</v>
      </c>
      <c r="AY299" s="4" t="e">
        <f t="shared" si="146"/>
        <v>#DIV/0!</v>
      </c>
      <c r="AZ299" s="4" t="e">
        <f>AQ299+('Entrada e Saida'!$G$65-'Entrada e Saida'!$I$65)*AU299-AX299</f>
        <v>#DIV/0!</v>
      </c>
      <c r="BA299" s="3" t="e">
        <f>IF('Entrada e Saida'!$H$12="REAL",AZ299*'Entrada e Saida'!$G$81,AU299*'Entrada e Saida'!$G$81)</f>
        <v>#DIV/0!</v>
      </c>
      <c r="BB299" s="3" t="e">
        <f>IF('Entrada e Saida'!$H$12="REAL",AZ299*'Entrada e Saida'!$G$82,AU299*'Entrada e Saida'!$G$82)</f>
        <v>#DIV/0!</v>
      </c>
      <c r="BC299" s="4" t="e">
        <f t="shared" si="147"/>
        <v>#DIV/0!</v>
      </c>
      <c r="BD299" s="3" t="e">
        <f>IF('Entrada e Saida'!$H$11="TRADING",AW299/D299,AK299/D299)</f>
        <v>#DIV/0!</v>
      </c>
      <c r="BE299" s="3" t="e">
        <f t="shared" si="148"/>
        <v>#DIV/0!</v>
      </c>
      <c r="BF299" s="2" t="e">
        <f t="shared" si="149"/>
        <v>#DIV/0!</v>
      </c>
      <c r="BG299" s="3" t="e">
        <f>IF('Entrada e Saida'!$H$11="TRADING",AV299/D299,AN299/D299)</f>
        <v>#DIV/0!</v>
      </c>
      <c r="BH299" s="3" t="e">
        <f>IF('Entrada e Saida'!$H$11="TRADING",IF('Entrada e Saida'!$H$12="REAL",AR299/D299,0),AL299/D299)</f>
        <v>#DIV/0!</v>
      </c>
      <c r="BI299" s="3" t="e">
        <f>IF('Entrada e Saida'!$H$11="TRADING",IF('Entrada e Saida'!$H$12="REAL",AS299/D299,0),AM299/D299)</f>
        <v>#DIV/0!</v>
      </c>
      <c r="BJ299" s="3" t="e">
        <f>IF('Entrada e Saida'!$H$11="TRADING",AT299/D299,AO299/D299)</f>
        <v>#DIV/0!</v>
      </c>
      <c r="BK299" s="2" t="e">
        <f t="shared" si="150"/>
        <v>#DIV/0!</v>
      </c>
      <c r="BL299" s="2">
        <f>IF(O299&gt;0,IFERROR(IF('Entrada e Saida'!$H$11="DIRETA",0,(IF('Entrada e Saida'!$H$14="P.JURIDICA",(BD299*(1+O299)*N299)-((BD299/(1+M299))*'Entrada e Saida'!$G$65),((Produtos!N299-'Entrada e Saida'!$G$65)*Produtos!BD299)))),0),0)</f>
        <v>0</v>
      </c>
      <c r="BM299" s="2" t="e">
        <f t="shared" si="151"/>
        <v>#DIV/0!</v>
      </c>
    </row>
    <row r="300" spans="1:65" s="1" customFormat="1">
      <c r="A300" s="127"/>
      <c r="B300" s="114"/>
      <c r="C300" s="116"/>
      <c r="D300" s="146"/>
      <c r="E300" s="115">
        <f>IFERROR(VLOOKUP(A300,'Master Modelo'!A:I,9,FALSE),0)</f>
        <v>0</v>
      </c>
      <c r="F300" s="189">
        <f>IFERROR(VLOOKUP(A300,'Master Modelo'!A:I,8,FALSE),0)</f>
        <v>0</v>
      </c>
      <c r="G300" s="189">
        <f>IFERROR(VLOOKUP(A300,'Master Modelo'!A:K,11,FALSE),0)</f>
        <v>0</v>
      </c>
      <c r="H300" s="114" t="e">
        <f t="shared" si="134"/>
        <v>#DIV/0!</v>
      </c>
      <c r="I300" s="150">
        <f>IFERROR(VLOOKUP(A300,'Master Modelo'!A:I,3,FALSE),0)</f>
        <v>0</v>
      </c>
      <c r="J300" s="151">
        <f>IFERROR(VLOOKUP(A300,'Master Modelo'!A:I,5,FALSE),0)</f>
        <v>0</v>
      </c>
      <c r="K300" s="151">
        <f>IFERROR(VLOOKUP(A300,'Master Modelo'!A:I,6,FALSE),0)</f>
        <v>0</v>
      </c>
      <c r="L300" s="152" t="e">
        <f>VLOOKUP(A300,'Master Modelo'!A:J,10,FALSE)</f>
        <v>#N/A</v>
      </c>
      <c r="M300" s="150">
        <f>IFERROR(VLOOKUP(A300,'Master Modelo'!A:I,4,FALSE),0)</f>
        <v>0</v>
      </c>
      <c r="N300" s="128"/>
      <c r="O300" s="129"/>
      <c r="P300" s="9">
        <f t="shared" si="135"/>
        <v>0</v>
      </c>
      <c r="Q300" s="177">
        <f t="shared" si="133"/>
        <v>0</v>
      </c>
      <c r="R300" s="3">
        <f>D300*E300*'Entrada e Saida'!$K$8</f>
        <v>0</v>
      </c>
      <c r="S300" s="179" t="e">
        <f>'Entrada e Saida'!$H$21*'Entrada e Saida'!$K$8*(P300/(SUM(P:P)))</f>
        <v>#DIV/0!</v>
      </c>
      <c r="T300" s="179" t="e">
        <f>'Entrada e Saida'!$H$21*'Entrada e Saida'!$K$8*(Q300/(SUM(Q:Q)))</f>
        <v>#DIV/0!</v>
      </c>
      <c r="U300" s="179" t="e">
        <f>'Entrada e Saida'!$H$22*(P300/(SUM(P:P)))</f>
        <v>#DIV/0!</v>
      </c>
      <c r="V300" s="179" t="e">
        <f>'Entrada e Saida'!$H$22*(Q300/(SUM(Q:Q)))</f>
        <v>#DIV/0!</v>
      </c>
      <c r="W300" s="8" t="e">
        <f t="shared" si="136"/>
        <v>#DIV/0!</v>
      </c>
      <c r="X300" s="179" t="e">
        <f>'Entrada e Saida'!$H$26*(IF('Entrada e Saida'!$H$15="PESO",(P300/(SUM(P:P))),(Q300/(SUM(Q:Q)))))</f>
        <v>#DIV/0!</v>
      </c>
      <c r="Y300" s="179" t="e">
        <f>'Entrada e Saida'!$H$27*(IF('Entrada e Saida'!$H$15="PESO",(P300/(SUM(P:P))),(Q300/(SUM(Q:Q)))))</f>
        <v>#DIV/0!</v>
      </c>
      <c r="Z300" s="179" t="e">
        <f>'Entrada e Saida'!$H$28*(IF('Entrada e Saida'!$H$15="PESO",(P300/(SUM(P:P))),(Q300/(SUM(Q:Q)))))</f>
        <v>#DIV/0!</v>
      </c>
      <c r="AA300" s="10" t="e">
        <f t="shared" si="137"/>
        <v>#DIV/0!</v>
      </c>
      <c r="AB300" s="3" t="e">
        <f t="shared" si="138"/>
        <v>#DIV/0!</v>
      </c>
      <c r="AC300" s="3" t="e">
        <f t="shared" si="139"/>
        <v>#DIV/0!</v>
      </c>
      <c r="AD300" s="3" t="e">
        <f t="shared" si="140"/>
        <v>#DIV/0!</v>
      </c>
      <c r="AE300" s="9" t="e">
        <f t="shared" si="141"/>
        <v>#DIV/0!</v>
      </c>
      <c r="AF300" s="126">
        <f>IFERROR(D300*F300*L300*'Entrada e Saida'!$K$8,0)</f>
        <v>0</v>
      </c>
      <c r="AG300" s="3" t="e">
        <f>((W300+AA300+AB300+AC300+AD300+AE300+AF300)/(1-'Entrada e Saida'!$G$65))*'Entrada e Saida'!$I$66</f>
        <v>#DIV/0!</v>
      </c>
      <c r="AH300" s="8" t="e">
        <f t="shared" si="142"/>
        <v>#DIV/0!</v>
      </c>
      <c r="AI300" s="183" t="e">
        <f>'Entrada e Saida'!$K$51*(IF('Entrada e Saida'!$H$15="PESO",(P300/(SUM(P:P))),(Q300/(SUM(Q:Q)))))</f>
        <v>#DIV/0!</v>
      </c>
      <c r="AJ300" s="7">
        <f>(('Entrada e Saida'!$K$10-'Entrada e Saida'!$K$8)*E300*D300)</f>
        <v>0</v>
      </c>
      <c r="AK300" s="184" t="e">
        <f>IF('Entrada e Saida'!$H$15="PESO",W300+AA300+AH300+AI300+AJ300,W300+AA300+AH300+AI300+AJ300-S300+T300-U300+V300)</f>
        <v>#DIV/0!</v>
      </c>
      <c r="AL300" s="6" t="e">
        <f>IF('Entrada e Saida'!$H$12="REAL",AC300,0)</f>
        <v>#DIV/0!</v>
      </c>
      <c r="AM300" s="6" t="e">
        <f>IF('Entrada e Saida'!$H$12="REAL",AD300,0)</f>
        <v>#DIV/0!</v>
      </c>
      <c r="AN300" s="5" t="e">
        <f>IF('Entrada e Saida'!$H$13= "NÃO",AE300,0)</f>
        <v>#DIV/0!</v>
      </c>
      <c r="AO300" s="5" t="e">
        <f t="shared" si="143"/>
        <v>#DIV/0!</v>
      </c>
      <c r="AP300" s="4" t="e">
        <f t="shared" si="144"/>
        <v>#DIV/0!</v>
      </c>
      <c r="AQ300" s="3" t="e">
        <f>IF('Entrada e Saida'!$H$11="TRADING",AU300*'Custo Resumido'!D300,0)</f>
        <v>#DIV/0!</v>
      </c>
      <c r="AR300" s="3" t="e">
        <f>IF('Entrada e Saida'!$H$11="TRADING",AU300*'Entrada e Saida'!$G$63,0)</f>
        <v>#DIV/0!</v>
      </c>
      <c r="AS300" s="3" t="e">
        <f>IF('Entrada e Saida'!$H$11="TRADING",AU300*'Entrada e Saida'!$G$64,0)</f>
        <v>#DIV/0!</v>
      </c>
      <c r="AT300" s="3" t="e">
        <f>IF('Entrada e Saida'!$H$11="TRADING",AU300*'Entrada e Saida'!$G$65,0)</f>
        <v>#DIV/0!</v>
      </c>
      <c r="AU300" s="4" t="e">
        <f>IF('Entrada e Saida'!$H$11="TRADING",AP300/(1-(SUM('Entrada e Saida'!$G$63:$G$65)+'Custo Resumido'!D300)),0)</f>
        <v>#DIV/0!</v>
      </c>
      <c r="AV300" s="3" t="e">
        <f>IF('Entrada e Saida'!$H$13="NÃO",AU300*M300,0)</f>
        <v>#DIV/0!</v>
      </c>
      <c r="AW300" s="4" t="e">
        <f t="shared" si="145"/>
        <v>#DIV/0!</v>
      </c>
      <c r="AX300" s="3" t="e">
        <f>'Entrada e Saida'!$G$74*AU300</f>
        <v>#DIV/0!</v>
      </c>
      <c r="AY300" s="4" t="e">
        <f t="shared" si="146"/>
        <v>#DIV/0!</v>
      </c>
      <c r="AZ300" s="4" t="e">
        <f>AQ300+('Entrada e Saida'!$G$65-'Entrada e Saida'!$I$65)*AU300-AX300</f>
        <v>#DIV/0!</v>
      </c>
      <c r="BA300" s="3" t="e">
        <f>IF('Entrada e Saida'!$H$12="REAL",AZ300*'Entrada e Saida'!$G$81,AU300*'Entrada e Saida'!$G$81)</f>
        <v>#DIV/0!</v>
      </c>
      <c r="BB300" s="3" t="e">
        <f>IF('Entrada e Saida'!$H$12="REAL",AZ300*'Entrada e Saida'!$G$82,AU300*'Entrada e Saida'!$G$82)</f>
        <v>#DIV/0!</v>
      </c>
      <c r="BC300" s="4" t="e">
        <f t="shared" si="147"/>
        <v>#DIV/0!</v>
      </c>
      <c r="BD300" s="3" t="e">
        <f>IF('Entrada e Saida'!$H$11="TRADING",AW300/D300,AK300/D300)</f>
        <v>#DIV/0!</v>
      </c>
      <c r="BE300" s="3" t="e">
        <f t="shared" si="148"/>
        <v>#DIV/0!</v>
      </c>
      <c r="BF300" s="2" t="e">
        <f t="shared" si="149"/>
        <v>#DIV/0!</v>
      </c>
      <c r="BG300" s="3" t="e">
        <f>IF('Entrada e Saida'!$H$11="TRADING",AV300/D300,AN300/D300)</f>
        <v>#DIV/0!</v>
      </c>
      <c r="BH300" s="3" t="e">
        <f>IF('Entrada e Saida'!$H$11="TRADING",IF('Entrada e Saida'!$H$12="REAL",AR300/D300,0),AL300/D300)</f>
        <v>#DIV/0!</v>
      </c>
      <c r="BI300" s="3" t="e">
        <f>IF('Entrada e Saida'!$H$11="TRADING",IF('Entrada e Saida'!$H$12="REAL",AS300/D300,0),AM300/D300)</f>
        <v>#DIV/0!</v>
      </c>
      <c r="BJ300" s="3" t="e">
        <f>IF('Entrada e Saida'!$H$11="TRADING",AT300/D300,AO300/D300)</f>
        <v>#DIV/0!</v>
      </c>
      <c r="BK300" s="2" t="e">
        <f t="shared" si="150"/>
        <v>#DIV/0!</v>
      </c>
      <c r="BL300" s="2">
        <f>IF(O300&gt;0,IFERROR(IF('Entrada e Saida'!$H$11="DIRETA",0,(IF('Entrada e Saida'!$H$14="P.JURIDICA",(BD300*(1+O300)*N300)-((BD300/(1+M300))*'Entrada e Saida'!$G$65),((Produtos!N300-'Entrada e Saida'!$G$65)*Produtos!BD300)))),0),0)</f>
        <v>0</v>
      </c>
      <c r="BM300" s="2" t="e">
        <f t="shared" si="151"/>
        <v>#DIV/0!</v>
      </c>
    </row>
    <row r="301" spans="1:65" s="1" customFormat="1">
      <c r="A301" s="127"/>
      <c r="B301" s="114"/>
      <c r="C301" s="116"/>
      <c r="D301" s="146"/>
      <c r="E301" s="115">
        <f>IFERROR(VLOOKUP(A301,'Master Modelo'!A:I,9,FALSE),0)</f>
        <v>0</v>
      </c>
      <c r="F301" s="189">
        <f>IFERROR(VLOOKUP(A301,'Master Modelo'!A:I,8,FALSE),0)</f>
        <v>0</v>
      </c>
      <c r="G301" s="189">
        <f>IFERROR(VLOOKUP(A301,'Master Modelo'!A:K,11,FALSE),0)</f>
        <v>0</v>
      </c>
      <c r="H301" s="114" t="e">
        <f t="shared" si="134"/>
        <v>#DIV/0!</v>
      </c>
      <c r="I301" s="150">
        <f>IFERROR(VLOOKUP(A301,'Master Modelo'!A:I,3,FALSE),0)</f>
        <v>0</v>
      </c>
      <c r="J301" s="151">
        <f>IFERROR(VLOOKUP(A301,'Master Modelo'!A:I,5,FALSE),0)</f>
        <v>0</v>
      </c>
      <c r="K301" s="151">
        <f>IFERROR(VLOOKUP(A301,'Master Modelo'!A:I,6,FALSE),0)</f>
        <v>0</v>
      </c>
      <c r="L301" s="152" t="e">
        <f>VLOOKUP(A301,'Master Modelo'!A:J,10,FALSE)</f>
        <v>#N/A</v>
      </c>
      <c r="M301" s="150">
        <f>IFERROR(VLOOKUP(A301,'Master Modelo'!A:I,4,FALSE),0)</f>
        <v>0</v>
      </c>
      <c r="N301" s="128"/>
      <c r="O301" s="129"/>
      <c r="P301" s="9">
        <f t="shared" si="135"/>
        <v>0</v>
      </c>
      <c r="Q301" s="177">
        <f t="shared" si="133"/>
        <v>0</v>
      </c>
      <c r="R301" s="3">
        <f>D301*E301*'Entrada e Saida'!$K$8</f>
        <v>0</v>
      </c>
      <c r="S301" s="179" t="e">
        <f>'Entrada e Saida'!$H$21*'Entrada e Saida'!$K$8*(P301/(SUM(P:P)))</f>
        <v>#DIV/0!</v>
      </c>
      <c r="T301" s="179" t="e">
        <f>'Entrada e Saida'!$H$21*'Entrada e Saida'!$K$8*(Q301/(SUM(Q:Q)))</f>
        <v>#DIV/0!</v>
      </c>
      <c r="U301" s="179" t="e">
        <f>'Entrada e Saida'!$H$22*(P301/(SUM(P:P)))</f>
        <v>#DIV/0!</v>
      </c>
      <c r="V301" s="179" t="e">
        <f>'Entrada e Saida'!$H$22*(Q301/(SUM(Q:Q)))</f>
        <v>#DIV/0!</v>
      </c>
      <c r="W301" s="8" t="e">
        <f t="shared" si="136"/>
        <v>#DIV/0!</v>
      </c>
      <c r="X301" s="179" t="e">
        <f>'Entrada e Saida'!$H$26*(IF('Entrada e Saida'!$H$15="PESO",(P301/(SUM(P:P))),(Q301/(SUM(Q:Q)))))</f>
        <v>#DIV/0!</v>
      </c>
      <c r="Y301" s="179" t="e">
        <f>'Entrada e Saida'!$H$27*(IF('Entrada e Saida'!$H$15="PESO",(P301/(SUM(P:P))),(Q301/(SUM(Q:Q)))))</f>
        <v>#DIV/0!</v>
      </c>
      <c r="Z301" s="179" t="e">
        <f>'Entrada e Saida'!$H$28*(IF('Entrada e Saida'!$H$15="PESO",(P301/(SUM(P:P))),(Q301/(SUM(Q:Q)))))</f>
        <v>#DIV/0!</v>
      </c>
      <c r="AA301" s="10" t="e">
        <f t="shared" si="137"/>
        <v>#DIV/0!</v>
      </c>
      <c r="AB301" s="3" t="e">
        <f t="shared" si="138"/>
        <v>#DIV/0!</v>
      </c>
      <c r="AC301" s="3" t="e">
        <f t="shared" si="139"/>
        <v>#DIV/0!</v>
      </c>
      <c r="AD301" s="3" t="e">
        <f t="shared" si="140"/>
        <v>#DIV/0!</v>
      </c>
      <c r="AE301" s="9" t="e">
        <f t="shared" si="141"/>
        <v>#DIV/0!</v>
      </c>
      <c r="AF301" s="126">
        <f>IFERROR(D301*F301*L301*'Entrada e Saida'!$K$8,0)</f>
        <v>0</v>
      </c>
      <c r="AG301" s="3" t="e">
        <f>((W301+AA301+AB301+AC301+AD301+AE301+AF301)/(1-'Entrada e Saida'!$G$65))*'Entrada e Saida'!$I$66</f>
        <v>#DIV/0!</v>
      </c>
      <c r="AH301" s="8" t="e">
        <f t="shared" si="142"/>
        <v>#DIV/0!</v>
      </c>
      <c r="AI301" s="183" t="e">
        <f>'Entrada e Saida'!$K$51*(IF('Entrada e Saida'!$H$15="PESO",(P301/(SUM(P:P))),(Q301/(SUM(Q:Q)))))</f>
        <v>#DIV/0!</v>
      </c>
      <c r="AJ301" s="7">
        <f>(('Entrada e Saida'!$K$10-'Entrada e Saida'!$K$8)*E301*D301)</f>
        <v>0</v>
      </c>
      <c r="AK301" s="184" t="e">
        <f>IF('Entrada e Saida'!$H$15="PESO",W301+AA301+AH301+AI301+AJ301,W301+AA301+AH301+AI301+AJ301-S301+T301-U301+V301)</f>
        <v>#DIV/0!</v>
      </c>
      <c r="AL301" s="6" t="e">
        <f>IF('Entrada e Saida'!$H$12="REAL",AC301,0)</f>
        <v>#DIV/0!</v>
      </c>
      <c r="AM301" s="6" t="e">
        <f>IF('Entrada e Saida'!$H$12="REAL",AD301,0)</f>
        <v>#DIV/0!</v>
      </c>
      <c r="AN301" s="5" t="e">
        <f>IF('Entrada e Saida'!$H$13= "NÃO",AE301,0)</f>
        <v>#DIV/0!</v>
      </c>
      <c r="AO301" s="5" t="e">
        <f t="shared" si="143"/>
        <v>#DIV/0!</v>
      </c>
      <c r="AP301" s="4" t="e">
        <f t="shared" si="144"/>
        <v>#DIV/0!</v>
      </c>
      <c r="AQ301" s="3" t="e">
        <f>IF('Entrada e Saida'!$H$11="TRADING",AU301*'Custo Resumido'!D301,0)</f>
        <v>#DIV/0!</v>
      </c>
      <c r="AR301" s="3" t="e">
        <f>IF('Entrada e Saida'!$H$11="TRADING",AU301*'Entrada e Saida'!$G$63,0)</f>
        <v>#DIV/0!</v>
      </c>
      <c r="AS301" s="3" t="e">
        <f>IF('Entrada e Saida'!$H$11="TRADING",AU301*'Entrada e Saida'!$G$64,0)</f>
        <v>#DIV/0!</v>
      </c>
      <c r="AT301" s="3" t="e">
        <f>IF('Entrada e Saida'!$H$11="TRADING",AU301*'Entrada e Saida'!$G$65,0)</f>
        <v>#DIV/0!</v>
      </c>
      <c r="AU301" s="4" t="e">
        <f>IF('Entrada e Saida'!$H$11="TRADING",AP301/(1-(SUM('Entrada e Saida'!$G$63:$G$65)+'Custo Resumido'!D301)),0)</f>
        <v>#DIV/0!</v>
      </c>
      <c r="AV301" s="3" t="e">
        <f>IF('Entrada e Saida'!$H$13="NÃO",AU301*M301,0)</f>
        <v>#DIV/0!</v>
      </c>
      <c r="AW301" s="4" t="e">
        <f t="shared" si="145"/>
        <v>#DIV/0!</v>
      </c>
      <c r="AX301" s="3" t="e">
        <f>'Entrada e Saida'!$G$74*AU301</f>
        <v>#DIV/0!</v>
      </c>
      <c r="AY301" s="4" t="e">
        <f t="shared" si="146"/>
        <v>#DIV/0!</v>
      </c>
      <c r="AZ301" s="4" t="e">
        <f>AQ301+('Entrada e Saida'!$G$65-'Entrada e Saida'!$I$65)*AU301-AX301</f>
        <v>#DIV/0!</v>
      </c>
      <c r="BA301" s="3" t="e">
        <f>IF('Entrada e Saida'!$H$12="REAL",AZ301*'Entrada e Saida'!$G$81,AU301*'Entrada e Saida'!$G$81)</f>
        <v>#DIV/0!</v>
      </c>
      <c r="BB301" s="3" t="e">
        <f>IF('Entrada e Saida'!$H$12="REAL",AZ301*'Entrada e Saida'!$G$82,AU301*'Entrada e Saida'!$G$82)</f>
        <v>#DIV/0!</v>
      </c>
      <c r="BC301" s="4" t="e">
        <f t="shared" si="147"/>
        <v>#DIV/0!</v>
      </c>
      <c r="BD301" s="3" t="e">
        <f>IF('Entrada e Saida'!$H$11="TRADING",AW301/D301,AK301/D301)</f>
        <v>#DIV/0!</v>
      </c>
      <c r="BE301" s="3" t="e">
        <f t="shared" si="148"/>
        <v>#DIV/0!</v>
      </c>
      <c r="BF301" s="2" t="e">
        <f t="shared" si="149"/>
        <v>#DIV/0!</v>
      </c>
      <c r="BG301" s="3" t="e">
        <f>IF('Entrada e Saida'!$H$11="TRADING",AV301/D301,AN301/D301)</f>
        <v>#DIV/0!</v>
      </c>
      <c r="BH301" s="3" t="e">
        <f>IF('Entrada e Saida'!$H$11="TRADING",IF('Entrada e Saida'!$H$12="REAL",AR301/D301,0),AL301/D301)</f>
        <v>#DIV/0!</v>
      </c>
      <c r="BI301" s="3" t="e">
        <f>IF('Entrada e Saida'!$H$11="TRADING",IF('Entrada e Saida'!$H$12="REAL",AS301/D301,0),AM301/D301)</f>
        <v>#DIV/0!</v>
      </c>
      <c r="BJ301" s="3" t="e">
        <f>IF('Entrada e Saida'!$H$11="TRADING",AT301/D301,AO301/D301)</f>
        <v>#DIV/0!</v>
      </c>
      <c r="BK301" s="2" t="e">
        <f t="shared" si="150"/>
        <v>#DIV/0!</v>
      </c>
      <c r="BL301" s="2">
        <f>IF(O301&gt;0,IFERROR(IF('Entrada e Saida'!$H$11="DIRETA",0,(IF('Entrada e Saida'!$H$14="P.JURIDICA",(BD301*(1+O301)*N301)-((BD301/(1+M301))*'Entrada e Saida'!$G$65),((Produtos!N301-'Entrada e Saida'!$G$65)*Produtos!BD301)))),0),0)</f>
        <v>0</v>
      </c>
      <c r="BM301" s="2" t="e">
        <f t="shared" si="151"/>
        <v>#DIV/0!</v>
      </c>
    </row>
    <row r="302" spans="1:65" s="1" customFormat="1">
      <c r="A302" s="127"/>
      <c r="B302" s="114"/>
      <c r="C302" s="116"/>
      <c r="D302" s="146"/>
      <c r="E302" s="115">
        <f>IFERROR(VLOOKUP(A302,'Master Modelo'!A:I,9,FALSE),0)</f>
        <v>0</v>
      </c>
      <c r="F302" s="189">
        <f>IFERROR(VLOOKUP(A302,'Master Modelo'!A:I,8,FALSE),0)</f>
        <v>0</v>
      </c>
      <c r="G302" s="189">
        <f>IFERROR(VLOOKUP(A302,'Master Modelo'!A:K,11,FALSE),0)</f>
        <v>0</v>
      </c>
      <c r="H302" s="114" t="e">
        <f t="shared" si="134"/>
        <v>#DIV/0!</v>
      </c>
      <c r="I302" s="150">
        <f>IFERROR(VLOOKUP(A302,'Master Modelo'!A:I,3,FALSE),0)</f>
        <v>0</v>
      </c>
      <c r="J302" s="151">
        <f>IFERROR(VLOOKUP(A302,'Master Modelo'!A:I,5,FALSE),0)</f>
        <v>0</v>
      </c>
      <c r="K302" s="151">
        <f>IFERROR(VLOOKUP(A302,'Master Modelo'!A:I,6,FALSE),0)</f>
        <v>0</v>
      </c>
      <c r="L302" s="152" t="e">
        <f>VLOOKUP(A302,'Master Modelo'!A:J,10,FALSE)</f>
        <v>#N/A</v>
      </c>
      <c r="M302" s="150">
        <f>IFERROR(VLOOKUP(A302,'Master Modelo'!A:I,4,FALSE),0)</f>
        <v>0</v>
      </c>
      <c r="N302" s="128"/>
      <c r="O302" s="129"/>
      <c r="P302" s="9">
        <f t="shared" si="135"/>
        <v>0</v>
      </c>
      <c r="Q302" s="177">
        <f t="shared" si="133"/>
        <v>0</v>
      </c>
      <c r="R302" s="3">
        <f>D302*E302*'Entrada e Saida'!$K$8</f>
        <v>0</v>
      </c>
      <c r="S302" s="179" t="e">
        <f>'Entrada e Saida'!$H$21*'Entrada e Saida'!$K$8*(P302/(SUM(P:P)))</f>
        <v>#DIV/0!</v>
      </c>
      <c r="T302" s="179" t="e">
        <f>'Entrada e Saida'!$H$21*'Entrada e Saida'!$K$8*(Q302/(SUM(Q:Q)))</f>
        <v>#DIV/0!</v>
      </c>
      <c r="U302" s="179" t="e">
        <f>'Entrada e Saida'!$H$22*(P302/(SUM(P:P)))</f>
        <v>#DIV/0!</v>
      </c>
      <c r="V302" s="179" t="e">
        <f>'Entrada e Saida'!$H$22*(Q302/(SUM(Q:Q)))</f>
        <v>#DIV/0!</v>
      </c>
      <c r="W302" s="8" t="e">
        <f t="shared" si="136"/>
        <v>#DIV/0!</v>
      </c>
      <c r="X302" s="179" t="e">
        <f>'Entrada e Saida'!$H$26*(IF('Entrada e Saida'!$H$15="PESO",(P302/(SUM(P:P))),(Q302/(SUM(Q:Q)))))</f>
        <v>#DIV/0!</v>
      </c>
      <c r="Y302" s="179" t="e">
        <f>'Entrada e Saida'!$H$27*(IF('Entrada e Saida'!$H$15="PESO",(P302/(SUM(P:P))),(Q302/(SUM(Q:Q)))))</f>
        <v>#DIV/0!</v>
      </c>
      <c r="Z302" s="179" t="e">
        <f>'Entrada e Saida'!$H$28*(IF('Entrada e Saida'!$H$15="PESO",(P302/(SUM(P:P))),(Q302/(SUM(Q:Q)))))</f>
        <v>#DIV/0!</v>
      </c>
      <c r="AA302" s="10" t="e">
        <f t="shared" si="137"/>
        <v>#DIV/0!</v>
      </c>
      <c r="AB302" s="3" t="e">
        <f t="shared" si="138"/>
        <v>#DIV/0!</v>
      </c>
      <c r="AC302" s="3" t="e">
        <f t="shared" si="139"/>
        <v>#DIV/0!</v>
      </c>
      <c r="AD302" s="3" t="e">
        <f t="shared" si="140"/>
        <v>#DIV/0!</v>
      </c>
      <c r="AE302" s="9" t="e">
        <f t="shared" si="141"/>
        <v>#DIV/0!</v>
      </c>
      <c r="AF302" s="126">
        <f>IFERROR(D302*F302*L302*'Entrada e Saida'!$K$8,0)</f>
        <v>0</v>
      </c>
      <c r="AG302" s="3" t="e">
        <f>((W302+AA302+AB302+AC302+AD302+AE302+AF302)/(1-'Entrada e Saida'!$G$65))*'Entrada e Saida'!$I$66</f>
        <v>#DIV/0!</v>
      </c>
      <c r="AH302" s="8" t="e">
        <f t="shared" si="142"/>
        <v>#DIV/0!</v>
      </c>
      <c r="AI302" s="183" t="e">
        <f>'Entrada e Saida'!$K$51*(IF('Entrada e Saida'!$H$15="PESO",(P302/(SUM(P:P))),(Q302/(SUM(Q:Q)))))</f>
        <v>#DIV/0!</v>
      </c>
      <c r="AJ302" s="7">
        <f>(('Entrada e Saida'!$K$10-'Entrada e Saida'!$K$8)*E302*D302)</f>
        <v>0</v>
      </c>
      <c r="AK302" s="184" t="e">
        <f>IF('Entrada e Saida'!$H$15="PESO",W302+AA302+AH302+AI302+AJ302,W302+AA302+AH302+AI302+AJ302-S302+T302-U302+V302)</f>
        <v>#DIV/0!</v>
      </c>
      <c r="AL302" s="6" t="e">
        <f>IF('Entrada e Saida'!$H$12="REAL",AC302,0)</f>
        <v>#DIV/0!</v>
      </c>
      <c r="AM302" s="6" t="e">
        <f>IF('Entrada e Saida'!$H$12="REAL",AD302,0)</f>
        <v>#DIV/0!</v>
      </c>
      <c r="AN302" s="5" t="e">
        <f>IF('Entrada e Saida'!$H$13= "NÃO",AE302,0)</f>
        <v>#DIV/0!</v>
      </c>
      <c r="AO302" s="5" t="e">
        <f t="shared" si="143"/>
        <v>#DIV/0!</v>
      </c>
      <c r="AP302" s="4" t="e">
        <f t="shared" si="144"/>
        <v>#DIV/0!</v>
      </c>
      <c r="AQ302" s="3" t="e">
        <f>IF('Entrada e Saida'!$H$11="TRADING",AU302*'Custo Resumido'!D302,0)</f>
        <v>#DIV/0!</v>
      </c>
      <c r="AR302" s="3" t="e">
        <f>IF('Entrada e Saida'!$H$11="TRADING",AU302*'Entrada e Saida'!$G$63,0)</f>
        <v>#DIV/0!</v>
      </c>
      <c r="AS302" s="3" t="e">
        <f>IF('Entrada e Saida'!$H$11="TRADING",AU302*'Entrada e Saida'!$G$64,0)</f>
        <v>#DIV/0!</v>
      </c>
      <c r="AT302" s="3" t="e">
        <f>IF('Entrada e Saida'!$H$11="TRADING",AU302*'Entrada e Saida'!$G$65,0)</f>
        <v>#DIV/0!</v>
      </c>
      <c r="AU302" s="4" t="e">
        <f>IF('Entrada e Saida'!$H$11="TRADING",AP302/(1-(SUM('Entrada e Saida'!$G$63:$G$65)+'Custo Resumido'!D302)),0)</f>
        <v>#DIV/0!</v>
      </c>
      <c r="AV302" s="3" t="e">
        <f>IF('Entrada e Saida'!$H$13="NÃO",AU302*M302,0)</f>
        <v>#DIV/0!</v>
      </c>
      <c r="AW302" s="4" t="e">
        <f t="shared" si="145"/>
        <v>#DIV/0!</v>
      </c>
      <c r="AX302" s="3" t="e">
        <f>'Entrada e Saida'!$G$74*AU302</f>
        <v>#DIV/0!</v>
      </c>
      <c r="AY302" s="4" t="e">
        <f t="shared" si="146"/>
        <v>#DIV/0!</v>
      </c>
      <c r="AZ302" s="4" t="e">
        <f>AQ302+('Entrada e Saida'!$G$65-'Entrada e Saida'!$I$65)*AU302-AX302</f>
        <v>#DIV/0!</v>
      </c>
      <c r="BA302" s="3" t="e">
        <f>IF('Entrada e Saida'!$H$12="REAL",AZ302*'Entrada e Saida'!$G$81,AU302*'Entrada e Saida'!$G$81)</f>
        <v>#DIV/0!</v>
      </c>
      <c r="BB302" s="3" t="e">
        <f>IF('Entrada e Saida'!$H$12="REAL",AZ302*'Entrada e Saida'!$G$82,AU302*'Entrada e Saida'!$G$82)</f>
        <v>#DIV/0!</v>
      </c>
      <c r="BC302" s="4" t="e">
        <f t="shared" si="147"/>
        <v>#DIV/0!</v>
      </c>
      <c r="BD302" s="3" t="e">
        <f>IF('Entrada e Saida'!$H$11="TRADING",AW302/D302,AK302/D302)</f>
        <v>#DIV/0!</v>
      </c>
      <c r="BE302" s="3" t="e">
        <f t="shared" si="148"/>
        <v>#DIV/0!</v>
      </c>
      <c r="BF302" s="2" t="e">
        <f t="shared" si="149"/>
        <v>#DIV/0!</v>
      </c>
      <c r="BG302" s="3" t="e">
        <f>IF('Entrada e Saida'!$H$11="TRADING",AV302/D302,AN302/D302)</f>
        <v>#DIV/0!</v>
      </c>
      <c r="BH302" s="3" t="e">
        <f>IF('Entrada e Saida'!$H$11="TRADING",IF('Entrada e Saida'!$H$12="REAL",AR302/D302,0),AL302/D302)</f>
        <v>#DIV/0!</v>
      </c>
      <c r="BI302" s="3" t="e">
        <f>IF('Entrada e Saida'!$H$11="TRADING",IF('Entrada e Saida'!$H$12="REAL",AS302/D302,0),AM302/D302)</f>
        <v>#DIV/0!</v>
      </c>
      <c r="BJ302" s="3" t="e">
        <f>IF('Entrada e Saida'!$H$11="TRADING",AT302/D302,AO302/D302)</f>
        <v>#DIV/0!</v>
      </c>
      <c r="BK302" s="2" t="e">
        <f t="shared" si="150"/>
        <v>#DIV/0!</v>
      </c>
      <c r="BL302" s="2">
        <f>IF(O302&gt;0,IFERROR(IF('Entrada e Saida'!$H$11="DIRETA",0,(IF('Entrada e Saida'!$H$14="P.JURIDICA",(BD302*(1+O302)*N302)-((BD302/(1+M302))*'Entrada e Saida'!$G$65),((Produtos!N302-'Entrada e Saida'!$G$65)*Produtos!BD302)))),0),0)</f>
        <v>0</v>
      </c>
      <c r="BM302" s="2" t="e">
        <f t="shared" si="151"/>
        <v>#DIV/0!</v>
      </c>
    </row>
    <row r="303" spans="1:65" s="1" customFormat="1">
      <c r="A303" s="127"/>
      <c r="B303" s="114"/>
      <c r="C303" s="116"/>
      <c r="D303" s="146"/>
      <c r="E303" s="115">
        <f>IFERROR(VLOOKUP(A303,'Master Modelo'!A:I,9,FALSE),0)</f>
        <v>0</v>
      </c>
      <c r="F303" s="189">
        <f>IFERROR(VLOOKUP(A303,'Master Modelo'!A:I,8,FALSE),0)</f>
        <v>0</v>
      </c>
      <c r="G303" s="189">
        <f>IFERROR(VLOOKUP(A303,'Master Modelo'!A:K,11,FALSE),0)</f>
        <v>0</v>
      </c>
      <c r="H303" s="114" t="e">
        <f t="shared" si="134"/>
        <v>#DIV/0!</v>
      </c>
      <c r="I303" s="150">
        <f>IFERROR(VLOOKUP(A303,'Master Modelo'!A:I,3,FALSE),0)</f>
        <v>0</v>
      </c>
      <c r="J303" s="151">
        <f>IFERROR(VLOOKUP(A303,'Master Modelo'!A:I,5,FALSE),0)</f>
        <v>0</v>
      </c>
      <c r="K303" s="151">
        <f>IFERROR(VLOOKUP(A303,'Master Modelo'!A:I,6,FALSE),0)</f>
        <v>0</v>
      </c>
      <c r="L303" s="152" t="e">
        <f>VLOOKUP(A303,'Master Modelo'!A:J,10,FALSE)</f>
        <v>#N/A</v>
      </c>
      <c r="M303" s="150">
        <f>IFERROR(VLOOKUP(A303,'Master Modelo'!A:I,4,FALSE),0)</f>
        <v>0</v>
      </c>
      <c r="N303" s="128"/>
      <c r="O303" s="129"/>
      <c r="P303" s="9">
        <f t="shared" si="135"/>
        <v>0</v>
      </c>
      <c r="Q303" s="177">
        <f t="shared" si="133"/>
        <v>0</v>
      </c>
      <c r="R303" s="3">
        <f>D303*E303*'Entrada e Saida'!$K$8</f>
        <v>0</v>
      </c>
      <c r="S303" s="179" t="e">
        <f>'Entrada e Saida'!$H$21*'Entrada e Saida'!$K$8*(P303/(SUM(P:P)))</f>
        <v>#DIV/0!</v>
      </c>
      <c r="T303" s="179" t="e">
        <f>'Entrada e Saida'!$H$21*'Entrada e Saida'!$K$8*(Q303/(SUM(Q:Q)))</f>
        <v>#DIV/0!</v>
      </c>
      <c r="U303" s="179" t="e">
        <f>'Entrada e Saida'!$H$22*(P303/(SUM(P:P)))</f>
        <v>#DIV/0!</v>
      </c>
      <c r="V303" s="179" t="e">
        <f>'Entrada e Saida'!$H$22*(Q303/(SUM(Q:Q)))</f>
        <v>#DIV/0!</v>
      </c>
      <c r="W303" s="8" t="e">
        <f t="shared" si="136"/>
        <v>#DIV/0!</v>
      </c>
      <c r="X303" s="179" t="e">
        <f>'Entrada e Saida'!$H$26*(IF('Entrada e Saida'!$H$15="PESO",(P303/(SUM(P:P))),(Q303/(SUM(Q:Q)))))</f>
        <v>#DIV/0!</v>
      </c>
      <c r="Y303" s="179" t="e">
        <f>'Entrada e Saida'!$H$27*(IF('Entrada e Saida'!$H$15="PESO",(P303/(SUM(P:P))),(Q303/(SUM(Q:Q)))))</f>
        <v>#DIV/0!</v>
      </c>
      <c r="Z303" s="179" t="e">
        <f>'Entrada e Saida'!$H$28*(IF('Entrada e Saida'!$H$15="PESO",(P303/(SUM(P:P))),(Q303/(SUM(Q:Q)))))</f>
        <v>#DIV/0!</v>
      </c>
      <c r="AA303" s="10" t="e">
        <f t="shared" si="137"/>
        <v>#DIV/0!</v>
      </c>
      <c r="AB303" s="3" t="e">
        <f t="shared" si="138"/>
        <v>#DIV/0!</v>
      </c>
      <c r="AC303" s="3" t="e">
        <f t="shared" si="139"/>
        <v>#DIV/0!</v>
      </c>
      <c r="AD303" s="3" t="e">
        <f t="shared" si="140"/>
        <v>#DIV/0!</v>
      </c>
      <c r="AE303" s="9" t="e">
        <f t="shared" si="141"/>
        <v>#DIV/0!</v>
      </c>
      <c r="AF303" s="126">
        <f>IFERROR(D303*F303*L303*'Entrada e Saida'!$K$8,0)</f>
        <v>0</v>
      </c>
      <c r="AG303" s="3" t="e">
        <f>((W303+AA303+AB303+AC303+AD303+AE303+AF303)/(1-'Entrada e Saida'!$G$65))*'Entrada e Saida'!$I$66</f>
        <v>#DIV/0!</v>
      </c>
      <c r="AH303" s="8" t="e">
        <f t="shared" si="142"/>
        <v>#DIV/0!</v>
      </c>
      <c r="AI303" s="183" t="e">
        <f>'Entrada e Saida'!$K$51*(IF('Entrada e Saida'!$H$15="PESO",(P303/(SUM(P:P))),(Q303/(SUM(Q:Q)))))</f>
        <v>#DIV/0!</v>
      </c>
      <c r="AJ303" s="7">
        <f>(('Entrada e Saida'!$K$10-'Entrada e Saida'!$K$8)*E303*D303)</f>
        <v>0</v>
      </c>
      <c r="AK303" s="184" t="e">
        <f>IF('Entrada e Saida'!$H$15="PESO",W303+AA303+AH303+AI303+AJ303,W303+AA303+AH303+AI303+AJ303-S303+T303-U303+V303)</f>
        <v>#DIV/0!</v>
      </c>
      <c r="AL303" s="6" t="e">
        <f>IF('Entrada e Saida'!$H$12="REAL",AC303,0)</f>
        <v>#DIV/0!</v>
      </c>
      <c r="AM303" s="6" t="e">
        <f>IF('Entrada e Saida'!$H$12="REAL",AD303,0)</f>
        <v>#DIV/0!</v>
      </c>
      <c r="AN303" s="5" t="e">
        <f>IF('Entrada e Saida'!$H$13= "NÃO",AE303,0)</f>
        <v>#DIV/0!</v>
      </c>
      <c r="AO303" s="5" t="e">
        <f t="shared" si="143"/>
        <v>#DIV/0!</v>
      </c>
      <c r="AP303" s="4" t="e">
        <f t="shared" si="144"/>
        <v>#DIV/0!</v>
      </c>
      <c r="AQ303" s="3" t="e">
        <f>IF('Entrada e Saida'!$H$11="TRADING",AU303*'Custo Resumido'!D303,0)</f>
        <v>#DIV/0!</v>
      </c>
      <c r="AR303" s="3" t="e">
        <f>IF('Entrada e Saida'!$H$11="TRADING",AU303*'Entrada e Saida'!$G$63,0)</f>
        <v>#DIV/0!</v>
      </c>
      <c r="AS303" s="3" t="e">
        <f>IF('Entrada e Saida'!$H$11="TRADING",AU303*'Entrada e Saida'!$G$64,0)</f>
        <v>#DIV/0!</v>
      </c>
      <c r="AT303" s="3" t="e">
        <f>IF('Entrada e Saida'!$H$11="TRADING",AU303*'Entrada e Saida'!$G$65,0)</f>
        <v>#DIV/0!</v>
      </c>
      <c r="AU303" s="4" t="e">
        <f>IF('Entrada e Saida'!$H$11="TRADING",AP303/(1-(SUM('Entrada e Saida'!$G$63:$G$65)+'Custo Resumido'!D303)),0)</f>
        <v>#DIV/0!</v>
      </c>
      <c r="AV303" s="3" t="e">
        <f>IF('Entrada e Saida'!$H$13="NÃO",AU303*M303,0)</f>
        <v>#DIV/0!</v>
      </c>
      <c r="AW303" s="4" t="e">
        <f t="shared" si="145"/>
        <v>#DIV/0!</v>
      </c>
      <c r="AX303" s="3" t="e">
        <f>'Entrada e Saida'!$G$74*AU303</f>
        <v>#DIV/0!</v>
      </c>
      <c r="AY303" s="4" t="e">
        <f t="shared" si="146"/>
        <v>#DIV/0!</v>
      </c>
      <c r="AZ303" s="4" t="e">
        <f>AQ303+('Entrada e Saida'!$G$65-'Entrada e Saida'!$I$65)*AU303-AX303</f>
        <v>#DIV/0!</v>
      </c>
      <c r="BA303" s="3" t="e">
        <f>IF('Entrada e Saida'!$H$12="REAL",AZ303*'Entrada e Saida'!$G$81,AU303*'Entrada e Saida'!$G$81)</f>
        <v>#DIV/0!</v>
      </c>
      <c r="BB303" s="3" t="e">
        <f>IF('Entrada e Saida'!$H$12="REAL",AZ303*'Entrada e Saida'!$G$82,AU303*'Entrada e Saida'!$G$82)</f>
        <v>#DIV/0!</v>
      </c>
      <c r="BC303" s="4" t="e">
        <f t="shared" si="147"/>
        <v>#DIV/0!</v>
      </c>
      <c r="BD303" s="3" t="e">
        <f>IF('Entrada e Saida'!$H$11="TRADING",AW303/D303,AK303/D303)</f>
        <v>#DIV/0!</v>
      </c>
      <c r="BE303" s="3" t="e">
        <f t="shared" si="148"/>
        <v>#DIV/0!</v>
      </c>
      <c r="BF303" s="2" t="e">
        <f t="shared" si="149"/>
        <v>#DIV/0!</v>
      </c>
      <c r="BG303" s="3" t="e">
        <f>IF('Entrada e Saida'!$H$11="TRADING",AV303/D303,AN303/D303)</f>
        <v>#DIV/0!</v>
      </c>
      <c r="BH303" s="3" t="e">
        <f>IF('Entrada e Saida'!$H$11="TRADING",IF('Entrada e Saida'!$H$12="REAL",AR303/D303,0),AL303/D303)</f>
        <v>#DIV/0!</v>
      </c>
      <c r="BI303" s="3" t="e">
        <f>IF('Entrada e Saida'!$H$11="TRADING",IF('Entrada e Saida'!$H$12="REAL",AS303/D303,0),AM303/D303)</f>
        <v>#DIV/0!</v>
      </c>
      <c r="BJ303" s="3" t="e">
        <f>IF('Entrada e Saida'!$H$11="TRADING",AT303/D303,AO303/D303)</f>
        <v>#DIV/0!</v>
      </c>
      <c r="BK303" s="2" t="e">
        <f t="shared" si="150"/>
        <v>#DIV/0!</v>
      </c>
      <c r="BL303" s="2">
        <f>IF(O303&gt;0,IFERROR(IF('Entrada e Saida'!$H$11="DIRETA",0,(IF('Entrada e Saida'!$H$14="P.JURIDICA",(BD303*(1+O303)*N303)-((BD303/(1+M303))*'Entrada e Saida'!$G$65),((Produtos!N303-'Entrada e Saida'!$G$65)*Produtos!BD303)))),0),0)</f>
        <v>0</v>
      </c>
      <c r="BM303" s="2" t="e">
        <f t="shared" si="151"/>
        <v>#DIV/0!</v>
      </c>
    </row>
    <row r="304" spans="1:65" s="1" customFormat="1">
      <c r="A304" s="127"/>
      <c r="B304" s="114"/>
      <c r="C304" s="116"/>
      <c r="D304" s="146"/>
      <c r="E304" s="115">
        <f>IFERROR(VLOOKUP(A304,'Master Modelo'!A:I,9,FALSE),0)</f>
        <v>0</v>
      </c>
      <c r="F304" s="189">
        <f>IFERROR(VLOOKUP(A304,'Master Modelo'!A:I,8,FALSE),0)</f>
        <v>0</v>
      </c>
      <c r="G304" s="189">
        <f>IFERROR(VLOOKUP(A304,'Master Modelo'!A:K,11,FALSE),0)</f>
        <v>0</v>
      </c>
      <c r="H304" s="114" t="e">
        <f t="shared" si="134"/>
        <v>#DIV/0!</v>
      </c>
      <c r="I304" s="150">
        <f>IFERROR(VLOOKUP(A304,'Master Modelo'!A:I,3,FALSE),0)</f>
        <v>0</v>
      </c>
      <c r="J304" s="151">
        <f>IFERROR(VLOOKUP(A304,'Master Modelo'!A:I,5,FALSE),0)</f>
        <v>0</v>
      </c>
      <c r="K304" s="151">
        <f>IFERROR(VLOOKUP(A304,'Master Modelo'!A:I,6,FALSE),0)</f>
        <v>0</v>
      </c>
      <c r="L304" s="152" t="e">
        <f>VLOOKUP(A304,'Master Modelo'!A:J,10,FALSE)</f>
        <v>#N/A</v>
      </c>
      <c r="M304" s="150">
        <f>IFERROR(VLOOKUP(A304,'Master Modelo'!A:I,4,FALSE),0)</f>
        <v>0</v>
      </c>
      <c r="N304" s="128"/>
      <c r="O304" s="129"/>
      <c r="P304" s="9">
        <f t="shared" si="135"/>
        <v>0</v>
      </c>
      <c r="Q304" s="177">
        <f t="shared" si="133"/>
        <v>0</v>
      </c>
      <c r="R304" s="3">
        <f>D304*E304*'Entrada e Saida'!$K$8</f>
        <v>0</v>
      </c>
      <c r="S304" s="179" t="e">
        <f>'Entrada e Saida'!$H$21*'Entrada e Saida'!$K$8*(P304/(SUM(P:P)))</f>
        <v>#DIV/0!</v>
      </c>
      <c r="T304" s="179" t="e">
        <f>'Entrada e Saida'!$H$21*'Entrada e Saida'!$K$8*(Q304/(SUM(Q:Q)))</f>
        <v>#DIV/0!</v>
      </c>
      <c r="U304" s="179" t="e">
        <f>'Entrada e Saida'!$H$22*(P304/(SUM(P:P)))</f>
        <v>#DIV/0!</v>
      </c>
      <c r="V304" s="179" t="e">
        <f>'Entrada e Saida'!$H$22*(Q304/(SUM(Q:Q)))</f>
        <v>#DIV/0!</v>
      </c>
      <c r="W304" s="8" t="e">
        <f t="shared" si="136"/>
        <v>#DIV/0!</v>
      </c>
      <c r="X304" s="179" t="e">
        <f>'Entrada e Saida'!$H$26*(IF('Entrada e Saida'!$H$15="PESO",(P304/(SUM(P:P))),(Q304/(SUM(Q:Q)))))</f>
        <v>#DIV/0!</v>
      </c>
      <c r="Y304" s="179" t="e">
        <f>'Entrada e Saida'!$H$27*(IF('Entrada e Saida'!$H$15="PESO",(P304/(SUM(P:P))),(Q304/(SUM(Q:Q)))))</f>
        <v>#DIV/0!</v>
      </c>
      <c r="Z304" s="179" t="e">
        <f>'Entrada e Saida'!$H$28*(IF('Entrada e Saida'!$H$15="PESO",(P304/(SUM(P:P))),(Q304/(SUM(Q:Q)))))</f>
        <v>#DIV/0!</v>
      </c>
      <c r="AA304" s="10" t="e">
        <f t="shared" si="137"/>
        <v>#DIV/0!</v>
      </c>
      <c r="AB304" s="3" t="e">
        <f t="shared" si="138"/>
        <v>#DIV/0!</v>
      </c>
      <c r="AC304" s="3" t="e">
        <f t="shared" si="139"/>
        <v>#DIV/0!</v>
      </c>
      <c r="AD304" s="3" t="e">
        <f t="shared" si="140"/>
        <v>#DIV/0!</v>
      </c>
      <c r="AE304" s="9" t="e">
        <f t="shared" si="141"/>
        <v>#DIV/0!</v>
      </c>
      <c r="AF304" s="126">
        <f>IFERROR(D304*F304*L304*'Entrada e Saida'!$K$8,0)</f>
        <v>0</v>
      </c>
      <c r="AG304" s="3" t="e">
        <f>((W304+AA304+AB304+AC304+AD304+AE304+AF304)/(1-'Entrada e Saida'!$G$65))*'Entrada e Saida'!$I$66</f>
        <v>#DIV/0!</v>
      </c>
      <c r="AH304" s="8" t="e">
        <f t="shared" si="142"/>
        <v>#DIV/0!</v>
      </c>
      <c r="AI304" s="183" t="e">
        <f>'Entrada e Saida'!$K$51*(IF('Entrada e Saida'!$H$15="PESO",(P304/(SUM(P:P))),(Q304/(SUM(Q:Q)))))</f>
        <v>#DIV/0!</v>
      </c>
      <c r="AJ304" s="7">
        <f>(('Entrada e Saida'!$K$10-'Entrada e Saida'!$K$8)*E304*D304)</f>
        <v>0</v>
      </c>
      <c r="AK304" s="184" t="e">
        <f>IF('Entrada e Saida'!$H$15="PESO",W304+AA304+AH304+AI304+AJ304,W304+AA304+AH304+AI304+AJ304-S304+T304-U304+V304)</f>
        <v>#DIV/0!</v>
      </c>
      <c r="AL304" s="6" t="e">
        <f>IF('Entrada e Saida'!$H$12="REAL",AC304,0)</f>
        <v>#DIV/0!</v>
      </c>
      <c r="AM304" s="6" t="e">
        <f>IF('Entrada e Saida'!$H$12="REAL",AD304,0)</f>
        <v>#DIV/0!</v>
      </c>
      <c r="AN304" s="5" t="e">
        <f>IF('Entrada e Saida'!$H$13= "NÃO",AE304,0)</f>
        <v>#DIV/0!</v>
      </c>
      <c r="AO304" s="5" t="e">
        <f t="shared" si="143"/>
        <v>#DIV/0!</v>
      </c>
      <c r="AP304" s="4" t="e">
        <f t="shared" si="144"/>
        <v>#DIV/0!</v>
      </c>
      <c r="AQ304" s="3" t="e">
        <f>IF('Entrada e Saida'!$H$11="TRADING",AU304*'Custo Resumido'!D304,0)</f>
        <v>#DIV/0!</v>
      </c>
      <c r="AR304" s="3" t="e">
        <f>IF('Entrada e Saida'!$H$11="TRADING",AU304*'Entrada e Saida'!$G$63,0)</f>
        <v>#DIV/0!</v>
      </c>
      <c r="AS304" s="3" t="e">
        <f>IF('Entrada e Saida'!$H$11="TRADING",AU304*'Entrada e Saida'!$G$64,0)</f>
        <v>#DIV/0!</v>
      </c>
      <c r="AT304" s="3" t="e">
        <f>IF('Entrada e Saida'!$H$11="TRADING",AU304*'Entrada e Saida'!$G$65,0)</f>
        <v>#DIV/0!</v>
      </c>
      <c r="AU304" s="4" t="e">
        <f>IF('Entrada e Saida'!$H$11="TRADING",AP304/(1-(SUM('Entrada e Saida'!$G$63:$G$65)+'Custo Resumido'!D304)),0)</f>
        <v>#DIV/0!</v>
      </c>
      <c r="AV304" s="3" t="e">
        <f>IF('Entrada e Saida'!$H$13="NÃO",AU304*M304,0)</f>
        <v>#DIV/0!</v>
      </c>
      <c r="AW304" s="4" t="e">
        <f t="shared" si="145"/>
        <v>#DIV/0!</v>
      </c>
      <c r="AX304" s="3" t="e">
        <f>'Entrada e Saida'!$G$74*AU304</f>
        <v>#DIV/0!</v>
      </c>
      <c r="AY304" s="4" t="e">
        <f t="shared" si="146"/>
        <v>#DIV/0!</v>
      </c>
      <c r="AZ304" s="4" t="e">
        <f>AQ304+('Entrada e Saida'!$G$65-'Entrada e Saida'!$I$65)*AU304-AX304</f>
        <v>#DIV/0!</v>
      </c>
      <c r="BA304" s="3" t="e">
        <f>IF('Entrada e Saida'!$H$12="REAL",AZ304*'Entrada e Saida'!$G$81,AU304*'Entrada e Saida'!$G$81)</f>
        <v>#DIV/0!</v>
      </c>
      <c r="BB304" s="3" t="e">
        <f>IF('Entrada e Saida'!$H$12="REAL",AZ304*'Entrada e Saida'!$G$82,AU304*'Entrada e Saida'!$G$82)</f>
        <v>#DIV/0!</v>
      </c>
      <c r="BC304" s="4" t="e">
        <f t="shared" si="147"/>
        <v>#DIV/0!</v>
      </c>
      <c r="BD304" s="3" t="e">
        <f>IF('Entrada e Saida'!$H$11="TRADING",AW304/D304,AK304/D304)</f>
        <v>#DIV/0!</v>
      </c>
      <c r="BE304" s="3" t="e">
        <f t="shared" si="148"/>
        <v>#DIV/0!</v>
      </c>
      <c r="BF304" s="2" t="e">
        <f t="shared" si="149"/>
        <v>#DIV/0!</v>
      </c>
      <c r="BG304" s="3" t="e">
        <f>IF('Entrada e Saida'!$H$11="TRADING",AV304/D304,AN304/D304)</f>
        <v>#DIV/0!</v>
      </c>
      <c r="BH304" s="3" t="e">
        <f>IF('Entrada e Saida'!$H$11="TRADING",IF('Entrada e Saida'!$H$12="REAL",AR304/D304,0),AL304/D304)</f>
        <v>#DIV/0!</v>
      </c>
      <c r="BI304" s="3" t="e">
        <f>IF('Entrada e Saida'!$H$11="TRADING",IF('Entrada e Saida'!$H$12="REAL",AS304/D304,0),AM304/D304)</f>
        <v>#DIV/0!</v>
      </c>
      <c r="BJ304" s="3" t="e">
        <f>IF('Entrada e Saida'!$H$11="TRADING",AT304/D304,AO304/D304)</f>
        <v>#DIV/0!</v>
      </c>
      <c r="BK304" s="2" t="e">
        <f t="shared" si="150"/>
        <v>#DIV/0!</v>
      </c>
      <c r="BL304" s="2">
        <f>IF(O304&gt;0,IFERROR(IF('Entrada e Saida'!$H$11="DIRETA",0,(IF('Entrada e Saida'!$H$14="P.JURIDICA",(BD304*(1+O304)*N304)-((BD304/(1+M304))*'Entrada e Saida'!$G$65),((Produtos!N304-'Entrada e Saida'!$G$65)*Produtos!BD304)))),0),0)</f>
        <v>0</v>
      </c>
      <c r="BM304" s="2" t="e">
        <f t="shared" si="151"/>
        <v>#DIV/0!</v>
      </c>
    </row>
    <row r="305" spans="1:65" s="1" customFormat="1">
      <c r="A305" s="127"/>
      <c r="B305" s="114"/>
      <c r="C305" s="116"/>
      <c r="D305" s="146"/>
      <c r="E305" s="115">
        <f>IFERROR(VLOOKUP(A305,'Master Modelo'!A:I,9,FALSE),0)</f>
        <v>0</v>
      </c>
      <c r="F305" s="189">
        <f>IFERROR(VLOOKUP(A305,'Master Modelo'!A:I,8,FALSE),0)</f>
        <v>0</v>
      </c>
      <c r="G305" s="189">
        <f>IFERROR(VLOOKUP(A305,'Master Modelo'!A:K,11,FALSE),0)</f>
        <v>0</v>
      </c>
      <c r="H305" s="114" t="e">
        <f t="shared" si="134"/>
        <v>#DIV/0!</v>
      </c>
      <c r="I305" s="150">
        <f>IFERROR(VLOOKUP(A305,'Master Modelo'!A:I,3,FALSE),0)</f>
        <v>0</v>
      </c>
      <c r="J305" s="151">
        <f>IFERROR(VLOOKUP(A305,'Master Modelo'!A:I,5,FALSE),0)</f>
        <v>0</v>
      </c>
      <c r="K305" s="151">
        <f>IFERROR(VLOOKUP(A305,'Master Modelo'!A:I,6,FALSE),0)</f>
        <v>0</v>
      </c>
      <c r="L305" s="152" t="e">
        <f>VLOOKUP(A305,'Master Modelo'!A:J,10,FALSE)</f>
        <v>#N/A</v>
      </c>
      <c r="M305" s="150">
        <f>IFERROR(VLOOKUP(A305,'Master Modelo'!A:I,4,FALSE),0)</f>
        <v>0</v>
      </c>
      <c r="N305" s="128"/>
      <c r="O305" s="129"/>
      <c r="P305" s="9">
        <f t="shared" si="135"/>
        <v>0</v>
      </c>
      <c r="Q305" s="177">
        <f t="shared" si="133"/>
        <v>0</v>
      </c>
      <c r="R305" s="3">
        <f>D305*E305*'Entrada e Saida'!$K$8</f>
        <v>0</v>
      </c>
      <c r="S305" s="179" t="e">
        <f>'Entrada e Saida'!$H$21*'Entrada e Saida'!$K$8*(P305/(SUM(P:P)))</f>
        <v>#DIV/0!</v>
      </c>
      <c r="T305" s="179" t="e">
        <f>'Entrada e Saida'!$H$21*'Entrada e Saida'!$K$8*(Q305/(SUM(Q:Q)))</f>
        <v>#DIV/0!</v>
      </c>
      <c r="U305" s="179" t="e">
        <f>'Entrada e Saida'!$H$22*(P305/(SUM(P:P)))</f>
        <v>#DIV/0!</v>
      </c>
      <c r="V305" s="179" t="e">
        <f>'Entrada e Saida'!$H$22*(Q305/(SUM(Q:Q)))</f>
        <v>#DIV/0!</v>
      </c>
      <c r="W305" s="8" t="e">
        <f t="shared" si="136"/>
        <v>#DIV/0!</v>
      </c>
      <c r="X305" s="179" t="e">
        <f>'Entrada e Saida'!$H$26*(IF('Entrada e Saida'!$H$15="PESO",(P305/(SUM(P:P))),(Q305/(SUM(Q:Q)))))</f>
        <v>#DIV/0!</v>
      </c>
      <c r="Y305" s="179" t="e">
        <f>'Entrada e Saida'!$H$27*(IF('Entrada e Saida'!$H$15="PESO",(P305/(SUM(P:P))),(Q305/(SUM(Q:Q)))))</f>
        <v>#DIV/0!</v>
      </c>
      <c r="Z305" s="179" t="e">
        <f>'Entrada e Saida'!$H$28*(IF('Entrada e Saida'!$H$15="PESO",(P305/(SUM(P:P))),(Q305/(SUM(Q:Q)))))</f>
        <v>#DIV/0!</v>
      </c>
      <c r="AA305" s="10" t="e">
        <f t="shared" si="137"/>
        <v>#DIV/0!</v>
      </c>
      <c r="AB305" s="3" t="e">
        <f t="shared" si="138"/>
        <v>#DIV/0!</v>
      </c>
      <c r="AC305" s="3" t="e">
        <f t="shared" si="139"/>
        <v>#DIV/0!</v>
      </c>
      <c r="AD305" s="3" t="e">
        <f t="shared" si="140"/>
        <v>#DIV/0!</v>
      </c>
      <c r="AE305" s="9" t="e">
        <f t="shared" si="141"/>
        <v>#DIV/0!</v>
      </c>
      <c r="AF305" s="126">
        <f>IFERROR(D305*F305*L305*'Entrada e Saida'!$K$8,0)</f>
        <v>0</v>
      </c>
      <c r="AG305" s="3" t="e">
        <f>((W305+AA305+AB305+AC305+AD305+AE305+AF305)/(1-'Entrada e Saida'!$G$65))*'Entrada e Saida'!$I$66</f>
        <v>#DIV/0!</v>
      </c>
      <c r="AH305" s="8" t="e">
        <f t="shared" si="142"/>
        <v>#DIV/0!</v>
      </c>
      <c r="AI305" s="183" t="e">
        <f>'Entrada e Saida'!$K$51*(IF('Entrada e Saida'!$H$15="PESO",(P305/(SUM(P:P))),(Q305/(SUM(Q:Q)))))</f>
        <v>#DIV/0!</v>
      </c>
      <c r="AJ305" s="7">
        <f>(('Entrada e Saida'!$K$10-'Entrada e Saida'!$K$8)*E305*D305)</f>
        <v>0</v>
      </c>
      <c r="AK305" s="184" t="e">
        <f>IF('Entrada e Saida'!$H$15="PESO",W305+AA305+AH305+AI305+AJ305,W305+AA305+AH305+AI305+AJ305-S305+T305-U305+V305)</f>
        <v>#DIV/0!</v>
      </c>
      <c r="AL305" s="6" t="e">
        <f>IF('Entrada e Saida'!$H$12="REAL",AC305,0)</f>
        <v>#DIV/0!</v>
      </c>
      <c r="AM305" s="6" t="e">
        <f>IF('Entrada e Saida'!$H$12="REAL",AD305,0)</f>
        <v>#DIV/0!</v>
      </c>
      <c r="AN305" s="5" t="e">
        <f>IF('Entrada e Saida'!$H$13= "NÃO",AE305,0)</f>
        <v>#DIV/0!</v>
      </c>
      <c r="AO305" s="5" t="e">
        <f t="shared" si="143"/>
        <v>#DIV/0!</v>
      </c>
      <c r="AP305" s="4" t="e">
        <f t="shared" si="144"/>
        <v>#DIV/0!</v>
      </c>
      <c r="AQ305" s="3" t="e">
        <f>IF('Entrada e Saida'!$H$11="TRADING",AU305*'Custo Resumido'!D305,0)</f>
        <v>#DIV/0!</v>
      </c>
      <c r="AR305" s="3" t="e">
        <f>IF('Entrada e Saida'!$H$11="TRADING",AU305*'Entrada e Saida'!$G$63,0)</f>
        <v>#DIV/0!</v>
      </c>
      <c r="AS305" s="3" t="e">
        <f>IF('Entrada e Saida'!$H$11="TRADING",AU305*'Entrada e Saida'!$G$64,0)</f>
        <v>#DIV/0!</v>
      </c>
      <c r="AT305" s="3" t="e">
        <f>IF('Entrada e Saida'!$H$11="TRADING",AU305*'Entrada e Saida'!$G$65,0)</f>
        <v>#DIV/0!</v>
      </c>
      <c r="AU305" s="4" t="e">
        <f>IF('Entrada e Saida'!$H$11="TRADING",AP305/(1-(SUM('Entrada e Saida'!$G$63:$G$65)+'Custo Resumido'!D305)),0)</f>
        <v>#DIV/0!</v>
      </c>
      <c r="AV305" s="3" t="e">
        <f>IF('Entrada e Saida'!$H$13="NÃO",AU305*M305,0)</f>
        <v>#DIV/0!</v>
      </c>
      <c r="AW305" s="4" t="e">
        <f t="shared" si="145"/>
        <v>#DIV/0!</v>
      </c>
      <c r="AX305" s="3" t="e">
        <f>'Entrada e Saida'!$G$74*AU305</f>
        <v>#DIV/0!</v>
      </c>
      <c r="AY305" s="4" t="e">
        <f t="shared" si="146"/>
        <v>#DIV/0!</v>
      </c>
      <c r="AZ305" s="4" t="e">
        <f>AQ305+('Entrada e Saida'!$G$65-'Entrada e Saida'!$I$65)*AU305-AX305</f>
        <v>#DIV/0!</v>
      </c>
      <c r="BA305" s="3" t="e">
        <f>IF('Entrada e Saida'!$H$12="REAL",AZ305*'Entrada e Saida'!$G$81,AU305*'Entrada e Saida'!$G$81)</f>
        <v>#DIV/0!</v>
      </c>
      <c r="BB305" s="3" t="e">
        <f>IF('Entrada e Saida'!$H$12="REAL",AZ305*'Entrada e Saida'!$G$82,AU305*'Entrada e Saida'!$G$82)</f>
        <v>#DIV/0!</v>
      </c>
      <c r="BC305" s="4" t="e">
        <f t="shared" si="147"/>
        <v>#DIV/0!</v>
      </c>
      <c r="BD305" s="3" t="e">
        <f>IF('Entrada e Saida'!$H$11="TRADING",AW305/D305,AK305/D305)</f>
        <v>#DIV/0!</v>
      </c>
      <c r="BE305" s="3" t="e">
        <f t="shared" si="148"/>
        <v>#DIV/0!</v>
      </c>
      <c r="BF305" s="2" t="e">
        <f t="shared" si="149"/>
        <v>#DIV/0!</v>
      </c>
      <c r="BG305" s="3" t="e">
        <f>IF('Entrada e Saida'!$H$11="TRADING",AV305/D305,AN305/D305)</f>
        <v>#DIV/0!</v>
      </c>
      <c r="BH305" s="3" t="e">
        <f>IF('Entrada e Saida'!$H$11="TRADING",IF('Entrada e Saida'!$H$12="REAL",AR305/D305,0),AL305/D305)</f>
        <v>#DIV/0!</v>
      </c>
      <c r="BI305" s="3" t="e">
        <f>IF('Entrada e Saida'!$H$11="TRADING",IF('Entrada e Saida'!$H$12="REAL",AS305/D305,0),AM305/D305)</f>
        <v>#DIV/0!</v>
      </c>
      <c r="BJ305" s="3" t="e">
        <f>IF('Entrada e Saida'!$H$11="TRADING",AT305/D305,AO305/D305)</f>
        <v>#DIV/0!</v>
      </c>
      <c r="BK305" s="2" t="e">
        <f t="shared" si="150"/>
        <v>#DIV/0!</v>
      </c>
      <c r="BL305" s="2">
        <f>IF(O305&gt;0,IFERROR(IF('Entrada e Saida'!$H$11="DIRETA",0,(IF('Entrada e Saida'!$H$14="P.JURIDICA",(BD305*(1+O305)*N305)-((BD305/(1+M305))*'Entrada e Saida'!$G$65),((Produtos!N305-'Entrada e Saida'!$G$65)*Produtos!BD305)))),0),0)</f>
        <v>0</v>
      </c>
      <c r="BM305" s="2" t="e">
        <f t="shared" si="151"/>
        <v>#DIV/0!</v>
      </c>
    </row>
    <row r="306" spans="1:65" s="1" customFormat="1">
      <c r="A306" s="127"/>
      <c r="B306" s="114"/>
      <c r="C306" s="116"/>
      <c r="D306" s="146"/>
      <c r="E306" s="115">
        <f>IFERROR(VLOOKUP(A306,'Master Modelo'!A:I,9,FALSE),0)</f>
        <v>0</v>
      </c>
      <c r="F306" s="189">
        <f>IFERROR(VLOOKUP(A306,'Master Modelo'!A:I,8,FALSE),0)</f>
        <v>0</v>
      </c>
      <c r="G306" s="189">
        <f>IFERROR(VLOOKUP(A306,'Master Modelo'!A:K,11,FALSE),0)</f>
        <v>0</v>
      </c>
      <c r="H306" s="114" t="e">
        <f t="shared" si="134"/>
        <v>#DIV/0!</v>
      </c>
      <c r="I306" s="150">
        <f>IFERROR(VLOOKUP(A306,'Master Modelo'!A:I,3,FALSE),0)</f>
        <v>0</v>
      </c>
      <c r="J306" s="151">
        <f>IFERROR(VLOOKUP(A306,'Master Modelo'!A:I,5,FALSE),0)</f>
        <v>0</v>
      </c>
      <c r="K306" s="151">
        <f>IFERROR(VLOOKUP(A306,'Master Modelo'!A:I,6,FALSE),0)</f>
        <v>0</v>
      </c>
      <c r="L306" s="152" t="e">
        <f>VLOOKUP(A306,'Master Modelo'!A:J,10,FALSE)</f>
        <v>#N/A</v>
      </c>
      <c r="M306" s="150">
        <f>IFERROR(VLOOKUP(A306,'Master Modelo'!A:I,4,FALSE),0)</f>
        <v>0</v>
      </c>
      <c r="N306" s="128"/>
      <c r="O306" s="129"/>
      <c r="P306" s="9">
        <f t="shared" si="135"/>
        <v>0</v>
      </c>
      <c r="Q306" s="177">
        <f t="shared" si="133"/>
        <v>0</v>
      </c>
      <c r="R306" s="3">
        <f>D306*E306*'Entrada e Saida'!$K$8</f>
        <v>0</v>
      </c>
      <c r="S306" s="179" t="e">
        <f>'Entrada e Saida'!$H$21*'Entrada e Saida'!$K$8*(P306/(SUM(P:P)))</f>
        <v>#DIV/0!</v>
      </c>
      <c r="T306" s="179" t="e">
        <f>'Entrada e Saida'!$H$21*'Entrada e Saida'!$K$8*(Q306/(SUM(Q:Q)))</f>
        <v>#DIV/0!</v>
      </c>
      <c r="U306" s="179" t="e">
        <f>'Entrada e Saida'!$H$22*(P306/(SUM(P:P)))</f>
        <v>#DIV/0!</v>
      </c>
      <c r="V306" s="179" t="e">
        <f>'Entrada e Saida'!$H$22*(Q306/(SUM(Q:Q)))</f>
        <v>#DIV/0!</v>
      </c>
      <c r="W306" s="8" t="e">
        <f t="shared" si="136"/>
        <v>#DIV/0!</v>
      </c>
      <c r="X306" s="179" t="e">
        <f>'Entrada e Saida'!$H$26*(IF('Entrada e Saida'!$H$15="PESO",(P306/(SUM(P:P))),(Q306/(SUM(Q:Q)))))</f>
        <v>#DIV/0!</v>
      </c>
      <c r="Y306" s="179" t="e">
        <f>'Entrada e Saida'!$H$27*(IF('Entrada e Saida'!$H$15="PESO",(P306/(SUM(P:P))),(Q306/(SUM(Q:Q)))))</f>
        <v>#DIV/0!</v>
      </c>
      <c r="Z306" s="179" t="e">
        <f>'Entrada e Saida'!$H$28*(IF('Entrada e Saida'!$H$15="PESO",(P306/(SUM(P:P))),(Q306/(SUM(Q:Q)))))</f>
        <v>#DIV/0!</v>
      </c>
      <c r="AA306" s="10" t="e">
        <f t="shared" si="137"/>
        <v>#DIV/0!</v>
      </c>
      <c r="AB306" s="3" t="e">
        <f t="shared" si="138"/>
        <v>#DIV/0!</v>
      </c>
      <c r="AC306" s="3" t="e">
        <f t="shared" si="139"/>
        <v>#DIV/0!</v>
      </c>
      <c r="AD306" s="3" t="e">
        <f t="shared" si="140"/>
        <v>#DIV/0!</v>
      </c>
      <c r="AE306" s="9" t="e">
        <f t="shared" si="141"/>
        <v>#DIV/0!</v>
      </c>
      <c r="AF306" s="126">
        <f>IFERROR(D306*F306*L306*'Entrada e Saida'!$K$8,0)</f>
        <v>0</v>
      </c>
      <c r="AG306" s="3" t="e">
        <f>((W306+AA306+AB306+AC306+AD306+AE306+AF306)/(1-'Entrada e Saida'!$G$65))*'Entrada e Saida'!$I$66</f>
        <v>#DIV/0!</v>
      </c>
      <c r="AH306" s="8" t="e">
        <f t="shared" si="142"/>
        <v>#DIV/0!</v>
      </c>
      <c r="AI306" s="183" t="e">
        <f>'Entrada e Saida'!$K$51*(IF('Entrada e Saida'!$H$15="PESO",(P306/(SUM(P:P))),(Q306/(SUM(Q:Q)))))</f>
        <v>#DIV/0!</v>
      </c>
      <c r="AJ306" s="7">
        <f>(('Entrada e Saida'!$K$10-'Entrada e Saida'!$K$8)*E306*D306)</f>
        <v>0</v>
      </c>
      <c r="AK306" s="184" t="e">
        <f>IF('Entrada e Saida'!$H$15="PESO",W306+AA306+AH306+AI306+AJ306,W306+AA306+AH306+AI306+AJ306-S306+T306-U306+V306)</f>
        <v>#DIV/0!</v>
      </c>
      <c r="AL306" s="6" t="e">
        <f>IF('Entrada e Saida'!$H$12="REAL",AC306,0)</f>
        <v>#DIV/0!</v>
      </c>
      <c r="AM306" s="6" t="e">
        <f>IF('Entrada e Saida'!$H$12="REAL",AD306,0)</f>
        <v>#DIV/0!</v>
      </c>
      <c r="AN306" s="5" t="e">
        <f>IF('Entrada e Saida'!$H$13= "NÃO",AE306,0)</f>
        <v>#DIV/0!</v>
      </c>
      <c r="AO306" s="5" t="e">
        <f t="shared" si="143"/>
        <v>#DIV/0!</v>
      </c>
      <c r="AP306" s="4" t="e">
        <f t="shared" si="144"/>
        <v>#DIV/0!</v>
      </c>
      <c r="AQ306" s="3" t="e">
        <f>IF('Entrada e Saida'!$H$11="TRADING",AU306*'Custo Resumido'!D306,0)</f>
        <v>#DIV/0!</v>
      </c>
      <c r="AR306" s="3" t="e">
        <f>IF('Entrada e Saida'!$H$11="TRADING",AU306*'Entrada e Saida'!$G$63,0)</f>
        <v>#DIV/0!</v>
      </c>
      <c r="AS306" s="3" t="e">
        <f>IF('Entrada e Saida'!$H$11="TRADING",AU306*'Entrada e Saida'!$G$64,0)</f>
        <v>#DIV/0!</v>
      </c>
      <c r="AT306" s="3" t="e">
        <f>IF('Entrada e Saida'!$H$11="TRADING",AU306*'Entrada e Saida'!$G$65,0)</f>
        <v>#DIV/0!</v>
      </c>
      <c r="AU306" s="4" t="e">
        <f>IF('Entrada e Saida'!$H$11="TRADING",AP306/(1-(SUM('Entrada e Saida'!$G$63:$G$65)+'Custo Resumido'!D306)),0)</f>
        <v>#DIV/0!</v>
      </c>
      <c r="AV306" s="3" t="e">
        <f>IF('Entrada e Saida'!$H$13="NÃO",AU306*M306,0)</f>
        <v>#DIV/0!</v>
      </c>
      <c r="AW306" s="4" t="e">
        <f t="shared" si="145"/>
        <v>#DIV/0!</v>
      </c>
      <c r="AX306" s="3" t="e">
        <f>'Entrada e Saida'!$G$74*AU306</f>
        <v>#DIV/0!</v>
      </c>
      <c r="AY306" s="4" t="e">
        <f t="shared" si="146"/>
        <v>#DIV/0!</v>
      </c>
      <c r="AZ306" s="4" t="e">
        <f>AQ306+('Entrada e Saida'!$G$65-'Entrada e Saida'!$I$65)*AU306-AX306</f>
        <v>#DIV/0!</v>
      </c>
      <c r="BA306" s="3" t="e">
        <f>IF('Entrada e Saida'!$H$12="REAL",AZ306*'Entrada e Saida'!$G$81,AU306*'Entrada e Saida'!$G$81)</f>
        <v>#DIV/0!</v>
      </c>
      <c r="BB306" s="3" t="e">
        <f>IF('Entrada e Saida'!$H$12="REAL",AZ306*'Entrada e Saida'!$G$82,AU306*'Entrada e Saida'!$G$82)</f>
        <v>#DIV/0!</v>
      </c>
      <c r="BC306" s="4" t="e">
        <f t="shared" si="147"/>
        <v>#DIV/0!</v>
      </c>
      <c r="BD306" s="3" t="e">
        <f>IF('Entrada e Saida'!$H$11="TRADING",AW306/D306,AK306/D306)</f>
        <v>#DIV/0!</v>
      </c>
      <c r="BE306" s="3" t="e">
        <f t="shared" si="148"/>
        <v>#DIV/0!</v>
      </c>
      <c r="BF306" s="2" t="e">
        <f t="shared" si="149"/>
        <v>#DIV/0!</v>
      </c>
      <c r="BG306" s="3" t="e">
        <f>IF('Entrada e Saida'!$H$11="TRADING",AV306/D306,AN306/D306)</f>
        <v>#DIV/0!</v>
      </c>
      <c r="BH306" s="3" t="e">
        <f>IF('Entrada e Saida'!$H$11="TRADING",IF('Entrada e Saida'!$H$12="REAL",AR306/D306,0),AL306/D306)</f>
        <v>#DIV/0!</v>
      </c>
      <c r="BI306" s="3" t="e">
        <f>IF('Entrada e Saida'!$H$11="TRADING",IF('Entrada e Saida'!$H$12="REAL",AS306/D306,0),AM306/D306)</f>
        <v>#DIV/0!</v>
      </c>
      <c r="BJ306" s="3" t="e">
        <f>IF('Entrada e Saida'!$H$11="TRADING",AT306/D306,AO306/D306)</f>
        <v>#DIV/0!</v>
      </c>
      <c r="BK306" s="2" t="e">
        <f t="shared" si="150"/>
        <v>#DIV/0!</v>
      </c>
      <c r="BL306" s="2">
        <f>IF(O306&gt;0,IFERROR(IF('Entrada e Saida'!$H$11="DIRETA",0,(IF('Entrada e Saida'!$H$14="P.JURIDICA",(BD306*(1+O306)*N306)-((BD306/(1+M306))*'Entrada e Saida'!$G$65),((Produtos!N306-'Entrada e Saida'!$G$65)*Produtos!BD306)))),0),0)</f>
        <v>0</v>
      </c>
      <c r="BM306" s="2" t="e">
        <f t="shared" si="151"/>
        <v>#DIV/0!</v>
      </c>
    </row>
    <row r="307" spans="1:65" s="1" customFormat="1">
      <c r="A307" s="127"/>
      <c r="B307" s="114"/>
      <c r="C307" s="116"/>
      <c r="D307" s="146"/>
      <c r="E307" s="115">
        <f>IFERROR(VLOOKUP(A307,'Master Modelo'!A:I,9,FALSE),0)</f>
        <v>0</v>
      </c>
      <c r="F307" s="189">
        <f>IFERROR(VLOOKUP(A307,'Master Modelo'!A:I,8,FALSE),0)</f>
        <v>0</v>
      </c>
      <c r="G307" s="189">
        <f>IFERROR(VLOOKUP(A307,'Master Modelo'!A:K,11,FALSE),0)</f>
        <v>0</v>
      </c>
      <c r="H307" s="114" t="e">
        <f t="shared" si="134"/>
        <v>#DIV/0!</v>
      </c>
      <c r="I307" s="150">
        <f>IFERROR(VLOOKUP(A307,'Master Modelo'!A:I,3,FALSE),0)</f>
        <v>0</v>
      </c>
      <c r="J307" s="151">
        <f>IFERROR(VLOOKUP(A307,'Master Modelo'!A:I,5,FALSE),0)</f>
        <v>0</v>
      </c>
      <c r="K307" s="151">
        <f>IFERROR(VLOOKUP(A307,'Master Modelo'!A:I,6,FALSE),0)</f>
        <v>0</v>
      </c>
      <c r="L307" s="152" t="e">
        <f>VLOOKUP(A307,'Master Modelo'!A:J,10,FALSE)</f>
        <v>#N/A</v>
      </c>
      <c r="M307" s="150">
        <f>IFERROR(VLOOKUP(A307,'Master Modelo'!A:I,4,FALSE),0)</f>
        <v>0</v>
      </c>
      <c r="N307" s="128"/>
      <c r="O307" s="129"/>
      <c r="P307" s="9">
        <f t="shared" si="135"/>
        <v>0</v>
      </c>
      <c r="Q307" s="177">
        <f t="shared" si="133"/>
        <v>0</v>
      </c>
      <c r="R307" s="3">
        <f>D307*E307*'Entrada e Saida'!$K$8</f>
        <v>0</v>
      </c>
      <c r="S307" s="179" t="e">
        <f>'Entrada e Saida'!$H$21*'Entrada e Saida'!$K$8*(P307/(SUM(P:P)))</f>
        <v>#DIV/0!</v>
      </c>
      <c r="T307" s="179" t="e">
        <f>'Entrada e Saida'!$H$21*'Entrada e Saida'!$K$8*(Q307/(SUM(Q:Q)))</f>
        <v>#DIV/0!</v>
      </c>
      <c r="U307" s="179" t="e">
        <f>'Entrada e Saida'!$H$22*(P307/(SUM(P:P)))</f>
        <v>#DIV/0!</v>
      </c>
      <c r="V307" s="179" t="e">
        <f>'Entrada e Saida'!$H$22*(Q307/(SUM(Q:Q)))</f>
        <v>#DIV/0!</v>
      </c>
      <c r="W307" s="8" t="e">
        <f t="shared" si="136"/>
        <v>#DIV/0!</v>
      </c>
      <c r="X307" s="179" t="e">
        <f>'Entrada e Saida'!$H$26*(IF('Entrada e Saida'!$H$15="PESO",(P307/(SUM(P:P))),(Q307/(SUM(Q:Q)))))</f>
        <v>#DIV/0!</v>
      </c>
      <c r="Y307" s="179" t="e">
        <f>'Entrada e Saida'!$H$27*(IF('Entrada e Saida'!$H$15="PESO",(P307/(SUM(P:P))),(Q307/(SUM(Q:Q)))))</f>
        <v>#DIV/0!</v>
      </c>
      <c r="Z307" s="179" t="e">
        <f>'Entrada e Saida'!$H$28*(IF('Entrada e Saida'!$H$15="PESO",(P307/(SUM(P:P))),(Q307/(SUM(Q:Q)))))</f>
        <v>#DIV/0!</v>
      </c>
      <c r="AA307" s="10" t="e">
        <f t="shared" si="137"/>
        <v>#DIV/0!</v>
      </c>
      <c r="AB307" s="3" t="e">
        <f t="shared" si="138"/>
        <v>#DIV/0!</v>
      </c>
      <c r="AC307" s="3" t="e">
        <f t="shared" si="139"/>
        <v>#DIV/0!</v>
      </c>
      <c r="AD307" s="3" t="e">
        <f t="shared" si="140"/>
        <v>#DIV/0!</v>
      </c>
      <c r="AE307" s="9" t="e">
        <f t="shared" si="141"/>
        <v>#DIV/0!</v>
      </c>
      <c r="AF307" s="126">
        <f>IFERROR(D307*F307*L307*'Entrada e Saida'!$K$8,0)</f>
        <v>0</v>
      </c>
      <c r="AG307" s="3" t="e">
        <f>((W307+AA307+AB307+AC307+AD307+AE307+AF307)/(1-'Entrada e Saida'!$G$65))*'Entrada e Saida'!$I$66</f>
        <v>#DIV/0!</v>
      </c>
      <c r="AH307" s="8" t="e">
        <f t="shared" si="142"/>
        <v>#DIV/0!</v>
      </c>
      <c r="AI307" s="183" t="e">
        <f>'Entrada e Saida'!$K$51*(IF('Entrada e Saida'!$H$15="PESO",(P307/(SUM(P:P))),(Q307/(SUM(Q:Q)))))</f>
        <v>#DIV/0!</v>
      </c>
      <c r="AJ307" s="7">
        <f>(('Entrada e Saida'!$K$10-'Entrada e Saida'!$K$8)*E307*D307)</f>
        <v>0</v>
      </c>
      <c r="AK307" s="184" t="e">
        <f>IF('Entrada e Saida'!$H$15="PESO",W307+AA307+AH307+AI307+AJ307,W307+AA307+AH307+AI307+AJ307-S307+T307-U307+V307)</f>
        <v>#DIV/0!</v>
      </c>
      <c r="AL307" s="6" t="e">
        <f>IF('Entrada e Saida'!$H$12="REAL",AC307,0)</f>
        <v>#DIV/0!</v>
      </c>
      <c r="AM307" s="6" t="e">
        <f>IF('Entrada e Saida'!$H$12="REAL",AD307,0)</f>
        <v>#DIV/0!</v>
      </c>
      <c r="AN307" s="5" t="e">
        <f>IF('Entrada e Saida'!$H$13= "NÃO",AE307,0)</f>
        <v>#DIV/0!</v>
      </c>
      <c r="AO307" s="5" t="e">
        <f t="shared" si="143"/>
        <v>#DIV/0!</v>
      </c>
      <c r="AP307" s="4" t="e">
        <f t="shared" si="144"/>
        <v>#DIV/0!</v>
      </c>
      <c r="AQ307" s="3" t="e">
        <f>IF('Entrada e Saida'!$H$11="TRADING",AU307*'Custo Resumido'!D307,0)</f>
        <v>#DIV/0!</v>
      </c>
      <c r="AR307" s="3" t="e">
        <f>IF('Entrada e Saida'!$H$11="TRADING",AU307*'Entrada e Saida'!$G$63,0)</f>
        <v>#DIV/0!</v>
      </c>
      <c r="AS307" s="3" t="e">
        <f>IF('Entrada e Saida'!$H$11="TRADING",AU307*'Entrada e Saida'!$G$64,0)</f>
        <v>#DIV/0!</v>
      </c>
      <c r="AT307" s="3" t="e">
        <f>IF('Entrada e Saida'!$H$11="TRADING",AU307*'Entrada e Saida'!$G$65,0)</f>
        <v>#DIV/0!</v>
      </c>
      <c r="AU307" s="4" t="e">
        <f>IF('Entrada e Saida'!$H$11="TRADING",AP307/(1-(SUM('Entrada e Saida'!$G$63:$G$65)+'Custo Resumido'!D307)),0)</f>
        <v>#DIV/0!</v>
      </c>
      <c r="AV307" s="3" t="e">
        <f>IF('Entrada e Saida'!$H$13="NÃO",AU307*M307,0)</f>
        <v>#DIV/0!</v>
      </c>
      <c r="AW307" s="4" t="e">
        <f t="shared" si="145"/>
        <v>#DIV/0!</v>
      </c>
      <c r="AX307" s="3" t="e">
        <f>'Entrada e Saida'!$G$74*AU307</f>
        <v>#DIV/0!</v>
      </c>
      <c r="AY307" s="4" t="e">
        <f t="shared" si="146"/>
        <v>#DIV/0!</v>
      </c>
      <c r="AZ307" s="4" t="e">
        <f>AQ307+('Entrada e Saida'!$G$65-'Entrada e Saida'!$I$65)*AU307-AX307</f>
        <v>#DIV/0!</v>
      </c>
      <c r="BA307" s="3" t="e">
        <f>IF('Entrada e Saida'!$H$12="REAL",AZ307*'Entrada e Saida'!$G$81,AU307*'Entrada e Saida'!$G$81)</f>
        <v>#DIV/0!</v>
      </c>
      <c r="BB307" s="3" t="e">
        <f>IF('Entrada e Saida'!$H$12="REAL",AZ307*'Entrada e Saida'!$G$82,AU307*'Entrada e Saida'!$G$82)</f>
        <v>#DIV/0!</v>
      </c>
      <c r="BC307" s="4" t="e">
        <f t="shared" si="147"/>
        <v>#DIV/0!</v>
      </c>
      <c r="BD307" s="3" t="e">
        <f>IF('Entrada e Saida'!$H$11="TRADING",AW307/D307,AK307/D307)</f>
        <v>#DIV/0!</v>
      </c>
      <c r="BE307" s="3" t="e">
        <f t="shared" si="148"/>
        <v>#DIV/0!</v>
      </c>
      <c r="BF307" s="2" t="e">
        <f t="shared" si="149"/>
        <v>#DIV/0!</v>
      </c>
      <c r="BG307" s="3" t="e">
        <f>IF('Entrada e Saida'!$H$11="TRADING",AV307/D307,AN307/D307)</f>
        <v>#DIV/0!</v>
      </c>
      <c r="BH307" s="3" t="e">
        <f>IF('Entrada e Saida'!$H$11="TRADING",IF('Entrada e Saida'!$H$12="REAL",AR307/D307,0),AL307/D307)</f>
        <v>#DIV/0!</v>
      </c>
      <c r="BI307" s="3" t="e">
        <f>IF('Entrada e Saida'!$H$11="TRADING",IF('Entrada e Saida'!$H$12="REAL",AS307/D307,0),AM307/D307)</f>
        <v>#DIV/0!</v>
      </c>
      <c r="BJ307" s="3" t="e">
        <f>IF('Entrada e Saida'!$H$11="TRADING",AT307/D307,AO307/D307)</f>
        <v>#DIV/0!</v>
      </c>
      <c r="BK307" s="2" t="e">
        <f t="shared" si="150"/>
        <v>#DIV/0!</v>
      </c>
      <c r="BL307" s="2">
        <f>IF(O307&gt;0,IFERROR(IF('Entrada e Saida'!$H$11="DIRETA",0,(IF('Entrada e Saida'!$H$14="P.JURIDICA",(BD307*(1+O307)*N307)-((BD307/(1+M307))*'Entrada e Saida'!$G$65),((Produtos!N307-'Entrada e Saida'!$G$65)*Produtos!BD307)))),0),0)</f>
        <v>0</v>
      </c>
      <c r="BM307" s="2" t="e">
        <f t="shared" si="151"/>
        <v>#DIV/0!</v>
      </c>
    </row>
    <row r="308" spans="1:65" s="1" customFormat="1">
      <c r="A308" s="127"/>
      <c r="B308" s="114"/>
      <c r="C308" s="116"/>
      <c r="D308" s="146"/>
      <c r="E308" s="115">
        <f>IFERROR(VLOOKUP(A308,'Master Modelo'!A:I,9,FALSE),0)</f>
        <v>0</v>
      </c>
      <c r="F308" s="189">
        <f>IFERROR(VLOOKUP(A308,'Master Modelo'!A:I,8,FALSE),0)</f>
        <v>0</v>
      </c>
      <c r="G308" s="189">
        <f>IFERROR(VLOOKUP(A308,'Master Modelo'!A:K,11,FALSE),0)</f>
        <v>0</v>
      </c>
      <c r="H308" s="114" t="e">
        <f t="shared" si="134"/>
        <v>#DIV/0!</v>
      </c>
      <c r="I308" s="150">
        <f>IFERROR(VLOOKUP(A308,'Master Modelo'!A:I,3,FALSE),0)</f>
        <v>0</v>
      </c>
      <c r="J308" s="151">
        <f>IFERROR(VLOOKUP(A308,'Master Modelo'!A:I,5,FALSE),0)</f>
        <v>0</v>
      </c>
      <c r="K308" s="151">
        <f>IFERROR(VLOOKUP(A308,'Master Modelo'!A:I,6,FALSE),0)</f>
        <v>0</v>
      </c>
      <c r="L308" s="152" t="e">
        <f>VLOOKUP(A308,'Master Modelo'!A:J,10,FALSE)</f>
        <v>#N/A</v>
      </c>
      <c r="M308" s="150">
        <f>IFERROR(VLOOKUP(A308,'Master Modelo'!A:I,4,FALSE),0)</f>
        <v>0</v>
      </c>
      <c r="N308" s="128"/>
      <c r="O308" s="129"/>
      <c r="P308" s="9">
        <f t="shared" si="135"/>
        <v>0</v>
      </c>
      <c r="Q308" s="177">
        <f t="shared" si="133"/>
        <v>0</v>
      </c>
      <c r="R308" s="3">
        <f>D308*E308*'Entrada e Saida'!$K$8</f>
        <v>0</v>
      </c>
      <c r="S308" s="179" t="e">
        <f>'Entrada e Saida'!$H$21*'Entrada e Saida'!$K$8*(P308/(SUM(P:P)))</f>
        <v>#DIV/0!</v>
      </c>
      <c r="T308" s="179" t="e">
        <f>'Entrada e Saida'!$H$21*'Entrada e Saida'!$K$8*(Q308/(SUM(Q:Q)))</f>
        <v>#DIV/0!</v>
      </c>
      <c r="U308" s="179" t="e">
        <f>'Entrada e Saida'!$H$22*(P308/(SUM(P:P)))</f>
        <v>#DIV/0!</v>
      </c>
      <c r="V308" s="179" t="e">
        <f>'Entrada e Saida'!$H$22*(Q308/(SUM(Q:Q)))</f>
        <v>#DIV/0!</v>
      </c>
      <c r="W308" s="8" t="e">
        <f t="shared" si="136"/>
        <v>#DIV/0!</v>
      </c>
      <c r="X308" s="179" t="e">
        <f>'Entrada e Saida'!$H$26*(IF('Entrada e Saida'!$H$15="PESO",(P308/(SUM(P:P))),(Q308/(SUM(Q:Q)))))</f>
        <v>#DIV/0!</v>
      </c>
      <c r="Y308" s="179" t="e">
        <f>'Entrada e Saida'!$H$27*(IF('Entrada e Saida'!$H$15="PESO",(P308/(SUM(P:P))),(Q308/(SUM(Q:Q)))))</f>
        <v>#DIV/0!</v>
      </c>
      <c r="Z308" s="179" t="e">
        <f>'Entrada e Saida'!$H$28*(IF('Entrada e Saida'!$H$15="PESO",(P308/(SUM(P:P))),(Q308/(SUM(Q:Q)))))</f>
        <v>#DIV/0!</v>
      </c>
      <c r="AA308" s="10" t="e">
        <f t="shared" si="137"/>
        <v>#DIV/0!</v>
      </c>
      <c r="AB308" s="3" t="e">
        <f t="shared" si="138"/>
        <v>#DIV/0!</v>
      </c>
      <c r="AC308" s="3" t="e">
        <f t="shared" si="139"/>
        <v>#DIV/0!</v>
      </c>
      <c r="AD308" s="3" t="e">
        <f t="shared" si="140"/>
        <v>#DIV/0!</v>
      </c>
      <c r="AE308" s="9" t="e">
        <f t="shared" si="141"/>
        <v>#DIV/0!</v>
      </c>
      <c r="AF308" s="126">
        <f>IFERROR(D308*F308*L308*'Entrada e Saida'!$K$8,0)</f>
        <v>0</v>
      </c>
      <c r="AG308" s="3" t="e">
        <f>((W308+AA308+AB308+AC308+AD308+AE308+AF308)/(1-'Entrada e Saida'!$G$65))*'Entrada e Saida'!$I$66</f>
        <v>#DIV/0!</v>
      </c>
      <c r="AH308" s="8" t="e">
        <f t="shared" si="142"/>
        <v>#DIV/0!</v>
      </c>
      <c r="AI308" s="183" t="e">
        <f>'Entrada e Saida'!$K$51*(IF('Entrada e Saida'!$H$15="PESO",(P308/(SUM(P:P))),(Q308/(SUM(Q:Q)))))</f>
        <v>#DIV/0!</v>
      </c>
      <c r="AJ308" s="7">
        <f>(('Entrada e Saida'!$K$10-'Entrada e Saida'!$K$8)*E308*D308)</f>
        <v>0</v>
      </c>
      <c r="AK308" s="184" t="e">
        <f>IF('Entrada e Saida'!$H$15="PESO",W308+AA308+AH308+AI308+AJ308,W308+AA308+AH308+AI308+AJ308-S308+T308-U308+V308)</f>
        <v>#DIV/0!</v>
      </c>
      <c r="AL308" s="6" t="e">
        <f>IF('Entrada e Saida'!$H$12="REAL",AC308,0)</f>
        <v>#DIV/0!</v>
      </c>
      <c r="AM308" s="6" t="e">
        <f>IF('Entrada e Saida'!$H$12="REAL",AD308,0)</f>
        <v>#DIV/0!</v>
      </c>
      <c r="AN308" s="5" t="e">
        <f>IF('Entrada e Saida'!$H$13= "NÃO",AE308,0)</f>
        <v>#DIV/0!</v>
      </c>
      <c r="AO308" s="5" t="e">
        <f t="shared" si="143"/>
        <v>#DIV/0!</v>
      </c>
      <c r="AP308" s="4" t="e">
        <f t="shared" si="144"/>
        <v>#DIV/0!</v>
      </c>
      <c r="AQ308" s="3" t="e">
        <f>IF('Entrada e Saida'!$H$11="TRADING",AU308*'Custo Resumido'!D308,0)</f>
        <v>#DIV/0!</v>
      </c>
      <c r="AR308" s="3" t="e">
        <f>IF('Entrada e Saida'!$H$11="TRADING",AU308*'Entrada e Saida'!$G$63,0)</f>
        <v>#DIV/0!</v>
      </c>
      <c r="AS308" s="3" t="e">
        <f>IF('Entrada e Saida'!$H$11="TRADING",AU308*'Entrada e Saida'!$G$64,0)</f>
        <v>#DIV/0!</v>
      </c>
      <c r="AT308" s="3" t="e">
        <f>IF('Entrada e Saida'!$H$11="TRADING",AU308*'Entrada e Saida'!$G$65,0)</f>
        <v>#DIV/0!</v>
      </c>
      <c r="AU308" s="4" t="e">
        <f>IF('Entrada e Saida'!$H$11="TRADING",AP308/(1-(SUM('Entrada e Saida'!$G$63:$G$65)+'Custo Resumido'!D308)),0)</f>
        <v>#DIV/0!</v>
      </c>
      <c r="AV308" s="3" t="e">
        <f>IF('Entrada e Saida'!$H$13="NÃO",AU308*M308,0)</f>
        <v>#DIV/0!</v>
      </c>
      <c r="AW308" s="4" t="e">
        <f t="shared" si="145"/>
        <v>#DIV/0!</v>
      </c>
      <c r="AX308" s="3" t="e">
        <f>'Entrada e Saida'!$G$74*AU308</f>
        <v>#DIV/0!</v>
      </c>
      <c r="AY308" s="4" t="e">
        <f t="shared" si="146"/>
        <v>#DIV/0!</v>
      </c>
      <c r="AZ308" s="4" t="e">
        <f>AQ308+('Entrada e Saida'!$G$65-'Entrada e Saida'!$I$65)*AU308-AX308</f>
        <v>#DIV/0!</v>
      </c>
      <c r="BA308" s="3" t="e">
        <f>IF('Entrada e Saida'!$H$12="REAL",AZ308*'Entrada e Saida'!$G$81,AU308*'Entrada e Saida'!$G$81)</f>
        <v>#DIV/0!</v>
      </c>
      <c r="BB308" s="3" t="e">
        <f>IF('Entrada e Saida'!$H$12="REAL",AZ308*'Entrada e Saida'!$G$82,AU308*'Entrada e Saida'!$G$82)</f>
        <v>#DIV/0!</v>
      </c>
      <c r="BC308" s="4" t="e">
        <f t="shared" si="147"/>
        <v>#DIV/0!</v>
      </c>
      <c r="BD308" s="3" t="e">
        <f>IF('Entrada e Saida'!$H$11="TRADING",AW308/D308,AK308/D308)</f>
        <v>#DIV/0!</v>
      </c>
      <c r="BE308" s="3" t="e">
        <f t="shared" si="148"/>
        <v>#DIV/0!</v>
      </c>
      <c r="BF308" s="2" t="e">
        <f t="shared" si="149"/>
        <v>#DIV/0!</v>
      </c>
      <c r="BG308" s="3" t="e">
        <f>IF('Entrada e Saida'!$H$11="TRADING",AV308/D308,AN308/D308)</f>
        <v>#DIV/0!</v>
      </c>
      <c r="BH308" s="3" t="e">
        <f>IF('Entrada e Saida'!$H$11="TRADING",IF('Entrada e Saida'!$H$12="REAL",AR308/D308,0),AL308/D308)</f>
        <v>#DIV/0!</v>
      </c>
      <c r="BI308" s="3" t="e">
        <f>IF('Entrada e Saida'!$H$11="TRADING",IF('Entrada e Saida'!$H$12="REAL",AS308/D308,0),AM308/D308)</f>
        <v>#DIV/0!</v>
      </c>
      <c r="BJ308" s="3" t="e">
        <f>IF('Entrada e Saida'!$H$11="TRADING",AT308/D308,AO308/D308)</f>
        <v>#DIV/0!</v>
      </c>
      <c r="BK308" s="2" t="e">
        <f t="shared" si="150"/>
        <v>#DIV/0!</v>
      </c>
      <c r="BL308" s="2">
        <f>IF(O308&gt;0,IFERROR(IF('Entrada e Saida'!$H$11="DIRETA",0,(IF('Entrada e Saida'!$H$14="P.JURIDICA",(BD308*(1+O308)*N308)-((BD308/(1+M308))*'Entrada e Saida'!$G$65),((Produtos!N308-'Entrada e Saida'!$G$65)*Produtos!BD308)))),0),0)</f>
        <v>0</v>
      </c>
      <c r="BM308" s="2" t="e">
        <f t="shared" si="151"/>
        <v>#DIV/0!</v>
      </c>
    </row>
    <row r="309" spans="1:65" s="1" customFormat="1">
      <c r="A309" s="127"/>
      <c r="B309" s="114"/>
      <c r="C309" s="116"/>
      <c r="D309" s="146"/>
      <c r="E309" s="115">
        <f>IFERROR(VLOOKUP(A309,'Master Modelo'!A:I,9,FALSE),0)</f>
        <v>0</v>
      </c>
      <c r="F309" s="189">
        <f>IFERROR(VLOOKUP(A309,'Master Modelo'!A:I,8,FALSE),0)</f>
        <v>0</v>
      </c>
      <c r="G309" s="189">
        <f>IFERROR(VLOOKUP(A309,'Master Modelo'!A:K,11,FALSE),0)</f>
        <v>0</v>
      </c>
      <c r="H309" s="114" t="e">
        <f t="shared" si="134"/>
        <v>#DIV/0!</v>
      </c>
      <c r="I309" s="150">
        <f>IFERROR(VLOOKUP(A309,'Master Modelo'!A:I,3,FALSE),0)</f>
        <v>0</v>
      </c>
      <c r="J309" s="151">
        <f>IFERROR(VLOOKUP(A309,'Master Modelo'!A:I,5,FALSE),0)</f>
        <v>0</v>
      </c>
      <c r="K309" s="151">
        <f>IFERROR(VLOOKUP(A309,'Master Modelo'!A:I,6,FALSE),0)</f>
        <v>0</v>
      </c>
      <c r="L309" s="152" t="e">
        <f>VLOOKUP(A309,'Master Modelo'!A:J,10,FALSE)</f>
        <v>#N/A</v>
      </c>
      <c r="M309" s="150">
        <f>IFERROR(VLOOKUP(A309,'Master Modelo'!A:I,4,FALSE),0)</f>
        <v>0</v>
      </c>
      <c r="N309" s="128"/>
      <c r="O309" s="129"/>
      <c r="P309" s="9">
        <f t="shared" si="135"/>
        <v>0</v>
      </c>
      <c r="Q309" s="177">
        <f t="shared" si="133"/>
        <v>0</v>
      </c>
      <c r="R309" s="3">
        <f>D309*E309*'Entrada e Saida'!$K$8</f>
        <v>0</v>
      </c>
      <c r="S309" s="179" t="e">
        <f>'Entrada e Saida'!$H$21*'Entrada e Saida'!$K$8*(P309/(SUM(P:P)))</f>
        <v>#DIV/0!</v>
      </c>
      <c r="T309" s="179" t="e">
        <f>'Entrada e Saida'!$H$21*'Entrada e Saida'!$K$8*(Q309/(SUM(Q:Q)))</f>
        <v>#DIV/0!</v>
      </c>
      <c r="U309" s="179" t="e">
        <f>'Entrada e Saida'!$H$22*(P309/(SUM(P:P)))</f>
        <v>#DIV/0!</v>
      </c>
      <c r="V309" s="179" t="e">
        <f>'Entrada e Saida'!$H$22*(Q309/(SUM(Q:Q)))</f>
        <v>#DIV/0!</v>
      </c>
      <c r="W309" s="8" t="e">
        <f t="shared" si="136"/>
        <v>#DIV/0!</v>
      </c>
      <c r="X309" s="179" t="e">
        <f>'Entrada e Saida'!$H$26*(IF('Entrada e Saida'!$H$15="PESO",(P309/(SUM(P:P))),(Q309/(SUM(Q:Q)))))</f>
        <v>#DIV/0!</v>
      </c>
      <c r="Y309" s="179" t="e">
        <f>'Entrada e Saida'!$H$27*(IF('Entrada e Saida'!$H$15="PESO",(P309/(SUM(P:P))),(Q309/(SUM(Q:Q)))))</f>
        <v>#DIV/0!</v>
      </c>
      <c r="Z309" s="179" t="e">
        <f>'Entrada e Saida'!$H$28*(IF('Entrada e Saida'!$H$15="PESO",(P309/(SUM(P:P))),(Q309/(SUM(Q:Q)))))</f>
        <v>#DIV/0!</v>
      </c>
      <c r="AA309" s="10" t="e">
        <f t="shared" si="137"/>
        <v>#DIV/0!</v>
      </c>
      <c r="AB309" s="3" t="e">
        <f t="shared" si="138"/>
        <v>#DIV/0!</v>
      </c>
      <c r="AC309" s="3" t="e">
        <f t="shared" si="139"/>
        <v>#DIV/0!</v>
      </c>
      <c r="AD309" s="3" t="e">
        <f t="shared" si="140"/>
        <v>#DIV/0!</v>
      </c>
      <c r="AE309" s="9" t="e">
        <f t="shared" si="141"/>
        <v>#DIV/0!</v>
      </c>
      <c r="AF309" s="126">
        <f>IFERROR(D309*F309*L309*'Entrada e Saida'!$K$8,0)</f>
        <v>0</v>
      </c>
      <c r="AG309" s="3" t="e">
        <f>((W309+AA309+AB309+AC309+AD309+AE309+AF309)/(1-'Entrada e Saida'!$G$65))*'Entrada e Saida'!$I$66</f>
        <v>#DIV/0!</v>
      </c>
      <c r="AH309" s="8" t="e">
        <f t="shared" si="142"/>
        <v>#DIV/0!</v>
      </c>
      <c r="AI309" s="183" t="e">
        <f>'Entrada e Saida'!$K$51*(IF('Entrada e Saida'!$H$15="PESO",(P309/(SUM(P:P))),(Q309/(SUM(Q:Q)))))</f>
        <v>#DIV/0!</v>
      </c>
      <c r="AJ309" s="7">
        <f>(('Entrada e Saida'!$K$10-'Entrada e Saida'!$K$8)*E309*D309)</f>
        <v>0</v>
      </c>
      <c r="AK309" s="184" t="e">
        <f>IF('Entrada e Saida'!$H$15="PESO",W309+AA309+AH309+AI309+AJ309,W309+AA309+AH309+AI309+AJ309-S309+T309-U309+V309)</f>
        <v>#DIV/0!</v>
      </c>
      <c r="AL309" s="6" t="e">
        <f>IF('Entrada e Saida'!$H$12="REAL",AC309,0)</f>
        <v>#DIV/0!</v>
      </c>
      <c r="AM309" s="6" t="e">
        <f>IF('Entrada e Saida'!$H$12="REAL",AD309,0)</f>
        <v>#DIV/0!</v>
      </c>
      <c r="AN309" s="5" t="e">
        <f>IF('Entrada e Saida'!$H$13= "NÃO",AE309,0)</f>
        <v>#DIV/0!</v>
      </c>
      <c r="AO309" s="5" t="e">
        <f t="shared" si="143"/>
        <v>#DIV/0!</v>
      </c>
      <c r="AP309" s="4" t="e">
        <f t="shared" si="144"/>
        <v>#DIV/0!</v>
      </c>
      <c r="AQ309" s="3" t="e">
        <f>IF('Entrada e Saida'!$H$11="TRADING",AU309*'Custo Resumido'!D309,0)</f>
        <v>#DIV/0!</v>
      </c>
      <c r="AR309" s="3" t="e">
        <f>IF('Entrada e Saida'!$H$11="TRADING",AU309*'Entrada e Saida'!$G$63,0)</f>
        <v>#DIV/0!</v>
      </c>
      <c r="AS309" s="3" t="e">
        <f>IF('Entrada e Saida'!$H$11="TRADING",AU309*'Entrada e Saida'!$G$64,0)</f>
        <v>#DIV/0!</v>
      </c>
      <c r="AT309" s="3" t="e">
        <f>IF('Entrada e Saida'!$H$11="TRADING",AU309*'Entrada e Saida'!$G$65,0)</f>
        <v>#DIV/0!</v>
      </c>
      <c r="AU309" s="4" t="e">
        <f>IF('Entrada e Saida'!$H$11="TRADING",AP309/(1-(SUM('Entrada e Saida'!$G$63:$G$65)+'Custo Resumido'!D309)),0)</f>
        <v>#DIV/0!</v>
      </c>
      <c r="AV309" s="3" t="e">
        <f>IF('Entrada e Saida'!$H$13="NÃO",AU309*M309,0)</f>
        <v>#DIV/0!</v>
      </c>
      <c r="AW309" s="4" t="e">
        <f t="shared" si="145"/>
        <v>#DIV/0!</v>
      </c>
      <c r="AX309" s="3" t="e">
        <f>'Entrada e Saida'!$G$74*AU309</f>
        <v>#DIV/0!</v>
      </c>
      <c r="AY309" s="4" t="e">
        <f t="shared" si="146"/>
        <v>#DIV/0!</v>
      </c>
      <c r="AZ309" s="4" t="e">
        <f>AQ309+('Entrada e Saida'!$G$65-'Entrada e Saida'!$I$65)*AU309-AX309</f>
        <v>#DIV/0!</v>
      </c>
      <c r="BA309" s="3" t="e">
        <f>IF('Entrada e Saida'!$H$12="REAL",AZ309*'Entrada e Saida'!$G$81,AU309*'Entrada e Saida'!$G$81)</f>
        <v>#DIV/0!</v>
      </c>
      <c r="BB309" s="3" t="e">
        <f>IF('Entrada e Saida'!$H$12="REAL",AZ309*'Entrada e Saida'!$G$82,AU309*'Entrada e Saida'!$G$82)</f>
        <v>#DIV/0!</v>
      </c>
      <c r="BC309" s="4" t="e">
        <f t="shared" si="147"/>
        <v>#DIV/0!</v>
      </c>
      <c r="BD309" s="3" t="e">
        <f>IF('Entrada e Saida'!$H$11="TRADING",AW309/D309,AK309/D309)</f>
        <v>#DIV/0!</v>
      </c>
      <c r="BE309" s="3" t="e">
        <f t="shared" si="148"/>
        <v>#DIV/0!</v>
      </c>
      <c r="BF309" s="2" t="e">
        <f t="shared" si="149"/>
        <v>#DIV/0!</v>
      </c>
      <c r="BG309" s="3" t="e">
        <f>IF('Entrada e Saida'!$H$11="TRADING",AV309/D309,AN309/D309)</f>
        <v>#DIV/0!</v>
      </c>
      <c r="BH309" s="3" t="e">
        <f>IF('Entrada e Saida'!$H$11="TRADING",IF('Entrada e Saida'!$H$12="REAL",AR309/D309,0),AL309/D309)</f>
        <v>#DIV/0!</v>
      </c>
      <c r="BI309" s="3" t="e">
        <f>IF('Entrada e Saida'!$H$11="TRADING",IF('Entrada e Saida'!$H$12="REAL",AS309/D309,0),AM309/D309)</f>
        <v>#DIV/0!</v>
      </c>
      <c r="BJ309" s="3" t="e">
        <f>IF('Entrada e Saida'!$H$11="TRADING",AT309/D309,AO309/D309)</f>
        <v>#DIV/0!</v>
      </c>
      <c r="BK309" s="2" t="e">
        <f t="shared" si="150"/>
        <v>#DIV/0!</v>
      </c>
      <c r="BL309" s="2">
        <f>IF(O309&gt;0,IFERROR(IF('Entrada e Saida'!$H$11="DIRETA",0,(IF('Entrada e Saida'!$H$14="P.JURIDICA",(BD309*(1+O309)*N309)-((BD309/(1+M309))*'Entrada e Saida'!$G$65),((Produtos!N309-'Entrada e Saida'!$G$65)*Produtos!BD309)))),0),0)</f>
        <v>0</v>
      </c>
      <c r="BM309" s="2" t="e">
        <f t="shared" si="151"/>
        <v>#DIV/0!</v>
      </c>
    </row>
    <row r="310" spans="1:65" s="1" customFormat="1">
      <c r="A310" s="127"/>
      <c r="B310" s="114"/>
      <c r="C310" s="116"/>
      <c r="D310" s="146"/>
      <c r="E310" s="115">
        <f>IFERROR(VLOOKUP(A310,'Master Modelo'!A:I,9,FALSE),0)</f>
        <v>0</v>
      </c>
      <c r="F310" s="189">
        <f>IFERROR(VLOOKUP(A310,'Master Modelo'!A:I,8,FALSE),0)</f>
        <v>0</v>
      </c>
      <c r="G310" s="189">
        <f>IFERROR(VLOOKUP(A310,'Master Modelo'!A:K,11,FALSE),0)</f>
        <v>0</v>
      </c>
      <c r="H310" s="114" t="e">
        <f t="shared" si="134"/>
        <v>#DIV/0!</v>
      </c>
      <c r="I310" s="150">
        <f>IFERROR(VLOOKUP(A310,'Master Modelo'!A:I,3,FALSE),0)</f>
        <v>0</v>
      </c>
      <c r="J310" s="151">
        <f>IFERROR(VLOOKUP(A310,'Master Modelo'!A:I,5,FALSE),0)</f>
        <v>0</v>
      </c>
      <c r="K310" s="151">
        <f>IFERROR(VLOOKUP(A310,'Master Modelo'!A:I,6,FALSE),0)</f>
        <v>0</v>
      </c>
      <c r="L310" s="152" t="e">
        <f>VLOOKUP(A310,'Master Modelo'!A:J,10,FALSE)</f>
        <v>#N/A</v>
      </c>
      <c r="M310" s="150">
        <f>IFERROR(VLOOKUP(A310,'Master Modelo'!A:I,4,FALSE),0)</f>
        <v>0</v>
      </c>
      <c r="N310" s="128"/>
      <c r="O310" s="129"/>
      <c r="P310" s="9">
        <f t="shared" si="135"/>
        <v>0</v>
      </c>
      <c r="Q310" s="177">
        <f t="shared" si="133"/>
        <v>0</v>
      </c>
      <c r="R310" s="3">
        <f>D310*E310*'Entrada e Saida'!$K$8</f>
        <v>0</v>
      </c>
      <c r="S310" s="179" t="e">
        <f>'Entrada e Saida'!$H$21*'Entrada e Saida'!$K$8*(P310/(SUM(P:P)))</f>
        <v>#DIV/0!</v>
      </c>
      <c r="T310" s="179" t="e">
        <f>'Entrada e Saida'!$H$21*'Entrada e Saida'!$K$8*(Q310/(SUM(Q:Q)))</f>
        <v>#DIV/0!</v>
      </c>
      <c r="U310" s="179" t="e">
        <f>'Entrada e Saida'!$H$22*(P310/(SUM(P:P)))</f>
        <v>#DIV/0!</v>
      </c>
      <c r="V310" s="179" t="e">
        <f>'Entrada e Saida'!$H$22*(Q310/(SUM(Q:Q)))</f>
        <v>#DIV/0!</v>
      </c>
      <c r="W310" s="8" t="e">
        <f t="shared" si="136"/>
        <v>#DIV/0!</v>
      </c>
      <c r="X310" s="179" t="e">
        <f>'Entrada e Saida'!$H$26*(IF('Entrada e Saida'!$H$15="PESO",(P310/(SUM(P:P))),(Q310/(SUM(Q:Q)))))</f>
        <v>#DIV/0!</v>
      </c>
      <c r="Y310" s="179" t="e">
        <f>'Entrada e Saida'!$H$27*(IF('Entrada e Saida'!$H$15="PESO",(P310/(SUM(P:P))),(Q310/(SUM(Q:Q)))))</f>
        <v>#DIV/0!</v>
      </c>
      <c r="Z310" s="179" t="e">
        <f>'Entrada e Saida'!$H$28*(IF('Entrada e Saida'!$H$15="PESO",(P310/(SUM(P:P))),(Q310/(SUM(Q:Q)))))</f>
        <v>#DIV/0!</v>
      </c>
      <c r="AA310" s="10" t="e">
        <f t="shared" si="137"/>
        <v>#DIV/0!</v>
      </c>
      <c r="AB310" s="3" t="e">
        <f t="shared" si="138"/>
        <v>#DIV/0!</v>
      </c>
      <c r="AC310" s="3" t="e">
        <f t="shared" si="139"/>
        <v>#DIV/0!</v>
      </c>
      <c r="AD310" s="3" t="e">
        <f t="shared" si="140"/>
        <v>#DIV/0!</v>
      </c>
      <c r="AE310" s="9" t="e">
        <f t="shared" si="141"/>
        <v>#DIV/0!</v>
      </c>
      <c r="AF310" s="126">
        <f>IFERROR(D310*F310*L310*'Entrada e Saida'!$K$8,0)</f>
        <v>0</v>
      </c>
      <c r="AG310" s="3" t="e">
        <f>((W310+AA310+AB310+AC310+AD310+AE310+AF310)/(1-'Entrada e Saida'!$G$65))*'Entrada e Saida'!$I$66</f>
        <v>#DIV/0!</v>
      </c>
      <c r="AH310" s="8" t="e">
        <f t="shared" si="142"/>
        <v>#DIV/0!</v>
      </c>
      <c r="AI310" s="183" t="e">
        <f>'Entrada e Saida'!$K$51*(IF('Entrada e Saida'!$H$15="PESO",(P310/(SUM(P:P))),(Q310/(SUM(Q:Q)))))</f>
        <v>#DIV/0!</v>
      </c>
      <c r="AJ310" s="7">
        <f>(('Entrada e Saida'!$K$10-'Entrada e Saida'!$K$8)*E310*D310)</f>
        <v>0</v>
      </c>
      <c r="AK310" s="184" t="e">
        <f>IF('Entrada e Saida'!$H$15="PESO",W310+AA310+AH310+AI310+AJ310,W310+AA310+AH310+AI310+AJ310-S310+T310-U310+V310)</f>
        <v>#DIV/0!</v>
      </c>
      <c r="AL310" s="6" t="e">
        <f>IF('Entrada e Saida'!$H$12="REAL",AC310,0)</f>
        <v>#DIV/0!</v>
      </c>
      <c r="AM310" s="6" t="e">
        <f>IF('Entrada e Saida'!$H$12="REAL",AD310,0)</f>
        <v>#DIV/0!</v>
      </c>
      <c r="AN310" s="5" t="e">
        <f>IF('Entrada e Saida'!$H$13= "NÃO",AE310,0)</f>
        <v>#DIV/0!</v>
      </c>
      <c r="AO310" s="5" t="e">
        <f t="shared" si="143"/>
        <v>#DIV/0!</v>
      </c>
      <c r="AP310" s="4" t="e">
        <f t="shared" si="144"/>
        <v>#DIV/0!</v>
      </c>
      <c r="AQ310" s="3" t="e">
        <f>IF('Entrada e Saida'!$H$11="TRADING",AU310*'Custo Resumido'!D310,0)</f>
        <v>#DIV/0!</v>
      </c>
      <c r="AR310" s="3" t="e">
        <f>IF('Entrada e Saida'!$H$11="TRADING",AU310*'Entrada e Saida'!$G$63,0)</f>
        <v>#DIV/0!</v>
      </c>
      <c r="AS310" s="3" t="e">
        <f>IF('Entrada e Saida'!$H$11="TRADING",AU310*'Entrada e Saida'!$G$64,0)</f>
        <v>#DIV/0!</v>
      </c>
      <c r="AT310" s="3" t="e">
        <f>IF('Entrada e Saida'!$H$11="TRADING",AU310*'Entrada e Saida'!$G$65,0)</f>
        <v>#DIV/0!</v>
      </c>
      <c r="AU310" s="4" t="e">
        <f>IF('Entrada e Saida'!$H$11="TRADING",AP310/(1-(SUM('Entrada e Saida'!$G$63:$G$65)+'Custo Resumido'!D310)),0)</f>
        <v>#DIV/0!</v>
      </c>
      <c r="AV310" s="3" t="e">
        <f>IF('Entrada e Saida'!$H$13="NÃO",AU310*M310,0)</f>
        <v>#DIV/0!</v>
      </c>
      <c r="AW310" s="4" t="e">
        <f t="shared" si="145"/>
        <v>#DIV/0!</v>
      </c>
      <c r="AX310" s="3" t="e">
        <f>'Entrada e Saida'!$G$74*AU310</f>
        <v>#DIV/0!</v>
      </c>
      <c r="AY310" s="4" t="e">
        <f t="shared" si="146"/>
        <v>#DIV/0!</v>
      </c>
      <c r="AZ310" s="4" t="e">
        <f>AQ310+('Entrada e Saida'!$G$65-'Entrada e Saida'!$I$65)*AU310-AX310</f>
        <v>#DIV/0!</v>
      </c>
      <c r="BA310" s="3" t="e">
        <f>IF('Entrada e Saida'!$H$12="REAL",AZ310*'Entrada e Saida'!$G$81,AU310*'Entrada e Saida'!$G$81)</f>
        <v>#DIV/0!</v>
      </c>
      <c r="BB310" s="3" t="e">
        <f>IF('Entrada e Saida'!$H$12="REAL",AZ310*'Entrada e Saida'!$G$82,AU310*'Entrada e Saida'!$G$82)</f>
        <v>#DIV/0!</v>
      </c>
      <c r="BC310" s="4" t="e">
        <f t="shared" si="147"/>
        <v>#DIV/0!</v>
      </c>
      <c r="BD310" s="3" t="e">
        <f>IF('Entrada e Saida'!$H$11="TRADING",AW310/D310,AK310/D310)</f>
        <v>#DIV/0!</v>
      </c>
      <c r="BE310" s="3" t="e">
        <f t="shared" si="148"/>
        <v>#DIV/0!</v>
      </c>
      <c r="BF310" s="2" t="e">
        <f t="shared" si="149"/>
        <v>#DIV/0!</v>
      </c>
      <c r="BG310" s="3" t="e">
        <f>IF('Entrada e Saida'!$H$11="TRADING",AV310/D310,AN310/D310)</f>
        <v>#DIV/0!</v>
      </c>
      <c r="BH310" s="3" t="e">
        <f>IF('Entrada e Saida'!$H$11="TRADING",IF('Entrada e Saida'!$H$12="REAL",AR310/D310,0),AL310/D310)</f>
        <v>#DIV/0!</v>
      </c>
      <c r="BI310" s="3" t="e">
        <f>IF('Entrada e Saida'!$H$11="TRADING",IF('Entrada e Saida'!$H$12="REAL",AS310/D310,0),AM310/D310)</f>
        <v>#DIV/0!</v>
      </c>
      <c r="BJ310" s="3" t="e">
        <f>IF('Entrada e Saida'!$H$11="TRADING",AT310/D310,AO310/D310)</f>
        <v>#DIV/0!</v>
      </c>
      <c r="BK310" s="2" t="e">
        <f t="shared" si="150"/>
        <v>#DIV/0!</v>
      </c>
      <c r="BL310" s="2">
        <f>IF(O310&gt;0,IFERROR(IF('Entrada e Saida'!$H$11="DIRETA",0,(IF('Entrada e Saida'!$H$14="P.JURIDICA",(BD310*(1+O310)*N310)-((BD310/(1+M310))*'Entrada e Saida'!$G$65),((Produtos!N310-'Entrada e Saida'!$G$65)*Produtos!BD310)))),0),0)</f>
        <v>0</v>
      </c>
      <c r="BM310" s="2" t="e">
        <f t="shared" si="151"/>
        <v>#DIV/0!</v>
      </c>
    </row>
    <row r="311" spans="1:65" s="1" customFormat="1">
      <c r="A311" s="127"/>
      <c r="B311" s="114"/>
      <c r="C311" s="116"/>
      <c r="D311" s="146"/>
      <c r="E311" s="115">
        <f>IFERROR(VLOOKUP(A311,'Master Modelo'!A:I,9,FALSE),0)</f>
        <v>0</v>
      </c>
      <c r="F311" s="189">
        <f>IFERROR(VLOOKUP(A311,'Master Modelo'!A:I,8,FALSE),0)</f>
        <v>0</v>
      </c>
      <c r="G311" s="189">
        <f>IFERROR(VLOOKUP(A311,'Master Modelo'!A:K,11,FALSE),0)</f>
        <v>0</v>
      </c>
      <c r="H311" s="114" t="e">
        <f t="shared" si="134"/>
        <v>#DIV/0!</v>
      </c>
      <c r="I311" s="150">
        <f>IFERROR(VLOOKUP(A311,'Master Modelo'!A:I,3,FALSE),0)</f>
        <v>0</v>
      </c>
      <c r="J311" s="151">
        <f>IFERROR(VLOOKUP(A311,'Master Modelo'!A:I,5,FALSE),0)</f>
        <v>0</v>
      </c>
      <c r="K311" s="151">
        <f>IFERROR(VLOOKUP(A311,'Master Modelo'!A:I,6,FALSE),0)</f>
        <v>0</v>
      </c>
      <c r="L311" s="152" t="e">
        <f>VLOOKUP(A311,'Master Modelo'!A:J,10,FALSE)</f>
        <v>#N/A</v>
      </c>
      <c r="M311" s="150">
        <f>IFERROR(VLOOKUP(A311,'Master Modelo'!A:I,4,FALSE),0)</f>
        <v>0</v>
      </c>
      <c r="N311" s="128"/>
      <c r="O311" s="129"/>
      <c r="P311" s="9">
        <f t="shared" si="135"/>
        <v>0</v>
      </c>
      <c r="Q311" s="177">
        <f t="shared" si="133"/>
        <v>0</v>
      </c>
      <c r="R311" s="3">
        <f>D311*E311*'Entrada e Saida'!$K$8</f>
        <v>0</v>
      </c>
      <c r="S311" s="179" t="e">
        <f>'Entrada e Saida'!$H$21*'Entrada e Saida'!$K$8*(P311/(SUM(P:P)))</f>
        <v>#DIV/0!</v>
      </c>
      <c r="T311" s="179" t="e">
        <f>'Entrada e Saida'!$H$21*'Entrada e Saida'!$K$8*(Q311/(SUM(Q:Q)))</f>
        <v>#DIV/0!</v>
      </c>
      <c r="U311" s="179" t="e">
        <f>'Entrada e Saida'!$H$22*(P311/(SUM(P:P)))</f>
        <v>#DIV/0!</v>
      </c>
      <c r="V311" s="179" t="e">
        <f>'Entrada e Saida'!$H$22*(Q311/(SUM(Q:Q)))</f>
        <v>#DIV/0!</v>
      </c>
      <c r="W311" s="8" t="e">
        <f t="shared" si="136"/>
        <v>#DIV/0!</v>
      </c>
      <c r="X311" s="179" t="e">
        <f>'Entrada e Saida'!$H$26*(IF('Entrada e Saida'!$H$15="PESO",(P311/(SUM(P:P))),(Q311/(SUM(Q:Q)))))</f>
        <v>#DIV/0!</v>
      </c>
      <c r="Y311" s="179" t="e">
        <f>'Entrada e Saida'!$H$27*(IF('Entrada e Saida'!$H$15="PESO",(P311/(SUM(P:P))),(Q311/(SUM(Q:Q)))))</f>
        <v>#DIV/0!</v>
      </c>
      <c r="Z311" s="179" t="e">
        <f>'Entrada e Saida'!$H$28*(IF('Entrada e Saida'!$H$15="PESO",(P311/(SUM(P:P))),(Q311/(SUM(Q:Q)))))</f>
        <v>#DIV/0!</v>
      </c>
      <c r="AA311" s="10" t="e">
        <f t="shared" si="137"/>
        <v>#DIV/0!</v>
      </c>
      <c r="AB311" s="3" t="e">
        <f t="shared" si="138"/>
        <v>#DIV/0!</v>
      </c>
      <c r="AC311" s="3" t="e">
        <f t="shared" si="139"/>
        <v>#DIV/0!</v>
      </c>
      <c r="AD311" s="3" t="e">
        <f t="shared" si="140"/>
        <v>#DIV/0!</v>
      </c>
      <c r="AE311" s="9" t="e">
        <f t="shared" si="141"/>
        <v>#DIV/0!</v>
      </c>
      <c r="AF311" s="126">
        <f>IFERROR(D311*F311*L311*'Entrada e Saida'!$K$8,0)</f>
        <v>0</v>
      </c>
      <c r="AG311" s="3" t="e">
        <f>((W311+AA311+AB311+AC311+AD311+AE311+AF311)/(1-'Entrada e Saida'!$G$65))*'Entrada e Saida'!$I$66</f>
        <v>#DIV/0!</v>
      </c>
      <c r="AH311" s="8" t="e">
        <f t="shared" si="142"/>
        <v>#DIV/0!</v>
      </c>
      <c r="AI311" s="183" t="e">
        <f>'Entrada e Saida'!$K$51*(IF('Entrada e Saida'!$H$15="PESO",(P311/(SUM(P:P))),(Q311/(SUM(Q:Q)))))</f>
        <v>#DIV/0!</v>
      </c>
      <c r="AJ311" s="7">
        <f>(('Entrada e Saida'!$K$10-'Entrada e Saida'!$K$8)*E311*D311)</f>
        <v>0</v>
      </c>
      <c r="AK311" s="184" t="e">
        <f>IF('Entrada e Saida'!$H$15="PESO",W311+AA311+AH311+AI311+AJ311,W311+AA311+AH311+AI311+AJ311-S311+T311-U311+V311)</f>
        <v>#DIV/0!</v>
      </c>
      <c r="AL311" s="6" t="e">
        <f>IF('Entrada e Saida'!$H$12="REAL",AC311,0)</f>
        <v>#DIV/0!</v>
      </c>
      <c r="AM311" s="6" t="e">
        <f>IF('Entrada e Saida'!$H$12="REAL",AD311,0)</f>
        <v>#DIV/0!</v>
      </c>
      <c r="AN311" s="5" t="e">
        <f>IF('Entrada e Saida'!$H$13= "NÃO",AE311,0)</f>
        <v>#DIV/0!</v>
      </c>
      <c r="AO311" s="5" t="e">
        <f t="shared" si="143"/>
        <v>#DIV/0!</v>
      </c>
      <c r="AP311" s="4" t="e">
        <f t="shared" si="144"/>
        <v>#DIV/0!</v>
      </c>
      <c r="AQ311" s="3" t="e">
        <f>IF('Entrada e Saida'!$H$11="TRADING",AU311*'Custo Resumido'!D311,0)</f>
        <v>#DIV/0!</v>
      </c>
      <c r="AR311" s="3" t="e">
        <f>IF('Entrada e Saida'!$H$11="TRADING",AU311*'Entrada e Saida'!$G$63,0)</f>
        <v>#DIV/0!</v>
      </c>
      <c r="AS311" s="3" t="e">
        <f>IF('Entrada e Saida'!$H$11="TRADING",AU311*'Entrada e Saida'!$G$64,0)</f>
        <v>#DIV/0!</v>
      </c>
      <c r="AT311" s="3" t="e">
        <f>IF('Entrada e Saida'!$H$11="TRADING",AU311*'Entrada e Saida'!$G$65,0)</f>
        <v>#DIV/0!</v>
      </c>
      <c r="AU311" s="4" t="e">
        <f>IF('Entrada e Saida'!$H$11="TRADING",AP311/(1-(SUM('Entrada e Saida'!$G$63:$G$65)+'Custo Resumido'!D311)),0)</f>
        <v>#DIV/0!</v>
      </c>
      <c r="AV311" s="3" t="e">
        <f>IF('Entrada e Saida'!$H$13="NÃO",AU311*M311,0)</f>
        <v>#DIV/0!</v>
      </c>
      <c r="AW311" s="4" t="e">
        <f t="shared" si="145"/>
        <v>#DIV/0!</v>
      </c>
      <c r="AX311" s="3" t="e">
        <f>'Entrada e Saida'!$G$74*AU311</f>
        <v>#DIV/0!</v>
      </c>
      <c r="AY311" s="4" t="e">
        <f t="shared" si="146"/>
        <v>#DIV/0!</v>
      </c>
      <c r="AZ311" s="4" t="e">
        <f>AQ311+('Entrada e Saida'!$G$65-'Entrada e Saida'!$I$65)*AU311-AX311</f>
        <v>#DIV/0!</v>
      </c>
      <c r="BA311" s="3" t="e">
        <f>IF('Entrada e Saida'!$H$12="REAL",AZ311*'Entrada e Saida'!$G$81,AU311*'Entrada e Saida'!$G$81)</f>
        <v>#DIV/0!</v>
      </c>
      <c r="BB311" s="3" t="e">
        <f>IF('Entrada e Saida'!$H$12="REAL",AZ311*'Entrada e Saida'!$G$82,AU311*'Entrada e Saida'!$G$82)</f>
        <v>#DIV/0!</v>
      </c>
      <c r="BC311" s="4" t="e">
        <f t="shared" si="147"/>
        <v>#DIV/0!</v>
      </c>
      <c r="BD311" s="3" t="e">
        <f>IF('Entrada e Saida'!$H$11="TRADING",AW311/D311,AK311/D311)</f>
        <v>#DIV/0!</v>
      </c>
      <c r="BE311" s="3" t="e">
        <f t="shared" si="148"/>
        <v>#DIV/0!</v>
      </c>
      <c r="BF311" s="2" t="e">
        <f t="shared" si="149"/>
        <v>#DIV/0!</v>
      </c>
      <c r="BG311" s="3" t="e">
        <f>IF('Entrada e Saida'!$H$11="TRADING",AV311/D311,AN311/D311)</f>
        <v>#DIV/0!</v>
      </c>
      <c r="BH311" s="3" t="e">
        <f>IF('Entrada e Saida'!$H$11="TRADING",IF('Entrada e Saida'!$H$12="REAL",AR311/D311,0),AL311/D311)</f>
        <v>#DIV/0!</v>
      </c>
      <c r="BI311" s="3" t="e">
        <f>IF('Entrada e Saida'!$H$11="TRADING",IF('Entrada e Saida'!$H$12="REAL",AS311/D311,0),AM311/D311)</f>
        <v>#DIV/0!</v>
      </c>
      <c r="BJ311" s="3" t="e">
        <f>IF('Entrada e Saida'!$H$11="TRADING",AT311/D311,AO311/D311)</f>
        <v>#DIV/0!</v>
      </c>
      <c r="BK311" s="2" t="e">
        <f t="shared" si="150"/>
        <v>#DIV/0!</v>
      </c>
      <c r="BL311" s="2">
        <f>IF(O311&gt;0,IFERROR(IF('Entrada e Saida'!$H$11="DIRETA",0,(IF('Entrada e Saida'!$H$14="P.JURIDICA",(BD311*(1+O311)*N311)-((BD311/(1+M311))*'Entrada e Saida'!$G$65),((Produtos!N311-'Entrada e Saida'!$G$65)*Produtos!BD311)))),0),0)</f>
        <v>0</v>
      </c>
      <c r="BM311" s="2" t="e">
        <f t="shared" si="151"/>
        <v>#DIV/0!</v>
      </c>
    </row>
    <row r="312" spans="1:65" s="1" customFormat="1">
      <c r="A312" s="127"/>
      <c r="B312" s="114"/>
      <c r="C312" s="116"/>
      <c r="D312" s="146"/>
      <c r="E312" s="115">
        <f>IFERROR(VLOOKUP(A312,'Master Modelo'!A:I,9,FALSE),0)</f>
        <v>0</v>
      </c>
      <c r="F312" s="189">
        <f>IFERROR(VLOOKUP(A312,'Master Modelo'!A:I,8,FALSE),0)</f>
        <v>0</v>
      </c>
      <c r="G312" s="189">
        <f>IFERROR(VLOOKUP(A312,'Master Modelo'!A:K,11,FALSE),0)</f>
        <v>0</v>
      </c>
      <c r="H312" s="114" t="e">
        <f t="shared" si="134"/>
        <v>#DIV/0!</v>
      </c>
      <c r="I312" s="150">
        <f>IFERROR(VLOOKUP(A312,'Master Modelo'!A:I,3,FALSE),0)</f>
        <v>0</v>
      </c>
      <c r="J312" s="151">
        <f>IFERROR(VLOOKUP(A312,'Master Modelo'!A:I,5,FALSE),0)</f>
        <v>0</v>
      </c>
      <c r="K312" s="151">
        <f>IFERROR(VLOOKUP(A312,'Master Modelo'!A:I,6,FALSE),0)</f>
        <v>0</v>
      </c>
      <c r="L312" s="152" t="e">
        <f>VLOOKUP(A312,'Master Modelo'!A:J,10,FALSE)</f>
        <v>#N/A</v>
      </c>
      <c r="M312" s="150">
        <f>IFERROR(VLOOKUP(A312,'Master Modelo'!A:I,4,FALSE),0)</f>
        <v>0</v>
      </c>
      <c r="N312" s="128"/>
      <c r="O312" s="129"/>
      <c r="P312" s="9">
        <f t="shared" si="135"/>
        <v>0</v>
      </c>
      <c r="Q312" s="177">
        <f t="shared" si="133"/>
        <v>0</v>
      </c>
      <c r="R312" s="3">
        <f>D312*E312*'Entrada e Saida'!$K$8</f>
        <v>0</v>
      </c>
      <c r="S312" s="179" t="e">
        <f>'Entrada e Saida'!$H$21*'Entrada e Saida'!$K$8*(P312/(SUM(P:P)))</f>
        <v>#DIV/0!</v>
      </c>
      <c r="T312" s="179" t="e">
        <f>'Entrada e Saida'!$H$21*'Entrada e Saida'!$K$8*(Q312/(SUM(Q:Q)))</f>
        <v>#DIV/0!</v>
      </c>
      <c r="U312" s="179" t="e">
        <f>'Entrada e Saida'!$H$22*(P312/(SUM(P:P)))</f>
        <v>#DIV/0!</v>
      </c>
      <c r="V312" s="179" t="e">
        <f>'Entrada e Saida'!$H$22*(Q312/(SUM(Q:Q)))</f>
        <v>#DIV/0!</v>
      </c>
      <c r="W312" s="8" t="e">
        <f t="shared" si="136"/>
        <v>#DIV/0!</v>
      </c>
      <c r="X312" s="179" t="e">
        <f>'Entrada e Saida'!$H$26*(IF('Entrada e Saida'!$H$15="PESO",(P312/(SUM(P:P))),(Q312/(SUM(Q:Q)))))</f>
        <v>#DIV/0!</v>
      </c>
      <c r="Y312" s="179" t="e">
        <f>'Entrada e Saida'!$H$27*(IF('Entrada e Saida'!$H$15="PESO",(P312/(SUM(P:P))),(Q312/(SUM(Q:Q)))))</f>
        <v>#DIV/0!</v>
      </c>
      <c r="Z312" s="179" t="e">
        <f>'Entrada e Saida'!$H$28*(IF('Entrada e Saida'!$H$15="PESO",(P312/(SUM(P:P))),(Q312/(SUM(Q:Q)))))</f>
        <v>#DIV/0!</v>
      </c>
      <c r="AA312" s="10" t="e">
        <f t="shared" si="137"/>
        <v>#DIV/0!</v>
      </c>
      <c r="AB312" s="3" t="e">
        <f t="shared" si="138"/>
        <v>#DIV/0!</v>
      </c>
      <c r="AC312" s="3" t="e">
        <f t="shared" si="139"/>
        <v>#DIV/0!</v>
      </c>
      <c r="AD312" s="3" t="e">
        <f t="shared" si="140"/>
        <v>#DIV/0!</v>
      </c>
      <c r="AE312" s="9" t="e">
        <f t="shared" si="141"/>
        <v>#DIV/0!</v>
      </c>
      <c r="AF312" s="126">
        <f>IFERROR(D312*F312*L312*'Entrada e Saida'!$K$8,0)</f>
        <v>0</v>
      </c>
      <c r="AG312" s="3" t="e">
        <f>((W312+AA312+AB312+AC312+AD312+AE312+AF312)/(1-'Entrada e Saida'!$G$65))*'Entrada e Saida'!$I$66</f>
        <v>#DIV/0!</v>
      </c>
      <c r="AH312" s="8" t="e">
        <f t="shared" si="142"/>
        <v>#DIV/0!</v>
      </c>
      <c r="AI312" s="183" t="e">
        <f>'Entrada e Saida'!$K$51*(IF('Entrada e Saida'!$H$15="PESO",(P312/(SUM(P:P))),(Q312/(SUM(Q:Q)))))</f>
        <v>#DIV/0!</v>
      </c>
      <c r="AJ312" s="7">
        <f>(('Entrada e Saida'!$K$10-'Entrada e Saida'!$K$8)*E312*D312)</f>
        <v>0</v>
      </c>
      <c r="AK312" s="184" t="e">
        <f>IF('Entrada e Saida'!$H$15="PESO",W312+AA312+AH312+AI312+AJ312,W312+AA312+AH312+AI312+AJ312-S312+T312-U312+V312)</f>
        <v>#DIV/0!</v>
      </c>
      <c r="AL312" s="6" t="e">
        <f>IF('Entrada e Saida'!$H$12="REAL",AC312,0)</f>
        <v>#DIV/0!</v>
      </c>
      <c r="AM312" s="6" t="e">
        <f>IF('Entrada e Saida'!$H$12="REAL",AD312,0)</f>
        <v>#DIV/0!</v>
      </c>
      <c r="AN312" s="5" t="e">
        <f>IF('Entrada e Saida'!$H$13= "NÃO",AE312,0)</f>
        <v>#DIV/0!</v>
      </c>
      <c r="AO312" s="5" t="e">
        <f t="shared" si="143"/>
        <v>#DIV/0!</v>
      </c>
      <c r="AP312" s="4" t="e">
        <f t="shared" si="144"/>
        <v>#DIV/0!</v>
      </c>
      <c r="AQ312" s="3" t="e">
        <f>IF('Entrada e Saida'!$H$11="TRADING",AU312*'Custo Resumido'!D312,0)</f>
        <v>#DIV/0!</v>
      </c>
      <c r="AR312" s="3" t="e">
        <f>IF('Entrada e Saida'!$H$11="TRADING",AU312*'Entrada e Saida'!$G$63,0)</f>
        <v>#DIV/0!</v>
      </c>
      <c r="AS312" s="3" t="e">
        <f>IF('Entrada e Saida'!$H$11="TRADING",AU312*'Entrada e Saida'!$G$64,0)</f>
        <v>#DIV/0!</v>
      </c>
      <c r="AT312" s="3" t="e">
        <f>IF('Entrada e Saida'!$H$11="TRADING",AU312*'Entrada e Saida'!$G$65,0)</f>
        <v>#DIV/0!</v>
      </c>
      <c r="AU312" s="4" t="e">
        <f>IF('Entrada e Saida'!$H$11="TRADING",AP312/(1-(SUM('Entrada e Saida'!$G$63:$G$65)+'Custo Resumido'!D312)),0)</f>
        <v>#DIV/0!</v>
      </c>
      <c r="AV312" s="3" t="e">
        <f>IF('Entrada e Saida'!$H$13="NÃO",AU312*M312,0)</f>
        <v>#DIV/0!</v>
      </c>
      <c r="AW312" s="4" t="e">
        <f t="shared" si="145"/>
        <v>#DIV/0!</v>
      </c>
      <c r="AX312" s="3" t="e">
        <f>'Entrada e Saida'!$G$74*AU312</f>
        <v>#DIV/0!</v>
      </c>
      <c r="AY312" s="4" t="e">
        <f t="shared" si="146"/>
        <v>#DIV/0!</v>
      </c>
      <c r="AZ312" s="4" t="e">
        <f>AQ312+('Entrada e Saida'!$G$65-'Entrada e Saida'!$I$65)*AU312-AX312</f>
        <v>#DIV/0!</v>
      </c>
      <c r="BA312" s="3" t="e">
        <f>IF('Entrada e Saida'!$H$12="REAL",AZ312*'Entrada e Saida'!$G$81,AU312*'Entrada e Saida'!$G$81)</f>
        <v>#DIV/0!</v>
      </c>
      <c r="BB312" s="3" t="e">
        <f>IF('Entrada e Saida'!$H$12="REAL",AZ312*'Entrada e Saida'!$G$82,AU312*'Entrada e Saida'!$G$82)</f>
        <v>#DIV/0!</v>
      </c>
      <c r="BC312" s="4" t="e">
        <f t="shared" si="147"/>
        <v>#DIV/0!</v>
      </c>
      <c r="BD312" s="3" t="e">
        <f>IF('Entrada e Saida'!$H$11="TRADING",AW312/D312,AK312/D312)</f>
        <v>#DIV/0!</v>
      </c>
      <c r="BE312" s="3" t="e">
        <f t="shared" si="148"/>
        <v>#DIV/0!</v>
      </c>
      <c r="BF312" s="2" t="e">
        <f t="shared" si="149"/>
        <v>#DIV/0!</v>
      </c>
      <c r="BG312" s="3" t="e">
        <f>IF('Entrada e Saida'!$H$11="TRADING",AV312/D312,AN312/D312)</f>
        <v>#DIV/0!</v>
      </c>
      <c r="BH312" s="3" t="e">
        <f>IF('Entrada e Saida'!$H$11="TRADING",IF('Entrada e Saida'!$H$12="REAL",AR312/D312,0),AL312/D312)</f>
        <v>#DIV/0!</v>
      </c>
      <c r="BI312" s="3" t="e">
        <f>IF('Entrada e Saida'!$H$11="TRADING",IF('Entrada e Saida'!$H$12="REAL",AS312/D312,0),AM312/D312)</f>
        <v>#DIV/0!</v>
      </c>
      <c r="BJ312" s="3" t="e">
        <f>IF('Entrada e Saida'!$H$11="TRADING",AT312/D312,AO312/D312)</f>
        <v>#DIV/0!</v>
      </c>
      <c r="BK312" s="2" t="e">
        <f t="shared" si="150"/>
        <v>#DIV/0!</v>
      </c>
      <c r="BL312" s="2">
        <f>IF(O312&gt;0,IFERROR(IF('Entrada e Saida'!$H$11="DIRETA",0,(IF('Entrada e Saida'!$H$14="P.JURIDICA",(BD312*(1+O312)*N312)-((BD312/(1+M312))*'Entrada e Saida'!$G$65),((Produtos!N312-'Entrada e Saida'!$G$65)*Produtos!BD312)))),0),0)</f>
        <v>0</v>
      </c>
      <c r="BM312" s="2" t="e">
        <f t="shared" si="151"/>
        <v>#DIV/0!</v>
      </c>
    </row>
    <row r="313" spans="1:65" s="1" customFormat="1">
      <c r="A313" s="127"/>
      <c r="B313" s="114"/>
      <c r="C313" s="116"/>
      <c r="D313" s="146"/>
      <c r="E313" s="115">
        <f>IFERROR(VLOOKUP(A313,'Master Modelo'!A:I,9,FALSE),0)</f>
        <v>0</v>
      </c>
      <c r="F313" s="189">
        <f>IFERROR(VLOOKUP(A313,'Master Modelo'!A:I,8,FALSE),0)</f>
        <v>0</v>
      </c>
      <c r="G313" s="189">
        <f>IFERROR(VLOOKUP(A313,'Master Modelo'!A:K,11,FALSE),0)</f>
        <v>0</v>
      </c>
      <c r="H313" s="114" t="e">
        <f t="shared" si="134"/>
        <v>#DIV/0!</v>
      </c>
      <c r="I313" s="150">
        <f>IFERROR(VLOOKUP(A313,'Master Modelo'!A:I,3,FALSE),0)</f>
        <v>0</v>
      </c>
      <c r="J313" s="151">
        <f>IFERROR(VLOOKUP(A313,'Master Modelo'!A:I,5,FALSE),0)</f>
        <v>0</v>
      </c>
      <c r="K313" s="151">
        <f>IFERROR(VLOOKUP(A313,'Master Modelo'!A:I,6,FALSE),0)</f>
        <v>0</v>
      </c>
      <c r="L313" s="152" t="e">
        <f>VLOOKUP(A313,'Master Modelo'!A:J,10,FALSE)</f>
        <v>#N/A</v>
      </c>
      <c r="M313" s="150">
        <f>IFERROR(VLOOKUP(A313,'Master Modelo'!A:I,4,FALSE),0)</f>
        <v>0</v>
      </c>
      <c r="N313" s="128"/>
      <c r="O313" s="129"/>
      <c r="P313" s="9">
        <f t="shared" si="135"/>
        <v>0</v>
      </c>
      <c r="Q313" s="177">
        <f t="shared" si="133"/>
        <v>0</v>
      </c>
      <c r="R313" s="3">
        <f>D313*E313*'Entrada e Saida'!$K$8</f>
        <v>0</v>
      </c>
      <c r="S313" s="179" t="e">
        <f>'Entrada e Saida'!$H$21*'Entrada e Saida'!$K$8*(P313/(SUM(P:P)))</f>
        <v>#DIV/0!</v>
      </c>
      <c r="T313" s="179" t="e">
        <f>'Entrada e Saida'!$H$21*'Entrada e Saida'!$K$8*(Q313/(SUM(Q:Q)))</f>
        <v>#DIV/0!</v>
      </c>
      <c r="U313" s="179" t="e">
        <f>'Entrada e Saida'!$H$22*(P313/(SUM(P:P)))</f>
        <v>#DIV/0!</v>
      </c>
      <c r="V313" s="179" t="e">
        <f>'Entrada e Saida'!$H$22*(Q313/(SUM(Q:Q)))</f>
        <v>#DIV/0!</v>
      </c>
      <c r="W313" s="8" t="e">
        <f t="shared" si="136"/>
        <v>#DIV/0!</v>
      </c>
      <c r="X313" s="179" t="e">
        <f>'Entrada e Saida'!$H$26*(IF('Entrada e Saida'!$H$15="PESO",(P313/(SUM(P:P))),(Q313/(SUM(Q:Q)))))</f>
        <v>#DIV/0!</v>
      </c>
      <c r="Y313" s="179" t="e">
        <f>'Entrada e Saida'!$H$27*(IF('Entrada e Saida'!$H$15="PESO",(P313/(SUM(P:P))),(Q313/(SUM(Q:Q)))))</f>
        <v>#DIV/0!</v>
      </c>
      <c r="Z313" s="179" t="e">
        <f>'Entrada e Saida'!$H$28*(IF('Entrada e Saida'!$H$15="PESO",(P313/(SUM(P:P))),(Q313/(SUM(Q:Q)))))</f>
        <v>#DIV/0!</v>
      </c>
      <c r="AA313" s="10" t="e">
        <f t="shared" si="137"/>
        <v>#DIV/0!</v>
      </c>
      <c r="AB313" s="3" t="e">
        <f t="shared" si="138"/>
        <v>#DIV/0!</v>
      </c>
      <c r="AC313" s="3" t="e">
        <f t="shared" si="139"/>
        <v>#DIV/0!</v>
      </c>
      <c r="AD313" s="3" t="e">
        <f t="shared" si="140"/>
        <v>#DIV/0!</v>
      </c>
      <c r="AE313" s="9" t="e">
        <f t="shared" si="141"/>
        <v>#DIV/0!</v>
      </c>
      <c r="AF313" s="126">
        <f>IFERROR(D313*F313*L313*'Entrada e Saida'!$K$8,0)</f>
        <v>0</v>
      </c>
      <c r="AG313" s="3" t="e">
        <f>((W313+AA313+AB313+AC313+AD313+AE313+AF313)/(1-'Entrada e Saida'!$G$65))*'Entrada e Saida'!$I$66</f>
        <v>#DIV/0!</v>
      </c>
      <c r="AH313" s="8" t="e">
        <f t="shared" si="142"/>
        <v>#DIV/0!</v>
      </c>
      <c r="AI313" s="183" t="e">
        <f>'Entrada e Saida'!$K$51*(IF('Entrada e Saida'!$H$15="PESO",(P313/(SUM(P:P))),(Q313/(SUM(Q:Q)))))</f>
        <v>#DIV/0!</v>
      </c>
      <c r="AJ313" s="7">
        <f>(('Entrada e Saida'!$K$10-'Entrada e Saida'!$K$8)*E313*D313)</f>
        <v>0</v>
      </c>
      <c r="AK313" s="184" t="e">
        <f>IF('Entrada e Saida'!$H$15="PESO",W313+AA313+AH313+AI313+AJ313,W313+AA313+AH313+AI313+AJ313-S313+T313-U313+V313)</f>
        <v>#DIV/0!</v>
      </c>
      <c r="AL313" s="6" t="e">
        <f>IF('Entrada e Saida'!$H$12="REAL",AC313,0)</f>
        <v>#DIV/0!</v>
      </c>
      <c r="AM313" s="6" t="e">
        <f>IF('Entrada e Saida'!$H$12="REAL",AD313,0)</f>
        <v>#DIV/0!</v>
      </c>
      <c r="AN313" s="5" t="e">
        <f>IF('Entrada e Saida'!$H$13= "NÃO",AE313,0)</f>
        <v>#DIV/0!</v>
      </c>
      <c r="AO313" s="5" t="e">
        <f t="shared" si="143"/>
        <v>#DIV/0!</v>
      </c>
      <c r="AP313" s="4" t="e">
        <f t="shared" si="144"/>
        <v>#DIV/0!</v>
      </c>
      <c r="AQ313" s="3" t="e">
        <f>IF('Entrada e Saida'!$H$11="TRADING",AU313*'Custo Resumido'!D313,0)</f>
        <v>#DIV/0!</v>
      </c>
      <c r="AR313" s="3" t="e">
        <f>IF('Entrada e Saida'!$H$11="TRADING",AU313*'Entrada e Saida'!$G$63,0)</f>
        <v>#DIV/0!</v>
      </c>
      <c r="AS313" s="3" t="e">
        <f>IF('Entrada e Saida'!$H$11="TRADING",AU313*'Entrada e Saida'!$G$64,0)</f>
        <v>#DIV/0!</v>
      </c>
      <c r="AT313" s="3" t="e">
        <f>IF('Entrada e Saida'!$H$11="TRADING",AU313*'Entrada e Saida'!$G$65,0)</f>
        <v>#DIV/0!</v>
      </c>
      <c r="AU313" s="4" t="e">
        <f>IF('Entrada e Saida'!$H$11="TRADING",AP313/(1-(SUM('Entrada e Saida'!$G$63:$G$65)+'Custo Resumido'!D313)),0)</f>
        <v>#DIV/0!</v>
      </c>
      <c r="AV313" s="3" t="e">
        <f>IF('Entrada e Saida'!$H$13="NÃO",AU313*M313,0)</f>
        <v>#DIV/0!</v>
      </c>
      <c r="AW313" s="4" t="e">
        <f t="shared" si="145"/>
        <v>#DIV/0!</v>
      </c>
      <c r="AX313" s="3" t="e">
        <f>'Entrada e Saida'!$G$74*AU313</f>
        <v>#DIV/0!</v>
      </c>
      <c r="AY313" s="4" t="e">
        <f t="shared" si="146"/>
        <v>#DIV/0!</v>
      </c>
      <c r="AZ313" s="4" t="e">
        <f>AQ313+('Entrada e Saida'!$G$65-'Entrada e Saida'!$I$65)*AU313-AX313</f>
        <v>#DIV/0!</v>
      </c>
      <c r="BA313" s="3" t="e">
        <f>IF('Entrada e Saida'!$H$12="REAL",AZ313*'Entrada e Saida'!$G$81,AU313*'Entrada e Saida'!$G$81)</f>
        <v>#DIV/0!</v>
      </c>
      <c r="BB313" s="3" t="e">
        <f>IF('Entrada e Saida'!$H$12="REAL",AZ313*'Entrada e Saida'!$G$82,AU313*'Entrada e Saida'!$G$82)</f>
        <v>#DIV/0!</v>
      </c>
      <c r="BC313" s="4" t="e">
        <f t="shared" si="147"/>
        <v>#DIV/0!</v>
      </c>
      <c r="BD313" s="3" t="e">
        <f>IF('Entrada e Saida'!$H$11="TRADING",AW313/D313,AK313/D313)</f>
        <v>#DIV/0!</v>
      </c>
      <c r="BE313" s="3" t="e">
        <f t="shared" si="148"/>
        <v>#DIV/0!</v>
      </c>
      <c r="BF313" s="2" t="e">
        <f t="shared" si="149"/>
        <v>#DIV/0!</v>
      </c>
      <c r="BG313" s="3" t="e">
        <f>IF('Entrada e Saida'!$H$11="TRADING",AV313/D313,AN313/D313)</f>
        <v>#DIV/0!</v>
      </c>
      <c r="BH313" s="3" t="e">
        <f>IF('Entrada e Saida'!$H$11="TRADING",IF('Entrada e Saida'!$H$12="REAL",AR313/D313,0),AL313/D313)</f>
        <v>#DIV/0!</v>
      </c>
      <c r="BI313" s="3" t="e">
        <f>IF('Entrada e Saida'!$H$11="TRADING",IF('Entrada e Saida'!$H$12="REAL",AS313/D313,0),AM313/D313)</f>
        <v>#DIV/0!</v>
      </c>
      <c r="BJ313" s="3" t="e">
        <f>IF('Entrada e Saida'!$H$11="TRADING",AT313/D313,AO313/D313)</f>
        <v>#DIV/0!</v>
      </c>
      <c r="BK313" s="2" t="e">
        <f t="shared" si="150"/>
        <v>#DIV/0!</v>
      </c>
      <c r="BL313" s="2">
        <f>IF(O313&gt;0,IFERROR(IF('Entrada e Saida'!$H$11="DIRETA",0,(IF('Entrada e Saida'!$H$14="P.JURIDICA",(BD313*(1+O313)*N313)-((BD313/(1+M313))*'Entrada e Saida'!$G$65),((Produtos!N313-'Entrada e Saida'!$G$65)*Produtos!BD313)))),0),0)</f>
        <v>0</v>
      </c>
      <c r="BM313" s="2" t="e">
        <f t="shared" si="151"/>
        <v>#DIV/0!</v>
      </c>
    </row>
    <row r="314" spans="1:65" s="1" customFormat="1">
      <c r="A314" s="127"/>
      <c r="B314" s="114"/>
      <c r="C314" s="116"/>
      <c r="D314" s="146"/>
      <c r="E314" s="115">
        <f>IFERROR(VLOOKUP(A314,'Master Modelo'!A:I,9,FALSE),0)</f>
        <v>0</v>
      </c>
      <c r="F314" s="189">
        <f>IFERROR(VLOOKUP(A314,'Master Modelo'!A:I,8,FALSE),0)</f>
        <v>0</v>
      </c>
      <c r="G314" s="189">
        <f>IFERROR(VLOOKUP(A314,'Master Modelo'!A:K,11,FALSE),0)</f>
        <v>0</v>
      </c>
      <c r="H314" s="114" t="e">
        <f t="shared" si="134"/>
        <v>#DIV/0!</v>
      </c>
      <c r="I314" s="150">
        <f>IFERROR(VLOOKUP(A314,'Master Modelo'!A:I,3,FALSE),0)</f>
        <v>0</v>
      </c>
      <c r="J314" s="151">
        <f>IFERROR(VLOOKUP(A314,'Master Modelo'!A:I,5,FALSE),0)</f>
        <v>0</v>
      </c>
      <c r="K314" s="151">
        <f>IFERROR(VLOOKUP(A314,'Master Modelo'!A:I,6,FALSE),0)</f>
        <v>0</v>
      </c>
      <c r="L314" s="152" t="e">
        <f>VLOOKUP(A314,'Master Modelo'!A:J,10,FALSE)</f>
        <v>#N/A</v>
      </c>
      <c r="M314" s="150">
        <f>IFERROR(VLOOKUP(A314,'Master Modelo'!A:I,4,FALSE),0)</f>
        <v>0</v>
      </c>
      <c r="N314" s="128"/>
      <c r="O314" s="129"/>
      <c r="P314" s="9">
        <f t="shared" si="135"/>
        <v>0</v>
      </c>
      <c r="Q314" s="177">
        <f t="shared" si="133"/>
        <v>0</v>
      </c>
      <c r="R314" s="3">
        <f>D314*E314*'Entrada e Saida'!$K$8</f>
        <v>0</v>
      </c>
      <c r="S314" s="179" t="e">
        <f>'Entrada e Saida'!$H$21*'Entrada e Saida'!$K$8*(P314/(SUM(P:P)))</f>
        <v>#DIV/0!</v>
      </c>
      <c r="T314" s="179" t="e">
        <f>'Entrada e Saida'!$H$21*'Entrada e Saida'!$K$8*(Q314/(SUM(Q:Q)))</f>
        <v>#DIV/0!</v>
      </c>
      <c r="U314" s="179" t="e">
        <f>'Entrada e Saida'!$H$22*(P314/(SUM(P:P)))</f>
        <v>#DIV/0!</v>
      </c>
      <c r="V314" s="179" t="e">
        <f>'Entrada e Saida'!$H$22*(Q314/(SUM(Q:Q)))</f>
        <v>#DIV/0!</v>
      </c>
      <c r="W314" s="8" t="e">
        <f t="shared" si="136"/>
        <v>#DIV/0!</v>
      </c>
      <c r="X314" s="179" t="e">
        <f>'Entrada e Saida'!$H$26*(IF('Entrada e Saida'!$H$15="PESO",(P314/(SUM(P:P))),(Q314/(SUM(Q:Q)))))</f>
        <v>#DIV/0!</v>
      </c>
      <c r="Y314" s="179" t="e">
        <f>'Entrada e Saida'!$H$27*(IF('Entrada e Saida'!$H$15="PESO",(P314/(SUM(P:P))),(Q314/(SUM(Q:Q)))))</f>
        <v>#DIV/0!</v>
      </c>
      <c r="Z314" s="179" t="e">
        <f>'Entrada e Saida'!$H$28*(IF('Entrada e Saida'!$H$15="PESO",(P314/(SUM(P:P))),(Q314/(SUM(Q:Q)))))</f>
        <v>#DIV/0!</v>
      </c>
      <c r="AA314" s="10" t="e">
        <f t="shared" si="137"/>
        <v>#DIV/0!</v>
      </c>
      <c r="AB314" s="3" t="e">
        <f t="shared" si="138"/>
        <v>#DIV/0!</v>
      </c>
      <c r="AC314" s="3" t="e">
        <f t="shared" si="139"/>
        <v>#DIV/0!</v>
      </c>
      <c r="AD314" s="3" t="e">
        <f t="shared" si="140"/>
        <v>#DIV/0!</v>
      </c>
      <c r="AE314" s="9" t="e">
        <f t="shared" si="141"/>
        <v>#DIV/0!</v>
      </c>
      <c r="AF314" s="126">
        <f>IFERROR(D314*F314*L314*'Entrada e Saida'!$K$8,0)</f>
        <v>0</v>
      </c>
      <c r="AG314" s="3" t="e">
        <f>((W314+AA314+AB314+AC314+AD314+AE314+AF314)/(1-'Entrada e Saida'!$G$65))*'Entrada e Saida'!$I$66</f>
        <v>#DIV/0!</v>
      </c>
      <c r="AH314" s="8" t="e">
        <f t="shared" si="142"/>
        <v>#DIV/0!</v>
      </c>
      <c r="AI314" s="183" t="e">
        <f>'Entrada e Saida'!$K$51*(IF('Entrada e Saida'!$H$15="PESO",(P314/(SUM(P:P))),(Q314/(SUM(Q:Q)))))</f>
        <v>#DIV/0!</v>
      </c>
      <c r="AJ314" s="7">
        <f>(('Entrada e Saida'!$K$10-'Entrada e Saida'!$K$8)*E314*D314)</f>
        <v>0</v>
      </c>
      <c r="AK314" s="184" t="e">
        <f>IF('Entrada e Saida'!$H$15="PESO",W314+AA314+AH314+AI314+AJ314,W314+AA314+AH314+AI314+AJ314-S314+T314-U314+V314)</f>
        <v>#DIV/0!</v>
      </c>
      <c r="AL314" s="6" t="e">
        <f>IF('Entrada e Saida'!$H$12="REAL",AC314,0)</f>
        <v>#DIV/0!</v>
      </c>
      <c r="AM314" s="6" t="e">
        <f>IF('Entrada e Saida'!$H$12="REAL",AD314,0)</f>
        <v>#DIV/0!</v>
      </c>
      <c r="AN314" s="5" t="e">
        <f>IF('Entrada e Saida'!$H$13= "NÃO",AE314,0)</f>
        <v>#DIV/0!</v>
      </c>
      <c r="AO314" s="5" t="e">
        <f t="shared" si="143"/>
        <v>#DIV/0!</v>
      </c>
      <c r="AP314" s="4" t="e">
        <f t="shared" si="144"/>
        <v>#DIV/0!</v>
      </c>
      <c r="AQ314" s="3" t="e">
        <f>IF('Entrada e Saida'!$H$11="TRADING",AU314*'Custo Resumido'!D314,0)</f>
        <v>#DIV/0!</v>
      </c>
      <c r="AR314" s="3" t="e">
        <f>IF('Entrada e Saida'!$H$11="TRADING",AU314*'Entrada e Saida'!$G$63,0)</f>
        <v>#DIV/0!</v>
      </c>
      <c r="AS314" s="3" t="e">
        <f>IF('Entrada e Saida'!$H$11="TRADING",AU314*'Entrada e Saida'!$G$64,0)</f>
        <v>#DIV/0!</v>
      </c>
      <c r="AT314" s="3" t="e">
        <f>IF('Entrada e Saida'!$H$11="TRADING",AU314*'Entrada e Saida'!$G$65,0)</f>
        <v>#DIV/0!</v>
      </c>
      <c r="AU314" s="4" t="e">
        <f>IF('Entrada e Saida'!$H$11="TRADING",AP314/(1-(SUM('Entrada e Saida'!$G$63:$G$65)+'Custo Resumido'!D314)),0)</f>
        <v>#DIV/0!</v>
      </c>
      <c r="AV314" s="3" t="e">
        <f>IF('Entrada e Saida'!$H$13="NÃO",AU314*M314,0)</f>
        <v>#DIV/0!</v>
      </c>
      <c r="AW314" s="4" t="e">
        <f t="shared" si="145"/>
        <v>#DIV/0!</v>
      </c>
      <c r="AX314" s="3" t="e">
        <f>'Entrada e Saida'!$G$74*AU314</f>
        <v>#DIV/0!</v>
      </c>
      <c r="AY314" s="4" t="e">
        <f t="shared" si="146"/>
        <v>#DIV/0!</v>
      </c>
      <c r="AZ314" s="4" t="e">
        <f>AQ314+('Entrada e Saida'!$G$65-'Entrada e Saida'!$I$65)*AU314-AX314</f>
        <v>#DIV/0!</v>
      </c>
      <c r="BA314" s="3" t="e">
        <f>IF('Entrada e Saida'!$H$12="REAL",AZ314*'Entrada e Saida'!$G$81,AU314*'Entrada e Saida'!$G$81)</f>
        <v>#DIV/0!</v>
      </c>
      <c r="BB314" s="3" t="e">
        <f>IF('Entrada e Saida'!$H$12="REAL",AZ314*'Entrada e Saida'!$G$82,AU314*'Entrada e Saida'!$G$82)</f>
        <v>#DIV/0!</v>
      </c>
      <c r="BC314" s="4" t="e">
        <f t="shared" si="147"/>
        <v>#DIV/0!</v>
      </c>
      <c r="BD314" s="3" t="e">
        <f>IF('Entrada e Saida'!$H$11="TRADING",AW314/D314,AK314/D314)</f>
        <v>#DIV/0!</v>
      </c>
      <c r="BE314" s="3" t="e">
        <f t="shared" si="148"/>
        <v>#DIV/0!</v>
      </c>
      <c r="BF314" s="2" t="e">
        <f t="shared" si="149"/>
        <v>#DIV/0!</v>
      </c>
      <c r="BG314" s="3" t="e">
        <f>IF('Entrada e Saida'!$H$11="TRADING",AV314/D314,AN314/D314)</f>
        <v>#DIV/0!</v>
      </c>
      <c r="BH314" s="3" t="e">
        <f>IF('Entrada e Saida'!$H$11="TRADING",IF('Entrada e Saida'!$H$12="REAL",AR314/D314,0),AL314/D314)</f>
        <v>#DIV/0!</v>
      </c>
      <c r="BI314" s="3" t="e">
        <f>IF('Entrada e Saida'!$H$11="TRADING",IF('Entrada e Saida'!$H$12="REAL",AS314/D314,0),AM314/D314)</f>
        <v>#DIV/0!</v>
      </c>
      <c r="BJ314" s="3" t="e">
        <f>IF('Entrada e Saida'!$H$11="TRADING",AT314/D314,AO314/D314)</f>
        <v>#DIV/0!</v>
      </c>
      <c r="BK314" s="2" t="e">
        <f t="shared" si="150"/>
        <v>#DIV/0!</v>
      </c>
      <c r="BL314" s="2">
        <f>IF(O314&gt;0,IFERROR(IF('Entrada e Saida'!$H$11="DIRETA",0,(IF('Entrada e Saida'!$H$14="P.JURIDICA",(BD314*(1+O314)*N314)-((BD314/(1+M314))*'Entrada e Saida'!$G$65),((Produtos!N314-'Entrada e Saida'!$G$65)*Produtos!BD314)))),0),0)</f>
        <v>0</v>
      </c>
      <c r="BM314" s="2" t="e">
        <f t="shared" si="151"/>
        <v>#DIV/0!</v>
      </c>
    </row>
    <row r="315" spans="1:65" s="1" customFormat="1">
      <c r="A315" s="127"/>
      <c r="B315" s="114"/>
      <c r="C315" s="116"/>
      <c r="D315" s="146"/>
      <c r="E315" s="115">
        <f>IFERROR(VLOOKUP(A315,'Master Modelo'!A:I,9,FALSE),0)</f>
        <v>0</v>
      </c>
      <c r="F315" s="189">
        <f>IFERROR(VLOOKUP(A315,'Master Modelo'!A:I,8,FALSE),0)</f>
        <v>0</v>
      </c>
      <c r="G315" s="189">
        <f>IFERROR(VLOOKUP(A315,'Master Modelo'!A:K,11,FALSE),0)</f>
        <v>0</v>
      </c>
      <c r="H315" s="114" t="e">
        <f t="shared" si="134"/>
        <v>#DIV/0!</v>
      </c>
      <c r="I315" s="150">
        <f>IFERROR(VLOOKUP(A315,'Master Modelo'!A:I,3,FALSE),0)</f>
        <v>0</v>
      </c>
      <c r="J315" s="151">
        <f>IFERROR(VLOOKUP(A315,'Master Modelo'!A:I,5,FALSE),0)</f>
        <v>0</v>
      </c>
      <c r="K315" s="151">
        <f>IFERROR(VLOOKUP(A315,'Master Modelo'!A:I,6,FALSE),0)</f>
        <v>0</v>
      </c>
      <c r="L315" s="152" t="e">
        <f>VLOOKUP(A315,'Master Modelo'!A:J,10,FALSE)</f>
        <v>#N/A</v>
      </c>
      <c r="M315" s="150">
        <f>IFERROR(VLOOKUP(A315,'Master Modelo'!A:I,4,FALSE),0)</f>
        <v>0</v>
      </c>
      <c r="N315" s="128"/>
      <c r="O315" s="129"/>
      <c r="P315" s="9">
        <f t="shared" si="135"/>
        <v>0</v>
      </c>
      <c r="Q315" s="177">
        <f t="shared" si="133"/>
        <v>0</v>
      </c>
      <c r="R315" s="3">
        <f>D315*E315*'Entrada e Saida'!$K$8</f>
        <v>0</v>
      </c>
      <c r="S315" s="179" t="e">
        <f>'Entrada e Saida'!$H$21*'Entrada e Saida'!$K$8*(P315/(SUM(P:P)))</f>
        <v>#DIV/0!</v>
      </c>
      <c r="T315" s="179" t="e">
        <f>'Entrada e Saida'!$H$21*'Entrada e Saida'!$K$8*(Q315/(SUM(Q:Q)))</f>
        <v>#DIV/0!</v>
      </c>
      <c r="U315" s="179" t="e">
        <f>'Entrada e Saida'!$H$22*(P315/(SUM(P:P)))</f>
        <v>#DIV/0!</v>
      </c>
      <c r="V315" s="179" t="e">
        <f>'Entrada e Saida'!$H$22*(Q315/(SUM(Q:Q)))</f>
        <v>#DIV/0!</v>
      </c>
      <c r="W315" s="8" t="e">
        <f t="shared" si="136"/>
        <v>#DIV/0!</v>
      </c>
      <c r="X315" s="179" t="e">
        <f>'Entrada e Saida'!$H$26*(IF('Entrada e Saida'!$H$15="PESO",(P315/(SUM(P:P))),(Q315/(SUM(Q:Q)))))</f>
        <v>#DIV/0!</v>
      </c>
      <c r="Y315" s="179" t="e">
        <f>'Entrada e Saida'!$H$27*(IF('Entrada e Saida'!$H$15="PESO",(P315/(SUM(P:P))),(Q315/(SUM(Q:Q)))))</f>
        <v>#DIV/0!</v>
      </c>
      <c r="Z315" s="179" t="e">
        <f>'Entrada e Saida'!$H$28*(IF('Entrada e Saida'!$H$15="PESO",(P315/(SUM(P:P))),(Q315/(SUM(Q:Q)))))</f>
        <v>#DIV/0!</v>
      </c>
      <c r="AA315" s="10" t="e">
        <f t="shared" si="137"/>
        <v>#DIV/0!</v>
      </c>
      <c r="AB315" s="3" t="e">
        <f t="shared" si="138"/>
        <v>#DIV/0!</v>
      </c>
      <c r="AC315" s="3" t="e">
        <f t="shared" si="139"/>
        <v>#DIV/0!</v>
      </c>
      <c r="AD315" s="3" t="e">
        <f t="shared" si="140"/>
        <v>#DIV/0!</v>
      </c>
      <c r="AE315" s="9" t="e">
        <f t="shared" si="141"/>
        <v>#DIV/0!</v>
      </c>
      <c r="AF315" s="126">
        <f>IFERROR(D315*F315*L315*'Entrada e Saida'!$K$8,0)</f>
        <v>0</v>
      </c>
      <c r="AG315" s="3" t="e">
        <f>((W315+AA315+AB315+AC315+AD315+AE315+AF315)/(1-'Entrada e Saida'!$G$65))*'Entrada e Saida'!$I$66</f>
        <v>#DIV/0!</v>
      </c>
      <c r="AH315" s="8" t="e">
        <f t="shared" si="142"/>
        <v>#DIV/0!</v>
      </c>
      <c r="AI315" s="183" t="e">
        <f>'Entrada e Saida'!$K$51*(IF('Entrada e Saida'!$H$15="PESO",(P315/(SUM(P:P))),(Q315/(SUM(Q:Q)))))</f>
        <v>#DIV/0!</v>
      </c>
      <c r="AJ315" s="7">
        <f>(('Entrada e Saida'!$K$10-'Entrada e Saida'!$K$8)*E315*D315)</f>
        <v>0</v>
      </c>
      <c r="AK315" s="184" t="e">
        <f>IF('Entrada e Saida'!$H$15="PESO",W315+AA315+AH315+AI315+AJ315,W315+AA315+AH315+AI315+AJ315-S315+T315-U315+V315)</f>
        <v>#DIV/0!</v>
      </c>
      <c r="AL315" s="6" t="e">
        <f>IF('Entrada e Saida'!$H$12="REAL",AC315,0)</f>
        <v>#DIV/0!</v>
      </c>
      <c r="AM315" s="6" t="e">
        <f>IF('Entrada e Saida'!$H$12="REAL",AD315,0)</f>
        <v>#DIV/0!</v>
      </c>
      <c r="AN315" s="5" t="e">
        <f>IF('Entrada e Saida'!$H$13= "NÃO",AE315,0)</f>
        <v>#DIV/0!</v>
      </c>
      <c r="AO315" s="5" t="e">
        <f t="shared" si="143"/>
        <v>#DIV/0!</v>
      </c>
      <c r="AP315" s="4" t="e">
        <f t="shared" si="144"/>
        <v>#DIV/0!</v>
      </c>
      <c r="AQ315" s="3" t="e">
        <f>IF('Entrada e Saida'!$H$11="TRADING",AU315*'Custo Resumido'!D315,0)</f>
        <v>#DIV/0!</v>
      </c>
      <c r="AR315" s="3" t="e">
        <f>IF('Entrada e Saida'!$H$11="TRADING",AU315*'Entrada e Saida'!$G$63,0)</f>
        <v>#DIV/0!</v>
      </c>
      <c r="AS315" s="3" t="e">
        <f>IF('Entrada e Saida'!$H$11="TRADING",AU315*'Entrada e Saida'!$G$64,0)</f>
        <v>#DIV/0!</v>
      </c>
      <c r="AT315" s="3" t="e">
        <f>IF('Entrada e Saida'!$H$11="TRADING",AU315*'Entrada e Saida'!$G$65,0)</f>
        <v>#DIV/0!</v>
      </c>
      <c r="AU315" s="4" t="e">
        <f>IF('Entrada e Saida'!$H$11="TRADING",AP315/(1-(SUM('Entrada e Saida'!$G$63:$G$65)+'Custo Resumido'!D315)),0)</f>
        <v>#DIV/0!</v>
      </c>
      <c r="AV315" s="3" t="e">
        <f>IF('Entrada e Saida'!$H$13="NÃO",AU315*M315,0)</f>
        <v>#DIV/0!</v>
      </c>
      <c r="AW315" s="4" t="e">
        <f t="shared" si="145"/>
        <v>#DIV/0!</v>
      </c>
      <c r="AX315" s="3" t="e">
        <f>'Entrada e Saida'!$G$74*AU315</f>
        <v>#DIV/0!</v>
      </c>
      <c r="AY315" s="4" t="e">
        <f t="shared" si="146"/>
        <v>#DIV/0!</v>
      </c>
      <c r="AZ315" s="4" t="e">
        <f>AQ315+('Entrada e Saida'!$G$65-'Entrada e Saida'!$I$65)*AU315-AX315</f>
        <v>#DIV/0!</v>
      </c>
      <c r="BA315" s="3" t="e">
        <f>IF('Entrada e Saida'!$H$12="REAL",AZ315*'Entrada e Saida'!$G$81,AU315*'Entrada e Saida'!$G$81)</f>
        <v>#DIV/0!</v>
      </c>
      <c r="BB315" s="3" t="e">
        <f>IF('Entrada e Saida'!$H$12="REAL",AZ315*'Entrada e Saida'!$G$82,AU315*'Entrada e Saida'!$G$82)</f>
        <v>#DIV/0!</v>
      </c>
      <c r="BC315" s="4" t="e">
        <f t="shared" si="147"/>
        <v>#DIV/0!</v>
      </c>
      <c r="BD315" s="3" t="e">
        <f>IF('Entrada e Saida'!$H$11="TRADING",AW315/D315,AK315/D315)</f>
        <v>#DIV/0!</v>
      </c>
      <c r="BE315" s="3" t="e">
        <f t="shared" si="148"/>
        <v>#DIV/0!</v>
      </c>
      <c r="BF315" s="2" t="e">
        <f t="shared" si="149"/>
        <v>#DIV/0!</v>
      </c>
      <c r="BG315" s="3" t="e">
        <f>IF('Entrada e Saida'!$H$11="TRADING",AV315/D315,AN315/D315)</f>
        <v>#DIV/0!</v>
      </c>
      <c r="BH315" s="3" t="e">
        <f>IF('Entrada e Saida'!$H$11="TRADING",IF('Entrada e Saida'!$H$12="REAL",AR315/D315,0),AL315/D315)</f>
        <v>#DIV/0!</v>
      </c>
      <c r="BI315" s="3" t="e">
        <f>IF('Entrada e Saida'!$H$11="TRADING",IF('Entrada e Saida'!$H$12="REAL",AS315/D315,0),AM315/D315)</f>
        <v>#DIV/0!</v>
      </c>
      <c r="BJ315" s="3" t="e">
        <f>IF('Entrada e Saida'!$H$11="TRADING",AT315/D315,AO315/D315)</f>
        <v>#DIV/0!</v>
      </c>
      <c r="BK315" s="2" t="e">
        <f t="shared" si="150"/>
        <v>#DIV/0!</v>
      </c>
      <c r="BL315" s="2">
        <f>IF(O315&gt;0,IFERROR(IF('Entrada e Saida'!$H$11="DIRETA",0,(IF('Entrada e Saida'!$H$14="P.JURIDICA",(BD315*(1+O315)*N315)-((BD315/(1+M315))*'Entrada e Saida'!$G$65),((Produtos!N315-'Entrada e Saida'!$G$65)*Produtos!BD315)))),0),0)</f>
        <v>0</v>
      </c>
      <c r="BM315" s="2" t="e">
        <f t="shared" si="151"/>
        <v>#DIV/0!</v>
      </c>
    </row>
    <row r="316" spans="1:65" s="1" customFormat="1">
      <c r="A316" s="127"/>
      <c r="B316" s="114"/>
      <c r="C316" s="116"/>
      <c r="D316" s="146"/>
      <c r="E316" s="115">
        <f>IFERROR(VLOOKUP(A316,'Master Modelo'!A:I,9,FALSE),0)</f>
        <v>0</v>
      </c>
      <c r="F316" s="189">
        <f>IFERROR(VLOOKUP(A316,'Master Modelo'!A:I,8,FALSE),0)</f>
        <v>0</v>
      </c>
      <c r="G316" s="189">
        <f>IFERROR(VLOOKUP(A316,'Master Modelo'!A:K,11,FALSE),0)</f>
        <v>0</v>
      </c>
      <c r="H316" s="114" t="e">
        <f t="shared" si="134"/>
        <v>#DIV/0!</v>
      </c>
      <c r="I316" s="150">
        <f>IFERROR(VLOOKUP(A316,'Master Modelo'!A:I,3,FALSE),0)</f>
        <v>0</v>
      </c>
      <c r="J316" s="151">
        <f>IFERROR(VLOOKUP(A316,'Master Modelo'!A:I,5,FALSE),0)</f>
        <v>0</v>
      </c>
      <c r="K316" s="151">
        <f>IFERROR(VLOOKUP(A316,'Master Modelo'!A:I,6,FALSE),0)</f>
        <v>0</v>
      </c>
      <c r="L316" s="152" t="e">
        <f>VLOOKUP(A316,'Master Modelo'!A:J,10,FALSE)</f>
        <v>#N/A</v>
      </c>
      <c r="M316" s="150">
        <f>IFERROR(VLOOKUP(A316,'Master Modelo'!A:I,4,FALSE),0)</f>
        <v>0</v>
      </c>
      <c r="N316" s="128"/>
      <c r="O316" s="129"/>
      <c r="P316" s="9">
        <f t="shared" si="135"/>
        <v>0</v>
      </c>
      <c r="Q316" s="177">
        <f t="shared" si="133"/>
        <v>0</v>
      </c>
      <c r="R316" s="3">
        <f>D316*E316*'Entrada e Saida'!$K$8</f>
        <v>0</v>
      </c>
      <c r="S316" s="179" t="e">
        <f>'Entrada e Saida'!$H$21*'Entrada e Saida'!$K$8*(P316/(SUM(P:P)))</f>
        <v>#DIV/0!</v>
      </c>
      <c r="T316" s="179" t="e">
        <f>'Entrada e Saida'!$H$21*'Entrada e Saida'!$K$8*(Q316/(SUM(Q:Q)))</f>
        <v>#DIV/0!</v>
      </c>
      <c r="U316" s="179" t="e">
        <f>'Entrada e Saida'!$H$22*(P316/(SUM(P:P)))</f>
        <v>#DIV/0!</v>
      </c>
      <c r="V316" s="179" t="e">
        <f>'Entrada e Saida'!$H$22*(Q316/(SUM(Q:Q)))</f>
        <v>#DIV/0!</v>
      </c>
      <c r="W316" s="8" t="e">
        <f t="shared" si="136"/>
        <v>#DIV/0!</v>
      </c>
      <c r="X316" s="179" t="e">
        <f>'Entrada e Saida'!$H$26*(IF('Entrada e Saida'!$H$15="PESO",(P316/(SUM(P:P))),(Q316/(SUM(Q:Q)))))</f>
        <v>#DIV/0!</v>
      </c>
      <c r="Y316" s="179" t="e">
        <f>'Entrada e Saida'!$H$27*(IF('Entrada e Saida'!$H$15="PESO",(P316/(SUM(P:P))),(Q316/(SUM(Q:Q)))))</f>
        <v>#DIV/0!</v>
      </c>
      <c r="Z316" s="179" t="e">
        <f>'Entrada e Saida'!$H$28*(IF('Entrada e Saida'!$H$15="PESO",(P316/(SUM(P:P))),(Q316/(SUM(Q:Q)))))</f>
        <v>#DIV/0!</v>
      </c>
      <c r="AA316" s="10" t="e">
        <f t="shared" si="137"/>
        <v>#DIV/0!</v>
      </c>
      <c r="AB316" s="3" t="e">
        <f t="shared" si="138"/>
        <v>#DIV/0!</v>
      </c>
      <c r="AC316" s="3" t="e">
        <f t="shared" si="139"/>
        <v>#DIV/0!</v>
      </c>
      <c r="AD316" s="3" t="e">
        <f t="shared" si="140"/>
        <v>#DIV/0!</v>
      </c>
      <c r="AE316" s="9" t="e">
        <f t="shared" si="141"/>
        <v>#DIV/0!</v>
      </c>
      <c r="AF316" s="126">
        <f>IFERROR(D316*F316*L316*'Entrada e Saida'!$K$8,0)</f>
        <v>0</v>
      </c>
      <c r="AG316" s="3" t="e">
        <f>((W316+AA316+AB316+AC316+AD316+AE316+AF316)/(1-'Entrada e Saida'!$G$65))*'Entrada e Saida'!$I$66</f>
        <v>#DIV/0!</v>
      </c>
      <c r="AH316" s="8" t="e">
        <f t="shared" si="142"/>
        <v>#DIV/0!</v>
      </c>
      <c r="AI316" s="183" t="e">
        <f>'Entrada e Saida'!$K$51*(IF('Entrada e Saida'!$H$15="PESO",(P316/(SUM(P:P))),(Q316/(SUM(Q:Q)))))</f>
        <v>#DIV/0!</v>
      </c>
      <c r="AJ316" s="7">
        <f>(('Entrada e Saida'!$K$10-'Entrada e Saida'!$K$8)*E316*D316)</f>
        <v>0</v>
      </c>
      <c r="AK316" s="184" t="e">
        <f>IF('Entrada e Saida'!$H$15="PESO",W316+AA316+AH316+AI316+AJ316,W316+AA316+AH316+AI316+AJ316-S316+T316-U316+V316)</f>
        <v>#DIV/0!</v>
      </c>
      <c r="AL316" s="6" t="e">
        <f>IF('Entrada e Saida'!$H$12="REAL",AC316,0)</f>
        <v>#DIV/0!</v>
      </c>
      <c r="AM316" s="6" t="e">
        <f>IF('Entrada e Saida'!$H$12="REAL",AD316,0)</f>
        <v>#DIV/0!</v>
      </c>
      <c r="AN316" s="5" t="e">
        <f>IF('Entrada e Saida'!$H$13= "NÃO",AE316,0)</f>
        <v>#DIV/0!</v>
      </c>
      <c r="AO316" s="5" t="e">
        <f t="shared" si="143"/>
        <v>#DIV/0!</v>
      </c>
      <c r="AP316" s="4" t="e">
        <f t="shared" si="144"/>
        <v>#DIV/0!</v>
      </c>
      <c r="AQ316" s="3" t="e">
        <f>IF('Entrada e Saida'!$H$11="TRADING",AU316*'Custo Resumido'!D316,0)</f>
        <v>#DIV/0!</v>
      </c>
      <c r="AR316" s="3" t="e">
        <f>IF('Entrada e Saida'!$H$11="TRADING",AU316*'Entrada e Saida'!$G$63,0)</f>
        <v>#DIV/0!</v>
      </c>
      <c r="AS316" s="3" t="e">
        <f>IF('Entrada e Saida'!$H$11="TRADING",AU316*'Entrada e Saida'!$G$64,0)</f>
        <v>#DIV/0!</v>
      </c>
      <c r="AT316" s="3" t="e">
        <f>IF('Entrada e Saida'!$H$11="TRADING",AU316*'Entrada e Saida'!$G$65,0)</f>
        <v>#DIV/0!</v>
      </c>
      <c r="AU316" s="4" t="e">
        <f>IF('Entrada e Saida'!$H$11="TRADING",AP316/(1-(SUM('Entrada e Saida'!$G$63:$G$65)+'Custo Resumido'!D316)),0)</f>
        <v>#DIV/0!</v>
      </c>
      <c r="AV316" s="3" t="e">
        <f>IF('Entrada e Saida'!$H$13="NÃO",AU316*M316,0)</f>
        <v>#DIV/0!</v>
      </c>
      <c r="AW316" s="4" t="e">
        <f t="shared" si="145"/>
        <v>#DIV/0!</v>
      </c>
      <c r="AX316" s="3" t="e">
        <f>'Entrada e Saida'!$G$74*AU316</f>
        <v>#DIV/0!</v>
      </c>
      <c r="AY316" s="4" t="e">
        <f t="shared" si="146"/>
        <v>#DIV/0!</v>
      </c>
      <c r="AZ316" s="4" t="e">
        <f>AQ316+('Entrada e Saida'!$G$65-'Entrada e Saida'!$I$65)*AU316-AX316</f>
        <v>#DIV/0!</v>
      </c>
      <c r="BA316" s="3" t="e">
        <f>IF('Entrada e Saida'!$H$12="REAL",AZ316*'Entrada e Saida'!$G$81,AU316*'Entrada e Saida'!$G$81)</f>
        <v>#DIV/0!</v>
      </c>
      <c r="BB316" s="3" t="e">
        <f>IF('Entrada e Saida'!$H$12="REAL",AZ316*'Entrada e Saida'!$G$82,AU316*'Entrada e Saida'!$G$82)</f>
        <v>#DIV/0!</v>
      </c>
      <c r="BC316" s="4" t="e">
        <f t="shared" si="147"/>
        <v>#DIV/0!</v>
      </c>
      <c r="BD316" s="3" t="e">
        <f>IF('Entrada e Saida'!$H$11="TRADING",AW316/D316,AK316/D316)</f>
        <v>#DIV/0!</v>
      </c>
      <c r="BE316" s="3" t="e">
        <f t="shared" si="148"/>
        <v>#DIV/0!</v>
      </c>
      <c r="BF316" s="2" t="e">
        <f t="shared" si="149"/>
        <v>#DIV/0!</v>
      </c>
      <c r="BG316" s="3" t="e">
        <f>IF('Entrada e Saida'!$H$11="TRADING",AV316/D316,AN316/D316)</f>
        <v>#DIV/0!</v>
      </c>
      <c r="BH316" s="3" t="e">
        <f>IF('Entrada e Saida'!$H$11="TRADING",IF('Entrada e Saida'!$H$12="REAL",AR316/D316,0),AL316/D316)</f>
        <v>#DIV/0!</v>
      </c>
      <c r="BI316" s="3" t="e">
        <f>IF('Entrada e Saida'!$H$11="TRADING",IF('Entrada e Saida'!$H$12="REAL",AS316/D316,0),AM316/D316)</f>
        <v>#DIV/0!</v>
      </c>
      <c r="BJ316" s="3" t="e">
        <f>IF('Entrada e Saida'!$H$11="TRADING",AT316/D316,AO316/D316)</f>
        <v>#DIV/0!</v>
      </c>
      <c r="BK316" s="2" t="e">
        <f t="shared" si="150"/>
        <v>#DIV/0!</v>
      </c>
      <c r="BL316" s="2">
        <f>IF(O316&gt;0,IFERROR(IF('Entrada e Saida'!$H$11="DIRETA",0,(IF('Entrada e Saida'!$H$14="P.JURIDICA",(BD316*(1+O316)*N316)-((BD316/(1+M316))*'Entrada e Saida'!$G$65),((Produtos!N316-'Entrada e Saida'!$G$65)*Produtos!BD316)))),0),0)</f>
        <v>0</v>
      </c>
      <c r="BM316" s="2" t="e">
        <f t="shared" si="151"/>
        <v>#DIV/0!</v>
      </c>
    </row>
    <row r="317" spans="1:65" s="1" customFormat="1">
      <c r="A317" s="127"/>
      <c r="B317" s="114"/>
      <c r="C317" s="116"/>
      <c r="D317" s="146"/>
      <c r="E317" s="115">
        <f>IFERROR(VLOOKUP(A317,'Master Modelo'!A:I,9,FALSE),0)</f>
        <v>0</v>
      </c>
      <c r="F317" s="189">
        <f>IFERROR(VLOOKUP(A317,'Master Modelo'!A:I,8,FALSE),0)</f>
        <v>0</v>
      </c>
      <c r="G317" s="189">
        <f>IFERROR(VLOOKUP(A317,'Master Modelo'!A:K,11,FALSE),0)</f>
        <v>0</v>
      </c>
      <c r="H317" s="114" t="e">
        <f t="shared" si="134"/>
        <v>#DIV/0!</v>
      </c>
      <c r="I317" s="150">
        <f>IFERROR(VLOOKUP(A317,'Master Modelo'!A:I,3,FALSE),0)</f>
        <v>0</v>
      </c>
      <c r="J317" s="151">
        <f>IFERROR(VLOOKUP(A317,'Master Modelo'!A:I,5,FALSE),0)</f>
        <v>0</v>
      </c>
      <c r="K317" s="151">
        <f>IFERROR(VLOOKUP(A317,'Master Modelo'!A:I,6,FALSE),0)</f>
        <v>0</v>
      </c>
      <c r="L317" s="152" t="e">
        <f>VLOOKUP(A317,'Master Modelo'!A:J,10,FALSE)</f>
        <v>#N/A</v>
      </c>
      <c r="M317" s="150">
        <f>IFERROR(VLOOKUP(A317,'Master Modelo'!A:I,4,FALSE),0)</f>
        <v>0</v>
      </c>
      <c r="N317" s="128"/>
      <c r="O317" s="129"/>
      <c r="P317" s="9">
        <f t="shared" si="135"/>
        <v>0</v>
      </c>
      <c r="Q317" s="177">
        <f t="shared" si="133"/>
        <v>0</v>
      </c>
      <c r="R317" s="3">
        <f>D317*E317*'Entrada e Saida'!$K$8</f>
        <v>0</v>
      </c>
      <c r="S317" s="179" t="e">
        <f>'Entrada e Saida'!$H$21*'Entrada e Saida'!$K$8*(P317/(SUM(P:P)))</f>
        <v>#DIV/0!</v>
      </c>
      <c r="T317" s="179" t="e">
        <f>'Entrada e Saida'!$H$21*'Entrada e Saida'!$K$8*(Q317/(SUM(Q:Q)))</f>
        <v>#DIV/0!</v>
      </c>
      <c r="U317" s="179" t="e">
        <f>'Entrada e Saida'!$H$22*(P317/(SUM(P:P)))</f>
        <v>#DIV/0!</v>
      </c>
      <c r="V317" s="179" t="e">
        <f>'Entrada e Saida'!$H$22*(Q317/(SUM(Q:Q)))</f>
        <v>#DIV/0!</v>
      </c>
      <c r="W317" s="8" t="e">
        <f t="shared" si="136"/>
        <v>#DIV/0!</v>
      </c>
      <c r="X317" s="179" t="e">
        <f>'Entrada e Saida'!$H$26*(IF('Entrada e Saida'!$H$15="PESO",(P317/(SUM(P:P))),(Q317/(SUM(Q:Q)))))</f>
        <v>#DIV/0!</v>
      </c>
      <c r="Y317" s="179" t="e">
        <f>'Entrada e Saida'!$H$27*(IF('Entrada e Saida'!$H$15="PESO",(P317/(SUM(P:P))),(Q317/(SUM(Q:Q)))))</f>
        <v>#DIV/0!</v>
      </c>
      <c r="Z317" s="179" t="e">
        <f>'Entrada e Saida'!$H$28*(IF('Entrada e Saida'!$H$15="PESO",(P317/(SUM(P:P))),(Q317/(SUM(Q:Q)))))</f>
        <v>#DIV/0!</v>
      </c>
      <c r="AA317" s="10" t="e">
        <f t="shared" si="137"/>
        <v>#DIV/0!</v>
      </c>
      <c r="AB317" s="3" t="e">
        <f t="shared" si="138"/>
        <v>#DIV/0!</v>
      </c>
      <c r="AC317" s="3" t="e">
        <f t="shared" si="139"/>
        <v>#DIV/0!</v>
      </c>
      <c r="AD317" s="3" t="e">
        <f t="shared" si="140"/>
        <v>#DIV/0!</v>
      </c>
      <c r="AE317" s="9" t="e">
        <f t="shared" si="141"/>
        <v>#DIV/0!</v>
      </c>
      <c r="AF317" s="126">
        <f>IFERROR(D317*F317*L317*'Entrada e Saida'!$K$8,0)</f>
        <v>0</v>
      </c>
      <c r="AG317" s="3" t="e">
        <f>((W317+AA317+AB317+AC317+AD317+AE317+AF317)/(1-'Entrada e Saida'!$G$65))*'Entrada e Saida'!$I$66</f>
        <v>#DIV/0!</v>
      </c>
      <c r="AH317" s="8" t="e">
        <f t="shared" si="142"/>
        <v>#DIV/0!</v>
      </c>
      <c r="AI317" s="183" t="e">
        <f>'Entrada e Saida'!$K$51*(IF('Entrada e Saida'!$H$15="PESO",(P317/(SUM(P:P))),(Q317/(SUM(Q:Q)))))</f>
        <v>#DIV/0!</v>
      </c>
      <c r="AJ317" s="7">
        <f>(('Entrada e Saida'!$K$10-'Entrada e Saida'!$K$8)*E317*D317)</f>
        <v>0</v>
      </c>
      <c r="AK317" s="184" t="e">
        <f>IF('Entrada e Saida'!$H$15="PESO",W317+AA317+AH317+AI317+AJ317,W317+AA317+AH317+AI317+AJ317-S317+T317-U317+V317)</f>
        <v>#DIV/0!</v>
      </c>
      <c r="AL317" s="6" t="e">
        <f>IF('Entrada e Saida'!$H$12="REAL",AC317,0)</f>
        <v>#DIV/0!</v>
      </c>
      <c r="AM317" s="6" t="e">
        <f>IF('Entrada e Saida'!$H$12="REAL",AD317,0)</f>
        <v>#DIV/0!</v>
      </c>
      <c r="AN317" s="5" t="e">
        <f>IF('Entrada e Saida'!$H$13= "NÃO",AE317,0)</f>
        <v>#DIV/0!</v>
      </c>
      <c r="AO317" s="5" t="e">
        <f t="shared" si="143"/>
        <v>#DIV/0!</v>
      </c>
      <c r="AP317" s="4" t="e">
        <f t="shared" si="144"/>
        <v>#DIV/0!</v>
      </c>
      <c r="AQ317" s="3" t="e">
        <f>IF('Entrada e Saida'!$H$11="TRADING",AU317*'Custo Resumido'!D317,0)</f>
        <v>#DIV/0!</v>
      </c>
      <c r="AR317" s="3" t="e">
        <f>IF('Entrada e Saida'!$H$11="TRADING",AU317*'Entrada e Saida'!$G$63,0)</f>
        <v>#DIV/0!</v>
      </c>
      <c r="AS317" s="3" t="e">
        <f>IF('Entrada e Saida'!$H$11="TRADING",AU317*'Entrada e Saida'!$G$64,0)</f>
        <v>#DIV/0!</v>
      </c>
      <c r="AT317" s="3" t="e">
        <f>IF('Entrada e Saida'!$H$11="TRADING",AU317*'Entrada e Saida'!$G$65,0)</f>
        <v>#DIV/0!</v>
      </c>
      <c r="AU317" s="4" t="e">
        <f>IF('Entrada e Saida'!$H$11="TRADING",AP317/(1-(SUM('Entrada e Saida'!$G$63:$G$65)+'Custo Resumido'!D317)),0)</f>
        <v>#DIV/0!</v>
      </c>
      <c r="AV317" s="3" t="e">
        <f>IF('Entrada e Saida'!$H$13="NÃO",AU317*M317,0)</f>
        <v>#DIV/0!</v>
      </c>
      <c r="AW317" s="4" t="e">
        <f t="shared" si="145"/>
        <v>#DIV/0!</v>
      </c>
      <c r="AX317" s="3" t="e">
        <f>'Entrada e Saida'!$G$74*AU317</f>
        <v>#DIV/0!</v>
      </c>
      <c r="AY317" s="4" t="e">
        <f t="shared" si="146"/>
        <v>#DIV/0!</v>
      </c>
      <c r="AZ317" s="4" t="e">
        <f>AQ317+('Entrada e Saida'!$G$65-'Entrada e Saida'!$I$65)*AU317-AX317</f>
        <v>#DIV/0!</v>
      </c>
      <c r="BA317" s="3" t="e">
        <f>IF('Entrada e Saida'!$H$12="REAL",AZ317*'Entrada e Saida'!$G$81,AU317*'Entrada e Saida'!$G$81)</f>
        <v>#DIV/0!</v>
      </c>
      <c r="BB317" s="3" t="e">
        <f>IF('Entrada e Saida'!$H$12="REAL",AZ317*'Entrada e Saida'!$G$82,AU317*'Entrada e Saida'!$G$82)</f>
        <v>#DIV/0!</v>
      </c>
      <c r="BC317" s="4" t="e">
        <f t="shared" si="147"/>
        <v>#DIV/0!</v>
      </c>
      <c r="BD317" s="3" t="e">
        <f>IF('Entrada e Saida'!$H$11="TRADING",AW317/D317,AK317/D317)</f>
        <v>#DIV/0!</v>
      </c>
      <c r="BE317" s="3" t="e">
        <f t="shared" si="148"/>
        <v>#DIV/0!</v>
      </c>
      <c r="BF317" s="2" t="e">
        <f t="shared" si="149"/>
        <v>#DIV/0!</v>
      </c>
      <c r="BG317" s="3" t="e">
        <f>IF('Entrada e Saida'!$H$11="TRADING",AV317/D317,AN317/D317)</f>
        <v>#DIV/0!</v>
      </c>
      <c r="BH317" s="3" t="e">
        <f>IF('Entrada e Saida'!$H$11="TRADING",IF('Entrada e Saida'!$H$12="REAL",AR317/D317,0),AL317/D317)</f>
        <v>#DIV/0!</v>
      </c>
      <c r="BI317" s="3" t="e">
        <f>IF('Entrada e Saida'!$H$11="TRADING",IF('Entrada e Saida'!$H$12="REAL",AS317/D317,0),AM317/D317)</f>
        <v>#DIV/0!</v>
      </c>
      <c r="BJ317" s="3" t="e">
        <f>IF('Entrada e Saida'!$H$11="TRADING",AT317/D317,AO317/D317)</f>
        <v>#DIV/0!</v>
      </c>
      <c r="BK317" s="2" t="e">
        <f t="shared" si="150"/>
        <v>#DIV/0!</v>
      </c>
      <c r="BL317" s="2">
        <f>IF(O317&gt;0,IFERROR(IF('Entrada e Saida'!$H$11="DIRETA",0,(IF('Entrada e Saida'!$H$14="P.JURIDICA",(BD317*(1+O317)*N317)-((BD317/(1+M317))*'Entrada e Saida'!$G$65),((Produtos!N317-'Entrada e Saida'!$G$65)*Produtos!BD317)))),0),0)</f>
        <v>0</v>
      </c>
      <c r="BM317" s="2" t="e">
        <f t="shared" si="151"/>
        <v>#DIV/0!</v>
      </c>
    </row>
    <row r="318" spans="1:65" s="1" customFormat="1">
      <c r="A318" s="127"/>
      <c r="B318" s="114"/>
      <c r="C318" s="116"/>
      <c r="D318" s="146"/>
      <c r="E318" s="115">
        <f>IFERROR(VLOOKUP(A318,'Master Modelo'!A:I,9,FALSE),0)</f>
        <v>0</v>
      </c>
      <c r="F318" s="189">
        <f>IFERROR(VLOOKUP(A318,'Master Modelo'!A:I,8,FALSE),0)</f>
        <v>0</v>
      </c>
      <c r="G318" s="189">
        <f>IFERROR(VLOOKUP(A318,'Master Modelo'!A:K,11,FALSE),0)</f>
        <v>0</v>
      </c>
      <c r="H318" s="114" t="e">
        <f t="shared" si="134"/>
        <v>#DIV/0!</v>
      </c>
      <c r="I318" s="150">
        <f>IFERROR(VLOOKUP(A318,'Master Modelo'!A:I,3,FALSE),0)</f>
        <v>0</v>
      </c>
      <c r="J318" s="151">
        <f>IFERROR(VLOOKUP(A318,'Master Modelo'!A:I,5,FALSE),0)</f>
        <v>0</v>
      </c>
      <c r="K318" s="151">
        <f>IFERROR(VLOOKUP(A318,'Master Modelo'!A:I,6,FALSE),0)</f>
        <v>0</v>
      </c>
      <c r="L318" s="152" t="e">
        <f>VLOOKUP(A318,'Master Modelo'!A:J,10,FALSE)</f>
        <v>#N/A</v>
      </c>
      <c r="M318" s="150">
        <f>IFERROR(VLOOKUP(A318,'Master Modelo'!A:I,4,FALSE),0)</f>
        <v>0</v>
      </c>
      <c r="N318" s="128"/>
      <c r="O318" s="129"/>
      <c r="P318" s="9">
        <f t="shared" si="135"/>
        <v>0</v>
      </c>
      <c r="Q318" s="177">
        <f t="shared" si="133"/>
        <v>0</v>
      </c>
      <c r="R318" s="3">
        <f>D318*E318*'Entrada e Saida'!$K$8</f>
        <v>0</v>
      </c>
      <c r="S318" s="179" t="e">
        <f>'Entrada e Saida'!$H$21*'Entrada e Saida'!$K$8*(P318/(SUM(P:P)))</f>
        <v>#DIV/0!</v>
      </c>
      <c r="T318" s="179" t="e">
        <f>'Entrada e Saida'!$H$21*'Entrada e Saida'!$K$8*(Q318/(SUM(Q:Q)))</f>
        <v>#DIV/0!</v>
      </c>
      <c r="U318" s="179" t="e">
        <f>'Entrada e Saida'!$H$22*(P318/(SUM(P:P)))</f>
        <v>#DIV/0!</v>
      </c>
      <c r="V318" s="179" t="e">
        <f>'Entrada e Saida'!$H$22*(Q318/(SUM(Q:Q)))</f>
        <v>#DIV/0!</v>
      </c>
      <c r="W318" s="8" t="e">
        <f t="shared" si="136"/>
        <v>#DIV/0!</v>
      </c>
      <c r="X318" s="179" t="e">
        <f>'Entrada e Saida'!$H$26*(IF('Entrada e Saida'!$H$15="PESO",(P318/(SUM(P:P))),(Q318/(SUM(Q:Q)))))</f>
        <v>#DIV/0!</v>
      </c>
      <c r="Y318" s="179" t="e">
        <f>'Entrada e Saida'!$H$27*(IF('Entrada e Saida'!$H$15="PESO",(P318/(SUM(P:P))),(Q318/(SUM(Q:Q)))))</f>
        <v>#DIV/0!</v>
      </c>
      <c r="Z318" s="179" t="e">
        <f>'Entrada e Saida'!$H$28*(IF('Entrada e Saida'!$H$15="PESO",(P318/(SUM(P:P))),(Q318/(SUM(Q:Q)))))</f>
        <v>#DIV/0!</v>
      </c>
      <c r="AA318" s="10" t="e">
        <f t="shared" si="137"/>
        <v>#DIV/0!</v>
      </c>
      <c r="AB318" s="3" t="e">
        <f t="shared" si="138"/>
        <v>#DIV/0!</v>
      </c>
      <c r="AC318" s="3" t="e">
        <f t="shared" si="139"/>
        <v>#DIV/0!</v>
      </c>
      <c r="AD318" s="3" t="e">
        <f t="shared" si="140"/>
        <v>#DIV/0!</v>
      </c>
      <c r="AE318" s="9" t="e">
        <f t="shared" si="141"/>
        <v>#DIV/0!</v>
      </c>
      <c r="AF318" s="126">
        <f>IFERROR(D318*F318*L318*'Entrada e Saida'!$K$8,0)</f>
        <v>0</v>
      </c>
      <c r="AG318" s="3" t="e">
        <f>((W318+AA318+AB318+AC318+AD318+AE318+AF318)/(1-'Entrada e Saida'!$G$65))*'Entrada e Saida'!$I$66</f>
        <v>#DIV/0!</v>
      </c>
      <c r="AH318" s="8" t="e">
        <f t="shared" si="142"/>
        <v>#DIV/0!</v>
      </c>
      <c r="AI318" s="183" t="e">
        <f>'Entrada e Saida'!$K$51*(IF('Entrada e Saida'!$H$15="PESO",(P318/(SUM(P:P))),(Q318/(SUM(Q:Q)))))</f>
        <v>#DIV/0!</v>
      </c>
      <c r="AJ318" s="7">
        <f>(('Entrada e Saida'!$K$10-'Entrada e Saida'!$K$8)*E318*D318)</f>
        <v>0</v>
      </c>
      <c r="AK318" s="184" t="e">
        <f>IF('Entrada e Saida'!$H$15="PESO",W318+AA318+AH318+AI318+AJ318,W318+AA318+AH318+AI318+AJ318-S318+T318-U318+V318)</f>
        <v>#DIV/0!</v>
      </c>
      <c r="AL318" s="6" t="e">
        <f>IF('Entrada e Saida'!$H$12="REAL",AC318,0)</f>
        <v>#DIV/0!</v>
      </c>
      <c r="AM318" s="6" t="e">
        <f>IF('Entrada e Saida'!$H$12="REAL",AD318,0)</f>
        <v>#DIV/0!</v>
      </c>
      <c r="AN318" s="5" t="e">
        <f>IF('Entrada e Saida'!$H$13= "NÃO",AE318,0)</f>
        <v>#DIV/0!</v>
      </c>
      <c r="AO318" s="5" t="e">
        <f t="shared" si="143"/>
        <v>#DIV/0!</v>
      </c>
      <c r="AP318" s="4" t="e">
        <f t="shared" si="144"/>
        <v>#DIV/0!</v>
      </c>
      <c r="AQ318" s="3" t="e">
        <f>IF('Entrada e Saida'!$H$11="TRADING",AU318*'Custo Resumido'!D318,0)</f>
        <v>#DIV/0!</v>
      </c>
      <c r="AR318" s="3" t="e">
        <f>IF('Entrada e Saida'!$H$11="TRADING",AU318*'Entrada e Saida'!$G$63,0)</f>
        <v>#DIV/0!</v>
      </c>
      <c r="AS318" s="3" t="e">
        <f>IF('Entrada e Saida'!$H$11="TRADING",AU318*'Entrada e Saida'!$G$64,0)</f>
        <v>#DIV/0!</v>
      </c>
      <c r="AT318" s="3" t="e">
        <f>IF('Entrada e Saida'!$H$11="TRADING",AU318*'Entrada e Saida'!$G$65,0)</f>
        <v>#DIV/0!</v>
      </c>
      <c r="AU318" s="4" t="e">
        <f>IF('Entrada e Saida'!$H$11="TRADING",AP318/(1-(SUM('Entrada e Saida'!$G$63:$G$65)+'Custo Resumido'!D318)),0)</f>
        <v>#DIV/0!</v>
      </c>
      <c r="AV318" s="3" t="e">
        <f>IF('Entrada e Saida'!$H$13="NÃO",AU318*M318,0)</f>
        <v>#DIV/0!</v>
      </c>
      <c r="AW318" s="4" t="e">
        <f t="shared" si="145"/>
        <v>#DIV/0!</v>
      </c>
      <c r="AX318" s="3" t="e">
        <f>'Entrada e Saida'!$G$74*AU318</f>
        <v>#DIV/0!</v>
      </c>
      <c r="AY318" s="4" t="e">
        <f t="shared" si="146"/>
        <v>#DIV/0!</v>
      </c>
      <c r="AZ318" s="4" t="e">
        <f>AQ318+('Entrada e Saida'!$G$65-'Entrada e Saida'!$I$65)*AU318-AX318</f>
        <v>#DIV/0!</v>
      </c>
      <c r="BA318" s="3" t="e">
        <f>IF('Entrada e Saida'!$H$12="REAL",AZ318*'Entrada e Saida'!$G$81,AU318*'Entrada e Saida'!$G$81)</f>
        <v>#DIV/0!</v>
      </c>
      <c r="BB318" s="3" t="e">
        <f>IF('Entrada e Saida'!$H$12="REAL",AZ318*'Entrada e Saida'!$G$82,AU318*'Entrada e Saida'!$G$82)</f>
        <v>#DIV/0!</v>
      </c>
      <c r="BC318" s="4" t="e">
        <f t="shared" si="147"/>
        <v>#DIV/0!</v>
      </c>
      <c r="BD318" s="3" t="e">
        <f>IF('Entrada e Saida'!$H$11="TRADING",AW318/D318,AK318/D318)</f>
        <v>#DIV/0!</v>
      </c>
      <c r="BE318" s="3" t="e">
        <f t="shared" si="148"/>
        <v>#DIV/0!</v>
      </c>
      <c r="BF318" s="2" t="e">
        <f t="shared" si="149"/>
        <v>#DIV/0!</v>
      </c>
      <c r="BG318" s="3" t="e">
        <f>IF('Entrada e Saida'!$H$11="TRADING",AV318/D318,AN318/D318)</f>
        <v>#DIV/0!</v>
      </c>
      <c r="BH318" s="3" t="e">
        <f>IF('Entrada e Saida'!$H$11="TRADING",IF('Entrada e Saida'!$H$12="REAL",AR318/D318,0),AL318/D318)</f>
        <v>#DIV/0!</v>
      </c>
      <c r="BI318" s="3" t="e">
        <f>IF('Entrada e Saida'!$H$11="TRADING",IF('Entrada e Saida'!$H$12="REAL",AS318/D318,0),AM318/D318)</f>
        <v>#DIV/0!</v>
      </c>
      <c r="BJ318" s="3" t="e">
        <f>IF('Entrada e Saida'!$H$11="TRADING",AT318/D318,AO318/D318)</f>
        <v>#DIV/0!</v>
      </c>
      <c r="BK318" s="2" t="e">
        <f t="shared" si="150"/>
        <v>#DIV/0!</v>
      </c>
      <c r="BL318" s="2">
        <f>IF(O318&gt;0,IFERROR(IF('Entrada e Saida'!$H$11="DIRETA",0,(IF('Entrada e Saida'!$H$14="P.JURIDICA",(BD318*(1+O318)*N318)-((BD318/(1+M318))*'Entrada e Saida'!$G$65),((Produtos!N318-'Entrada e Saida'!$G$65)*Produtos!BD318)))),0),0)</f>
        <v>0</v>
      </c>
      <c r="BM318" s="2" t="e">
        <f t="shared" si="151"/>
        <v>#DIV/0!</v>
      </c>
    </row>
    <row r="319" spans="1:65" s="1" customFormat="1">
      <c r="A319" s="127"/>
      <c r="B319" s="114"/>
      <c r="C319" s="116"/>
      <c r="D319" s="146"/>
      <c r="E319" s="115">
        <f>IFERROR(VLOOKUP(A319,'Master Modelo'!A:I,9,FALSE),0)</f>
        <v>0</v>
      </c>
      <c r="F319" s="189">
        <f>IFERROR(VLOOKUP(A319,'Master Modelo'!A:I,8,FALSE),0)</f>
        <v>0</v>
      </c>
      <c r="G319" s="189">
        <f>IFERROR(VLOOKUP(A319,'Master Modelo'!A:K,11,FALSE),0)</f>
        <v>0</v>
      </c>
      <c r="H319" s="114" t="e">
        <f t="shared" si="134"/>
        <v>#DIV/0!</v>
      </c>
      <c r="I319" s="150">
        <f>IFERROR(VLOOKUP(A319,'Master Modelo'!A:I,3,FALSE),0)</f>
        <v>0</v>
      </c>
      <c r="J319" s="151">
        <f>IFERROR(VLOOKUP(A319,'Master Modelo'!A:I,5,FALSE),0)</f>
        <v>0</v>
      </c>
      <c r="K319" s="151">
        <f>IFERROR(VLOOKUP(A319,'Master Modelo'!A:I,6,FALSE),0)</f>
        <v>0</v>
      </c>
      <c r="L319" s="152" t="e">
        <f>VLOOKUP(A319,'Master Modelo'!A:J,10,FALSE)</f>
        <v>#N/A</v>
      </c>
      <c r="M319" s="150">
        <f>IFERROR(VLOOKUP(A319,'Master Modelo'!A:I,4,FALSE),0)</f>
        <v>0</v>
      </c>
      <c r="N319" s="128"/>
      <c r="O319" s="129"/>
      <c r="P319" s="9">
        <f t="shared" si="135"/>
        <v>0</v>
      </c>
      <c r="Q319" s="177">
        <f t="shared" si="133"/>
        <v>0</v>
      </c>
      <c r="R319" s="3">
        <f>D319*E319*'Entrada e Saida'!$K$8</f>
        <v>0</v>
      </c>
      <c r="S319" s="179" t="e">
        <f>'Entrada e Saida'!$H$21*'Entrada e Saida'!$K$8*(P319/(SUM(P:P)))</f>
        <v>#DIV/0!</v>
      </c>
      <c r="T319" s="179" t="e">
        <f>'Entrada e Saida'!$H$21*'Entrada e Saida'!$K$8*(Q319/(SUM(Q:Q)))</f>
        <v>#DIV/0!</v>
      </c>
      <c r="U319" s="179" t="e">
        <f>'Entrada e Saida'!$H$22*(P319/(SUM(P:P)))</f>
        <v>#DIV/0!</v>
      </c>
      <c r="V319" s="179" t="e">
        <f>'Entrada e Saida'!$H$22*(Q319/(SUM(Q:Q)))</f>
        <v>#DIV/0!</v>
      </c>
      <c r="W319" s="8" t="e">
        <f t="shared" si="136"/>
        <v>#DIV/0!</v>
      </c>
      <c r="X319" s="179" t="e">
        <f>'Entrada e Saida'!$H$26*(IF('Entrada e Saida'!$H$15="PESO",(P319/(SUM(P:P))),(Q319/(SUM(Q:Q)))))</f>
        <v>#DIV/0!</v>
      </c>
      <c r="Y319" s="179" t="e">
        <f>'Entrada e Saida'!$H$27*(IF('Entrada e Saida'!$H$15="PESO",(P319/(SUM(P:P))),(Q319/(SUM(Q:Q)))))</f>
        <v>#DIV/0!</v>
      </c>
      <c r="Z319" s="179" t="e">
        <f>'Entrada e Saida'!$H$28*(IF('Entrada e Saida'!$H$15="PESO",(P319/(SUM(P:P))),(Q319/(SUM(Q:Q)))))</f>
        <v>#DIV/0!</v>
      </c>
      <c r="AA319" s="10" t="e">
        <f t="shared" si="137"/>
        <v>#DIV/0!</v>
      </c>
      <c r="AB319" s="3" t="e">
        <f t="shared" si="138"/>
        <v>#DIV/0!</v>
      </c>
      <c r="AC319" s="3" t="e">
        <f t="shared" si="139"/>
        <v>#DIV/0!</v>
      </c>
      <c r="AD319" s="3" t="e">
        <f t="shared" si="140"/>
        <v>#DIV/0!</v>
      </c>
      <c r="AE319" s="9" t="e">
        <f t="shared" si="141"/>
        <v>#DIV/0!</v>
      </c>
      <c r="AF319" s="126">
        <f>IFERROR(D319*F319*L319*'Entrada e Saida'!$K$8,0)</f>
        <v>0</v>
      </c>
      <c r="AG319" s="3" t="e">
        <f>((W319+AA319+AB319+AC319+AD319+AE319+AF319)/(1-'Entrada e Saida'!$G$65))*'Entrada e Saida'!$I$66</f>
        <v>#DIV/0!</v>
      </c>
      <c r="AH319" s="8" t="e">
        <f t="shared" si="142"/>
        <v>#DIV/0!</v>
      </c>
      <c r="AI319" s="183" t="e">
        <f>'Entrada e Saida'!$K$51*(IF('Entrada e Saida'!$H$15="PESO",(P319/(SUM(P:P))),(Q319/(SUM(Q:Q)))))</f>
        <v>#DIV/0!</v>
      </c>
      <c r="AJ319" s="7">
        <f>(('Entrada e Saida'!$K$10-'Entrada e Saida'!$K$8)*E319*D319)</f>
        <v>0</v>
      </c>
      <c r="AK319" s="184" t="e">
        <f>IF('Entrada e Saida'!$H$15="PESO",W319+AA319+AH319+AI319+AJ319,W319+AA319+AH319+AI319+AJ319-S319+T319-U319+V319)</f>
        <v>#DIV/0!</v>
      </c>
      <c r="AL319" s="6" t="e">
        <f>IF('Entrada e Saida'!$H$12="REAL",AC319,0)</f>
        <v>#DIV/0!</v>
      </c>
      <c r="AM319" s="6" t="e">
        <f>IF('Entrada e Saida'!$H$12="REAL",AD319,0)</f>
        <v>#DIV/0!</v>
      </c>
      <c r="AN319" s="5" t="e">
        <f>IF('Entrada e Saida'!$H$13= "NÃO",AE319,0)</f>
        <v>#DIV/0!</v>
      </c>
      <c r="AO319" s="5" t="e">
        <f t="shared" si="143"/>
        <v>#DIV/0!</v>
      </c>
      <c r="AP319" s="4" t="e">
        <f t="shared" si="144"/>
        <v>#DIV/0!</v>
      </c>
      <c r="AQ319" s="3" t="e">
        <f>IF('Entrada e Saida'!$H$11="TRADING",AU319*'Custo Resumido'!D319,0)</f>
        <v>#DIV/0!</v>
      </c>
      <c r="AR319" s="3" t="e">
        <f>IF('Entrada e Saida'!$H$11="TRADING",AU319*'Entrada e Saida'!$G$63,0)</f>
        <v>#DIV/0!</v>
      </c>
      <c r="AS319" s="3" t="e">
        <f>IF('Entrada e Saida'!$H$11="TRADING",AU319*'Entrada e Saida'!$G$64,0)</f>
        <v>#DIV/0!</v>
      </c>
      <c r="AT319" s="3" t="e">
        <f>IF('Entrada e Saida'!$H$11="TRADING",AU319*'Entrada e Saida'!$G$65,0)</f>
        <v>#DIV/0!</v>
      </c>
      <c r="AU319" s="4" t="e">
        <f>IF('Entrada e Saida'!$H$11="TRADING",AP319/(1-(SUM('Entrada e Saida'!$G$63:$G$65)+'Custo Resumido'!D319)),0)</f>
        <v>#DIV/0!</v>
      </c>
      <c r="AV319" s="3" t="e">
        <f>IF('Entrada e Saida'!$H$13="NÃO",AU319*M319,0)</f>
        <v>#DIV/0!</v>
      </c>
      <c r="AW319" s="4" t="e">
        <f t="shared" si="145"/>
        <v>#DIV/0!</v>
      </c>
      <c r="AX319" s="3" t="e">
        <f>'Entrada e Saida'!$G$74*AU319</f>
        <v>#DIV/0!</v>
      </c>
      <c r="AY319" s="4" t="e">
        <f t="shared" si="146"/>
        <v>#DIV/0!</v>
      </c>
      <c r="AZ319" s="4" t="e">
        <f>AQ319+('Entrada e Saida'!$G$65-'Entrada e Saida'!$I$65)*AU319-AX319</f>
        <v>#DIV/0!</v>
      </c>
      <c r="BA319" s="3" t="e">
        <f>IF('Entrada e Saida'!$H$12="REAL",AZ319*'Entrada e Saida'!$G$81,AU319*'Entrada e Saida'!$G$81)</f>
        <v>#DIV/0!</v>
      </c>
      <c r="BB319" s="3" t="e">
        <f>IF('Entrada e Saida'!$H$12="REAL",AZ319*'Entrada e Saida'!$G$82,AU319*'Entrada e Saida'!$G$82)</f>
        <v>#DIV/0!</v>
      </c>
      <c r="BC319" s="4" t="e">
        <f t="shared" si="147"/>
        <v>#DIV/0!</v>
      </c>
      <c r="BD319" s="3" t="e">
        <f>IF('Entrada e Saida'!$H$11="TRADING",AW319/D319,AK319/D319)</f>
        <v>#DIV/0!</v>
      </c>
      <c r="BE319" s="3" t="e">
        <f t="shared" si="148"/>
        <v>#DIV/0!</v>
      </c>
      <c r="BF319" s="2" t="e">
        <f t="shared" si="149"/>
        <v>#DIV/0!</v>
      </c>
      <c r="BG319" s="3" t="e">
        <f>IF('Entrada e Saida'!$H$11="TRADING",AV319/D319,AN319/D319)</f>
        <v>#DIV/0!</v>
      </c>
      <c r="BH319" s="3" t="e">
        <f>IF('Entrada e Saida'!$H$11="TRADING",IF('Entrada e Saida'!$H$12="REAL",AR319/D319,0),AL319/D319)</f>
        <v>#DIV/0!</v>
      </c>
      <c r="BI319" s="3" t="e">
        <f>IF('Entrada e Saida'!$H$11="TRADING",IF('Entrada e Saida'!$H$12="REAL",AS319/D319,0),AM319/D319)</f>
        <v>#DIV/0!</v>
      </c>
      <c r="BJ319" s="3" t="e">
        <f>IF('Entrada e Saida'!$H$11="TRADING",AT319/D319,AO319/D319)</f>
        <v>#DIV/0!</v>
      </c>
      <c r="BK319" s="2" t="e">
        <f t="shared" si="150"/>
        <v>#DIV/0!</v>
      </c>
      <c r="BL319" s="2">
        <f>IF(O319&gt;0,IFERROR(IF('Entrada e Saida'!$H$11="DIRETA",0,(IF('Entrada e Saida'!$H$14="P.JURIDICA",(BD319*(1+O319)*N319)-((BD319/(1+M319))*'Entrada e Saida'!$G$65),((Produtos!N319-'Entrada e Saida'!$G$65)*Produtos!BD319)))),0),0)</f>
        <v>0</v>
      </c>
      <c r="BM319" s="2" t="e">
        <f t="shared" si="151"/>
        <v>#DIV/0!</v>
      </c>
    </row>
    <row r="320" spans="1:65" s="1" customFormat="1">
      <c r="A320" s="127"/>
      <c r="B320" s="114"/>
      <c r="C320" s="116"/>
      <c r="D320" s="146"/>
      <c r="E320" s="115">
        <f>IFERROR(VLOOKUP(A320,'Master Modelo'!A:I,9,FALSE),0)</f>
        <v>0</v>
      </c>
      <c r="F320" s="189">
        <f>IFERROR(VLOOKUP(A320,'Master Modelo'!A:I,8,FALSE),0)</f>
        <v>0</v>
      </c>
      <c r="G320" s="189">
        <f>IFERROR(VLOOKUP(A320,'Master Modelo'!A:K,11,FALSE),0)</f>
        <v>0</v>
      </c>
      <c r="H320" s="114" t="e">
        <f t="shared" si="134"/>
        <v>#DIV/0!</v>
      </c>
      <c r="I320" s="150">
        <f>IFERROR(VLOOKUP(A320,'Master Modelo'!A:I,3,FALSE),0)</f>
        <v>0</v>
      </c>
      <c r="J320" s="151">
        <f>IFERROR(VLOOKUP(A320,'Master Modelo'!A:I,5,FALSE),0)</f>
        <v>0</v>
      </c>
      <c r="K320" s="151">
        <f>IFERROR(VLOOKUP(A320,'Master Modelo'!A:I,6,FALSE),0)</f>
        <v>0</v>
      </c>
      <c r="L320" s="152" t="e">
        <f>VLOOKUP(A320,'Master Modelo'!A:J,10,FALSE)</f>
        <v>#N/A</v>
      </c>
      <c r="M320" s="150">
        <f>IFERROR(VLOOKUP(A320,'Master Modelo'!A:I,4,FALSE),0)</f>
        <v>0</v>
      </c>
      <c r="N320" s="128"/>
      <c r="O320" s="129"/>
      <c r="P320" s="9">
        <f t="shared" si="135"/>
        <v>0</v>
      </c>
      <c r="Q320" s="177">
        <f t="shared" si="133"/>
        <v>0</v>
      </c>
      <c r="R320" s="3">
        <f>D320*E320*'Entrada e Saida'!$K$8</f>
        <v>0</v>
      </c>
      <c r="S320" s="179" t="e">
        <f>'Entrada e Saida'!$H$21*'Entrada e Saida'!$K$8*(P320/(SUM(P:P)))</f>
        <v>#DIV/0!</v>
      </c>
      <c r="T320" s="179" t="e">
        <f>'Entrada e Saida'!$H$21*'Entrada e Saida'!$K$8*(Q320/(SUM(Q:Q)))</f>
        <v>#DIV/0!</v>
      </c>
      <c r="U320" s="179" t="e">
        <f>'Entrada e Saida'!$H$22*(P320/(SUM(P:P)))</f>
        <v>#DIV/0!</v>
      </c>
      <c r="V320" s="179" t="e">
        <f>'Entrada e Saida'!$H$22*(Q320/(SUM(Q:Q)))</f>
        <v>#DIV/0!</v>
      </c>
      <c r="W320" s="8" t="e">
        <f t="shared" si="136"/>
        <v>#DIV/0!</v>
      </c>
      <c r="X320" s="179" t="e">
        <f>'Entrada e Saida'!$H$26*(IF('Entrada e Saida'!$H$15="PESO",(P320/(SUM(P:P))),(Q320/(SUM(Q:Q)))))</f>
        <v>#DIV/0!</v>
      </c>
      <c r="Y320" s="179" t="e">
        <f>'Entrada e Saida'!$H$27*(IF('Entrada e Saida'!$H$15="PESO",(P320/(SUM(P:P))),(Q320/(SUM(Q:Q)))))</f>
        <v>#DIV/0!</v>
      </c>
      <c r="Z320" s="179" t="e">
        <f>'Entrada e Saida'!$H$28*(IF('Entrada e Saida'!$H$15="PESO",(P320/(SUM(P:P))),(Q320/(SUM(Q:Q)))))</f>
        <v>#DIV/0!</v>
      </c>
      <c r="AA320" s="10" t="e">
        <f t="shared" si="137"/>
        <v>#DIV/0!</v>
      </c>
      <c r="AB320" s="3" t="e">
        <f t="shared" si="138"/>
        <v>#DIV/0!</v>
      </c>
      <c r="AC320" s="3" t="e">
        <f t="shared" si="139"/>
        <v>#DIV/0!</v>
      </c>
      <c r="AD320" s="3" t="e">
        <f t="shared" si="140"/>
        <v>#DIV/0!</v>
      </c>
      <c r="AE320" s="9" t="e">
        <f t="shared" si="141"/>
        <v>#DIV/0!</v>
      </c>
      <c r="AF320" s="126">
        <f>IFERROR(D320*F320*L320*'Entrada e Saida'!$K$8,0)</f>
        <v>0</v>
      </c>
      <c r="AG320" s="3" t="e">
        <f>((W320+AA320+AB320+AC320+AD320+AE320+AF320)/(1-'Entrada e Saida'!$G$65))*'Entrada e Saida'!$I$66</f>
        <v>#DIV/0!</v>
      </c>
      <c r="AH320" s="8" t="e">
        <f t="shared" si="142"/>
        <v>#DIV/0!</v>
      </c>
      <c r="AI320" s="183" t="e">
        <f>'Entrada e Saida'!$K$51*(IF('Entrada e Saida'!$H$15="PESO",(P320/(SUM(P:P))),(Q320/(SUM(Q:Q)))))</f>
        <v>#DIV/0!</v>
      </c>
      <c r="AJ320" s="7">
        <f>(('Entrada e Saida'!$K$10-'Entrada e Saida'!$K$8)*E320*D320)</f>
        <v>0</v>
      </c>
      <c r="AK320" s="184" t="e">
        <f>IF('Entrada e Saida'!$H$15="PESO",W320+AA320+AH320+AI320+AJ320,W320+AA320+AH320+AI320+AJ320-S320+T320-U320+V320)</f>
        <v>#DIV/0!</v>
      </c>
      <c r="AL320" s="6" t="e">
        <f>IF('Entrada e Saida'!$H$12="REAL",AC320,0)</f>
        <v>#DIV/0!</v>
      </c>
      <c r="AM320" s="6" t="e">
        <f>IF('Entrada e Saida'!$H$12="REAL",AD320,0)</f>
        <v>#DIV/0!</v>
      </c>
      <c r="AN320" s="5" t="e">
        <f>IF('Entrada e Saida'!$H$13= "NÃO",AE320,0)</f>
        <v>#DIV/0!</v>
      </c>
      <c r="AO320" s="5" t="e">
        <f t="shared" si="143"/>
        <v>#DIV/0!</v>
      </c>
      <c r="AP320" s="4" t="e">
        <f t="shared" si="144"/>
        <v>#DIV/0!</v>
      </c>
      <c r="AQ320" s="3" t="e">
        <f>IF('Entrada e Saida'!$H$11="TRADING",AU320*'Custo Resumido'!D320,0)</f>
        <v>#DIV/0!</v>
      </c>
      <c r="AR320" s="3" t="e">
        <f>IF('Entrada e Saida'!$H$11="TRADING",AU320*'Entrada e Saida'!$G$63,0)</f>
        <v>#DIV/0!</v>
      </c>
      <c r="AS320" s="3" t="e">
        <f>IF('Entrada e Saida'!$H$11="TRADING",AU320*'Entrada e Saida'!$G$64,0)</f>
        <v>#DIV/0!</v>
      </c>
      <c r="AT320" s="3" t="e">
        <f>IF('Entrada e Saida'!$H$11="TRADING",AU320*'Entrada e Saida'!$G$65,0)</f>
        <v>#DIV/0!</v>
      </c>
      <c r="AU320" s="4" t="e">
        <f>IF('Entrada e Saida'!$H$11="TRADING",AP320/(1-(SUM('Entrada e Saida'!$G$63:$G$65)+'Custo Resumido'!D320)),0)</f>
        <v>#DIV/0!</v>
      </c>
      <c r="AV320" s="3" t="e">
        <f>IF('Entrada e Saida'!$H$13="NÃO",AU320*M320,0)</f>
        <v>#DIV/0!</v>
      </c>
      <c r="AW320" s="4" t="e">
        <f t="shared" si="145"/>
        <v>#DIV/0!</v>
      </c>
      <c r="AX320" s="3" t="e">
        <f>'Entrada e Saida'!$G$74*AU320</f>
        <v>#DIV/0!</v>
      </c>
      <c r="AY320" s="4" t="e">
        <f t="shared" si="146"/>
        <v>#DIV/0!</v>
      </c>
      <c r="AZ320" s="4" t="e">
        <f>AQ320+('Entrada e Saida'!$G$65-'Entrada e Saida'!$I$65)*AU320-AX320</f>
        <v>#DIV/0!</v>
      </c>
      <c r="BA320" s="3" t="e">
        <f>IF('Entrada e Saida'!$H$12="REAL",AZ320*'Entrada e Saida'!$G$81,AU320*'Entrada e Saida'!$G$81)</f>
        <v>#DIV/0!</v>
      </c>
      <c r="BB320" s="3" t="e">
        <f>IF('Entrada e Saida'!$H$12="REAL",AZ320*'Entrada e Saida'!$G$82,AU320*'Entrada e Saida'!$G$82)</f>
        <v>#DIV/0!</v>
      </c>
      <c r="BC320" s="4" t="e">
        <f t="shared" si="147"/>
        <v>#DIV/0!</v>
      </c>
      <c r="BD320" s="3" t="e">
        <f>IF('Entrada e Saida'!$H$11="TRADING",AW320/D320,AK320/D320)</f>
        <v>#DIV/0!</v>
      </c>
      <c r="BE320" s="3" t="e">
        <f t="shared" si="148"/>
        <v>#DIV/0!</v>
      </c>
      <c r="BF320" s="2" t="e">
        <f t="shared" si="149"/>
        <v>#DIV/0!</v>
      </c>
      <c r="BG320" s="3" t="e">
        <f>IF('Entrada e Saida'!$H$11="TRADING",AV320/D320,AN320/D320)</f>
        <v>#DIV/0!</v>
      </c>
      <c r="BH320" s="3" t="e">
        <f>IF('Entrada e Saida'!$H$11="TRADING",IF('Entrada e Saida'!$H$12="REAL",AR320/D320,0),AL320/D320)</f>
        <v>#DIV/0!</v>
      </c>
      <c r="BI320" s="3" t="e">
        <f>IF('Entrada e Saida'!$H$11="TRADING",IF('Entrada e Saida'!$H$12="REAL",AS320/D320,0),AM320/D320)</f>
        <v>#DIV/0!</v>
      </c>
      <c r="BJ320" s="3" t="e">
        <f>IF('Entrada e Saida'!$H$11="TRADING",AT320/D320,AO320/D320)</f>
        <v>#DIV/0!</v>
      </c>
      <c r="BK320" s="2" t="e">
        <f t="shared" si="150"/>
        <v>#DIV/0!</v>
      </c>
      <c r="BL320" s="2">
        <f>IF(O320&gt;0,IFERROR(IF('Entrada e Saida'!$H$11="DIRETA",0,(IF('Entrada e Saida'!$H$14="P.JURIDICA",(BD320*(1+O320)*N320)-((BD320/(1+M320))*'Entrada e Saida'!$G$65),((Produtos!N320-'Entrada e Saida'!$G$65)*Produtos!BD320)))),0),0)</f>
        <v>0</v>
      </c>
      <c r="BM320" s="2" t="e">
        <f t="shared" si="151"/>
        <v>#DIV/0!</v>
      </c>
    </row>
    <row r="321" spans="1:65" s="1" customFormat="1">
      <c r="A321" s="127"/>
      <c r="B321" s="114"/>
      <c r="C321" s="116"/>
      <c r="D321" s="146"/>
      <c r="E321" s="115">
        <f>IFERROR(VLOOKUP(A321,'Master Modelo'!A:I,9,FALSE),0)</f>
        <v>0</v>
      </c>
      <c r="F321" s="189">
        <f>IFERROR(VLOOKUP(A321,'Master Modelo'!A:I,8,FALSE),0)</f>
        <v>0</v>
      </c>
      <c r="G321" s="189">
        <f>IFERROR(VLOOKUP(A321,'Master Modelo'!A:K,11,FALSE),0)</f>
        <v>0</v>
      </c>
      <c r="H321" s="114" t="e">
        <f t="shared" si="134"/>
        <v>#DIV/0!</v>
      </c>
      <c r="I321" s="150">
        <f>IFERROR(VLOOKUP(A321,'Master Modelo'!A:I,3,FALSE),0)</f>
        <v>0</v>
      </c>
      <c r="J321" s="151">
        <f>IFERROR(VLOOKUP(A321,'Master Modelo'!A:I,5,FALSE),0)</f>
        <v>0</v>
      </c>
      <c r="K321" s="151">
        <f>IFERROR(VLOOKUP(A321,'Master Modelo'!A:I,6,FALSE),0)</f>
        <v>0</v>
      </c>
      <c r="L321" s="152" t="e">
        <f>VLOOKUP(A321,'Master Modelo'!A:J,10,FALSE)</f>
        <v>#N/A</v>
      </c>
      <c r="M321" s="150">
        <f>IFERROR(VLOOKUP(A321,'Master Modelo'!A:I,4,FALSE),0)</f>
        <v>0</v>
      </c>
      <c r="N321" s="128"/>
      <c r="O321" s="129"/>
      <c r="P321" s="9">
        <f t="shared" si="135"/>
        <v>0</v>
      </c>
      <c r="Q321" s="177">
        <f t="shared" ref="Q321:Q384" si="152">D321*G321</f>
        <v>0</v>
      </c>
      <c r="R321" s="3">
        <f>D321*E321*'Entrada e Saida'!$K$8</f>
        <v>0</v>
      </c>
      <c r="S321" s="179" t="e">
        <f>'Entrada e Saida'!$H$21*'Entrada e Saida'!$K$8*(P321/(SUM(P:P)))</f>
        <v>#DIV/0!</v>
      </c>
      <c r="T321" s="179" t="e">
        <f>'Entrada e Saida'!$H$21*'Entrada e Saida'!$K$8*(Q321/(SUM(Q:Q)))</f>
        <v>#DIV/0!</v>
      </c>
      <c r="U321" s="179" t="e">
        <f>'Entrada e Saida'!$H$22*(P321/(SUM(P:P)))</f>
        <v>#DIV/0!</v>
      </c>
      <c r="V321" s="179" t="e">
        <f>'Entrada e Saida'!$H$22*(Q321/(SUM(Q:Q)))</f>
        <v>#DIV/0!</v>
      </c>
      <c r="W321" s="8" t="e">
        <f t="shared" si="136"/>
        <v>#DIV/0!</v>
      </c>
      <c r="X321" s="179" t="e">
        <f>'Entrada e Saida'!$H$26*(IF('Entrada e Saida'!$H$15="PESO",(P321/(SUM(P:P))),(Q321/(SUM(Q:Q)))))</f>
        <v>#DIV/0!</v>
      </c>
      <c r="Y321" s="179" t="e">
        <f>'Entrada e Saida'!$H$27*(IF('Entrada e Saida'!$H$15="PESO",(P321/(SUM(P:P))),(Q321/(SUM(Q:Q)))))</f>
        <v>#DIV/0!</v>
      </c>
      <c r="Z321" s="179" t="e">
        <f>'Entrada e Saida'!$H$28*(IF('Entrada e Saida'!$H$15="PESO",(P321/(SUM(P:P))),(Q321/(SUM(Q:Q)))))</f>
        <v>#DIV/0!</v>
      </c>
      <c r="AA321" s="10" t="e">
        <f t="shared" si="137"/>
        <v>#DIV/0!</v>
      </c>
      <c r="AB321" s="3" t="e">
        <f t="shared" si="138"/>
        <v>#DIV/0!</v>
      </c>
      <c r="AC321" s="3" t="e">
        <f t="shared" si="139"/>
        <v>#DIV/0!</v>
      </c>
      <c r="AD321" s="3" t="e">
        <f t="shared" si="140"/>
        <v>#DIV/0!</v>
      </c>
      <c r="AE321" s="9" t="e">
        <f t="shared" si="141"/>
        <v>#DIV/0!</v>
      </c>
      <c r="AF321" s="126">
        <f>IFERROR(D321*F321*L321*'Entrada e Saida'!$K$8,0)</f>
        <v>0</v>
      </c>
      <c r="AG321" s="3" t="e">
        <f>((W321+AA321+AB321+AC321+AD321+AE321+AF321)/(1-'Entrada e Saida'!$G$65))*'Entrada e Saida'!$I$66</f>
        <v>#DIV/0!</v>
      </c>
      <c r="AH321" s="8" t="e">
        <f t="shared" si="142"/>
        <v>#DIV/0!</v>
      </c>
      <c r="AI321" s="183" t="e">
        <f>'Entrada e Saida'!$K$51*(IF('Entrada e Saida'!$H$15="PESO",(P321/(SUM(P:P))),(Q321/(SUM(Q:Q)))))</f>
        <v>#DIV/0!</v>
      </c>
      <c r="AJ321" s="7">
        <f>(('Entrada e Saida'!$K$10-'Entrada e Saida'!$K$8)*E321*D321)</f>
        <v>0</v>
      </c>
      <c r="AK321" s="184" t="e">
        <f>IF('Entrada e Saida'!$H$15="PESO",W321+AA321+AH321+AI321+AJ321,W321+AA321+AH321+AI321+AJ321-S321+T321-U321+V321)</f>
        <v>#DIV/0!</v>
      </c>
      <c r="AL321" s="6" t="e">
        <f>IF('Entrada e Saida'!$H$12="REAL",AC321,0)</f>
        <v>#DIV/0!</v>
      </c>
      <c r="AM321" s="6" t="e">
        <f>IF('Entrada e Saida'!$H$12="REAL",AD321,0)</f>
        <v>#DIV/0!</v>
      </c>
      <c r="AN321" s="5" t="e">
        <f>IF('Entrada e Saida'!$H$13= "NÃO",AE321,0)</f>
        <v>#DIV/0!</v>
      </c>
      <c r="AO321" s="5" t="e">
        <f t="shared" si="143"/>
        <v>#DIV/0!</v>
      </c>
      <c r="AP321" s="4" t="e">
        <f t="shared" si="144"/>
        <v>#DIV/0!</v>
      </c>
      <c r="AQ321" s="3" t="e">
        <f>IF('Entrada e Saida'!$H$11="TRADING",AU321*'Custo Resumido'!D321,0)</f>
        <v>#DIV/0!</v>
      </c>
      <c r="AR321" s="3" t="e">
        <f>IF('Entrada e Saida'!$H$11="TRADING",AU321*'Entrada e Saida'!$G$63,0)</f>
        <v>#DIV/0!</v>
      </c>
      <c r="AS321" s="3" t="e">
        <f>IF('Entrada e Saida'!$H$11="TRADING",AU321*'Entrada e Saida'!$G$64,0)</f>
        <v>#DIV/0!</v>
      </c>
      <c r="AT321" s="3" t="e">
        <f>IF('Entrada e Saida'!$H$11="TRADING",AU321*'Entrada e Saida'!$G$65,0)</f>
        <v>#DIV/0!</v>
      </c>
      <c r="AU321" s="4" t="e">
        <f>IF('Entrada e Saida'!$H$11="TRADING",AP321/(1-(SUM('Entrada e Saida'!$G$63:$G$65)+'Custo Resumido'!D321)),0)</f>
        <v>#DIV/0!</v>
      </c>
      <c r="AV321" s="3" t="e">
        <f>IF('Entrada e Saida'!$H$13="NÃO",AU321*M321,0)</f>
        <v>#DIV/0!</v>
      </c>
      <c r="AW321" s="4" t="e">
        <f t="shared" si="145"/>
        <v>#DIV/0!</v>
      </c>
      <c r="AX321" s="3" t="e">
        <f>'Entrada e Saida'!$G$74*AU321</f>
        <v>#DIV/0!</v>
      </c>
      <c r="AY321" s="4" t="e">
        <f t="shared" si="146"/>
        <v>#DIV/0!</v>
      </c>
      <c r="AZ321" s="4" t="e">
        <f>AQ321+('Entrada e Saida'!$G$65-'Entrada e Saida'!$I$65)*AU321-AX321</f>
        <v>#DIV/0!</v>
      </c>
      <c r="BA321" s="3" t="e">
        <f>IF('Entrada e Saida'!$H$12="REAL",AZ321*'Entrada e Saida'!$G$81,AU321*'Entrada e Saida'!$G$81)</f>
        <v>#DIV/0!</v>
      </c>
      <c r="BB321" s="3" t="e">
        <f>IF('Entrada e Saida'!$H$12="REAL",AZ321*'Entrada e Saida'!$G$82,AU321*'Entrada e Saida'!$G$82)</f>
        <v>#DIV/0!</v>
      </c>
      <c r="BC321" s="4" t="e">
        <f t="shared" si="147"/>
        <v>#DIV/0!</v>
      </c>
      <c r="BD321" s="3" t="e">
        <f>IF('Entrada e Saida'!$H$11="TRADING",AW321/D321,AK321/D321)</f>
        <v>#DIV/0!</v>
      </c>
      <c r="BE321" s="3" t="e">
        <f t="shared" si="148"/>
        <v>#DIV/0!</v>
      </c>
      <c r="BF321" s="2" t="e">
        <f t="shared" si="149"/>
        <v>#DIV/0!</v>
      </c>
      <c r="BG321" s="3" t="e">
        <f>IF('Entrada e Saida'!$H$11="TRADING",AV321/D321,AN321/D321)</f>
        <v>#DIV/0!</v>
      </c>
      <c r="BH321" s="3" t="e">
        <f>IF('Entrada e Saida'!$H$11="TRADING",IF('Entrada e Saida'!$H$12="REAL",AR321/D321,0),AL321/D321)</f>
        <v>#DIV/0!</v>
      </c>
      <c r="BI321" s="3" t="e">
        <f>IF('Entrada e Saida'!$H$11="TRADING",IF('Entrada e Saida'!$H$12="REAL",AS321/D321,0),AM321/D321)</f>
        <v>#DIV/0!</v>
      </c>
      <c r="BJ321" s="3" t="e">
        <f>IF('Entrada e Saida'!$H$11="TRADING",AT321/D321,AO321/D321)</f>
        <v>#DIV/0!</v>
      </c>
      <c r="BK321" s="2" t="e">
        <f t="shared" si="150"/>
        <v>#DIV/0!</v>
      </c>
      <c r="BL321" s="2">
        <f>IF(O321&gt;0,IFERROR(IF('Entrada e Saida'!$H$11="DIRETA",0,(IF('Entrada e Saida'!$H$14="P.JURIDICA",(BD321*(1+O321)*N321)-((BD321/(1+M321))*'Entrada e Saida'!$G$65),((Produtos!N321-'Entrada e Saida'!$G$65)*Produtos!BD321)))),0),0)</f>
        <v>0</v>
      </c>
      <c r="BM321" s="2" t="e">
        <f t="shared" si="151"/>
        <v>#DIV/0!</v>
      </c>
    </row>
    <row r="322" spans="1:65" s="1" customFormat="1">
      <c r="A322" s="127"/>
      <c r="B322" s="114"/>
      <c r="C322" s="116"/>
      <c r="D322" s="146"/>
      <c r="E322" s="115">
        <f>IFERROR(VLOOKUP(A322,'Master Modelo'!A:I,9,FALSE),0)</f>
        <v>0</v>
      </c>
      <c r="F322" s="189">
        <f>IFERROR(VLOOKUP(A322,'Master Modelo'!A:I,8,FALSE),0)</f>
        <v>0</v>
      </c>
      <c r="G322" s="189">
        <f>IFERROR(VLOOKUP(A322,'Master Modelo'!A:K,11,FALSE),0)</f>
        <v>0</v>
      </c>
      <c r="H322" s="114" t="e">
        <f t="shared" si="134"/>
        <v>#DIV/0!</v>
      </c>
      <c r="I322" s="150">
        <f>IFERROR(VLOOKUP(A322,'Master Modelo'!A:I,3,FALSE),0)</f>
        <v>0</v>
      </c>
      <c r="J322" s="151">
        <f>IFERROR(VLOOKUP(A322,'Master Modelo'!A:I,5,FALSE),0)</f>
        <v>0</v>
      </c>
      <c r="K322" s="151">
        <f>IFERROR(VLOOKUP(A322,'Master Modelo'!A:I,6,FALSE),0)</f>
        <v>0</v>
      </c>
      <c r="L322" s="152" t="e">
        <f>VLOOKUP(A322,'Master Modelo'!A:J,10,FALSE)</f>
        <v>#N/A</v>
      </c>
      <c r="M322" s="150">
        <f>IFERROR(VLOOKUP(A322,'Master Modelo'!A:I,4,FALSE),0)</f>
        <v>0</v>
      </c>
      <c r="N322" s="128"/>
      <c r="O322" s="129"/>
      <c r="P322" s="9">
        <f t="shared" si="135"/>
        <v>0</v>
      </c>
      <c r="Q322" s="177">
        <f t="shared" si="152"/>
        <v>0</v>
      </c>
      <c r="R322" s="3">
        <f>D322*E322*'Entrada e Saida'!$K$8</f>
        <v>0</v>
      </c>
      <c r="S322" s="179" t="e">
        <f>'Entrada e Saida'!$H$21*'Entrada e Saida'!$K$8*(P322/(SUM(P:P)))</f>
        <v>#DIV/0!</v>
      </c>
      <c r="T322" s="179" t="e">
        <f>'Entrada e Saida'!$H$21*'Entrada e Saida'!$K$8*(Q322/(SUM(Q:Q)))</f>
        <v>#DIV/0!</v>
      </c>
      <c r="U322" s="179" t="e">
        <f>'Entrada e Saida'!$H$22*(P322/(SUM(P:P)))</f>
        <v>#DIV/0!</v>
      </c>
      <c r="V322" s="179" t="e">
        <f>'Entrada e Saida'!$H$22*(Q322/(SUM(Q:Q)))</f>
        <v>#DIV/0!</v>
      </c>
      <c r="W322" s="8" t="e">
        <f t="shared" si="136"/>
        <v>#DIV/0!</v>
      </c>
      <c r="X322" s="179" t="e">
        <f>'Entrada e Saida'!$H$26*(IF('Entrada e Saida'!$H$15="PESO",(P322/(SUM(P:P))),(Q322/(SUM(Q:Q)))))</f>
        <v>#DIV/0!</v>
      </c>
      <c r="Y322" s="179" t="e">
        <f>'Entrada e Saida'!$H$27*(IF('Entrada e Saida'!$H$15="PESO",(P322/(SUM(P:P))),(Q322/(SUM(Q:Q)))))</f>
        <v>#DIV/0!</v>
      </c>
      <c r="Z322" s="179" t="e">
        <f>'Entrada e Saida'!$H$28*(IF('Entrada e Saida'!$H$15="PESO",(P322/(SUM(P:P))),(Q322/(SUM(Q:Q)))))</f>
        <v>#DIV/0!</v>
      </c>
      <c r="AA322" s="10" t="e">
        <f t="shared" si="137"/>
        <v>#DIV/0!</v>
      </c>
      <c r="AB322" s="3" t="e">
        <f t="shared" si="138"/>
        <v>#DIV/0!</v>
      </c>
      <c r="AC322" s="3" t="e">
        <f t="shared" si="139"/>
        <v>#DIV/0!</v>
      </c>
      <c r="AD322" s="3" t="e">
        <f t="shared" si="140"/>
        <v>#DIV/0!</v>
      </c>
      <c r="AE322" s="9" t="e">
        <f t="shared" si="141"/>
        <v>#DIV/0!</v>
      </c>
      <c r="AF322" s="126">
        <f>IFERROR(D322*F322*L322*'Entrada e Saida'!$K$8,0)</f>
        <v>0</v>
      </c>
      <c r="AG322" s="3" t="e">
        <f>((W322+AA322+AB322+AC322+AD322+AE322+AF322)/(1-'Entrada e Saida'!$G$65))*'Entrada e Saida'!$I$66</f>
        <v>#DIV/0!</v>
      </c>
      <c r="AH322" s="8" t="e">
        <f t="shared" si="142"/>
        <v>#DIV/0!</v>
      </c>
      <c r="AI322" s="183" t="e">
        <f>'Entrada e Saida'!$K$51*(IF('Entrada e Saida'!$H$15="PESO",(P322/(SUM(P:P))),(Q322/(SUM(Q:Q)))))</f>
        <v>#DIV/0!</v>
      </c>
      <c r="AJ322" s="7">
        <f>(('Entrada e Saida'!$K$10-'Entrada e Saida'!$K$8)*E322*D322)</f>
        <v>0</v>
      </c>
      <c r="AK322" s="184" t="e">
        <f>IF('Entrada e Saida'!$H$15="PESO",W322+AA322+AH322+AI322+AJ322,W322+AA322+AH322+AI322+AJ322-S322+T322-U322+V322)</f>
        <v>#DIV/0!</v>
      </c>
      <c r="AL322" s="6" t="e">
        <f>IF('Entrada e Saida'!$H$12="REAL",AC322,0)</f>
        <v>#DIV/0!</v>
      </c>
      <c r="AM322" s="6" t="e">
        <f>IF('Entrada e Saida'!$H$12="REAL",AD322,0)</f>
        <v>#DIV/0!</v>
      </c>
      <c r="AN322" s="5" t="e">
        <f>IF('Entrada e Saida'!$H$13= "NÃO",AE322,0)</f>
        <v>#DIV/0!</v>
      </c>
      <c r="AO322" s="5" t="e">
        <f t="shared" si="143"/>
        <v>#DIV/0!</v>
      </c>
      <c r="AP322" s="4" t="e">
        <f t="shared" si="144"/>
        <v>#DIV/0!</v>
      </c>
      <c r="AQ322" s="3" t="e">
        <f>IF('Entrada e Saida'!$H$11="TRADING",AU322*'Custo Resumido'!D322,0)</f>
        <v>#DIV/0!</v>
      </c>
      <c r="AR322" s="3" t="e">
        <f>IF('Entrada e Saida'!$H$11="TRADING",AU322*'Entrada e Saida'!$G$63,0)</f>
        <v>#DIV/0!</v>
      </c>
      <c r="AS322" s="3" t="e">
        <f>IF('Entrada e Saida'!$H$11="TRADING",AU322*'Entrada e Saida'!$G$64,0)</f>
        <v>#DIV/0!</v>
      </c>
      <c r="AT322" s="3" t="e">
        <f>IF('Entrada e Saida'!$H$11="TRADING",AU322*'Entrada e Saida'!$G$65,0)</f>
        <v>#DIV/0!</v>
      </c>
      <c r="AU322" s="4" t="e">
        <f>IF('Entrada e Saida'!$H$11="TRADING",AP322/(1-(SUM('Entrada e Saida'!$G$63:$G$65)+'Custo Resumido'!D322)),0)</f>
        <v>#DIV/0!</v>
      </c>
      <c r="AV322" s="3" t="e">
        <f>IF('Entrada e Saida'!$H$13="NÃO",AU322*M322,0)</f>
        <v>#DIV/0!</v>
      </c>
      <c r="AW322" s="4" t="e">
        <f t="shared" si="145"/>
        <v>#DIV/0!</v>
      </c>
      <c r="AX322" s="3" t="e">
        <f>'Entrada e Saida'!$G$74*AU322</f>
        <v>#DIV/0!</v>
      </c>
      <c r="AY322" s="4" t="e">
        <f t="shared" si="146"/>
        <v>#DIV/0!</v>
      </c>
      <c r="AZ322" s="4" t="e">
        <f>AQ322+('Entrada e Saida'!$G$65-'Entrada e Saida'!$I$65)*AU322-AX322</f>
        <v>#DIV/0!</v>
      </c>
      <c r="BA322" s="3" t="e">
        <f>IF('Entrada e Saida'!$H$12="REAL",AZ322*'Entrada e Saida'!$G$81,AU322*'Entrada e Saida'!$G$81)</f>
        <v>#DIV/0!</v>
      </c>
      <c r="BB322" s="3" t="e">
        <f>IF('Entrada e Saida'!$H$12="REAL",AZ322*'Entrada e Saida'!$G$82,AU322*'Entrada e Saida'!$G$82)</f>
        <v>#DIV/0!</v>
      </c>
      <c r="BC322" s="4" t="e">
        <f t="shared" si="147"/>
        <v>#DIV/0!</v>
      </c>
      <c r="BD322" s="3" t="e">
        <f>IF('Entrada e Saida'!$H$11="TRADING",AW322/D322,AK322/D322)</f>
        <v>#DIV/0!</v>
      </c>
      <c r="BE322" s="3" t="e">
        <f t="shared" si="148"/>
        <v>#DIV/0!</v>
      </c>
      <c r="BF322" s="2" t="e">
        <f t="shared" si="149"/>
        <v>#DIV/0!</v>
      </c>
      <c r="BG322" s="3" t="e">
        <f>IF('Entrada e Saida'!$H$11="TRADING",AV322/D322,AN322/D322)</f>
        <v>#DIV/0!</v>
      </c>
      <c r="BH322" s="3" t="e">
        <f>IF('Entrada e Saida'!$H$11="TRADING",IF('Entrada e Saida'!$H$12="REAL",AR322/D322,0),AL322/D322)</f>
        <v>#DIV/0!</v>
      </c>
      <c r="BI322" s="3" t="e">
        <f>IF('Entrada e Saida'!$H$11="TRADING",IF('Entrada e Saida'!$H$12="REAL",AS322/D322,0),AM322/D322)</f>
        <v>#DIV/0!</v>
      </c>
      <c r="BJ322" s="3" t="e">
        <f>IF('Entrada e Saida'!$H$11="TRADING",AT322/D322,AO322/D322)</f>
        <v>#DIV/0!</v>
      </c>
      <c r="BK322" s="2" t="e">
        <f t="shared" si="150"/>
        <v>#DIV/0!</v>
      </c>
      <c r="BL322" s="2">
        <f>IF(O322&gt;0,IFERROR(IF('Entrada e Saida'!$H$11="DIRETA",0,(IF('Entrada e Saida'!$H$14="P.JURIDICA",(BD322*(1+O322)*N322)-((BD322/(1+M322))*'Entrada e Saida'!$G$65),((Produtos!N322-'Entrada e Saida'!$G$65)*Produtos!BD322)))),0),0)</f>
        <v>0</v>
      </c>
      <c r="BM322" s="2" t="e">
        <f t="shared" si="151"/>
        <v>#DIV/0!</v>
      </c>
    </row>
    <row r="323" spans="1:65" s="1" customFormat="1">
      <c r="A323" s="127"/>
      <c r="B323" s="114"/>
      <c r="C323" s="116"/>
      <c r="D323" s="146"/>
      <c r="E323" s="115">
        <f>IFERROR(VLOOKUP(A323,'Master Modelo'!A:I,9,FALSE),0)</f>
        <v>0</v>
      </c>
      <c r="F323" s="189">
        <f>IFERROR(VLOOKUP(A323,'Master Modelo'!A:I,8,FALSE),0)</f>
        <v>0</v>
      </c>
      <c r="G323" s="189">
        <f>IFERROR(VLOOKUP(A323,'Master Modelo'!A:K,11,FALSE),0)</f>
        <v>0</v>
      </c>
      <c r="H323" s="114" t="e">
        <f t="shared" si="134"/>
        <v>#DIV/0!</v>
      </c>
      <c r="I323" s="150">
        <f>IFERROR(VLOOKUP(A323,'Master Modelo'!A:I,3,FALSE),0)</f>
        <v>0</v>
      </c>
      <c r="J323" s="151">
        <f>IFERROR(VLOOKUP(A323,'Master Modelo'!A:I,5,FALSE),0)</f>
        <v>0</v>
      </c>
      <c r="K323" s="151">
        <f>IFERROR(VLOOKUP(A323,'Master Modelo'!A:I,6,FALSE),0)</f>
        <v>0</v>
      </c>
      <c r="L323" s="152" t="e">
        <f>VLOOKUP(A323,'Master Modelo'!A:J,10,FALSE)</f>
        <v>#N/A</v>
      </c>
      <c r="M323" s="150">
        <f>IFERROR(VLOOKUP(A323,'Master Modelo'!A:I,4,FALSE),0)</f>
        <v>0</v>
      </c>
      <c r="N323" s="128"/>
      <c r="O323" s="129"/>
      <c r="P323" s="9">
        <f t="shared" si="135"/>
        <v>0</v>
      </c>
      <c r="Q323" s="177">
        <f t="shared" si="152"/>
        <v>0</v>
      </c>
      <c r="R323" s="3">
        <f>D323*E323*'Entrada e Saida'!$K$8</f>
        <v>0</v>
      </c>
      <c r="S323" s="179" t="e">
        <f>'Entrada e Saida'!$H$21*'Entrada e Saida'!$K$8*(P323/(SUM(P:P)))</f>
        <v>#DIV/0!</v>
      </c>
      <c r="T323" s="179" t="e">
        <f>'Entrada e Saida'!$H$21*'Entrada e Saida'!$K$8*(Q323/(SUM(Q:Q)))</f>
        <v>#DIV/0!</v>
      </c>
      <c r="U323" s="179" t="e">
        <f>'Entrada e Saida'!$H$22*(P323/(SUM(P:P)))</f>
        <v>#DIV/0!</v>
      </c>
      <c r="V323" s="179" t="e">
        <f>'Entrada e Saida'!$H$22*(Q323/(SUM(Q:Q)))</f>
        <v>#DIV/0!</v>
      </c>
      <c r="W323" s="8" t="e">
        <f t="shared" si="136"/>
        <v>#DIV/0!</v>
      </c>
      <c r="X323" s="179" t="e">
        <f>'Entrada e Saida'!$H$26*(IF('Entrada e Saida'!$H$15="PESO",(P323/(SUM(P:P))),(Q323/(SUM(Q:Q)))))</f>
        <v>#DIV/0!</v>
      </c>
      <c r="Y323" s="179" t="e">
        <f>'Entrada e Saida'!$H$27*(IF('Entrada e Saida'!$H$15="PESO",(P323/(SUM(P:P))),(Q323/(SUM(Q:Q)))))</f>
        <v>#DIV/0!</v>
      </c>
      <c r="Z323" s="179" t="e">
        <f>'Entrada e Saida'!$H$28*(IF('Entrada e Saida'!$H$15="PESO",(P323/(SUM(P:P))),(Q323/(SUM(Q:Q)))))</f>
        <v>#DIV/0!</v>
      </c>
      <c r="AA323" s="10" t="e">
        <f t="shared" si="137"/>
        <v>#DIV/0!</v>
      </c>
      <c r="AB323" s="3" t="e">
        <f t="shared" si="138"/>
        <v>#DIV/0!</v>
      </c>
      <c r="AC323" s="3" t="e">
        <f t="shared" si="139"/>
        <v>#DIV/0!</v>
      </c>
      <c r="AD323" s="3" t="e">
        <f t="shared" si="140"/>
        <v>#DIV/0!</v>
      </c>
      <c r="AE323" s="9" t="e">
        <f t="shared" si="141"/>
        <v>#DIV/0!</v>
      </c>
      <c r="AF323" s="126">
        <f>IFERROR(D323*F323*L323*'Entrada e Saida'!$K$8,0)</f>
        <v>0</v>
      </c>
      <c r="AG323" s="3" t="e">
        <f>((W323+AA323+AB323+AC323+AD323+AE323+AF323)/(1-'Entrada e Saida'!$G$65))*'Entrada e Saida'!$I$66</f>
        <v>#DIV/0!</v>
      </c>
      <c r="AH323" s="8" t="e">
        <f t="shared" si="142"/>
        <v>#DIV/0!</v>
      </c>
      <c r="AI323" s="183" t="e">
        <f>'Entrada e Saida'!$K$51*(IF('Entrada e Saida'!$H$15="PESO",(P323/(SUM(P:P))),(Q323/(SUM(Q:Q)))))</f>
        <v>#DIV/0!</v>
      </c>
      <c r="AJ323" s="7">
        <f>(('Entrada e Saida'!$K$10-'Entrada e Saida'!$K$8)*E323*D323)</f>
        <v>0</v>
      </c>
      <c r="AK323" s="184" t="e">
        <f>IF('Entrada e Saida'!$H$15="PESO",W323+AA323+AH323+AI323+AJ323,W323+AA323+AH323+AI323+AJ323-S323+T323-U323+V323)</f>
        <v>#DIV/0!</v>
      </c>
      <c r="AL323" s="6" t="e">
        <f>IF('Entrada e Saida'!$H$12="REAL",AC323,0)</f>
        <v>#DIV/0!</v>
      </c>
      <c r="AM323" s="6" t="e">
        <f>IF('Entrada e Saida'!$H$12="REAL",AD323,0)</f>
        <v>#DIV/0!</v>
      </c>
      <c r="AN323" s="5" t="e">
        <f>IF('Entrada e Saida'!$H$13= "NÃO",AE323,0)</f>
        <v>#DIV/0!</v>
      </c>
      <c r="AO323" s="5" t="e">
        <f t="shared" si="143"/>
        <v>#DIV/0!</v>
      </c>
      <c r="AP323" s="4" t="e">
        <f t="shared" si="144"/>
        <v>#DIV/0!</v>
      </c>
      <c r="AQ323" s="3" t="e">
        <f>IF('Entrada e Saida'!$H$11="TRADING",AU323*'Custo Resumido'!D323,0)</f>
        <v>#DIV/0!</v>
      </c>
      <c r="AR323" s="3" t="e">
        <f>IF('Entrada e Saida'!$H$11="TRADING",AU323*'Entrada e Saida'!$G$63,0)</f>
        <v>#DIV/0!</v>
      </c>
      <c r="AS323" s="3" t="e">
        <f>IF('Entrada e Saida'!$H$11="TRADING",AU323*'Entrada e Saida'!$G$64,0)</f>
        <v>#DIV/0!</v>
      </c>
      <c r="AT323" s="3" t="e">
        <f>IF('Entrada e Saida'!$H$11="TRADING",AU323*'Entrada e Saida'!$G$65,0)</f>
        <v>#DIV/0!</v>
      </c>
      <c r="AU323" s="4" t="e">
        <f>IF('Entrada e Saida'!$H$11="TRADING",AP323/(1-(SUM('Entrada e Saida'!$G$63:$G$65)+'Custo Resumido'!D323)),0)</f>
        <v>#DIV/0!</v>
      </c>
      <c r="AV323" s="3" t="e">
        <f>IF('Entrada e Saida'!$H$13="NÃO",AU323*M323,0)</f>
        <v>#DIV/0!</v>
      </c>
      <c r="AW323" s="4" t="e">
        <f t="shared" si="145"/>
        <v>#DIV/0!</v>
      </c>
      <c r="AX323" s="3" t="e">
        <f>'Entrada e Saida'!$G$74*AU323</f>
        <v>#DIV/0!</v>
      </c>
      <c r="AY323" s="4" t="e">
        <f t="shared" si="146"/>
        <v>#DIV/0!</v>
      </c>
      <c r="AZ323" s="4" t="e">
        <f>AQ323+('Entrada e Saida'!$G$65-'Entrada e Saida'!$I$65)*AU323-AX323</f>
        <v>#DIV/0!</v>
      </c>
      <c r="BA323" s="3" t="e">
        <f>IF('Entrada e Saida'!$H$12="REAL",AZ323*'Entrada e Saida'!$G$81,AU323*'Entrada e Saida'!$G$81)</f>
        <v>#DIV/0!</v>
      </c>
      <c r="BB323" s="3" t="e">
        <f>IF('Entrada e Saida'!$H$12="REAL",AZ323*'Entrada e Saida'!$G$82,AU323*'Entrada e Saida'!$G$82)</f>
        <v>#DIV/0!</v>
      </c>
      <c r="BC323" s="4" t="e">
        <f t="shared" si="147"/>
        <v>#DIV/0!</v>
      </c>
      <c r="BD323" s="3" t="e">
        <f>IF('Entrada e Saida'!$H$11="TRADING",AW323/D323,AK323/D323)</f>
        <v>#DIV/0!</v>
      </c>
      <c r="BE323" s="3" t="e">
        <f t="shared" si="148"/>
        <v>#DIV/0!</v>
      </c>
      <c r="BF323" s="2" t="e">
        <f t="shared" si="149"/>
        <v>#DIV/0!</v>
      </c>
      <c r="BG323" s="3" t="e">
        <f>IF('Entrada e Saida'!$H$11="TRADING",AV323/D323,AN323/D323)</f>
        <v>#DIV/0!</v>
      </c>
      <c r="BH323" s="3" t="e">
        <f>IF('Entrada e Saida'!$H$11="TRADING",IF('Entrada e Saida'!$H$12="REAL",AR323/D323,0),AL323/D323)</f>
        <v>#DIV/0!</v>
      </c>
      <c r="BI323" s="3" t="e">
        <f>IF('Entrada e Saida'!$H$11="TRADING",IF('Entrada e Saida'!$H$12="REAL",AS323/D323,0),AM323/D323)</f>
        <v>#DIV/0!</v>
      </c>
      <c r="BJ323" s="3" t="e">
        <f>IF('Entrada e Saida'!$H$11="TRADING",AT323/D323,AO323/D323)</f>
        <v>#DIV/0!</v>
      </c>
      <c r="BK323" s="2" t="e">
        <f t="shared" si="150"/>
        <v>#DIV/0!</v>
      </c>
      <c r="BL323" s="2">
        <f>IF(O323&gt;0,IFERROR(IF('Entrada e Saida'!$H$11="DIRETA",0,(IF('Entrada e Saida'!$H$14="P.JURIDICA",(BD323*(1+O323)*N323)-((BD323/(1+M323))*'Entrada e Saida'!$G$65),((Produtos!N323-'Entrada e Saida'!$G$65)*Produtos!BD323)))),0),0)</f>
        <v>0</v>
      </c>
      <c r="BM323" s="2" t="e">
        <f t="shared" si="151"/>
        <v>#DIV/0!</v>
      </c>
    </row>
    <row r="324" spans="1:65" s="1" customFormat="1">
      <c r="A324" s="127"/>
      <c r="B324" s="114"/>
      <c r="C324" s="116"/>
      <c r="D324" s="146"/>
      <c r="E324" s="115">
        <f>IFERROR(VLOOKUP(A324,'Master Modelo'!A:I,9,FALSE),0)</f>
        <v>0</v>
      </c>
      <c r="F324" s="189">
        <f>IFERROR(VLOOKUP(A324,'Master Modelo'!A:I,8,FALSE),0)</f>
        <v>0</v>
      </c>
      <c r="G324" s="189">
        <f>IFERROR(VLOOKUP(A324,'Master Modelo'!A:K,11,FALSE),0)</f>
        <v>0</v>
      </c>
      <c r="H324" s="114" t="e">
        <f t="shared" si="134"/>
        <v>#DIV/0!</v>
      </c>
      <c r="I324" s="150">
        <f>IFERROR(VLOOKUP(A324,'Master Modelo'!A:I,3,FALSE),0)</f>
        <v>0</v>
      </c>
      <c r="J324" s="151">
        <f>IFERROR(VLOOKUP(A324,'Master Modelo'!A:I,5,FALSE),0)</f>
        <v>0</v>
      </c>
      <c r="K324" s="151">
        <f>IFERROR(VLOOKUP(A324,'Master Modelo'!A:I,6,FALSE),0)</f>
        <v>0</v>
      </c>
      <c r="L324" s="152" t="e">
        <f>VLOOKUP(A324,'Master Modelo'!A:J,10,FALSE)</f>
        <v>#N/A</v>
      </c>
      <c r="M324" s="150">
        <f>IFERROR(VLOOKUP(A324,'Master Modelo'!A:I,4,FALSE),0)</f>
        <v>0</v>
      </c>
      <c r="N324" s="128"/>
      <c r="O324" s="129"/>
      <c r="P324" s="9">
        <f t="shared" si="135"/>
        <v>0</v>
      </c>
      <c r="Q324" s="177">
        <f t="shared" si="152"/>
        <v>0</v>
      </c>
      <c r="R324" s="3">
        <f>D324*E324*'Entrada e Saida'!$K$8</f>
        <v>0</v>
      </c>
      <c r="S324" s="179" t="e">
        <f>'Entrada e Saida'!$H$21*'Entrada e Saida'!$K$8*(P324/(SUM(P:P)))</f>
        <v>#DIV/0!</v>
      </c>
      <c r="T324" s="179" t="e">
        <f>'Entrada e Saida'!$H$21*'Entrada e Saida'!$K$8*(Q324/(SUM(Q:Q)))</f>
        <v>#DIV/0!</v>
      </c>
      <c r="U324" s="179" t="e">
        <f>'Entrada e Saida'!$H$22*(P324/(SUM(P:P)))</f>
        <v>#DIV/0!</v>
      </c>
      <c r="V324" s="179" t="e">
        <f>'Entrada e Saida'!$H$22*(Q324/(SUM(Q:Q)))</f>
        <v>#DIV/0!</v>
      </c>
      <c r="W324" s="8" t="e">
        <f t="shared" si="136"/>
        <v>#DIV/0!</v>
      </c>
      <c r="X324" s="179" t="e">
        <f>'Entrada e Saida'!$H$26*(IF('Entrada e Saida'!$H$15="PESO",(P324/(SUM(P:P))),(Q324/(SUM(Q:Q)))))</f>
        <v>#DIV/0!</v>
      </c>
      <c r="Y324" s="179" t="e">
        <f>'Entrada e Saida'!$H$27*(IF('Entrada e Saida'!$H$15="PESO",(P324/(SUM(P:P))),(Q324/(SUM(Q:Q)))))</f>
        <v>#DIV/0!</v>
      </c>
      <c r="Z324" s="179" t="e">
        <f>'Entrada e Saida'!$H$28*(IF('Entrada e Saida'!$H$15="PESO",(P324/(SUM(P:P))),(Q324/(SUM(Q:Q)))))</f>
        <v>#DIV/0!</v>
      </c>
      <c r="AA324" s="10" t="e">
        <f t="shared" si="137"/>
        <v>#DIV/0!</v>
      </c>
      <c r="AB324" s="3" t="e">
        <f t="shared" si="138"/>
        <v>#DIV/0!</v>
      </c>
      <c r="AC324" s="3" t="e">
        <f t="shared" si="139"/>
        <v>#DIV/0!</v>
      </c>
      <c r="AD324" s="3" t="e">
        <f t="shared" si="140"/>
        <v>#DIV/0!</v>
      </c>
      <c r="AE324" s="9" t="e">
        <f t="shared" si="141"/>
        <v>#DIV/0!</v>
      </c>
      <c r="AF324" s="126">
        <f>IFERROR(D324*F324*L324*'Entrada e Saida'!$K$8,0)</f>
        <v>0</v>
      </c>
      <c r="AG324" s="3" t="e">
        <f>((W324+AA324+AB324+AC324+AD324+AE324+AF324)/(1-'Entrada e Saida'!$G$65))*'Entrada e Saida'!$I$66</f>
        <v>#DIV/0!</v>
      </c>
      <c r="AH324" s="8" t="e">
        <f t="shared" si="142"/>
        <v>#DIV/0!</v>
      </c>
      <c r="AI324" s="183" t="e">
        <f>'Entrada e Saida'!$K$51*(IF('Entrada e Saida'!$H$15="PESO",(P324/(SUM(P:P))),(Q324/(SUM(Q:Q)))))</f>
        <v>#DIV/0!</v>
      </c>
      <c r="AJ324" s="7">
        <f>(('Entrada e Saida'!$K$10-'Entrada e Saida'!$K$8)*E324*D324)</f>
        <v>0</v>
      </c>
      <c r="AK324" s="184" t="e">
        <f>IF('Entrada e Saida'!$H$15="PESO",W324+AA324+AH324+AI324+AJ324,W324+AA324+AH324+AI324+AJ324-S324+T324-U324+V324)</f>
        <v>#DIV/0!</v>
      </c>
      <c r="AL324" s="6" t="e">
        <f>IF('Entrada e Saida'!$H$12="REAL",AC324,0)</f>
        <v>#DIV/0!</v>
      </c>
      <c r="AM324" s="6" t="e">
        <f>IF('Entrada e Saida'!$H$12="REAL",AD324,0)</f>
        <v>#DIV/0!</v>
      </c>
      <c r="AN324" s="5" t="e">
        <f>IF('Entrada e Saida'!$H$13= "NÃO",AE324,0)</f>
        <v>#DIV/0!</v>
      </c>
      <c r="AO324" s="5" t="e">
        <f t="shared" si="143"/>
        <v>#DIV/0!</v>
      </c>
      <c r="AP324" s="4" t="e">
        <f t="shared" si="144"/>
        <v>#DIV/0!</v>
      </c>
      <c r="AQ324" s="3" t="e">
        <f>IF('Entrada e Saida'!$H$11="TRADING",AU324*'Custo Resumido'!D324,0)</f>
        <v>#DIV/0!</v>
      </c>
      <c r="AR324" s="3" t="e">
        <f>IF('Entrada e Saida'!$H$11="TRADING",AU324*'Entrada e Saida'!$G$63,0)</f>
        <v>#DIV/0!</v>
      </c>
      <c r="AS324" s="3" t="e">
        <f>IF('Entrada e Saida'!$H$11="TRADING",AU324*'Entrada e Saida'!$G$64,0)</f>
        <v>#DIV/0!</v>
      </c>
      <c r="AT324" s="3" t="e">
        <f>IF('Entrada e Saida'!$H$11="TRADING",AU324*'Entrada e Saida'!$G$65,0)</f>
        <v>#DIV/0!</v>
      </c>
      <c r="AU324" s="4" t="e">
        <f>IF('Entrada e Saida'!$H$11="TRADING",AP324/(1-(SUM('Entrada e Saida'!$G$63:$G$65)+'Custo Resumido'!D324)),0)</f>
        <v>#DIV/0!</v>
      </c>
      <c r="AV324" s="3" t="e">
        <f>IF('Entrada e Saida'!$H$13="NÃO",AU324*M324,0)</f>
        <v>#DIV/0!</v>
      </c>
      <c r="AW324" s="4" t="e">
        <f t="shared" si="145"/>
        <v>#DIV/0!</v>
      </c>
      <c r="AX324" s="3" t="e">
        <f>'Entrada e Saida'!$G$74*AU324</f>
        <v>#DIV/0!</v>
      </c>
      <c r="AY324" s="4" t="e">
        <f t="shared" si="146"/>
        <v>#DIV/0!</v>
      </c>
      <c r="AZ324" s="4" t="e">
        <f>AQ324+('Entrada e Saida'!$G$65-'Entrada e Saida'!$I$65)*AU324-AX324</f>
        <v>#DIV/0!</v>
      </c>
      <c r="BA324" s="3" t="e">
        <f>IF('Entrada e Saida'!$H$12="REAL",AZ324*'Entrada e Saida'!$G$81,AU324*'Entrada e Saida'!$G$81)</f>
        <v>#DIV/0!</v>
      </c>
      <c r="BB324" s="3" t="e">
        <f>IF('Entrada e Saida'!$H$12="REAL",AZ324*'Entrada e Saida'!$G$82,AU324*'Entrada e Saida'!$G$82)</f>
        <v>#DIV/0!</v>
      </c>
      <c r="BC324" s="4" t="e">
        <f t="shared" si="147"/>
        <v>#DIV/0!</v>
      </c>
      <c r="BD324" s="3" t="e">
        <f>IF('Entrada e Saida'!$H$11="TRADING",AW324/D324,AK324/D324)</f>
        <v>#DIV/0!</v>
      </c>
      <c r="BE324" s="3" t="e">
        <f t="shared" si="148"/>
        <v>#DIV/0!</v>
      </c>
      <c r="BF324" s="2" t="e">
        <f t="shared" si="149"/>
        <v>#DIV/0!</v>
      </c>
      <c r="BG324" s="3" t="e">
        <f>IF('Entrada e Saida'!$H$11="TRADING",AV324/D324,AN324/D324)</f>
        <v>#DIV/0!</v>
      </c>
      <c r="BH324" s="3" t="e">
        <f>IF('Entrada e Saida'!$H$11="TRADING",IF('Entrada e Saida'!$H$12="REAL",AR324/D324,0),AL324/D324)</f>
        <v>#DIV/0!</v>
      </c>
      <c r="BI324" s="3" t="e">
        <f>IF('Entrada e Saida'!$H$11="TRADING",IF('Entrada e Saida'!$H$12="REAL",AS324/D324,0),AM324/D324)</f>
        <v>#DIV/0!</v>
      </c>
      <c r="BJ324" s="3" t="e">
        <f>IF('Entrada e Saida'!$H$11="TRADING",AT324/D324,AO324/D324)</f>
        <v>#DIV/0!</v>
      </c>
      <c r="BK324" s="2" t="e">
        <f t="shared" si="150"/>
        <v>#DIV/0!</v>
      </c>
      <c r="BL324" s="2">
        <f>IF(O324&gt;0,IFERROR(IF('Entrada e Saida'!$H$11="DIRETA",0,(IF('Entrada e Saida'!$H$14="P.JURIDICA",(BD324*(1+O324)*N324)-((BD324/(1+M324))*'Entrada e Saida'!$G$65),((Produtos!N324-'Entrada e Saida'!$G$65)*Produtos!BD324)))),0),0)</f>
        <v>0</v>
      </c>
      <c r="BM324" s="2" t="e">
        <f t="shared" si="151"/>
        <v>#DIV/0!</v>
      </c>
    </row>
    <row r="325" spans="1:65" s="1" customFormat="1">
      <c r="A325" s="127"/>
      <c r="B325" s="114"/>
      <c r="C325" s="116"/>
      <c r="D325" s="146"/>
      <c r="E325" s="115">
        <f>IFERROR(VLOOKUP(A325,'Master Modelo'!A:I,9,FALSE),0)</f>
        <v>0</v>
      </c>
      <c r="F325" s="189">
        <f>IFERROR(VLOOKUP(A325,'Master Modelo'!A:I,8,FALSE),0)</f>
        <v>0</v>
      </c>
      <c r="G325" s="189">
        <f>IFERROR(VLOOKUP(A325,'Master Modelo'!A:K,11,FALSE),0)</f>
        <v>0</v>
      </c>
      <c r="H325" s="114" t="e">
        <f t="shared" si="134"/>
        <v>#DIV/0!</v>
      </c>
      <c r="I325" s="150">
        <f>IFERROR(VLOOKUP(A325,'Master Modelo'!A:I,3,FALSE),0)</f>
        <v>0</v>
      </c>
      <c r="J325" s="151">
        <f>IFERROR(VLOOKUP(A325,'Master Modelo'!A:I,5,FALSE),0)</f>
        <v>0</v>
      </c>
      <c r="K325" s="151">
        <f>IFERROR(VLOOKUP(A325,'Master Modelo'!A:I,6,FALSE),0)</f>
        <v>0</v>
      </c>
      <c r="L325" s="152" t="e">
        <f>VLOOKUP(A325,'Master Modelo'!A:J,10,FALSE)</f>
        <v>#N/A</v>
      </c>
      <c r="M325" s="150">
        <f>IFERROR(VLOOKUP(A325,'Master Modelo'!A:I,4,FALSE),0)</f>
        <v>0</v>
      </c>
      <c r="N325" s="128"/>
      <c r="O325" s="129"/>
      <c r="P325" s="9">
        <f t="shared" si="135"/>
        <v>0</v>
      </c>
      <c r="Q325" s="177">
        <f t="shared" si="152"/>
        <v>0</v>
      </c>
      <c r="R325" s="3">
        <f>D325*E325*'Entrada e Saida'!$K$8</f>
        <v>0</v>
      </c>
      <c r="S325" s="179" t="e">
        <f>'Entrada e Saida'!$H$21*'Entrada e Saida'!$K$8*(P325/(SUM(P:P)))</f>
        <v>#DIV/0!</v>
      </c>
      <c r="T325" s="179" t="e">
        <f>'Entrada e Saida'!$H$21*'Entrada e Saida'!$K$8*(Q325/(SUM(Q:Q)))</f>
        <v>#DIV/0!</v>
      </c>
      <c r="U325" s="179" t="e">
        <f>'Entrada e Saida'!$H$22*(P325/(SUM(P:P)))</f>
        <v>#DIV/0!</v>
      </c>
      <c r="V325" s="179" t="e">
        <f>'Entrada e Saida'!$H$22*(Q325/(SUM(Q:Q)))</f>
        <v>#DIV/0!</v>
      </c>
      <c r="W325" s="8" t="e">
        <f t="shared" si="136"/>
        <v>#DIV/0!</v>
      </c>
      <c r="X325" s="179" t="e">
        <f>'Entrada e Saida'!$H$26*(IF('Entrada e Saida'!$H$15="PESO",(P325/(SUM(P:P))),(Q325/(SUM(Q:Q)))))</f>
        <v>#DIV/0!</v>
      </c>
      <c r="Y325" s="179" t="e">
        <f>'Entrada e Saida'!$H$27*(IF('Entrada e Saida'!$H$15="PESO",(P325/(SUM(P:P))),(Q325/(SUM(Q:Q)))))</f>
        <v>#DIV/0!</v>
      </c>
      <c r="Z325" s="179" t="e">
        <f>'Entrada e Saida'!$H$28*(IF('Entrada e Saida'!$H$15="PESO",(P325/(SUM(P:P))),(Q325/(SUM(Q:Q)))))</f>
        <v>#DIV/0!</v>
      </c>
      <c r="AA325" s="10" t="e">
        <f t="shared" si="137"/>
        <v>#DIV/0!</v>
      </c>
      <c r="AB325" s="3" t="e">
        <f t="shared" si="138"/>
        <v>#DIV/0!</v>
      </c>
      <c r="AC325" s="3" t="e">
        <f t="shared" si="139"/>
        <v>#DIV/0!</v>
      </c>
      <c r="AD325" s="3" t="e">
        <f t="shared" si="140"/>
        <v>#DIV/0!</v>
      </c>
      <c r="AE325" s="9" t="e">
        <f t="shared" si="141"/>
        <v>#DIV/0!</v>
      </c>
      <c r="AF325" s="126">
        <f>IFERROR(D325*F325*L325*'Entrada e Saida'!$K$8,0)</f>
        <v>0</v>
      </c>
      <c r="AG325" s="3" t="e">
        <f>((W325+AA325+AB325+AC325+AD325+AE325+AF325)/(1-'Entrada e Saida'!$G$65))*'Entrada e Saida'!$I$66</f>
        <v>#DIV/0!</v>
      </c>
      <c r="AH325" s="8" t="e">
        <f t="shared" si="142"/>
        <v>#DIV/0!</v>
      </c>
      <c r="AI325" s="183" t="e">
        <f>'Entrada e Saida'!$K$51*(IF('Entrada e Saida'!$H$15="PESO",(P325/(SUM(P:P))),(Q325/(SUM(Q:Q)))))</f>
        <v>#DIV/0!</v>
      </c>
      <c r="AJ325" s="7">
        <f>(('Entrada e Saida'!$K$10-'Entrada e Saida'!$K$8)*E325*D325)</f>
        <v>0</v>
      </c>
      <c r="AK325" s="184" t="e">
        <f>IF('Entrada e Saida'!$H$15="PESO",W325+AA325+AH325+AI325+AJ325,W325+AA325+AH325+AI325+AJ325-S325+T325-U325+V325)</f>
        <v>#DIV/0!</v>
      </c>
      <c r="AL325" s="6" t="e">
        <f>IF('Entrada e Saida'!$H$12="REAL",AC325,0)</f>
        <v>#DIV/0!</v>
      </c>
      <c r="AM325" s="6" t="e">
        <f>IF('Entrada e Saida'!$H$12="REAL",AD325,0)</f>
        <v>#DIV/0!</v>
      </c>
      <c r="AN325" s="5" t="e">
        <f>IF('Entrada e Saida'!$H$13= "NÃO",AE325,0)</f>
        <v>#DIV/0!</v>
      </c>
      <c r="AO325" s="5" t="e">
        <f t="shared" si="143"/>
        <v>#DIV/0!</v>
      </c>
      <c r="AP325" s="4" t="e">
        <f t="shared" si="144"/>
        <v>#DIV/0!</v>
      </c>
      <c r="AQ325" s="3" t="e">
        <f>IF('Entrada e Saida'!$H$11="TRADING",AU325*'Custo Resumido'!D325,0)</f>
        <v>#DIV/0!</v>
      </c>
      <c r="AR325" s="3" t="e">
        <f>IF('Entrada e Saida'!$H$11="TRADING",AU325*'Entrada e Saida'!$G$63,0)</f>
        <v>#DIV/0!</v>
      </c>
      <c r="AS325" s="3" t="e">
        <f>IF('Entrada e Saida'!$H$11="TRADING",AU325*'Entrada e Saida'!$G$64,0)</f>
        <v>#DIV/0!</v>
      </c>
      <c r="AT325" s="3" t="e">
        <f>IF('Entrada e Saida'!$H$11="TRADING",AU325*'Entrada e Saida'!$G$65,0)</f>
        <v>#DIV/0!</v>
      </c>
      <c r="AU325" s="4" t="e">
        <f>IF('Entrada e Saida'!$H$11="TRADING",AP325/(1-(SUM('Entrada e Saida'!$G$63:$G$65)+'Custo Resumido'!D325)),0)</f>
        <v>#DIV/0!</v>
      </c>
      <c r="AV325" s="3" t="e">
        <f>IF('Entrada e Saida'!$H$13="NÃO",AU325*M325,0)</f>
        <v>#DIV/0!</v>
      </c>
      <c r="AW325" s="4" t="e">
        <f t="shared" si="145"/>
        <v>#DIV/0!</v>
      </c>
      <c r="AX325" s="3" t="e">
        <f>'Entrada e Saida'!$G$74*AU325</f>
        <v>#DIV/0!</v>
      </c>
      <c r="AY325" s="4" t="e">
        <f t="shared" si="146"/>
        <v>#DIV/0!</v>
      </c>
      <c r="AZ325" s="4" t="e">
        <f>AQ325+('Entrada e Saida'!$G$65-'Entrada e Saida'!$I$65)*AU325-AX325</f>
        <v>#DIV/0!</v>
      </c>
      <c r="BA325" s="3" t="e">
        <f>IF('Entrada e Saida'!$H$12="REAL",AZ325*'Entrada e Saida'!$G$81,AU325*'Entrada e Saida'!$G$81)</f>
        <v>#DIV/0!</v>
      </c>
      <c r="BB325" s="3" t="e">
        <f>IF('Entrada e Saida'!$H$12="REAL",AZ325*'Entrada e Saida'!$G$82,AU325*'Entrada e Saida'!$G$82)</f>
        <v>#DIV/0!</v>
      </c>
      <c r="BC325" s="4" t="e">
        <f t="shared" si="147"/>
        <v>#DIV/0!</v>
      </c>
      <c r="BD325" s="3" t="e">
        <f>IF('Entrada e Saida'!$H$11="TRADING",AW325/D325,AK325/D325)</f>
        <v>#DIV/0!</v>
      </c>
      <c r="BE325" s="3" t="e">
        <f t="shared" si="148"/>
        <v>#DIV/0!</v>
      </c>
      <c r="BF325" s="2" t="e">
        <f t="shared" si="149"/>
        <v>#DIV/0!</v>
      </c>
      <c r="BG325" s="3" t="e">
        <f>IF('Entrada e Saida'!$H$11="TRADING",AV325/D325,AN325/D325)</f>
        <v>#DIV/0!</v>
      </c>
      <c r="BH325" s="3" t="e">
        <f>IF('Entrada e Saida'!$H$11="TRADING",IF('Entrada e Saida'!$H$12="REAL",AR325/D325,0),AL325/D325)</f>
        <v>#DIV/0!</v>
      </c>
      <c r="BI325" s="3" t="e">
        <f>IF('Entrada e Saida'!$H$11="TRADING",IF('Entrada e Saida'!$H$12="REAL",AS325/D325,0),AM325/D325)</f>
        <v>#DIV/0!</v>
      </c>
      <c r="BJ325" s="3" t="e">
        <f>IF('Entrada e Saida'!$H$11="TRADING",AT325/D325,AO325/D325)</f>
        <v>#DIV/0!</v>
      </c>
      <c r="BK325" s="2" t="e">
        <f t="shared" si="150"/>
        <v>#DIV/0!</v>
      </c>
      <c r="BL325" s="2">
        <f>IF(O325&gt;0,IFERROR(IF('Entrada e Saida'!$H$11="DIRETA",0,(IF('Entrada e Saida'!$H$14="P.JURIDICA",(BD325*(1+O325)*N325)-((BD325/(1+M325))*'Entrada e Saida'!$G$65),((Produtos!N325-'Entrada e Saida'!$G$65)*Produtos!BD325)))),0),0)</f>
        <v>0</v>
      </c>
      <c r="BM325" s="2" t="e">
        <f t="shared" si="151"/>
        <v>#DIV/0!</v>
      </c>
    </row>
    <row r="326" spans="1:65" s="1" customFormat="1">
      <c r="A326" s="127"/>
      <c r="B326" s="114"/>
      <c r="C326" s="116"/>
      <c r="D326" s="146"/>
      <c r="E326" s="115">
        <f>IFERROR(VLOOKUP(A326,'Master Modelo'!A:I,9,FALSE),0)</f>
        <v>0</v>
      </c>
      <c r="F326" s="189">
        <f>IFERROR(VLOOKUP(A326,'Master Modelo'!A:I,8,FALSE),0)</f>
        <v>0</v>
      </c>
      <c r="G326" s="189">
        <f>IFERROR(VLOOKUP(A326,'Master Modelo'!A:K,11,FALSE),0)</f>
        <v>0</v>
      </c>
      <c r="H326" s="114" t="e">
        <f t="shared" si="134"/>
        <v>#DIV/0!</v>
      </c>
      <c r="I326" s="150">
        <f>IFERROR(VLOOKUP(A326,'Master Modelo'!A:I,3,FALSE),0)</f>
        <v>0</v>
      </c>
      <c r="J326" s="151">
        <f>IFERROR(VLOOKUP(A326,'Master Modelo'!A:I,5,FALSE),0)</f>
        <v>0</v>
      </c>
      <c r="K326" s="151">
        <f>IFERROR(VLOOKUP(A326,'Master Modelo'!A:I,6,FALSE),0)</f>
        <v>0</v>
      </c>
      <c r="L326" s="152" t="e">
        <f>VLOOKUP(A326,'Master Modelo'!A:J,10,FALSE)</f>
        <v>#N/A</v>
      </c>
      <c r="M326" s="150">
        <f>IFERROR(VLOOKUP(A326,'Master Modelo'!A:I,4,FALSE),0)</f>
        <v>0</v>
      </c>
      <c r="N326" s="128"/>
      <c r="O326" s="129"/>
      <c r="P326" s="9">
        <f t="shared" si="135"/>
        <v>0</v>
      </c>
      <c r="Q326" s="177">
        <f t="shared" si="152"/>
        <v>0</v>
      </c>
      <c r="R326" s="3">
        <f>D326*E326*'Entrada e Saida'!$K$8</f>
        <v>0</v>
      </c>
      <c r="S326" s="179" t="e">
        <f>'Entrada e Saida'!$H$21*'Entrada e Saida'!$K$8*(P326/(SUM(P:P)))</f>
        <v>#DIV/0!</v>
      </c>
      <c r="T326" s="179" t="e">
        <f>'Entrada e Saida'!$H$21*'Entrada e Saida'!$K$8*(Q326/(SUM(Q:Q)))</f>
        <v>#DIV/0!</v>
      </c>
      <c r="U326" s="179" t="e">
        <f>'Entrada e Saida'!$H$22*(P326/(SUM(P:P)))</f>
        <v>#DIV/0!</v>
      </c>
      <c r="V326" s="179" t="e">
        <f>'Entrada e Saida'!$H$22*(Q326/(SUM(Q:Q)))</f>
        <v>#DIV/0!</v>
      </c>
      <c r="W326" s="8" t="e">
        <f t="shared" si="136"/>
        <v>#DIV/0!</v>
      </c>
      <c r="X326" s="179" t="e">
        <f>'Entrada e Saida'!$H$26*(IF('Entrada e Saida'!$H$15="PESO",(P326/(SUM(P:P))),(Q326/(SUM(Q:Q)))))</f>
        <v>#DIV/0!</v>
      </c>
      <c r="Y326" s="179" t="e">
        <f>'Entrada e Saida'!$H$27*(IF('Entrada e Saida'!$H$15="PESO",(P326/(SUM(P:P))),(Q326/(SUM(Q:Q)))))</f>
        <v>#DIV/0!</v>
      </c>
      <c r="Z326" s="179" t="e">
        <f>'Entrada e Saida'!$H$28*(IF('Entrada e Saida'!$H$15="PESO",(P326/(SUM(P:P))),(Q326/(SUM(Q:Q)))))</f>
        <v>#DIV/0!</v>
      </c>
      <c r="AA326" s="10" t="e">
        <f t="shared" si="137"/>
        <v>#DIV/0!</v>
      </c>
      <c r="AB326" s="3" t="e">
        <f t="shared" si="138"/>
        <v>#DIV/0!</v>
      </c>
      <c r="AC326" s="3" t="e">
        <f t="shared" si="139"/>
        <v>#DIV/0!</v>
      </c>
      <c r="AD326" s="3" t="e">
        <f t="shared" si="140"/>
        <v>#DIV/0!</v>
      </c>
      <c r="AE326" s="9" t="e">
        <f t="shared" si="141"/>
        <v>#DIV/0!</v>
      </c>
      <c r="AF326" s="126">
        <f>IFERROR(D326*F326*L326*'Entrada e Saida'!$K$8,0)</f>
        <v>0</v>
      </c>
      <c r="AG326" s="3" t="e">
        <f>((W326+AA326+AB326+AC326+AD326+AE326+AF326)/(1-'Entrada e Saida'!$G$65))*'Entrada e Saida'!$I$66</f>
        <v>#DIV/0!</v>
      </c>
      <c r="AH326" s="8" t="e">
        <f t="shared" si="142"/>
        <v>#DIV/0!</v>
      </c>
      <c r="AI326" s="183" t="e">
        <f>'Entrada e Saida'!$K$51*(IF('Entrada e Saida'!$H$15="PESO",(P326/(SUM(P:P))),(Q326/(SUM(Q:Q)))))</f>
        <v>#DIV/0!</v>
      </c>
      <c r="AJ326" s="7">
        <f>(('Entrada e Saida'!$K$10-'Entrada e Saida'!$K$8)*E326*D326)</f>
        <v>0</v>
      </c>
      <c r="AK326" s="184" t="e">
        <f>IF('Entrada e Saida'!$H$15="PESO",W326+AA326+AH326+AI326+AJ326,W326+AA326+AH326+AI326+AJ326-S326+T326-U326+V326)</f>
        <v>#DIV/0!</v>
      </c>
      <c r="AL326" s="6" t="e">
        <f>IF('Entrada e Saida'!$H$12="REAL",AC326,0)</f>
        <v>#DIV/0!</v>
      </c>
      <c r="AM326" s="6" t="e">
        <f>IF('Entrada e Saida'!$H$12="REAL",AD326,0)</f>
        <v>#DIV/0!</v>
      </c>
      <c r="AN326" s="5" t="e">
        <f>IF('Entrada e Saida'!$H$13= "NÃO",AE326,0)</f>
        <v>#DIV/0!</v>
      </c>
      <c r="AO326" s="5" t="e">
        <f t="shared" si="143"/>
        <v>#DIV/0!</v>
      </c>
      <c r="AP326" s="4" t="e">
        <f t="shared" si="144"/>
        <v>#DIV/0!</v>
      </c>
      <c r="AQ326" s="3" t="e">
        <f>IF('Entrada e Saida'!$H$11="TRADING",AU326*'Custo Resumido'!D326,0)</f>
        <v>#DIV/0!</v>
      </c>
      <c r="AR326" s="3" t="e">
        <f>IF('Entrada e Saida'!$H$11="TRADING",AU326*'Entrada e Saida'!$G$63,0)</f>
        <v>#DIV/0!</v>
      </c>
      <c r="AS326" s="3" t="e">
        <f>IF('Entrada e Saida'!$H$11="TRADING",AU326*'Entrada e Saida'!$G$64,0)</f>
        <v>#DIV/0!</v>
      </c>
      <c r="AT326" s="3" t="e">
        <f>IF('Entrada e Saida'!$H$11="TRADING",AU326*'Entrada e Saida'!$G$65,0)</f>
        <v>#DIV/0!</v>
      </c>
      <c r="AU326" s="4" t="e">
        <f>IF('Entrada e Saida'!$H$11="TRADING",AP326/(1-(SUM('Entrada e Saida'!$G$63:$G$65)+'Custo Resumido'!D326)),0)</f>
        <v>#DIV/0!</v>
      </c>
      <c r="AV326" s="3" t="e">
        <f>IF('Entrada e Saida'!$H$13="NÃO",AU326*M326,0)</f>
        <v>#DIV/0!</v>
      </c>
      <c r="AW326" s="4" t="e">
        <f t="shared" si="145"/>
        <v>#DIV/0!</v>
      </c>
      <c r="AX326" s="3" t="e">
        <f>'Entrada e Saida'!$G$74*AU326</f>
        <v>#DIV/0!</v>
      </c>
      <c r="AY326" s="4" t="e">
        <f t="shared" si="146"/>
        <v>#DIV/0!</v>
      </c>
      <c r="AZ326" s="4" t="e">
        <f>AQ326+('Entrada e Saida'!$G$65-'Entrada e Saida'!$I$65)*AU326-AX326</f>
        <v>#DIV/0!</v>
      </c>
      <c r="BA326" s="3" t="e">
        <f>IF('Entrada e Saida'!$H$12="REAL",AZ326*'Entrada e Saida'!$G$81,AU326*'Entrada e Saida'!$G$81)</f>
        <v>#DIV/0!</v>
      </c>
      <c r="BB326" s="3" t="e">
        <f>IF('Entrada e Saida'!$H$12="REAL",AZ326*'Entrada e Saida'!$G$82,AU326*'Entrada e Saida'!$G$82)</f>
        <v>#DIV/0!</v>
      </c>
      <c r="BC326" s="4" t="e">
        <f t="shared" si="147"/>
        <v>#DIV/0!</v>
      </c>
      <c r="BD326" s="3" t="e">
        <f>IF('Entrada e Saida'!$H$11="TRADING",AW326/D326,AK326/D326)</f>
        <v>#DIV/0!</v>
      </c>
      <c r="BE326" s="3" t="e">
        <f t="shared" si="148"/>
        <v>#DIV/0!</v>
      </c>
      <c r="BF326" s="2" t="e">
        <f t="shared" si="149"/>
        <v>#DIV/0!</v>
      </c>
      <c r="BG326" s="3" t="e">
        <f>IF('Entrada e Saida'!$H$11="TRADING",AV326/D326,AN326/D326)</f>
        <v>#DIV/0!</v>
      </c>
      <c r="BH326" s="3" t="e">
        <f>IF('Entrada e Saida'!$H$11="TRADING",IF('Entrada e Saida'!$H$12="REAL",AR326/D326,0),AL326/D326)</f>
        <v>#DIV/0!</v>
      </c>
      <c r="BI326" s="3" t="e">
        <f>IF('Entrada e Saida'!$H$11="TRADING",IF('Entrada e Saida'!$H$12="REAL",AS326/D326,0),AM326/D326)</f>
        <v>#DIV/0!</v>
      </c>
      <c r="BJ326" s="3" t="e">
        <f>IF('Entrada e Saida'!$H$11="TRADING",AT326/D326,AO326/D326)</f>
        <v>#DIV/0!</v>
      </c>
      <c r="BK326" s="2" t="e">
        <f t="shared" si="150"/>
        <v>#DIV/0!</v>
      </c>
      <c r="BL326" s="2">
        <f>IF(O326&gt;0,IFERROR(IF('Entrada e Saida'!$H$11="DIRETA",0,(IF('Entrada e Saida'!$H$14="P.JURIDICA",(BD326*(1+O326)*N326)-((BD326/(1+M326))*'Entrada e Saida'!$G$65),((Produtos!N326-'Entrada e Saida'!$G$65)*Produtos!BD326)))),0),0)</f>
        <v>0</v>
      </c>
      <c r="BM326" s="2" t="e">
        <f t="shared" si="151"/>
        <v>#DIV/0!</v>
      </c>
    </row>
    <row r="327" spans="1:65" s="1" customFormat="1">
      <c r="A327" s="127"/>
      <c r="B327" s="114"/>
      <c r="C327" s="116"/>
      <c r="D327" s="146"/>
      <c r="E327" s="115">
        <f>IFERROR(VLOOKUP(A327,'Master Modelo'!A:I,9,FALSE),0)</f>
        <v>0</v>
      </c>
      <c r="F327" s="189">
        <f>IFERROR(VLOOKUP(A327,'Master Modelo'!A:I,8,FALSE),0)</f>
        <v>0</v>
      </c>
      <c r="G327" s="189">
        <f>IFERROR(VLOOKUP(A327,'Master Modelo'!A:K,11,FALSE),0)</f>
        <v>0</v>
      </c>
      <c r="H327" s="114" t="e">
        <f t="shared" si="134"/>
        <v>#DIV/0!</v>
      </c>
      <c r="I327" s="150">
        <f>IFERROR(VLOOKUP(A327,'Master Modelo'!A:I,3,FALSE),0)</f>
        <v>0</v>
      </c>
      <c r="J327" s="151">
        <f>IFERROR(VLOOKUP(A327,'Master Modelo'!A:I,5,FALSE),0)</f>
        <v>0</v>
      </c>
      <c r="K327" s="151">
        <f>IFERROR(VLOOKUP(A327,'Master Modelo'!A:I,6,FALSE),0)</f>
        <v>0</v>
      </c>
      <c r="L327" s="152" t="e">
        <f>VLOOKUP(A327,'Master Modelo'!A:J,10,FALSE)</f>
        <v>#N/A</v>
      </c>
      <c r="M327" s="150">
        <f>IFERROR(VLOOKUP(A327,'Master Modelo'!A:I,4,FALSE),0)</f>
        <v>0</v>
      </c>
      <c r="N327" s="128"/>
      <c r="O327" s="129"/>
      <c r="P327" s="9">
        <f t="shared" si="135"/>
        <v>0</v>
      </c>
      <c r="Q327" s="177">
        <f t="shared" si="152"/>
        <v>0</v>
      </c>
      <c r="R327" s="3">
        <f>D327*E327*'Entrada e Saida'!$K$8</f>
        <v>0</v>
      </c>
      <c r="S327" s="179" t="e">
        <f>'Entrada e Saida'!$H$21*'Entrada e Saida'!$K$8*(P327/(SUM(P:P)))</f>
        <v>#DIV/0!</v>
      </c>
      <c r="T327" s="179" t="e">
        <f>'Entrada e Saida'!$H$21*'Entrada e Saida'!$K$8*(Q327/(SUM(Q:Q)))</f>
        <v>#DIV/0!</v>
      </c>
      <c r="U327" s="179" t="e">
        <f>'Entrada e Saida'!$H$22*(P327/(SUM(P:P)))</f>
        <v>#DIV/0!</v>
      </c>
      <c r="V327" s="179" t="e">
        <f>'Entrada e Saida'!$H$22*(Q327/(SUM(Q:Q)))</f>
        <v>#DIV/0!</v>
      </c>
      <c r="W327" s="8" t="e">
        <f t="shared" si="136"/>
        <v>#DIV/0!</v>
      </c>
      <c r="X327" s="179" t="e">
        <f>'Entrada e Saida'!$H$26*(IF('Entrada e Saida'!$H$15="PESO",(P327/(SUM(P:P))),(Q327/(SUM(Q:Q)))))</f>
        <v>#DIV/0!</v>
      </c>
      <c r="Y327" s="179" t="e">
        <f>'Entrada e Saida'!$H$27*(IF('Entrada e Saida'!$H$15="PESO",(P327/(SUM(P:P))),(Q327/(SUM(Q:Q)))))</f>
        <v>#DIV/0!</v>
      </c>
      <c r="Z327" s="179" t="e">
        <f>'Entrada e Saida'!$H$28*(IF('Entrada e Saida'!$H$15="PESO",(P327/(SUM(P:P))),(Q327/(SUM(Q:Q)))))</f>
        <v>#DIV/0!</v>
      </c>
      <c r="AA327" s="10" t="e">
        <f t="shared" si="137"/>
        <v>#DIV/0!</v>
      </c>
      <c r="AB327" s="3" t="e">
        <f t="shared" si="138"/>
        <v>#DIV/0!</v>
      </c>
      <c r="AC327" s="3" t="e">
        <f t="shared" si="139"/>
        <v>#DIV/0!</v>
      </c>
      <c r="AD327" s="3" t="e">
        <f t="shared" si="140"/>
        <v>#DIV/0!</v>
      </c>
      <c r="AE327" s="9" t="e">
        <f t="shared" si="141"/>
        <v>#DIV/0!</v>
      </c>
      <c r="AF327" s="126">
        <f>IFERROR(D327*F327*L327*'Entrada e Saida'!$K$8,0)</f>
        <v>0</v>
      </c>
      <c r="AG327" s="3" t="e">
        <f>((W327+AA327+AB327+AC327+AD327+AE327+AF327)/(1-'Entrada e Saida'!$G$65))*'Entrada e Saida'!$I$66</f>
        <v>#DIV/0!</v>
      </c>
      <c r="AH327" s="8" t="e">
        <f t="shared" si="142"/>
        <v>#DIV/0!</v>
      </c>
      <c r="AI327" s="183" t="e">
        <f>'Entrada e Saida'!$K$51*(IF('Entrada e Saida'!$H$15="PESO",(P327/(SUM(P:P))),(Q327/(SUM(Q:Q)))))</f>
        <v>#DIV/0!</v>
      </c>
      <c r="AJ327" s="7">
        <f>(('Entrada e Saida'!$K$10-'Entrada e Saida'!$K$8)*E327*D327)</f>
        <v>0</v>
      </c>
      <c r="AK327" s="184" t="e">
        <f>IF('Entrada e Saida'!$H$15="PESO",W327+AA327+AH327+AI327+AJ327,W327+AA327+AH327+AI327+AJ327-S327+T327-U327+V327)</f>
        <v>#DIV/0!</v>
      </c>
      <c r="AL327" s="6" t="e">
        <f>IF('Entrada e Saida'!$H$12="REAL",AC327,0)</f>
        <v>#DIV/0!</v>
      </c>
      <c r="AM327" s="6" t="e">
        <f>IF('Entrada e Saida'!$H$12="REAL",AD327,0)</f>
        <v>#DIV/0!</v>
      </c>
      <c r="AN327" s="5" t="e">
        <f>IF('Entrada e Saida'!$H$13= "NÃO",AE327,0)</f>
        <v>#DIV/0!</v>
      </c>
      <c r="AO327" s="5" t="e">
        <f t="shared" si="143"/>
        <v>#DIV/0!</v>
      </c>
      <c r="AP327" s="4" t="e">
        <f t="shared" si="144"/>
        <v>#DIV/0!</v>
      </c>
      <c r="AQ327" s="3" t="e">
        <f>IF('Entrada e Saida'!$H$11="TRADING",AU327*'Custo Resumido'!D327,0)</f>
        <v>#DIV/0!</v>
      </c>
      <c r="AR327" s="3" t="e">
        <f>IF('Entrada e Saida'!$H$11="TRADING",AU327*'Entrada e Saida'!$G$63,0)</f>
        <v>#DIV/0!</v>
      </c>
      <c r="AS327" s="3" t="e">
        <f>IF('Entrada e Saida'!$H$11="TRADING",AU327*'Entrada e Saida'!$G$64,0)</f>
        <v>#DIV/0!</v>
      </c>
      <c r="AT327" s="3" t="e">
        <f>IF('Entrada e Saida'!$H$11="TRADING",AU327*'Entrada e Saida'!$G$65,0)</f>
        <v>#DIV/0!</v>
      </c>
      <c r="AU327" s="4" t="e">
        <f>IF('Entrada e Saida'!$H$11="TRADING",AP327/(1-(SUM('Entrada e Saida'!$G$63:$G$65)+'Custo Resumido'!D327)),0)</f>
        <v>#DIV/0!</v>
      </c>
      <c r="AV327" s="3" t="e">
        <f>IF('Entrada e Saida'!$H$13="NÃO",AU327*M327,0)</f>
        <v>#DIV/0!</v>
      </c>
      <c r="AW327" s="4" t="e">
        <f t="shared" si="145"/>
        <v>#DIV/0!</v>
      </c>
      <c r="AX327" s="3" t="e">
        <f>'Entrada e Saida'!$G$74*AU327</f>
        <v>#DIV/0!</v>
      </c>
      <c r="AY327" s="4" t="e">
        <f t="shared" si="146"/>
        <v>#DIV/0!</v>
      </c>
      <c r="AZ327" s="4" t="e">
        <f>AQ327+('Entrada e Saida'!$G$65-'Entrada e Saida'!$I$65)*AU327-AX327</f>
        <v>#DIV/0!</v>
      </c>
      <c r="BA327" s="3" t="e">
        <f>IF('Entrada e Saida'!$H$12="REAL",AZ327*'Entrada e Saida'!$G$81,AU327*'Entrada e Saida'!$G$81)</f>
        <v>#DIV/0!</v>
      </c>
      <c r="BB327" s="3" t="e">
        <f>IF('Entrada e Saida'!$H$12="REAL",AZ327*'Entrada e Saida'!$G$82,AU327*'Entrada e Saida'!$G$82)</f>
        <v>#DIV/0!</v>
      </c>
      <c r="BC327" s="4" t="e">
        <f t="shared" si="147"/>
        <v>#DIV/0!</v>
      </c>
      <c r="BD327" s="3" t="e">
        <f>IF('Entrada e Saida'!$H$11="TRADING",AW327/D327,AK327/D327)</f>
        <v>#DIV/0!</v>
      </c>
      <c r="BE327" s="3" t="e">
        <f t="shared" si="148"/>
        <v>#DIV/0!</v>
      </c>
      <c r="BF327" s="2" t="e">
        <f t="shared" si="149"/>
        <v>#DIV/0!</v>
      </c>
      <c r="BG327" s="3" t="e">
        <f>IF('Entrada e Saida'!$H$11="TRADING",AV327/D327,AN327/D327)</f>
        <v>#DIV/0!</v>
      </c>
      <c r="BH327" s="3" t="e">
        <f>IF('Entrada e Saida'!$H$11="TRADING",IF('Entrada e Saida'!$H$12="REAL",AR327/D327,0),AL327/D327)</f>
        <v>#DIV/0!</v>
      </c>
      <c r="BI327" s="3" t="e">
        <f>IF('Entrada e Saida'!$H$11="TRADING",IF('Entrada e Saida'!$H$12="REAL",AS327/D327,0),AM327/D327)</f>
        <v>#DIV/0!</v>
      </c>
      <c r="BJ327" s="3" t="e">
        <f>IF('Entrada e Saida'!$H$11="TRADING",AT327/D327,AO327/D327)</f>
        <v>#DIV/0!</v>
      </c>
      <c r="BK327" s="2" t="e">
        <f t="shared" si="150"/>
        <v>#DIV/0!</v>
      </c>
      <c r="BL327" s="2">
        <f>IF(O327&gt;0,IFERROR(IF('Entrada e Saida'!$H$11="DIRETA",0,(IF('Entrada e Saida'!$H$14="P.JURIDICA",(BD327*(1+O327)*N327)-((BD327/(1+M327))*'Entrada e Saida'!$G$65),((Produtos!N327-'Entrada e Saida'!$G$65)*Produtos!BD327)))),0),0)</f>
        <v>0</v>
      </c>
      <c r="BM327" s="2" t="e">
        <f t="shared" si="151"/>
        <v>#DIV/0!</v>
      </c>
    </row>
    <row r="328" spans="1:65" s="1" customFormat="1">
      <c r="A328" s="127"/>
      <c r="B328" s="114"/>
      <c r="C328" s="116"/>
      <c r="D328" s="146"/>
      <c r="E328" s="115">
        <f>IFERROR(VLOOKUP(A328,'Master Modelo'!A:I,9,FALSE),0)</f>
        <v>0</v>
      </c>
      <c r="F328" s="189">
        <f>IFERROR(VLOOKUP(A328,'Master Modelo'!A:I,8,FALSE),0)</f>
        <v>0</v>
      </c>
      <c r="G328" s="189">
        <f>IFERROR(VLOOKUP(A328,'Master Modelo'!A:K,11,FALSE),0)</f>
        <v>0</v>
      </c>
      <c r="H328" s="114" t="e">
        <f t="shared" si="134"/>
        <v>#DIV/0!</v>
      </c>
      <c r="I328" s="150">
        <f>IFERROR(VLOOKUP(A328,'Master Modelo'!A:I,3,FALSE),0)</f>
        <v>0</v>
      </c>
      <c r="J328" s="151">
        <f>IFERROR(VLOOKUP(A328,'Master Modelo'!A:I,5,FALSE),0)</f>
        <v>0</v>
      </c>
      <c r="K328" s="151">
        <f>IFERROR(VLOOKUP(A328,'Master Modelo'!A:I,6,FALSE),0)</f>
        <v>0</v>
      </c>
      <c r="L328" s="152" t="e">
        <f>VLOOKUP(A328,'Master Modelo'!A:J,10,FALSE)</f>
        <v>#N/A</v>
      </c>
      <c r="M328" s="150">
        <f>IFERROR(VLOOKUP(A328,'Master Modelo'!A:I,4,FALSE),0)</f>
        <v>0</v>
      </c>
      <c r="N328" s="128"/>
      <c r="O328" s="129"/>
      <c r="P328" s="9">
        <f t="shared" si="135"/>
        <v>0</v>
      </c>
      <c r="Q328" s="177">
        <f t="shared" si="152"/>
        <v>0</v>
      </c>
      <c r="R328" s="3">
        <f>D328*E328*'Entrada e Saida'!$K$8</f>
        <v>0</v>
      </c>
      <c r="S328" s="179" t="e">
        <f>'Entrada e Saida'!$H$21*'Entrada e Saida'!$K$8*(P328/(SUM(P:P)))</f>
        <v>#DIV/0!</v>
      </c>
      <c r="T328" s="179" t="e">
        <f>'Entrada e Saida'!$H$21*'Entrada e Saida'!$K$8*(Q328/(SUM(Q:Q)))</f>
        <v>#DIV/0!</v>
      </c>
      <c r="U328" s="179" t="e">
        <f>'Entrada e Saida'!$H$22*(P328/(SUM(P:P)))</f>
        <v>#DIV/0!</v>
      </c>
      <c r="V328" s="179" t="e">
        <f>'Entrada e Saida'!$H$22*(Q328/(SUM(Q:Q)))</f>
        <v>#DIV/0!</v>
      </c>
      <c r="W328" s="8" t="e">
        <f t="shared" si="136"/>
        <v>#DIV/0!</v>
      </c>
      <c r="X328" s="179" t="e">
        <f>'Entrada e Saida'!$H$26*(IF('Entrada e Saida'!$H$15="PESO",(P328/(SUM(P:P))),(Q328/(SUM(Q:Q)))))</f>
        <v>#DIV/0!</v>
      </c>
      <c r="Y328" s="179" t="e">
        <f>'Entrada e Saida'!$H$27*(IF('Entrada e Saida'!$H$15="PESO",(P328/(SUM(P:P))),(Q328/(SUM(Q:Q)))))</f>
        <v>#DIV/0!</v>
      </c>
      <c r="Z328" s="179" t="e">
        <f>'Entrada e Saida'!$H$28*(IF('Entrada e Saida'!$H$15="PESO",(P328/(SUM(P:P))),(Q328/(SUM(Q:Q)))))</f>
        <v>#DIV/0!</v>
      </c>
      <c r="AA328" s="10" t="e">
        <f t="shared" si="137"/>
        <v>#DIV/0!</v>
      </c>
      <c r="AB328" s="3" t="e">
        <f t="shared" si="138"/>
        <v>#DIV/0!</v>
      </c>
      <c r="AC328" s="3" t="e">
        <f t="shared" si="139"/>
        <v>#DIV/0!</v>
      </c>
      <c r="AD328" s="3" t="e">
        <f t="shared" si="140"/>
        <v>#DIV/0!</v>
      </c>
      <c r="AE328" s="9" t="e">
        <f t="shared" si="141"/>
        <v>#DIV/0!</v>
      </c>
      <c r="AF328" s="126">
        <f>IFERROR(D328*F328*L328*'Entrada e Saida'!$K$8,0)</f>
        <v>0</v>
      </c>
      <c r="AG328" s="3" t="e">
        <f>((W328+AA328+AB328+AC328+AD328+AE328+AF328)/(1-'Entrada e Saida'!$G$65))*'Entrada e Saida'!$I$66</f>
        <v>#DIV/0!</v>
      </c>
      <c r="AH328" s="8" t="e">
        <f t="shared" si="142"/>
        <v>#DIV/0!</v>
      </c>
      <c r="AI328" s="183" t="e">
        <f>'Entrada e Saida'!$K$51*(IF('Entrada e Saida'!$H$15="PESO",(P328/(SUM(P:P))),(Q328/(SUM(Q:Q)))))</f>
        <v>#DIV/0!</v>
      </c>
      <c r="AJ328" s="7">
        <f>(('Entrada e Saida'!$K$10-'Entrada e Saida'!$K$8)*E328*D328)</f>
        <v>0</v>
      </c>
      <c r="AK328" s="184" t="e">
        <f>IF('Entrada e Saida'!$H$15="PESO",W328+AA328+AH328+AI328+AJ328,W328+AA328+AH328+AI328+AJ328-S328+T328-U328+V328)</f>
        <v>#DIV/0!</v>
      </c>
      <c r="AL328" s="6" t="e">
        <f>IF('Entrada e Saida'!$H$12="REAL",AC328,0)</f>
        <v>#DIV/0!</v>
      </c>
      <c r="AM328" s="6" t="e">
        <f>IF('Entrada e Saida'!$H$12="REAL",AD328,0)</f>
        <v>#DIV/0!</v>
      </c>
      <c r="AN328" s="5" t="e">
        <f>IF('Entrada e Saida'!$H$13= "NÃO",AE328,0)</f>
        <v>#DIV/0!</v>
      </c>
      <c r="AO328" s="5" t="e">
        <f t="shared" si="143"/>
        <v>#DIV/0!</v>
      </c>
      <c r="AP328" s="4" t="e">
        <f t="shared" si="144"/>
        <v>#DIV/0!</v>
      </c>
      <c r="AQ328" s="3" t="e">
        <f>IF('Entrada e Saida'!$H$11="TRADING",AU328*'Custo Resumido'!D328,0)</f>
        <v>#DIV/0!</v>
      </c>
      <c r="AR328" s="3" t="e">
        <f>IF('Entrada e Saida'!$H$11="TRADING",AU328*'Entrada e Saida'!$G$63,0)</f>
        <v>#DIV/0!</v>
      </c>
      <c r="AS328" s="3" t="e">
        <f>IF('Entrada e Saida'!$H$11="TRADING",AU328*'Entrada e Saida'!$G$64,0)</f>
        <v>#DIV/0!</v>
      </c>
      <c r="AT328" s="3" t="e">
        <f>IF('Entrada e Saida'!$H$11="TRADING",AU328*'Entrada e Saida'!$G$65,0)</f>
        <v>#DIV/0!</v>
      </c>
      <c r="AU328" s="4" t="e">
        <f>IF('Entrada e Saida'!$H$11="TRADING",AP328/(1-(SUM('Entrada e Saida'!$G$63:$G$65)+'Custo Resumido'!D328)),0)</f>
        <v>#DIV/0!</v>
      </c>
      <c r="AV328" s="3" t="e">
        <f>IF('Entrada e Saida'!$H$13="NÃO",AU328*M328,0)</f>
        <v>#DIV/0!</v>
      </c>
      <c r="AW328" s="4" t="e">
        <f t="shared" si="145"/>
        <v>#DIV/0!</v>
      </c>
      <c r="AX328" s="3" t="e">
        <f>'Entrada e Saida'!$G$74*AU328</f>
        <v>#DIV/0!</v>
      </c>
      <c r="AY328" s="4" t="e">
        <f t="shared" si="146"/>
        <v>#DIV/0!</v>
      </c>
      <c r="AZ328" s="4" t="e">
        <f>AQ328+('Entrada e Saida'!$G$65-'Entrada e Saida'!$I$65)*AU328-AX328</f>
        <v>#DIV/0!</v>
      </c>
      <c r="BA328" s="3" t="e">
        <f>IF('Entrada e Saida'!$H$12="REAL",AZ328*'Entrada e Saida'!$G$81,AU328*'Entrada e Saida'!$G$81)</f>
        <v>#DIV/0!</v>
      </c>
      <c r="BB328" s="3" t="e">
        <f>IF('Entrada e Saida'!$H$12="REAL",AZ328*'Entrada e Saida'!$G$82,AU328*'Entrada e Saida'!$G$82)</f>
        <v>#DIV/0!</v>
      </c>
      <c r="BC328" s="4" t="e">
        <f t="shared" si="147"/>
        <v>#DIV/0!</v>
      </c>
      <c r="BD328" s="3" t="e">
        <f>IF('Entrada e Saida'!$H$11="TRADING",AW328/D328,AK328/D328)</f>
        <v>#DIV/0!</v>
      </c>
      <c r="BE328" s="3" t="e">
        <f t="shared" si="148"/>
        <v>#DIV/0!</v>
      </c>
      <c r="BF328" s="2" t="e">
        <f t="shared" si="149"/>
        <v>#DIV/0!</v>
      </c>
      <c r="BG328" s="3" t="e">
        <f>IF('Entrada e Saida'!$H$11="TRADING",AV328/D328,AN328/D328)</f>
        <v>#DIV/0!</v>
      </c>
      <c r="BH328" s="3" t="e">
        <f>IF('Entrada e Saida'!$H$11="TRADING",IF('Entrada e Saida'!$H$12="REAL",AR328/D328,0),AL328/D328)</f>
        <v>#DIV/0!</v>
      </c>
      <c r="BI328" s="3" t="e">
        <f>IF('Entrada e Saida'!$H$11="TRADING",IF('Entrada e Saida'!$H$12="REAL",AS328/D328,0),AM328/D328)</f>
        <v>#DIV/0!</v>
      </c>
      <c r="BJ328" s="3" t="e">
        <f>IF('Entrada e Saida'!$H$11="TRADING",AT328/D328,AO328/D328)</f>
        <v>#DIV/0!</v>
      </c>
      <c r="BK328" s="2" t="e">
        <f t="shared" si="150"/>
        <v>#DIV/0!</v>
      </c>
      <c r="BL328" s="2">
        <f>IF(O328&gt;0,IFERROR(IF('Entrada e Saida'!$H$11="DIRETA",0,(IF('Entrada e Saida'!$H$14="P.JURIDICA",(BD328*(1+O328)*N328)-((BD328/(1+M328))*'Entrada e Saida'!$G$65),((Produtos!N328-'Entrada e Saida'!$G$65)*Produtos!BD328)))),0),0)</f>
        <v>0</v>
      </c>
      <c r="BM328" s="2" t="e">
        <f t="shared" si="151"/>
        <v>#DIV/0!</v>
      </c>
    </row>
    <row r="329" spans="1:65" s="1" customFormat="1">
      <c r="A329" s="127"/>
      <c r="B329" s="114"/>
      <c r="C329" s="116"/>
      <c r="D329" s="146"/>
      <c r="E329" s="115">
        <f>IFERROR(VLOOKUP(A329,'Master Modelo'!A:I,9,FALSE),0)</f>
        <v>0</v>
      </c>
      <c r="F329" s="189">
        <f>IFERROR(VLOOKUP(A329,'Master Modelo'!A:I,8,FALSE),0)</f>
        <v>0</v>
      </c>
      <c r="G329" s="189">
        <f>IFERROR(VLOOKUP(A329,'Master Modelo'!A:K,11,FALSE),0)</f>
        <v>0</v>
      </c>
      <c r="H329" s="114" t="e">
        <f t="shared" si="134"/>
        <v>#DIV/0!</v>
      </c>
      <c r="I329" s="150">
        <f>IFERROR(VLOOKUP(A329,'Master Modelo'!A:I,3,FALSE),0)</f>
        <v>0</v>
      </c>
      <c r="J329" s="151">
        <f>IFERROR(VLOOKUP(A329,'Master Modelo'!A:I,5,FALSE),0)</f>
        <v>0</v>
      </c>
      <c r="K329" s="151">
        <f>IFERROR(VLOOKUP(A329,'Master Modelo'!A:I,6,FALSE),0)</f>
        <v>0</v>
      </c>
      <c r="L329" s="152" t="e">
        <f>VLOOKUP(A329,'Master Modelo'!A:J,10,FALSE)</f>
        <v>#N/A</v>
      </c>
      <c r="M329" s="150">
        <f>IFERROR(VLOOKUP(A329,'Master Modelo'!A:I,4,FALSE),0)</f>
        <v>0</v>
      </c>
      <c r="N329" s="128"/>
      <c r="O329" s="129"/>
      <c r="P329" s="9">
        <f t="shared" si="135"/>
        <v>0</v>
      </c>
      <c r="Q329" s="177">
        <f t="shared" si="152"/>
        <v>0</v>
      </c>
      <c r="R329" s="3">
        <f>D329*E329*'Entrada e Saida'!$K$8</f>
        <v>0</v>
      </c>
      <c r="S329" s="179" t="e">
        <f>'Entrada e Saida'!$H$21*'Entrada e Saida'!$K$8*(P329/(SUM(P:P)))</f>
        <v>#DIV/0!</v>
      </c>
      <c r="T329" s="179" t="e">
        <f>'Entrada e Saida'!$H$21*'Entrada e Saida'!$K$8*(Q329/(SUM(Q:Q)))</f>
        <v>#DIV/0!</v>
      </c>
      <c r="U329" s="179" t="e">
        <f>'Entrada e Saida'!$H$22*(P329/(SUM(P:P)))</f>
        <v>#DIV/0!</v>
      </c>
      <c r="V329" s="179" t="e">
        <f>'Entrada e Saida'!$H$22*(Q329/(SUM(Q:Q)))</f>
        <v>#DIV/0!</v>
      </c>
      <c r="W329" s="8" t="e">
        <f t="shared" si="136"/>
        <v>#DIV/0!</v>
      </c>
      <c r="X329" s="179" t="e">
        <f>'Entrada e Saida'!$H$26*(IF('Entrada e Saida'!$H$15="PESO",(P329/(SUM(P:P))),(Q329/(SUM(Q:Q)))))</f>
        <v>#DIV/0!</v>
      </c>
      <c r="Y329" s="179" t="e">
        <f>'Entrada e Saida'!$H$27*(IF('Entrada e Saida'!$H$15="PESO",(P329/(SUM(P:P))),(Q329/(SUM(Q:Q)))))</f>
        <v>#DIV/0!</v>
      </c>
      <c r="Z329" s="179" t="e">
        <f>'Entrada e Saida'!$H$28*(IF('Entrada e Saida'!$H$15="PESO",(P329/(SUM(P:P))),(Q329/(SUM(Q:Q)))))</f>
        <v>#DIV/0!</v>
      </c>
      <c r="AA329" s="10" t="e">
        <f t="shared" si="137"/>
        <v>#DIV/0!</v>
      </c>
      <c r="AB329" s="3" t="e">
        <f t="shared" si="138"/>
        <v>#DIV/0!</v>
      </c>
      <c r="AC329" s="3" t="e">
        <f t="shared" si="139"/>
        <v>#DIV/0!</v>
      </c>
      <c r="AD329" s="3" t="e">
        <f t="shared" si="140"/>
        <v>#DIV/0!</v>
      </c>
      <c r="AE329" s="9" t="e">
        <f t="shared" si="141"/>
        <v>#DIV/0!</v>
      </c>
      <c r="AF329" s="126">
        <f>IFERROR(D329*F329*L329*'Entrada e Saida'!$K$8,0)</f>
        <v>0</v>
      </c>
      <c r="AG329" s="3" t="e">
        <f>((W329+AA329+AB329+AC329+AD329+AE329+AF329)/(1-'Entrada e Saida'!$G$65))*'Entrada e Saida'!$I$66</f>
        <v>#DIV/0!</v>
      </c>
      <c r="AH329" s="8" t="e">
        <f t="shared" si="142"/>
        <v>#DIV/0!</v>
      </c>
      <c r="AI329" s="183" t="e">
        <f>'Entrada e Saida'!$K$51*(IF('Entrada e Saida'!$H$15="PESO",(P329/(SUM(P:P))),(Q329/(SUM(Q:Q)))))</f>
        <v>#DIV/0!</v>
      </c>
      <c r="AJ329" s="7">
        <f>(('Entrada e Saida'!$K$10-'Entrada e Saida'!$K$8)*E329*D329)</f>
        <v>0</v>
      </c>
      <c r="AK329" s="184" t="e">
        <f>IF('Entrada e Saida'!$H$15="PESO",W329+AA329+AH329+AI329+AJ329,W329+AA329+AH329+AI329+AJ329-S329+T329-U329+V329)</f>
        <v>#DIV/0!</v>
      </c>
      <c r="AL329" s="6" t="e">
        <f>IF('Entrada e Saida'!$H$12="REAL",AC329,0)</f>
        <v>#DIV/0!</v>
      </c>
      <c r="AM329" s="6" t="e">
        <f>IF('Entrada e Saida'!$H$12="REAL",AD329,0)</f>
        <v>#DIV/0!</v>
      </c>
      <c r="AN329" s="5" t="e">
        <f>IF('Entrada e Saida'!$H$13= "NÃO",AE329,0)</f>
        <v>#DIV/0!</v>
      </c>
      <c r="AO329" s="5" t="e">
        <f t="shared" si="143"/>
        <v>#DIV/0!</v>
      </c>
      <c r="AP329" s="4" t="e">
        <f t="shared" si="144"/>
        <v>#DIV/0!</v>
      </c>
      <c r="AQ329" s="3" t="e">
        <f>IF('Entrada e Saida'!$H$11="TRADING",AU329*'Custo Resumido'!D329,0)</f>
        <v>#DIV/0!</v>
      </c>
      <c r="AR329" s="3" t="e">
        <f>IF('Entrada e Saida'!$H$11="TRADING",AU329*'Entrada e Saida'!$G$63,0)</f>
        <v>#DIV/0!</v>
      </c>
      <c r="AS329" s="3" t="e">
        <f>IF('Entrada e Saida'!$H$11="TRADING",AU329*'Entrada e Saida'!$G$64,0)</f>
        <v>#DIV/0!</v>
      </c>
      <c r="AT329" s="3" t="e">
        <f>IF('Entrada e Saida'!$H$11="TRADING",AU329*'Entrada e Saida'!$G$65,0)</f>
        <v>#DIV/0!</v>
      </c>
      <c r="AU329" s="4" t="e">
        <f>IF('Entrada e Saida'!$H$11="TRADING",AP329/(1-(SUM('Entrada e Saida'!$G$63:$G$65)+'Custo Resumido'!D329)),0)</f>
        <v>#DIV/0!</v>
      </c>
      <c r="AV329" s="3" t="e">
        <f>IF('Entrada e Saida'!$H$13="NÃO",AU329*M329,0)</f>
        <v>#DIV/0!</v>
      </c>
      <c r="AW329" s="4" t="e">
        <f t="shared" si="145"/>
        <v>#DIV/0!</v>
      </c>
      <c r="AX329" s="3" t="e">
        <f>'Entrada e Saida'!$G$74*AU329</f>
        <v>#DIV/0!</v>
      </c>
      <c r="AY329" s="4" t="e">
        <f t="shared" si="146"/>
        <v>#DIV/0!</v>
      </c>
      <c r="AZ329" s="4" t="e">
        <f>AQ329+('Entrada e Saida'!$G$65-'Entrada e Saida'!$I$65)*AU329-AX329</f>
        <v>#DIV/0!</v>
      </c>
      <c r="BA329" s="3" t="e">
        <f>IF('Entrada e Saida'!$H$12="REAL",AZ329*'Entrada e Saida'!$G$81,AU329*'Entrada e Saida'!$G$81)</f>
        <v>#DIV/0!</v>
      </c>
      <c r="BB329" s="3" t="e">
        <f>IF('Entrada e Saida'!$H$12="REAL",AZ329*'Entrada e Saida'!$G$82,AU329*'Entrada e Saida'!$G$82)</f>
        <v>#DIV/0!</v>
      </c>
      <c r="BC329" s="4" t="e">
        <f t="shared" si="147"/>
        <v>#DIV/0!</v>
      </c>
      <c r="BD329" s="3" t="e">
        <f>IF('Entrada e Saida'!$H$11="TRADING",AW329/D329,AK329/D329)</f>
        <v>#DIV/0!</v>
      </c>
      <c r="BE329" s="3" t="e">
        <f t="shared" si="148"/>
        <v>#DIV/0!</v>
      </c>
      <c r="BF329" s="2" t="e">
        <f t="shared" si="149"/>
        <v>#DIV/0!</v>
      </c>
      <c r="BG329" s="3" t="e">
        <f>IF('Entrada e Saida'!$H$11="TRADING",AV329/D329,AN329/D329)</f>
        <v>#DIV/0!</v>
      </c>
      <c r="BH329" s="3" t="e">
        <f>IF('Entrada e Saida'!$H$11="TRADING",IF('Entrada e Saida'!$H$12="REAL",AR329/D329,0),AL329/D329)</f>
        <v>#DIV/0!</v>
      </c>
      <c r="BI329" s="3" t="e">
        <f>IF('Entrada e Saida'!$H$11="TRADING",IF('Entrada e Saida'!$H$12="REAL",AS329/D329,0),AM329/D329)</f>
        <v>#DIV/0!</v>
      </c>
      <c r="BJ329" s="3" t="e">
        <f>IF('Entrada e Saida'!$H$11="TRADING",AT329/D329,AO329/D329)</f>
        <v>#DIV/0!</v>
      </c>
      <c r="BK329" s="2" t="e">
        <f t="shared" si="150"/>
        <v>#DIV/0!</v>
      </c>
      <c r="BL329" s="2">
        <f>IF(O329&gt;0,IFERROR(IF('Entrada e Saida'!$H$11="DIRETA",0,(IF('Entrada e Saida'!$H$14="P.JURIDICA",(BD329*(1+O329)*N329)-((BD329/(1+M329))*'Entrada e Saida'!$G$65),((Produtos!N329-'Entrada e Saida'!$G$65)*Produtos!BD329)))),0),0)</f>
        <v>0</v>
      </c>
      <c r="BM329" s="2" t="e">
        <f t="shared" si="151"/>
        <v>#DIV/0!</v>
      </c>
    </row>
    <row r="330" spans="1:65" s="1" customFormat="1">
      <c r="A330" s="127"/>
      <c r="B330" s="114"/>
      <c r="C330" s="116"/>
      <c r="D330" s="146"/>
      <c r="E330" s="115">
        <f>IFERROR(VLOOKUP(A330,'Master Modelo'!A:I,9,FALSE),0)</f>
        <v>0</v>
      </c>
      <c r="F330" s="189">
        <f>IFERROR(VLOOKUP(A330,'Master Modelo'!A:I,8,FALSE),0)</f>
        <v>0</v>
      </c>
      <c r="G330" s="189">
        <f>IFERROR(VLOOKUP(A330,'Master Modelo'!A:K,11,FALSE),0)</f>
        <v>0</v>
      </c>
      <c r="H330" s="114" t="e">
        <f t="shared" si="134"/>
        <v>#DIV/0!</v>
      </c>
      <c r="I330" s="150">
        <f>IFERROR(VLOOKUP(A330,'Master Modelo'!A:I,3,FALSE),0)</f>
        <v>0</v>
      </c>
      <c r="J330" s="151">
        <f>IFERROR(VLOOKUP(A330,'Master Modelo'!A:I,5,FALSE),0)</f>
        <v>0</v>
      </c>
      <c r="K330" s="151">
        <f>IFERROR(VLOOKUP(A330,'Master Modelo'!A:I,6,FALSE),0)</f>
        <v>0</v>
      </c>
      <c r="L330" s="152" t="e">
        <f>VLOOKUP(A330,'Master Modelo'!A:J,10,FALSE)</f>
        <v>#N/A</v>
      </c>
      <c r="M330" s="150">
        <f>IFERROR(VLOOKUP(A330,'Master Modelo'!A:I,4,FALSE),0)</f>
        <v>0</v>
      </c>
      <c r="N330" s="128"/>
      <c r="O330" s="129"/>
      <c r="P330" s="9">
        <f t="shared" si="135"/>
        <v>0</v>
      </c>
      <c r="Q330" s="177">
        <f t="shared" si="152"/>
        <v>0</v>
      </c>
      <c r="R330" s="3">
        <f>D330*E330*'Entrada e Saida'!$K$8</f>
        <v>0</v>
      </c>
      <c r="S330" s="179" t="e">
        <f>'Entrada e Saida'!$H$21*'Entrada e Saida'!$K$8*(P330/(SUM(P:P)))</f>
        <v>#DIV/0!</v>
      </c>
      <c r="T330" s="179" t="e">
        <f>'Entrada e Saida'!$H$21*'Entrada e Saida'!$K$8*(Q330/(SUM(Q:Q)))</f>
        <v>#DIV/0!</v>
      </c>
      <c r="U330" s="179" t="e">
        <f>'Entrada e Saida'!$H$22*(P330/(SUM(P:P)))</f>
        <v>#DIV/0!</v>
      </c>
      <c r="V330" s="179" t="e">
        <f>'Entrada e Saida'!$H$22*(Q330/(SUM(Q:Q)))</f>
        <v>#DIV/0!</v>
      </c>
      <c r="W330" s="8" t="e">
        <f t="shared" si="136"/>
        <v>#DIV/0!</v>
      </c>
      <c r="X330" s="179" t="e">
        <f>'Entrada e Saida'!$H$26*(IF('Entrada e Saida'!$H$15="PESO",(P330/(SUM(P:P))),(Q330/(SUM(Q:Q)))))</f>
        <v>#DIV/0!</v>
      </c>
      <c r="Y330" s="179" t="e">
        <f>'Entrada e Saida'!$H$27*(IF('Entrada e Saida'!$H$15="PESO",(P330/(SUM(P:P))),(Q330/(SUM(Q:Q)))))</f>
        <v>#DIV/0!</v>
      </c>
      <c r="Z330" s="179" t="e">
        <f>'Entrada e Saida'!$H$28*(IF('Entrada e Saida'!$H$15="PESO",(P330/(SUM(P:P))),(Q330/(SUM(Q:Q)))))</f>
        <v>#DIV/0!</v>
      </c>
      <c r="AA330" s="10" t="e">
        <f t="shared" si="137"/>
        <v>#DIV/0!</v>
      </c>
      <c r="AB330" s="3" t="e">
        <f t="shared" si="138"/>
        <v>#DIV/0!</v>
      </c>
      <c r="AC330" s="3" t="e">
        <f t="shared" si="139"/>
        <v>#DIV/0!</v>
      </c>
      <c r="AD330" s="3" t="e">
        <f t="shared" si="140"/>
        <v>#DIV/0!</v>
      </c>
      <c r="AE330" s="9" t="e">
        <f t="shared" si="141"/>
        <v>#DIV/0!</v>
      </c>
      <c r="AF330" s="126">
        <f>IFERROR(D330*F330*L330*'Entrada e Saida'!$K$8,0)</f>
        <v>0</v>
      </c>
      <c r="AG330" s="3" t="e">
        <f>((W330+AA330+AB330+AC330+AD330+AE330+AF330)/(1-'Entrada e Saida'!$G$65))*'Entrada e Saida'!$I$66</f>
        <v>#DIV/0!</v>
      </c>
      <c r="AH330" s="8" t="e">
        <f t="shared" si="142"/>
        <v>#DIV/0!</v>
      </c>
      <c r="AI330" s="183" t="e">
        <f>'Entrada e Saida'!$K$51*(IF('Entrada e Saida'!$H$15="PESO",(P330/(SUM(P:P))),(Q330/(SUM(Q:Q)))))</f>
        <v>#DIV/0!</v>
      </c>
      <c r="AJ330" s="7">
        <f>(('Entrada e Saida'!$K$10-'Entrada e Saida'!$K$8)*E330*D330)</f>
        <v>0</v>
      </c>
      <c r="AK330" s="184" t="e">
        <f>IF('Entrada e Saida'!$H$15="PESO",W330+AA330+AH330+AI330+AJ330,W330+AA330+AH330+AI330+AJ330-S330+T330-U330+V330)</f>
        <v>#DIV/0!</v>
      </c>
      <c r="AL330" s="6" t="e">
        <f>IF('Entrada e Saida'!$H$12="REAL",AC330,0)</f>
        <v>#DIV/0!</v>
      </c>
      <c r="AM330" s="6" t="e">
        <f>IF('Entrada e Saida'!$H$12="REAL",AD330,0)</f>
        <v>#DIV/0!</v>
      </c>
      <c r="AN330" s="5" t="e">
        <f>IF('Entrada e Saida'!$H$13= "NÃO",AE330,0)</f>
        <v>#DIV/0!</v>
      </c>
      <c r="AO330" s="5" t="e">
        <f t="shared" si="143"/>
        <v>#DIV/0!</v>
      </c>
      <c r="AP330" s="4" t="e">
        <f t="shared" si="144"/>
        <v>#DIV/0!</v>
      </c>
      <c r="AQ330" s="3" t="e">
        <f>IF('Entrada e Saida'!$H$11="TRADING",AU330*'Custo Resumido'!D330,0)</f>
        <v>#DIV/0!</v>
      </c>
      <c r="AR330" s="3" t="e">
        <f>IF('Entrada e Saida'!$H$11="TRADING",AU330*'Entrada e Saida'!$G$63,0)</f>
        <v>#DIV/0!</v>
      </c>
      <c r="AS330" s="3" t="e">
        <f>IF('Entrada e Saida'!$H$11="TRADING",AU330*'Entrada e Saida'!$G$64,0)</f>
        <v>#DIV/0!</v>
      </c>
      <c r="AT330" s="3" t="e">
        <f>IF('Entrada e Saida'!$H$11="TRADING",AU330*'Entrada e Saida'!$G$65,0)</f>
        <v>#DIV/0!</v>
      </c>
      <c r="AU330" s="4" t="e">
        <f>IF('Entrada e Saida'!$H$11="TRADING",AP330/(1-(SUM('Entrada e Saida'!$G$63:$G$65)+'Custo Resumido'!D330)),0)</f>
        <v>#DIV/0!</v>
      </c>
      <c r="AV330" s="3" t="e">
        <f>IF('Entrada e Saida'!$H$13="NÃO",AU330*M330,0)</f>
        <v>#DIV/0!</v>
      </c>
      <c r="AW330" s="4" t="e">
        <f t="shared" si="145"/>
        <v>#DIV/0!</v>
      </c>
      <c r="AX330" s="3" t="e">
        <f>'Entrada e Saida'!$G$74*AU330</f>
        <v>#DIV/0!</v>
      </c>
      <c r="AY330" s="4" t="e">
        <f t="shared" si="146"/>
        <v>#DIV/0!</v>
      </c>
      <c r="AZ330" s="4" t="e">
        <f>AQ330+('Entrada e Saida'!$G$65-'Entrada e Saida'!$I$65)*AU330-AX330</f>
        <v>#DIV/0!</v>
      </c>
      <c r="BA330" s="3" t="e">
        <f>IF('Entrada e Saida'!$H$12="REAL",AZ330*'Entrada e Saida'!$G$81,AU330*'Entrada e Saida'!$G$81)</f>
        <v>#DIV/0!</v>
      </c>
      <c r="BB330" s="3" t="e">
        <f>IF('Entrada e Saida'!$H$12="REAL",AZ330*'Entrada e Saida'!$G$82,AU330*'Entrada e Saida'!$G$82)</f>
        <v>#DIV/0!</v>
      </c>
      <c r="BC330" s="4" t="e">
        <f t="shared" si="147"/>
        <v>#DIV/0!</v>
      </c>
      <c r="BD330" s="3" t="e">
        <f>IF('Entrada e Saida'!$H$11="TRADING",AW330/D330,AK330/D330)</f>
        <v>#DIV/0!</v>
      </c>
      <c r="BE330" s="3" t="e">
        <f t="shared" si="148"/>
        <v>#DIV/0!</v>
      </c>
      <c r="BF330" s="2" t="e">
        <f t="shared" si="149"/>
        <v>#DIV/0!</v>
      </c>
      <c r="BG330" s="3" t="e">
        <f>IF('Entrada e Saida'!$H$11="TRADING",AV330/D330,AN330/D330)</f>
        <v>#DIV/0!</v>
      </c>
      <c r="BH330" s="3" t="e">
        <f>IF('Entrada e Saida'!$H$11="TRADING",IF('Entrada e Saida'!$H$12="REAL",AR330/D330,0),AL330/D330)</f>
        <v>#DIV/0!</v>
      </c>
      <c r="BI330" s="3" t="e">
        <f>IF('Entrada e Saida'!$H$11="TRADING",IF('Entrada e Saida'!$H$12="REAL",AS330/D330,0),AM330/D330)</f>
        <v>#DIV/0!</v>
      </c>
      <c r="BJ330" s="3" t="e">
        <f>IF('Entrada e Saida'!$H$11="TRADING",AT330/D330,AO330/D330)</f>
        <v>#DIV/0!</v>
      </c>
      <c r="BK330" s="2" t="e">
        <f t="shared" si="150"/>
        <v>#DIV/0!</v>
      </c>
      <c r="BL330" s="2">
        <f>IF(O330&gt;0,IFERROR(IF('Entrada e Saida'!$H$11="DIRETA",0,(IF('Entrada e Saida'!$H$14="P.JURIDICA",(BD330*(1+O330)*N330)-((BD330/(1+M330))*'Entrada e Saida'!$G$65),((Produtos!N330-'Entrada e Saida'!$G$65)*Produtos!BD330)))),0),0)</f>
        <v>0</v>
      </c>
      <c r="BM330" s="2" t="e">
        <f t="shared" si="151"/>
        <v>#DIV/0!</v>
      </c>
    </row>
    <row r="331" spans="1:65" s="1" customFormat="1">
      <c r="A331" s="127"/>
      <c r="B331" s="114"/>
      <c r="C331" s="116"/>
      <c r="D331" s="146"/>
      <c r="E331" s="115">
        <f>IFERROR(VLOOKUP(A331,'Master Modelo'!A:I,9,FALSE),0)</f>
        <v>0</v>
      </c>
      <c r="F331" s="189">
        <f>IFERROR(VLOOKUP(A331,'Master Modelo'!A:I,8,FALSE),0)</f>
        <v>0</v>
      </c>
      <c r="G331" s="189">
        <f>IFERROR(VLOOKUP(A331,'Master Modelo'!A:K,11,FALSE),0)</f>
        <v>0</v>
      </c>
      <c r="H331" s="114" t="e">
        <f t="shared" si="134"/>
        <v>#DIV/0!</v>
      </c>
      <c r="I331" s="150">
        <f>IFERROR(VLOOKUP(A331,'Master Modelo'!A:I,3,FALSE),0)</f>
        <v>0</v>
      </c>
      <c r="J331" s="151">
        <f>IFERROR(VLOOKUP(A331,'Master Modelo'!A:I,5,FALSE),0)</f>
        <v>0</v>
      </c>
      <c r="K331" s="151">
        <f>IFERROR(VLOOKUP(A331,'Master Modelo'!A:I,6,FALSE),0)</f>
        <v>0</v>
      </c>
      <c r="L331" s="152" t="e">
        <f>VLOOKUP(A331,'Master Modelo'!A:J,10,FALSE)</f>
        <v>#N/A</v>
      </c>
      <c r="M331" s="150">
        <f>IFERROR(VLOOKUP(A331,'Master Modelo'!A:I,4,FALSE),0)</f>
        <v>0</v>
      </c>
      <c r="N331" s="128"/>
      <c r="O331" s="129"/>
      <c r="P331" s="9">
        <f t="shared" si="135"/>
        <v>0</v>
      </c>
      <c r="Q331" s="177">
        <f t="shared" si="152"/>
        <v>0</v>
      </c>
      <c r="R331" s="3">
        <f>D331*E331*'Entrada e Saida'!$K$8</f>
        <v>0</v>
      </c>
      <c r="S331" s="179" t="e">
        <f>'Entrada e Saida'!$H$21*'Entrada e Saida'!$K$8*(P331/(SUM(P:P)))</f>
        <v>#DIV/0!</v>
      </c>
      <c r="T331" s="179" t="e">
        <f>'Entrada e Saida'!$H$21*'Entrada e Saida'!$K$8*(Q331/(SUM(Q:Q)))</f>
        <v>#DIV/0!</v>
      </c>
      <c r="U331" s="179" t="e">
        <f>'Entrada e Saida'!$H$22*(P331/(SUM(P:P)))</f>
        <v>#DIV/0!</v>
      </c>
      <c r="V331" s="179" t="e">
        <f>'Entrada e Saida'!$H$22*(Q331/(SUM(Q:Q)))</f>
        <v>#DIV/0!</v>
      </c>
      <c r="W331" s="8" t="e">
        <f t="shared" si="136"/>
        <v>#DIV/0!</v>
      </c>
      <c r="X331" s="179" t="e">
        <f>'Entrada e Saida'!$H$26*(IF('Entrada e Saida'!$H$15="PESO",(P331/(SUM(P:P))),(Q331/(SUM(Q:Q)))))</f>
        <v>#DIV/0!</v>
      </c>
      <c r="Y331" s="179" t="e">
        <f>'Entrada e Saida'!$H$27*(IF('Entrada e Saida'!$H$15="PESO",(P331/(SUM(P:P))),(Q331/(SUM(Q:Q)))))</f>
        <v>#DIV/0!</v>
      </c>
      <c r="Z331" s="179" t="e">
        <f>'Entrada e Saida'!$H$28*(IF('Entrada e Saida'!$H$15="PESO",(P331/(SUM(P:P))),(Q331/(SUM(Q:Q)))))</f>
        <v>#DIV/0!</v>
      </c>
      <c r="AA331" s="10" t="e">
        <f t="shared" si="137"/>
        <v>#DIV/0!</v>
      </c>
      <c r="AB331" s="3" t="e">
        <f t="shared" si="138"/>
        <v>#DIV/0!</v>
      </c>
      <c r="AC331" s="3" t="e">
        <f t="shared" si="139"/>
        <v>#DIV/0!</v>
      </c>
      <c r="AD331" s="3" t="e">
        <f t="shared" si="140"/>
        <v>#DIV/0!</v>
      </c>
      <c r="AE331" s="9" t="e">
        <f t="shared" si="141"/>
        <v>#DIV/0!</v>
      </c>
      <c r="AF331" s="126">
        <f>IFERROR(D331*F331*L331*'Entrada e Saida'!$K$8,0)</f>
        <v>0</v>
      </c>
      <c r="AG331" s="3" t="e">
        <f>((W331+AA331+AB331+AC331+AD331+AE331+AF331)/(1-'Entrada e Saida'!$G$65))*'Entrada e Saida'!$I$66</f>
        <v>#DIV/0!</v>
      </c>
      <c r="AH331" s="8" t="e">
        <f t="shared" si="142"/>
        <v>#DIV/0!</v>
      </c>
      <c r="AI331" s="183" t="e">
        <f>'Entrada e Saida'!$K$51*(IF('Entrada e Saida'!$H$15="PESO",(P331/(SUM(P:P))),(Q331/(SUM(Q:Q)))))</f>
        <v>#DIV/0!</v>
      </c>
      <c r="AJ331" s="7">
        <f>(('Entrada e Saida'!$K$10-'Entrada e Saida'!$K$8)*E331*D331)</f>
        <v>0</v>
      </c>
      <c r="AK331" s="184" t="e">
        <f>IF('Entrada e Saida'!$H$15="PESO",W331+AA331+AH331+AI331+AJ331,W331+AA331+AH331+AI331+AJ331-S331+T331-U331+V331)</f>
        <v>#DIV/0!</v>
      </c>
      <c r="AL331" s="6" t="e">
        <f>IF('Entrada e Saida'!$H$12="REAL",AC331,0)</f>
        <v>#DIV/0!</v>
      </c>
      <c r="AM331" s="6" t="e">
        <f>IF('Entrada e Saida'!$H$12="REAL",AD331,0)</f>
        <v>#DIV/0!</v>
      </c>
      <c r="AN331" s="5" t="e">
        <f>IF('Entrada e Saida'!$H$13= "NÃO",AE331,0)</f>
        <v>#DIV/0!</v>
      </c>
      <c r="AO331" s="5" t="e">
        <f t="shared" si="143"/>
        <v>#DIV/0!</v>
      </c>
      <c r="AP331" s="4" t="e">
        <f t="shared" si="144"/>
        <v>#DIV/0!</v>
      </c>
      <c r="AQ331" s="3" t="e">
        <f>IF('Entrada e Saida'!$H$11="TRADING",AU331*'Custo Resumido'!D331,0)</f>
        <v>#DIV/0!</v>
      </c>
      <c r="AR331" s="3" t="e">
        <f>IF('Entrada e Saida'!$H$11="TRADING",AU331*'Entrada e Saida'!$G$63,0)</f>
        <v>#DIV/0!</v>
      </c>
      <c r="AS331" s="3" t="e">
        <f>IF('Entrada e Saida'!$H$11="TRADING",AU331*'Entrada e Saida'!$G$64,0)</f>
        <v>#DIV/0!</v>
      </c>
      <c r="AT331" s="3" t="e">
        <f>IF('Entrada e Saida'!$H$11="TRADING",AU331*'Entrada e Saida'!$G$65,0)</f>
        <v>#DIV/0!</v>
      </c>
      <c r="AU331" s="4" t="e">
        <f>IF('Entrada e Saida'!$H$11="TRADING",AP331/(1-(SUM('Entrada e Saida'!$G$63:$G$65)+'Custo Resumido'!D331)),0)</f>
        <v>#DIV/0!</v>
      </c>
      <c r="AV331" s="3" t="e">
        <f>IF('Entrada e Saida'!$H$13="NÃO",AU331*M331,0)</f>
        <v>#DIV/0!</v>
      </c>
      <c r="AW331" s="4" t="e">
        <f t="shared" si="145"/>
        <v>#DIV/0!</v>
      </c>
      <c r="AX331" s="3" t="e">
        <f>'Entrada e Saida'!$G$74*AU331</f>
        <v>#DIV/0!</v>
      </c>
      <c r="AY331" s="4" t="e">
        <f t="shared" si="146"/>
        <v>#DIV/0!</v>
      </c>
      <c r="AZ331" s="4" t="e">
        <f>AQ331+('Entrada e Saida'!$G$65-'Entrada e Saida'!$I$65)*AU331-AX331</f>
        <v>#DIV/0!</v>
      </c>
      <c r="BA331" s="3" t="e">
        <f>IF('Entrada e Saida'!$H$12="REAL",AZ331*'Entrada e Saida'!$G$81,AU331*'Entrada e Saida'!$G$81)</f>
        <v>#DIV/0!</v>
      </c>
      <c r="BB331" s="3" t="e">
        <f>IF('Entrada e Saida'!$H$12="REAL",AZ331*'Entrada e Saida'!$G$82,AU331*'Entrada e Saida'!$G$82)</f>
        <v>#DIV/0!</v>
      </c>
      <c r="BC331" s="4" t="e">
        <f t="shared" si="147"/>
        <v>#DIV/0!</v>
      </c>
      <c r="BD331" s="3" t="e">
        <f>IF('Entrada e Saida'!$H$11="TRADING",AW331/D331,AK331/D331)</f>
        <v>#DIV/0!</v>
      </c>
      <c r="BE331" s="3" t="e">
        <f t="shared" si="148"/>
        <v>#DIV/0!</v>
      </c>
      <c r="BF331" s="2" t="e">
        <f t="shared" si="149"/>
        <v>#DIV/0!</v>
      </c>
      <c r="BG331" s="3" t="e">
        <f>IF('Entrada e Saida'!$H$11="TRADING",AV331/D331,AN331/D331)</f>
        <v>#DIV/0!</v>
      </c>
      <c r="BH331" s="3" t="e">
        <f>IF('Entrada e Saida'!$H$11="TRADING",IF('Entrada e Saida'!$H$12="REAL",AR331/D331,0),AL331/D331)</f>
        <v>#DIV/0!</v>
      </c>
      <c r="BI331" s="3" t="e">
        <f>IF('Entrada e Saida'!$H$11="TRADING",IF('Entrada e Saida'!$H$12="REAL",AS331/D331,0),AM331/D331)</f>
        <v>#DIV/0!</v>
      </c>
      <c r="BJ331" s="3" t="e">
        <f>IF('Entrada e Saida'!$H$11="TRADING",AT331/D331,AO331/D331)</f>
        <v>#DIV/0!</v>
      </c>
      <c r="BK331" s="2" t="e">
        <f t="shared" si="150"/>
        <v>#DIV/0!</v>
      </c>
      <c r="BL331" s="2">
        <f>IF(O331&gt;0,IFERROR(IF('Entrada e Saida'!$H$11="DIRETA",0,(IF('Entrada e Saida'!$H$14="P.JURIDICA",(BD331*(1+O331)*N331)-((BD331/(1+M331))*'Entrada e Saida'!$G$65),((Produtos!N331-'Entrada e Saida'!$G$65)*Produtos!BD331)))),0),0)</f>
        <v>0</v>
      </c>
      <c r="BM331" s="2" t="e">
        <f t="shared" si="151"/>
        <v>#DIV/0!</v>
      </c>
    </row>
    <row r="332" spans="1:65" s="1" customFormat="1">
      <c r="A332" s="127"/>
      <c r="B332" s="114"/>
      <c r="C332" s="116"/>
      <c r="D332" s="146"/>
      <c r="E332" s="115">
        <f>IFERROR(VLOOKUP(A332,'Master Modelo'!A:I,9,FALSE),0)</f>
        <v>0</v>
      </c>
      <c r="F332" s="189">
        <f>IFERROR(VLOOKUP(A332,'Master Modelo'!A:I,8,FALSE),0)</f>
        <v>0</v>
      </c>
      <c r="G332" s="189">
        <f>IFERROR(VLOOKUP(A332,'Master Modelo'!A:K,11,FALSE),0)</f>
        <v>0</v>
      </c>
      <c r="H332" s="114" t="e">
        <f t="shared" si="134"/>
        <v>#DIV/0!</v>
      </c>
      <c r="I332" s="150">
        <f>IFERROR(VLOOKUP(A332,'Master Modelo'!A:I,3,FALSE),0)</f>
        <v>0</v>
      </c>
      <c r="J332" s="151">
        <f>IFERROR(VLOOKUP(A332,'Master Modelo'!A:I,5,FALSE),0)</f>
        <v>0</v>
      </c>
      <c r="K332" s="151">
        <f>IFERROR(VLOOKUP(A332,'Master Modelo'!A:I,6,FALSE),0)</f>
        <v>0</v>
      </c>
      <c r="L332" s="152" t="e">
        <f>VLOOKUP(A332,'Master Modelo'!A:J,10,FALSE)</f>
        <v>#N/A</v>
      </c>
      <c r="M332" s="150">
        <f>IFERROR(VLOOKUP(A332,'Master Modelo'!A:I,4,FALSE),0)</f>
        <v>0</v>
      </c>
      <c r="N332" s="128"/>
      <c r="O332" s="129"/>
      <c r="P332" s="9">
        <f t="shared" si="135"/>
        <v>0</v>
      </c>
      <c r="Q332" s="177">
        <f t="shared" si="152"/>
        <v>0</v>
      </c>
      <c r="R332" s="3">
        <f>D332*E332*'Entrada e Saida'!$K$8</f>
        <v>0</v>
      </c>
      <c r="S332" s="179" t="e">
        <f>'Entrada e Saida'!$H$21*'Entrada e Saida'!$K$8*(P332/(SUM(P:P)))</f>
        <v>#DIV/0!</v>
      </c>
      <c r="T332" s="179" t="e">
        <f>'Entrada e Saida'!$H$21*'Entrada e Saida'!$K$8*(Q332/(SUM(Q:Q)))</f>
        <v>#DIV/0!</v>
      </c>
      <c r="U332" s="179" t="e">
        <f>'Entrada e Saida'!$H$22*(P332/(SUM(P:P)))</f>
        <v>#DIV/0!</v>
      </c>
      <c r="V332" s="179" t="e">
        <f>'Entrada e Saida'!$H$22*(Q332/(SUM(Q:Q)))</f>
        <v>#DIV/0!</v>
      </c>
      <c r="W332" s="8" t="e">
        <f t="shared" si="136"/>
        <v>#DIV/0!</v>
      </c>
      <c r="X332" s="179" t="e">
        <f>'Entrada e Saida'!$H$26*(IF('Entrada e Saida'!$H$15="PESO",(P332/(SUM(P:P))),(Q332/(SUM(Q:Q)))))</f>
        <v>#DIV/0!</v>
      </c>
      <c r="Y332" s="179" t="e">
        <f>'Entrada e Saida'!$H$27*(IF('Entrada e Saida'!$H$15="PESO",(P332/(SUM(P:P))),(Q332/(SUM(Q:Q)))))</f>
        <v>#DIV/0!</v>
      </c>
      <c r="Z332" s="179" t="e">
        <f>'Entrada e Saida'!$H$28*(IF('Entrada e Saida'!$H$15="PESO",(P332/(SUM(P:P))),(Q332/(SUM(Q:Q)))))</f>
        <v>#DIV/0!</v>
      </c>
      <c r="AA332" s="10" t="e">
        <f t="shared" si="137"/>
        <v>#DIV/0!</v>
      </c>
      <c r="AB332" s="3" t="e">
        <f t="shared" si="138"/>
        <v>#DIV/0!</v>
      </c>
      <c r="AC332" s="3" t="e">
        <f t="shared" si="139"/>
        <v>#DIV/0!</v>
      </c>
      <c r="AD332" s="3" t="e">
        <f t="shared" si="140"/>
        <v>#DIV/0!</v>
      </c>
      <c r="AE332" s="9" t="e">
        <f t="shared" si="141"/>
        <v>#DIV/0!</v>
      </c>
      <c r="AF332" s="126">
        <f>IFERROR(D332*F332*L332*'Entrada e Saida'!$K$8,0)</f>
        <v>0</v>
      </c>
      <c r="AG332" s="3" t="e">
        <f>((W332+AA332+AB332+AC332+AD332+AE332+AF332)/(1-'Entrada e Saida'!$G$65))*'Entrada e Saida'!$I$66</f>
        <v>#DIV/0!</v>
      </c>
      <c r="AH332" s="8" t="e">
        <f t="shared" si="142"/>
        <v>#DIV/0!</v>
      </c>
      <c r="AI332" s="183" t="e">
        <f>'Entrada e Saida'!$K$51*(IF('Entrada e Saida'!$H$15="PESO",(P332/(SUM(P:P))),(Q332/(SUM(Q:Q)))))</f>
        <v>#DIV/0!</v>
      </c>
      <c r="AJ332" s="7">
        <f>(('Entrada e Saida'!$K$10-'Entrada e Saida'!$K$8)*E332*D332)</f>
        <v>0</v>
      </c>
      <c r="AK332" s="184" t="e">
        <f>IF('Entrada e Saida'!$H$15="PESO",W332+AA332+AH332+AI332+AJ332,W332+AA332+AH332+AI332+AJ332-S332+T332-U332+V332)</f>
        <v>#DIV/0!</v>
      </c>
      <c r="AL332" s="6" t="e">
        <f>IF('Entrada e Saida'!$H$12="REAL",AC332,0)</f>
        <v>#DIV/0!</v>
      </c>
      <c r="AM332" s="6" t="e">
        <f>IF('Entrada e Saida'!$H$12="REAL",AD332,0)</f>
        <v>#DIV/0!</v>
      </c>
      <c r="AN332" s="5" t="e">
        <f>IF('Entrada e Saida'!$H$13= "NÃO",AE332,0)</f>
        <v>#DIV/0!</v>
      </c>
      <c r="AO332" s="5" t="e">
        <f t="shared" si="143"/>
        <v>#DIV/0!</v>
      </c>
      <c r="AP332" s="4" t="e">
        <f t="shared" si="144"/>
        <v>#DIV/0!</v>
      </c>
      <c r="AQ332" s="3" t="e">
        <f>IF('Entrada e Saida'!$H$11="TRADING",AU332*'Custo Resumido'!D332,0)</f>
        <v>#DIV/0!</v>
      </c>
      <c r="AR332" s="3" t="e">
        <f>IF('Entrada e Saida'!$H$11="TRADING",AU332*'Entrada e Saida'!$G$63,0)</f>
        <v>#DIV/0!</v>
      </c>
      <c r="AS332" s="3" t="e">
        <f>IF('Entrada e Saida'!$H$11="TRADING",AU332*'Entrada e Saida'!$G$64,0)</f>
        <v>#DIV/0!</v>
      </c>
      <c r="AT332" s="3" t="e">
        <f>IF('Entrada e Saida'!$H$11="TRADING",AU332*'Entrada e Saida'!$G$65,0)</f>
        <v>#DIV/0!</v>
      </c>
      <c r="AU332" s="4" t="e">
        <f>IF('Entrada e Saida'!$H$11="TRADING",AP332/(1-(SUM('Entrada e Saida'!$G$63:$G$65)+'Custo Resumido'!D332)),0)</f>
        <v>#DIV/0!</v>
      </c>
      <c r="AV332" s="3" t="e">
        <f>IF('Entrada e Saida'!$H$13="NÃO",AU332*M332,0)</f>
        <v>#DIV/0!</v>
      </c>
      <c r="AW332" s="4" t="e">
        <f t="shared" si="145"/>
        <v>#DIV/0!</v>
      </c>
      <c r="AX332" s="3" t="e">
        <f>'Entrada e Saida'!$G$74*AU332</f>
        <v>#DIV/0!</v>
      </c>
      <c r="AY332" s="4" t="e">
        <f t="shared" si="146"/>
        <v>#DIV/0!</v>
      </c>
      <c r="AZ332" s="4" t="e">
        <f>AQ332+('Entrada e Saida'!$G$65-'Entrada e Saida'!$I$65)*AU332-AX332</f>
        <v>#DIV/0!</v>
      </c>
      <c r="BA332" s="3" t="e">
        <f>IF('Entrada e Saida'!$H$12="REAL",AZ332*'Entrada e Saida'!$G$81,AU332*'Entrada e Saida'!$G$81)</f>
        <v>#DIV/0!</v>
      </c>
      <c r="BB332" s="3" t="e">
        <f>IF('Entrada e Saida'!$H$12="REAL",AZ332*'Entrada e Saida'!$G$82,AU332*'Entrada e Saida'!$G$82)</f>
        <v>#DIV/0!</v>
      </c>
      <c r="BC332" s="4" t="e">
        <f t="shared" si="147"/>
        <v>#DIV/0!</v>
      </c>
      <c r="BD332" s="3" t="e">
        <f>IF('Entrada e Saida'!$H$11="TRADING",AW332/D332,AK332/D332)</f>
        <v>#DIV/0!</v>
      </c>
      <c r="BE332" s="3" t="e">
        <f t="shared" si="148"/>
        <v>#DIV/0!</v>
      </c>
      <c r="BF332" s="2" t="e">
        <f t="shared" si="149"/>
        <v>#DIV/0!</v>
      </c>
      <c r="BG332" s="3" t="e">
        <f>IF('Entrada e Saida'!$H$11="TRADING",AV332/D332,AN332/D332)</f>
        <v>#DIV/0!</v>
      </c>
      <c r="BH332" s="3" t="e">
        <f>IF('Entrada e Saida'!$H$11="TRADING",IF('Entrada e Saida'!$H$12="REAL",AR332/D332,0),AL332/D332)</f>
        <v>#DIV/0!</v>
      </c>
      <c r="BI332" s="3" t="e">
        <f>IF('Entrada e Saida'!$H$11="TRADING",IF('Entrada e Saida'!$H$12="REAL",AS332/D332,0),AM332/D332)</f>
        <v>#DIV/0!</v>
      </c>
      <c r="BJ332" s="3" t="e">
        <f>IF('Entrada e Saida'!$H$11="TRADING",AT332/D332,AO332/D332)</f>
        <v>#DIV/0!</v>
      </c>
      <c r="BK332" s="2" t="e">
        <f t="shared" si="150"/>
        <v>#DIV/0!</v>
      </c>
      <c r="BL332" s="2">
        <f>IF(O332&gt;0,IFERROR(IF('Entrada e Saida'!$H$11="DIRETA",0,(IF('Entrada e Saida'!$H$14="P.JURIDICA",(BD332*(1+O332)*N332)-((BD332/(1+M332))*'Entrada e Saida'!$G$65),((Produtos!N332-'Entrada e Saida'!$G$65)*Produtos!BD332)))),0),0)</f>
        <v>0</v>
      </c>
      <c r="BM332" s="2" t="e">
        <f t="shared" si="151"/>
        <v>#DIV/0!</v>
      </c>
    </row>
    <row r="333" spans="1:65" s="1" customFormat="1">
      <c r="A333" s="127"/>
      <c r="B333" s="114"/>
      <c r="C333" s="116"/>
      <c r="D333" s="146"/>
      <c r="E333" s="115">
        <f>IFERROR(VLOOKUP(A333,'Master Modelo'!A:I,9,FALSE),0)</f>
        <v>0</v>
      </c>
      <c r="F333" s="189">
        <f>IFERROR(VLOOKUP(A333,'Master Modelo'!A:I,8,FALSE),0)</f>
        <v>0</v>
      </c>
      <c r="G333" s="189">
        <f>IFERROR(VLOOKUP(A333,'Master Modelo'!A:K,11,FALSE),0)</f>
        <v>0</v>
      </c>
      <c r="H333" s="114" t="e">
        <f t="shared" ref="H333:H396" si="153">(D333*E333)/(D333*F333)</f>
        <v>#DIV/0!</v>
      </c>
      <c r="I333" s="150">
        <f>IFERROR(VLOOKUP(A333,'Master Modelo'!A:I,3,FALSE),0)</f>
        <v>0</v>
      </c>
      <c r="J333" s="151">
        <f>IFERROR(VLOOKUP(A333,'Master Modelo'!A:I,5,FALSE),0)</f>
        <v>0</v>
      </c>
      <c r="K333" s="151">
        <f>IFERROR(VLOOKUP(A333,'Master Modelo'!A:I,6,FALSE),0)</f>
        <v>0</v>
      </c>
      <c r="L333" s="152" t="e">
        <f>VLOOKUP(A333,'Master Modelo'!A:J,10,FALSE)</f>
        <v>#N/A</v>
      </c>
      <c r="M333" s="150">
        <f>IFERROR(VLOOKUP(A333,'Master Modelo'!A:I,4,FALSE),0)</f>
        <v>0</v>
      </c>
      <c r="N333" s="128"/>
      <c r="O333" s="129"/>
      <c r="P333" s="9">
        <f t="shared" ref="P333:P396" si="154">D333*F333</f>
        <v>0</v>
      </c>
      <c r="Q333" s="177">
        <f t="shared" si="152"/>
        <v>0</v>
      </c>
      <c r="R333" s="3">
        <f>D333*E333*'Entrada e Saida'!$K$8</f>
        <v>0</v>
      </c>
      <c r="S333" s="179" t="e">
        <f>'Entrada e Saida'!$H$21*'Entrada e Saida'!$K$8*(P333/(SUM(P:P)))</f>
        <v>#DIV/0!</v>
      </c>
      <c r="T333" s="179" t="e">
        <f>'Entrada e Saida'!$H$21*'Entrada e Saida'!$K$8*(Q333/(SUM(Q:Q)))</f>
        <v>#DIV/0!</v>
      </c>
      <c r="U333" s="179" t="e">
        <f>'Entrada e Saida'!$H$22*(P333/(SUM(P:P)))</f>
        <v>#DIV/0!</v>
      </c>
      <c r="V333" s="179" t="e">
        <f>'Entrada e Saida'!$H$22*(Q333/(SUM(Q:Q)))</f>
        <v>#DIV/0!</v>
      </c>
      <c r="W333" s="8" t="e">
        <f t="shared" ref="W333:W396" si="155">R333+S333+U333</f>
        <v>#DIV/0!</v>
      </c>
      <c r="X333" s="179" t="e">
        <f>'Entrada e Saida'!$H$26*(IF('Entrada e Saida'!$H$15="PESO",(P333/(SUM(P:P))),(Q333/(SUM(Q:Q)))))</f>
        <v>#DIV/0!</v>
      </c>
      <c r="Y333" s="179" t="e">
        <f>'Entrada e Saida'!$H$27*(IF('Entrada e Saida'!$H$15="PESO",(P333/(SUM(P:P))),(Q333/(SUM(Q:Q)))))</f>
        <v>#DIV/0!</v>
      </c>
      <c r="Z333" s="179" t="e">
        <f>'Entrada e Saida'!$H$28*(IF('Entrada e Saida'!$H$15="PESO",(P333/(SUM(P:P))),(Q333/(SUM(Q:Q)))))</f>
        <v>#DIV/0!</v>
      </c>
      <c r="AA333" s="10" t="e">
        <f t="shared" ref="AA333:AA396" si="156">X333+Y333+Z333</f>
        <v>#DIV/0!</v>
      </c>
      <c r="AB333" s="3" t="e">
        <f t="shared" ref="AB333:AB396" si="157">W333*I333</f>
        <v>#DIV/0!</v>
      </c>
      <c r="AC333" s="3" t="e">
        <f t="shared" ref="AC333:AC396" si="158">W333*J333</f>
        <v>#DIV/0!</v>
      </c>
      <c r="AD333" s="3" t="e">
        <f t="shared" ref="AD333:AD396" si="159">W333*K333</f>
        <v>#DIV/0!</v>
      </c>
      <c r="AE333" s="9" t="e">
        <f t="shared" ref="AE333:AE396" si="160">(W333+AB333)*M333</f>
        <v>#DIV/0!</v>
      </c>
      <c r="AF333" s="126">
        <f>IFERROR(D333*F333*L333*'Entrada e Saida'!$K$8,0)</f>
        <v>0</v>
      </c>
      <c r="AG333" s="3" t="e">
        <f>((W333+AA333+AB333+AC333+AD333+AE333+AF333)/(1-'Entrada e Saida'!$G$65))*'Entrada e Saida'!$I$66</f>
        <v>#DIV/0!</v>
      </c>
      <c r="AH333" s="8" t="e">
        <f t="shared" ref="AH333:AH396" si="161">SUM(AB333:AG333)</f>
        <v>#DIV/0!</v>
      </c>
      <c r="AI333" s="183" t="e">
        <f>'Entrada e Saida'!$K$51*(IF('Entrada e Saida'!$H$15="PESO",(P333/(SUM(P:P))),(Q333/(SUM(Q:Q)))))</f>
        <v>#DIV/0!</v>
      </c>
      <c r="AJ333" s="7">
        <f>(('Entrada e Saida'!$K$10-'Entrada e Saida'!$K$8)*E333*D333)</f>
        <v>0</v>
      </c>
      <c r="AK333" s="184" t="e">
        <f>IF('Entrada e Saida'!$H$15="PESO",W333+AA333+AH333+AI333+AJ333,W333+AA333+AH333+AI333+AJ333-S333+T333-U333+V333)</f>
        <v>#DIV/0!</v>
      </c>
      <c r="AL333" s="6" t="e">
        <f>IF('Entrada e Saida'!$H$12="REAL",AC333,0)</f>
        <v>#DIV/0!</v>
      </c>
      <c r="AM333" s="6" t="e">
        <f>IF('Entrada e Saida'!$H$12="REAL",AD333,0)</f>
        <v>#DIV/0!</v>
      </c>
      <c r="AN333" s="5" t="e">
        <f>IF('Entrada e Saida'!$H$13= "NÃO",AE333,0)</f>
        <v>#DIV/0!</v>
      </c>
      <c r="AO333" s="5" t="e">
        <f t="shared" ref="AO333:AO396" si="162">AG333</f>
        <v>#DIV/0!</v>
      </c>
      <c r="AP333" s="4" t="e">
        <f t="shared" ref="AP333:AP396" si="163">AK333-SUM(AL333:AO333)</f>
        <v>#DIV/0!</v>
      </c>
      <c r="AQ333" s="3" t="e">
        <f>IF('Entrada e Saida'!$H$11="TRADING",AU333*'Custo Resumido'!D333,0)</f>
        <v>#DIV/0!</v>
      </c>
      <c r="AR333" s="3" t="e">
        <f>IF('Entrada e Saida'!$H$11="TRADING",AU333*'Entrada e Saida'!$G$63,0)</f>
        <v>#DIV/0!</v>
      </c>
      <c r="AS333" s="3" t="e">
        <f>IF('Entrada e Saida'!$H$11="TRADING",AU333*'Entrada e Saida'!$G$64,0)</f>
        <v>#DIV/0!</v>
      </c>
      <c r="AT333" s="3" t="e">
        <f>IF('Entrada e Saida'!$H$11="TRADING",AU333*'Entrada e Saida'!$G$65,0)</f>
        <v>#DIV/0!</v>
      </c>
      <c r="AU333" s="4" t="e">
        <f>IF('Entrada e Saida'!$H$11="TRADING",AP333/(1-(SUM('Entrada e Saida'!$G$63:$G$65)+'Custo Resumido'!D333)),0)</f>
        <v>#DIV/0!</v>
      </c>
      <c r="AV333" s="3" t="e">
        <f>IF('Entrada e Saida'!$H$13="NÃO",AU333*M333,0)</f>
        <v>#DIV/0!</v>
      </c>
      <c r="AW333" s="4" t="e">
        <f t="shared" ref="AW333:AW396" si="164">AU333+AV333</f>
        <v>#DIV/0!</v>
      </c>
      <c r="AX333" s="3" t="e">
        <f>'Entrada e Saida'!$G$74*AU333</f>
        <v>#DIV/0!</v>
      </c>
      <c r="AY333" s="4" t="e">
        <f t="shared" ref="AY333:AY396" si="165">AW333-AX333</f>
        <v>#DIV/0!</v>
      </c>
      <c r="AZ333" s="4" t="e">
        <f>AQ333+('Entrada e Saida'!$G$65-'Entrada e Saida'!$I$65)*AU333-AX333</f>
        <v>#DIV/0!</v>
      </c>
      <c r="BA333" s="3" t="e">
        <f>IF('Entrada e Saida'!$H$12="REAL",AZ333*'Entrada e Saida'!$G$81,AU333*'Entrada e Saida'!$G$81)</f>
        <v>#DIV/0!</v>
      </c>
      <c r="BB333" s="3" t="e">
        <f>IF('Entrada e Saida'!$H$12="REAL",AZ333*'Entrada e Saida'!$G$82,AU333*'Entrada e Saida'!$G$82)</f>
        <v>#DIV/0!</v>
      </c>
      <c r="BC333" s="4" t="e">
        <f t="shared" ref="BC333:BC396" si="166">AZ333-BA333-BB333</f>
        <v>#DIV/0!</v>
      </c>
      <c r="BD333" s="3" t="e">
        <f>IF('Entrada e Saida'!$H$11="TRADING",AW333/D333,AK333/D333)</f>
        <v>#DIV/0!</v>
      </c>
      <c r="BE333" s="3" t="e">
        <f t="shared" ref="BE333:BE396" si="167">AX333/D333</f>
        <v>#DIV/0!</v>
      </c>
      <c r="BF333" s="2" t="e">
        <f t="shared" ref="BF333:BF396" si="168">BD333-BE333</f>
        <v>#DIV/0!</v>
      </c>
      <c r="BG333" s="3" t="e">
        <f>IF('Entrada e Saida'!$H$11="TRADING",AV333/D333,AN333/D333)</f>
        <v>#DIV/0!</v>
      </c>
      <c r="BH333" s="3" t="e">
        <f>IF('Entrada e Saida'!$H$11="TRADING",IF('Entrada e Saida'!$H$12="REAL",AR333/D333,0),AL333/D333)</f>
        <v>#DIV/0!</v>
      </c>
      <c r="BI333" s="3" t="e">
        <f>IF('Entrada e Saida'!$H$11="TRADING",IF('Entrada e Saida'!$H$12="REAL",AS333/D333,0),AM333/D333)</f>
        <v>#DIV/0!</v>
      </c>
      <c r="BJ333" s="3" t="e">
        <f>IF('Entrada e Saida'!$H$11="TRADING",AT333/D333,AO333/D333)</f>
        <v>#DIV/0!</v>
      </c>
      <c r="BK333" s="2" t="e">
        <f t="shared" ref="BK333:BK396" si="169">BF333-SUM(BG333:BJ333)</f>
        <v>#DIV/0!</v>
      </c>
      <c r="BL333" s="2">
        <f>IF(O333&gt;0,IFERROR(IF('Entrada e Saida'!$H$11="DIRETA",0,(IF('Entrada e Saida'!$H$14="P.JURIDICA",(BD333*(1+O333)*N333)-((BD333/(1+M333))*'Entrada e Saida'!$G$65),((Produtos!N333-'Entrada e Saida'!$G$65)*Produtos!BD333)))),0),0)</f>
        <v>0</v>
      </c>
      <c r="BM333" s="2" t="e">
        <f t="shared" ref="BM333:BM396" si="170">BF333+BL333</f>
        <v>#DIV/0!</v>
      </c>
    </row>
    <row r="334" spans="1:65" s="1" customFormat="1">
      <c r="A334" s="127"/>
      <c r="B334" s="114"/>
      <c r="C334" s="116"/>
      <c r="D334" s="146"/>
      <c r="E334" s="115">
        <f>IFERROR(VLOOKUP(A334,'Master Modelo'!A:I,9,FALSE),0)</f>
        <v>0</v>
      </c>
      <c r="F334" s="189">
        <f>IFERROR(VLOOKUP(A334,'Master Modelo'!A:I,8,FALSE),0)</f>
        <v>0</v>
      </c>
      <c r="G334" s="189">
        <f>IFERROR(VLOOKUP(A334,'Master Modelo'!A:K,11,FALSE),0)</f>
        <v>0</v>
      </c>
      <c r="H334" s="114" t="e">
        <f t="shared" si="153"/>
        <v>#DIV/0!</v>
      </c>
      <c r="I334" s="150">
        <f>IFERROR(VLOOKUP(A334,'Master Modelo'!A:I,3,FALSE),0)</f>
        <v>0</v>
      </c>
      <c r="J334" s="151">
        <f>IFERROR(VLOOKUP(A334,'Master Modelo'!A:I,5,FALSE),0)</f>
        <v>0</v>
      </c>
      <c r="K334" s="151">
        <f>IFERROR(VLOOKUP(A334,'Master Modelo'!A:I,6,FALSE),0)</f>
        <v>0</v>
      </c>
      <c r="L334" s="152" t="e">
        <f>VLOOKUP(A334,'Master Modelo'!A:J,10,FALSE)</f>
        <v>#N/A</v>
      </c>
      <c r="M334" s="150">
        <f>IFERROR(VLOOKUP(A334,'Master Modelo'!A:I,4,FALSE),0)</f>
        <v>0</v>
      </c>
      <c r="N334" s="128"/>
      <c r="O334" s="129"/>
      <c r="P334" s="9">
        <f t="shared" si="154"/>
        <v>0</v>
      </c>
      <c r="Q334" s="177">
        <f t="shared" si="152"/>
        <v>0</v>
      </c>
      <c r="R334" s="3">
        <f>D334*E334*'Entrada e Saida'!$K$8</f>
        <v>0</v>
      </c>
      <c r="S334" s="179" t="e">
        <f>'Entrada e Saida'!$H$21*'Entrada e Saida'!$K$8*(P334/(SUM(P:P)))</f>
        <v>#DIV/0!</v>
      </c>
      <c r="T334" s="179" t="e">
        <f>'Entrada e Saida'!$H$21*'Entrada e Saida'!$K$8*(Q334/(SUM(Q:Q)))</f>
        <v>#DIV/0!</v>
      </c>
      <c r="U334" s="179" t="e">
        <f>'Entrada e Saida'!$H$22*(P334/(SUM(P:P)))</f>
        <v>#DIV/0!</v>
      </c>
      <c r="V334" s="179" t="e">
        <f>'Entrada e Saida'!$H$22*(Q334/(SUM(Q:Q)))</f>
        <v>#DIV/0!</v>
      </c>
      <c r="W334" s="8" t="e">
        <f t="shared" si="155"/>
        <v>#DIV/0!</v>
      </c>
      <c r="X334" s="179" t="e">
        <f>'Entrada e Saida'!$H$26*(IF('Entrada e Saida'!$H$15="PESO",(P334/(SUM(P:P))),(Q334/(SUM(Q:Q)))))</f>
        <v>#DIV/0!</v>
      </c>
      <c r="Y334" s="179" t="e">
        <f>'Entrada e Saida'!$H$27*(IF('Entrada e Saida'!$H$15="PESO",(P334/(SUM(P:P))),(Q334/(SUM(Q:Q)))))</f>
        <v>#DIV/0!</v>
      </c>
      <c r="Z334" s="179" t="e">
        <f>'Entrada e Saida'!$H$28*(IF('Entrada e Saida'!$H$15="PESO",(P334/(SUM(P:P))),(Q334/(SUM(Q:Q)))))</f>
        <v>#DIV/0!</v>
      </c>
      <c r="AA334" s="10" t="e">
        <f t="shared" si="156"/>
        <v>#DIV/0!</v>
      </c>
      <c r="AB334" s="3" t="e">
        <f t="shared" si="157"/>
        <v>#DIV/0!</v>
      </c>
      <c r="AC334" s="3" t="e">
        <f t="shared" si="158"/>
        <v>#DIV/0!</v>
      </c>
      <c r="AD334" s="3" t="e">
        <f t="shared" si="159"/>
        <v>#DIV/0!</v>
      </c>
      <c r="AE334" s="9" t="e">
        <f t="shared" si="160"/>
        <v>#DIV/0!</v>
      </c>
      <c r="AF334" s="126">
        <f>IFERROR(D334*F334*L334*'Entrada e Saida'!$K$8,0)</f>
        <v>0</v>
      </c>
      <c r="AG334" s="3" t="e">
        <f>((W334+AA334+AB334+AC334+AD334+AE334+AF334)/(1-'Entrada e Saida'!$G$65))*'Entrada e Saida'!$I$66</f>
        <v>#DIV/0!</v>
      </c>
      <c r="AH334" s="8" t="e">
        <f t="shared" si="161"/>
        <v>#DIV/0!</v>
      </c>
      <c r="AI334" s="183" t="e">
        <f>'Entrada e Saida'!$K$51*(IF('Entrada e Saida'!$H$15="PESO",(P334/(SUM(P:P))),(Q334/(SUM(Q:Q)))))</f>
        <v>#DIV/0!</v>
      </c>
      <c r="AJ334" s="7">
        <f>(('Entrada e Saida'!$K$10-'Entrada e Saida'!$K$8)*E334*D334)</f>
        <v>0</v>
      </c>
      <c r="AK334" s="184" t="e">
        <f>IF('Entrada e Saida'!$H$15="PESO",W334+AA334+AH334+AI334+AJ334,W334+AA334+AH334+AI334+AJ334-S334+T334-U334+V334)</f>
        <v>#DIV/0!</v>
      </c>
      <c r="AL334" s="6" t="e">
        <f>IF('Entrada e Saida'!$H$12="REAL",AC334,0)</f>
        <v>#DIV/0!</v>
      </c>
      <c r="AM334" s="6" t="e">
        <f>IF('Entrada e Saida'!$H$12="REAL",AD334,0)</f>
        <v>#DIV/0!</v>
      </c>
      <c r="AN334" s="5" t="e">
        <f>IF('Entrada e Saida'!$H$13= "NÃO",AE334,0)</f>
        <v>#DIV/0!</v>
      </c>
      <c r="AO334" s="5" t="e">
        <f t="shared" si="162"/>
        <v>#DIV/0!</v>
      </c>
      <c r="AP334" s="4" t="e">
        <f t="shared" si="163"/>
        <v>#DIV/0!</v>
      </c>
      <c r="AQ334" s="3" t="e">
        <f>IF('Entrada e Saida'!$H$11="TRADING",AU334*'Custo Resumido'!D334,0)</f>
        <v>#DIV/0!</v>
      </c>
      <c r="AR334" s="3" t="e">
        <f>IF('Entrada e Saida'!$H$11="TRADING",AU334*'Entrada e Saida'!$G$63,0)</f>
        <v>#DIV/0!</v>
      </c>
      <c r="AS334" s="3" t="e">
        <f>IF('Entrada e Saida'!$H$11="TRADING",AU334*'Entrada e Saida'!$G$64,0)</f>
        <v>#DIV/0!</v>
      </c>
      <c r="AT334" s="3" t="e">
        <f>IF('Entrada e Saida'!$H$11="TRADING",AU334*'Entrada e Saida'!$G$65,0)</f>
        <v>#DIV/0!</v>
      </c>
      <c r="AU334" s="4" t="e">
        <f>IF('Entrada e Saida'!$H$11="TRADING",AP334/(1-(SUM('Entrada e Saida'!$G$63:$G$65)+'Custo Resumido'!D334)),0)</f>
        <v>#DIV/0!</v>
      </c>
      <c r="AV334" s="3" t="e">
        <f>IF('Entrada e Saida'!$H$13="NÃO",AU334*M334,0)</f>
        <v>#DIV/0!</v>
      </c>
      <c r="AW334" s="4" t="e">
        <f t="shared" si="164"/>
        <v>#DIV/0!</v>
      </c>
      <c r="AX334" s="3" t="e">
        <f>'Entrada e Saida'!$G$74*AU334</f>
        <v>#DIV/0!</v>
      </c>
      <c r="AY334" s="4" t="e">
        <f t="shared" si="165"/>
        <v>#DIV/0!</v>
      </c>
      <c r="AZ334" s="4" t="e">
        <f>AQ334+('Entrada e Saida'!$G$65-'Entrada e Saida'!$I$65)*AU334-AX334</f>
        <v>#DIV/0!</v>
      </c>
      <c r="BA334" s="3" t="e">
        <f>IF('Entrada e Saida'!$H$12="REAL",AZ334*'Entrada e Saida'!$G$81,AU334*'Entrada e Saida'!$G$81)</f>
        <v>#DIV/0!</v>
      </c>
      <c r="BB334" s="3" t="e">
        <f>IF('Entrada e Saida'!$H$12="REAL",AZ334*'Entrada e Saida'!$G$82,AU334*'Entrada e Saida'!$G$82)</f>
        <v>#DIV/0!</v>
      </c>
      <c r="BC334" s="4" t="e">
        <f t="shared" si="166"/>
        <v>#DIV/0!</v>
      </c>
      <c r="BD334" s="3" t="e">
        <f>IF('Entrada e Saida'!$H$11="TRADING",AW334/D334,AK334/D334)</f>
        <v>#DIV/0!</v>
      </c>
      <c r="BE334" s="3" t="e">
        <f t="shared" si="167"/>
        <v>#DIV/0!</v>
      </c>
      <c r="BF334" s="2" t="e">
        <f t="shared" si="168"/>
        <v>#DIV/0!</v>
      </c>
      <c r="BG334" s="3" t="e">
        <f>IF('Entrada e Saida'!$H$11="TRADING",AV334/D334,AN334/D334)</f>
        <v>#DIV/0!</v>
      </c>
      <c r="BH334" s="3" t="e">
        <f>IF('Entrada e Saida'!$H$11="TRADING",IF('Entrada e Saida'!$H$12="REAL",AR334/D334,0),AL334/D334)</f>
        <v>#DIV/0!</v>
      </c>
      <c r="BI334" s="3" t="e">
        <f>IF('Entrada e Saida'!$H$11="TRADING",IF('Entrada e Saida'!$H$12="REAL",AS334/D334,0),AM334/D334)</f>
        <v>#DIV/0!</v>
      </c>
      <c r="BJ334" s="3" t="e">
        <f>IF('Entrada e Saida'!$H$11="TRADING",AT334/D334,AO334/D334)</f>
        <v>#DIV/0!</v>
      </c>
      <c r="BK334" s="2" t="e">
        <f t="shared" si="169"/>
        <v>#DIV/0!</v>
      </c>
      <c r="BL334" s="2">
        <f>IF(O334&gt;0,IFERROR(IF('Entrada e Saida'!$H$11="DIRETA",0,(IF('Entrada e Saida'!$H$14="P.JURIDICA",(BD334*(1+O334)*N334)-((BD334/(1+M334))*'Entrada e Saida'!$G$65),((Produtos!N334-'Entrada e Saida'!$G$65)*Produtos!BD334)))),0),0)</f>
        <v>0</v>
      </c>
      <c r="BM334" s="2" t="e">
        <f t="shared" si="170"/>
        <v>#DIV/0!</v>
      </c>
    </row>
    <row r="335" spans="1:65" s="1" customFormat="1">
      <c r="A335" s="127"/>
      <c r="B335" s="114"/>
      <c r="C335" s="116"/>
      <c r="D335" s="146"/>
      <c r="E335" s="115">
        <f>IFERROR(VLOOKUP(A335,'Master Modelo'!A:I,9,FALSE),0)</f>
        <v>0</v>
      </c>
      <c r="F335" s="189">
        <f>IFERROR(VLOOKUP(A335,'Master Modelo'!A:I,8,FALSE),0)</f>
        <v>0</v>
      </c>
      <c r="G335" s="189">
        <f>IFERROR(VLOOKUP(A335,'Master Modelo'!A:K,11,FALSE),0)</f>
        <v>0</v>
      </c>
      <c r="H335" s="114" t="e">
        <f t="shared" si="153"/>
        <v>#DIV/0!</v>
      </c>
      <c r="I335" s="150">
        <f>IFERROR(VLOOKUP(A335,'Master Modelo'!A:I,3,FALSE),0)</f>
        <v>0</v>
      </c>
      <c r="J335" s="151">
        <f>IFERROR(VLOOKUP(A335,'Master Modelo'!A:I,5,FALSE),0)</f>
        <v>0</v>
      </c>
      <c r="K335" s="151">
        <f>IFERROR(VLOOKUP(A335,'Master Modelo'!A:I,6,FALSE),0)</f>
        <v>0</v>
      </c>
      <c r="L335" s="152" t="e">
        <f>VLOOKUP(A335,'Master Modelo'!A:J,10,FALSE)</f>
        <v>#N/A</v>
      </c>
      <c r="M335" s="150">
        <f>IFERROR(VLOOKUP(A335,'Master Modelo'!A:I,4,FALSE),0)</f>
        <v>0</v>
      </c>
      <c r="N335" s="128"/>
      <c r="O335" s="129"/>
      <c r="P335" s="9">
        <f t="shared" si="154"/>
        <v>0</v>
      </c>
      <c r="Q335" s="177">
        <f t="shared" si="152"/>
        <v>0</v>
      </c>
      <c r="R335" s="3">
        <f>D335*E335*'Entrada e Saida'!$K$8</f>
        <v>0</v>
      </c>
      <c r="S335" s="179" t="e">
        <f>'Entrada e Saida'!$H$21*'Entrada e Saida'!$K$8*(P335/(SUM(P:P)))</f>
        <v>#DIV/0!</v>
      </c>
      <c r="T335" s="179" t="e">
        <f>'Entrada e Saida'!$H$21*'Entrada e Saida'!$K$8*(Q335/(SUM(Q:Q)))</f>
        <v>#DIV/0!</v>
      </c>
      <c r="U335" s="179" t="e">
        <f>'Entrada e Saida'!$H$22*(P335/(SUM(P:P)))</f>
        <v>#DIV/0!</v>
      </c>
      <c r="V335" s="179" t="e">
        <f>'Entrada e Saida'!$H$22*(Q335/(SUM(Q:Q)))</f>
        <v>#DIV/0!</v>
      </c>
      <c r="W335" s="8" t="e">
        <f t="shared" si="155"/>
        <v>#DIV/0!</v>
      </c>
      <c r="X335" s="179" t="e">
        <f>'Entrada e Saida'!$H$26*(IF('Entrada e Saida'!$H$15="PESO",(P335/(SUM(P:P))),(Q335/(SUM(Q:Q)))))</f>
        <v>#DIV/0!</v>
      </c>
      <c r="Y335" s="179" t="e">
        <f>'Entrada e Saida'!$H$27*(IF('Entrada e Saida'!$H$15="PESO",(P335/(SUM(P:P))),(Q335/(SUM(Q:Q)))))</f>
        <v>#DIV/0!</v>
      </c>
      <c r="Z335" s="179" t="e">
        <f>'Entrada e Saida'!$H$28*(IF('Entrada e Saida'!$H$15="PESO",(P335/(SUM(P:P))),(Q335/(SUM(Q:Q)))))</f>
        <v>#DIV/0!</v>
      </c>
      <c r="AA335" s="10" t="e">
        <f t="shared" si="156"/>
        <v>#DIV/0!</v>
      </c>
      <c r="AB335" s="3" t="e">
        <f t="shared" si="157"/>
        <v>#DIV/0!</v>
      </c>
      <c r="AC335" s="3" t="e">
        <f t="shared" si="158"/>
        <v>#DIV/0!</v>
      </c>
      <c r="AD335" s="3" t="e">
        <f t="shared" si="159"/>
        <v>#DIV/0!</v>
      </c>
      <c r="AE335" s="9" t="e">
        <f t="shared" si="160"/>
        <v>#DIV/0!</v>
      </c>
      <c r="AF335" s="126">
        <f>IFERROR(D335*F335*L335*'Entrada e Saida'!$K$8,0)</f>
        <v>0</v>
      </c>
      <c r="AG335" s="3" t="e">
        <f>((W335+AA335+AB335+AC335+AD335+AE335+AF335)/(1-'Entrada e Saida'!$G$65))*'Entrada e Saida'!$I$66</f>
        <v>#DIV/0!</v>
      </c>
      <c r="AH335" s="8" t="e">
        <f t="shared" si="161"/>
        <v>#DIV/0!</v>
      </c>
      <c r="AI335" s="183" t="e">
        <f>'Entrada e Saida'!$K$51*(IF('Entrada e Saida'!$H$15="PESO",(P335/(SUM(P:P))),(Q335/(SUM(Q:Q)))))</f>
        <v>#DIV/0!</v>
      </c>
      <c r="AJ335" s="7">
        <f>(('Entrada e Saida'!$K$10-'Entrada e Saida'!$K$8)*E335*D335)</f>
        <v>0</v>
      </c>
      <c r="AK335" s="184" t="e">
        <f>IF('Entrada e Saida'!$H$15="PESO",W335+AA335+AH335+AI335+AJ335,W335+AA335+AH335+AI335+AJ335-S335+T335-U335+V335)</f>
        <v>#DIV/0!</v>
      </c>
      <c r="AL335" s="6" t="e">
        <f>IF('Entrada e Saida'!$H$12="REAL",AC335,0)</f>
        <v>#DIV/0!</v>
      </c>
      <c r="AM335" s="6" t="e">
        <f>IF('Entrada e Saida'!$H$12="REAL",AD335,0)</f>
        <v>#DIV/0!</v>
      </c>
      <c r="AN335" s="5" t="e">
        <f>IF('Entrada e Saida'!$H$13= "NÃO",AE335,0)</f>
        <v>#DIV/0!</v>
      </c>
      <c r="AO335" s="5" t="e">
        <f t="shared" si="162"/>
        <v>#DIV/0!</v>
      </c>
      <c r="AP335" s="4" t="e">
        <f t="shared" si="163"/>
        <v>#DIV/0!</v>
      </c>
      <c r="AQ335" s="3" t="e">
        <f>IF('Entrada e Saida'!$H$11="TRADING",AU335*'Custo Resumido'!D335,0)</f>
        <v>#DIV/0!</v>
      </c>
      <c r="AR335" s="3" t="e">
        <f>IF('Entrada e Saida'!$H$11="TRADING",AU335*'Entrada e Saida'!$G$63,0)</f>
        <v>#DIV/0!</v>
      </c>
      <c r="AS335" s="3" t="e">
        <f>IF('Entrada e Saida'!$H$11="TRADING",AU335*'Entrada e Saida'!$G$64,0)</f>
        <v>#DIV/0!</v>
      </c>
      <c r="AT335" s="3" t="e">
        <f>IF('Entrada e Saida'!$H$11="TRADING",AU335*'Entrada e Saida'!$G$65,0)</f>
        <v>#DIV/0!</v>
      </c>
      <c r="AU335" s="4" t="e">
        <f>IF('Entrada e Saida'!$H$11="TRADING",AP335/(1-(SUM('Entrada e Saida'!$G$63:$G$65)+'Custo Resumido'!D335)),0)</f>
        <v>#DIV/0!</v>
      </c>
      <c r="AV335" s="3" t="e">
        <f>IF('Entrada e Saida'!$H$13="NÃO",AU335*M335,0)</f>
        <v>#DIV/0!</v>
      </c>
      <c r="AW335" s="4" t="e">
        <f t="shared" si="164"/>
        <v>#DIV/0!</v>
      </c>
      <c r="AX335" s="3" t="e">
        <f>'Entrada e Saida'!$G$74*AU335</f>
        <v>#DIV/0!</v>
      </c>
      <c r="AY335" s="4" t="e">
        <f t="shared" si="165"/>
        <v>#DIV/0!</v>
      </c>
      <c r="AZ335" s="4" t="e">
        <f>AQ335+('Entrada e Saida'!$G$65-'Entrada e Saida'!$I$65)*AU335-AX335</f>
        <v>#DIV/0!</v>
      </c>
      <c r="BA335" s="3" t="e">
        <f>IF('Entrada e Saida'!$H$12="REAL",AZ335*'Entrada e Saida'!$G$81,AU335*'Entrada e Saida'!$G$81)</f>
        <v>#DIV/0!</v>
      </c>
      <c r="BB335" s="3" t="e">
        <f>IF('Entrada e Saida'!$H$12="REAL",AZ335*'Entrada e Saida'!$G$82,AU335*'Entrada e Saida'!$G$82)</f>
        <v>#DIV/0!</v>
      </c>
      <c r="BC335" s="4" t="e">
        <f t="shared" si="166"/>
        <v>#DIV/0!</v>
      </c>
      <c r="BD335" s="3" t="e">
        <f>IF('Entrada e Saida'!$H$11="TRADING",AW335/D335,AK335/D335)</f>
        <v>#DIV/0!</v>
      </c>
      <c r="BE335" s="3" t="e">
        <f t="shared" si="167"/>
        <v>#DIV/0!</v>
      </c>
      <c r="BF335" s="2" t="e">
        <f t="shared" si="168"/>
        <v>#DIV/0!</v>
      </c>
      <c r="BG335" s="3" t="e">
        <f>IF('Entrada e Saida'!$H$11="TRADING",AV335/D335,AN335/D335)</f>
        <v>#DIV/0!</v>
      </c>
      <c r="BH335" s="3" t="e">
        <f>IF('Entrada e Saida'!$H$11="TRADING",IF('Entrada e Saida'!$H$12="REAL",AR335/D335,0),AL335/D335)</f>
        <v>#DIV/0!</v>
      </c>
      <c r="BI335" s="3" t="e">
        <f>IF('Entrada e Saida'!$H$11="TRADING",IF('Entrada e Saida'!$H$12="REAL",AS335/D335,0),AM335/D335)</f>
        <v>#DIV/0!</v>
      </c>
      <c r="BJ335" s="3" t="e">
        <f>IF('Entrada e Saida'!$H$11="TRADING",AT335/D335,AO335/D335)</f>
        <v>#DIV/0!</v>
      </c>
      <c r="BK335" s="2" t="e">
        <f t="shared" si="169"/>
        <v>#DIV/0!</v>
      </c>
      <c r="BL335" s="2">
        <f>IF(O335&gt;0,IFERROR(IF('Entrada e Saida'!$H$11="DIRETA",0,(IF('Entrada e Saida'!$H$14="P.JURIDICA",(BD335*(1+O335)*N335)-((BD335/(1+M335))*'Entrada e Saida'!$G$65),((Produtos!N335-'Entrada e Saida'!$G$65)*Produtos!BD335)))),0),0)</f>
        <v>0</v>
      </c>
      <c r="BM335" s="2" t="e">
        <f t="shared" si="170"/>
        <v>#DIV/0!</v>
      </c>
    </row>
    <row r="336" spans="1:65" s="1" customFormat="1">
      <c r="A336" s="127"/>
      <c r="B336" s="114"/>
      <c r="C336" s="116"/>
      <c r="D336" s="146"/>
      <c r="E336" s="115">
        <f>IFERROR(VLOOKUP(A336,'Master Modelo'!A:I,9,FALSE),0)</f>
        <v>0</v>
      </c>
      <c r="F336" s="189">
        <f>IFERROR(VLOOKUP(A336,'Master Modelo'!A:I,8,FALSE),0)</f>
        <v>0</v>
      </c>
      <c r="G336" s="189">
        <f>IFERROR(VLOOKUP(A336,'Master Modelo'!A:K,11,FALSE),0)</f>
        <v>0</v>
      </c>
      <c r="H336" s="114" t="e">
        <f t="shared" si="153"/>
        <v>#DIV/0!</v>
      </c>
      <c r="I336" s="150">
        <f>IFERROR(VLOOKUP(A336,'Master Modelo'!A:I,3,FALSE),0)</f>
        <v>0</v>
      </c>
      <c r="J336" s="151">
        <f>IFERROR(VLOOKUP(A336,'Master Modelo'!A:I,5,FALSE),0)</f>
        <v>0</v>
      </c>
      <c r="K336" s="151">
        <f>IFERROR(VLOOKUP(A336,'Master Modelo'!A:I,6,FALSE),0)</f>
        <v>0</v>
      </c>
      <c r="L336" s="152" t="e">
        <f>VLOOKUP(A336,'Master Modelo'!A:J,10,FALSE)</f>
        <v>#N/A</v>
      </c>
      <c r="M336" s="150">
        <f>IFERROR(VLOOKUP(A336,'Master Modelo'!A:I,4,FALSE),0)</f>
        <v>0</v>
      </c>
      <c r="N336" s="128"/>
      <c r="O336" s="129"/>
      <c r="P336" s="9">
        <f t="shared" si="154"/>
        <v>0</v>
      </c>
      <c r="Q336" s="177">
        <f t="shared" si="152"/>
        <v>0</v>
      </c>
      <c r="R336" s="3">
        <f>D336*E336*'Entrada e Saida'!$K$8</f>
        <v>0</v>
      </c>
      <c r="S336" s="179" t="e">
        <f>'Entrada e Saida'!$H$21*'Entrada e Saida'!$K$8*(P336/(SUM(P:P)))</f>
        <v>#DIV/0!</v>
      </c>
      <c r="T336" s="179" t="e">
        <f>'Entrada e Saida'!$H$21*'Entrada e Saida'!$K$8*(Q336/(SUM(Q:Q)))</f>
        <v>#DIV/0!</v>
      </c>
      <c r="U336" s="179" t="e">
        <f>'Entrada e Saida'!$H$22*(P336/(SUM(P:P)))</f>
        <v>#DIV/0!</v>
      </c>
      <c r="V336" s="179" t="e">
        <f>'Entrada e Saida'!$H$22*(Q336/(SUM(Q:Q)))</f>
        <v>#DIV/0!</v>
      </c>
      <c r="W336" s="8" t="e">
        <f t="shared" si="155"/>
        <v>#DIV/0!</v>
      </c>
      <c r="X336" s="179" t="e">
        <f>'Entrada e Saida'!$H$26*(IF('Entrada e Saida'!$H$15="PESO",(P336/(SUM(P:P))),(Q336/(SUM(Q:Q)))))</f>
        <v>#DIV/0!</v>
      </c>
      <c r="Y336" s="179" t="e">
        <f>'Entrada e Saida'!$H$27*(IF('Entrada e Saida'!$H$15="PESO",(P336/(SUM(P:P))),(Q336/(SUM(Q:Q)))))</f>
        <v>#DIV/0!</v>
      </c>
      <c r="Z336" s="179" t="e">
        <f>'Entrada e Saida'!$H$28*(IF('Entrada e Saida'!$H$15="PESO",(P336/(SUM(P:P))),(Q336/(SUM(Q:Q)))))</f>
        <v>#DIV/0!</v>
      </c>
      <c r="AA336" s="10" t="e">
        <f t="shared" si="156"/>
        <v>#DIV/0!</v>
      </c>
      <c r="AB336" s="3" t="e">
        <f t="shared" si="157"/>
        <v>#DIV/0!</v>
      </c>
      <c r="AC336" s="3" t="e">
        <f t="shared" si="158"/>
        <v>#DIV/0!</v>
      </c>
      <c r="AD336" s="3" t="e">
        <f t="shared" si="159"/>
        <v>#DIV/0!</v>
      </c>
      <c r="AE336" s="9" t="e">
        <f t="shared" si="160"/>
        <v>#DIV/0!</v>
      </c>
      <c r="AF336" s="126">
        <f>IFERROR(D336*F336*L336*'Entrada e Saida'!$K$8,0)</f>
        <v>0</v>
      </c>
      <c r="AG336" s="3" t="e">
        <f>((W336+AA336+AB336+AC336+AD336+AE336+AF336)/(1-'Entrada e Saida'!$G$65))*'Entrada e Saida'!$I$66</f>
        <v>#DIV/0!</v>
      </c>
      <c r="AH336" s="8" t="e">
        <f t="shared" si="161"/>
        <v>#DIV/0!</v>
      </c>
      <c r="AI336" s="183" t="e">
        <f>'Entrada e Saida'!$K$51*(IF('Entrada e Saida'!$H$15="PESO",(P336/(SUM(P:P))),(Q336/(SUM(Q:Q)))))</f>
        <v>#DIV/0!</v>
      </c>
      <c r="AJ336" s="7">
        <f>(('Entrada e Saida'!$K$10-'Entrada e Saida'!$K$8)*E336*D336)</f>
        <v>0</v>
      </c>
      <c r="AK336" s="184" t="e">
        <f>IF('Entrada e Saida'!$H$15="PESO",W336+AA336+AH336+AI336+AJ336,W336+AA336+AH336+AI336+AJ336-S336+T336-U336+V336)</f>
        <v>#DIV/0!</v>
      </c>
      <c r="AL336" s="6" t="e">
        <f>IF('Entrada e Saida'!$H$12="REAL",AC336,0)</f>
        <v>#DIV/0!</v>
      </c>
      <c r="AM336" s="6" t="e">
        <f>IF('Entrada e Saida'!$H$12="REAL",AD336,0)</f>
        <v>#DIV/0!</v>
      </c>
      <c r="AN336" s="5" t="e">
        <f>IF('Entrada e Saida'!$H$13= "NÃO",AE336,0)</f>
        <v>#DIV/0!</v>
      </c>
      <c r="AO336" s="5" t="e">
        <f t="shared" si="162"/>
        <v>#DIV/0!</v>
      </c>
      <c r="AP336" s="4" t="e">
        <f t="shared" si="163"/>
        <v>#DIV/0!</v>
      </c>
      <c r="AQ336" s="3" t="e">
        <f>IF('Entrada e Saida'!$H$11="TRADING",AU336*'Custo Resumido'!D336,0)</f>
        <v>#DIV/0!</v>
      </c>
      <c r="AR336" s="3" t="e">
        <f>IF('Entrada e Saida'!$H$11="TRADING",AU336*'Entrada e Saida'!$G$63,0)</f>
        <v>#DIV/0!</v>
      </c>
      <c r="AS336" s="3" t="e">
        <f>IF('Entrada e Saida'!$H$11="TRADING",AU336*'Entrada e Saida'!$G$64,0)</f>
        <v>#DIV/0!</v>
      </c>
      <c r="AT336" s="3" t="e">
        <f>IF('Entrada e Saida'!$H$11="TRADING",AU336*'Entrada e Saida'!$G$65,0)</f>
        <v>#DIV/0!</v>
      </c>
      <c r="AU336" s="4" t="e">
        <f>IF('Entrada e Saida'!$H$11="TRADING",AP336/(1-(SUM('Entrada e Saida'!$G$63:$G$65)+'Custo Resumido'!D336)),0)</f>
        <v>#DIV/0!</v>
      </c>
      <c r="AV336" s="3" t="e">
        <f>IF('Entrada e Saida'!$H$13="NÃO",AU336*M336,0)</f>
        <v>#DIV/0!</v>
      </c>
      <c r="AW336" s="4" t="e">
        <f t="shared" si="164"/>
        <v>#DIV/0!</v>
      </c>
      <c r="AX336" s="3" t="e">
        <f>'Entrada e Saida'!$G$74*AU336</f>
        <v>#DIV/0!</v>
      </c>
      <c r="AY336" s="4" t="e">
        <f t="shared" si="165"/>
        <v>#DIV/0!</v>
      </c>
      <c r="AZ336" s="4" t="e">
        <f>AQ336+('Entrada e Saida'!$G$65-'Entrada e Saida'!$I$65)*AU336-AX336</f>
        <v>#DIV/0!</v>
      </c>
      <c r="BA336" s="3" t="e">
        <f>IF('Entrada e Saida'!$H$12="REAL",AZ336*'Entrada e Saida'!$G$81,AU336*'Entrada e Saida'!$G$81)</f>
        <v>#DIV/0!</v>
      </c>
      <c r="BB336" s="3" t="e">
        <f>IF('Entrada e Saida'!$H$12="REAL",AZ336*'Entrada e Saida'!$G$82,AU336*'Entrada e Saida'!$G$82)</f>
        <v>#DIV/0!</v>
      </c>
      <c r="BC336" s="4" t="e">
        <f t="shared" si="166"/>
        <v>#DIV/0!</v>
      </c>
      <c r="BD336" s="3" t="e">
        <f>IF('Entrada e Saida'!$H$11="TRADING",AW336/D336,AK336/D336)</f>
        <v>#DIV/0!</v>
      </c>
      <c r="BE336" s="3" t="e">
        <f t="shared" si="167"/>
        <v>#DIV/0!</v>
      </c>
      <c r="BF336" s="2" t="e">
        <f t="shared" si="168"/>
        <v>#DIV/0!</v>
      </c>
      <c r="BG336" s="3" t="e">
        <f>IF('Entrada e Saida'!$H$11="TRADING",AV336/D336,AN336/D336)</f>
        <v>#DIV/0!</v>
      </c>
      <c r="BH336" s="3" t="e">
        <f>IF('Entrada e Saida'!$H$11="TRADING",IF('Entrada e Saida'!$H$12="REAL",AR336/D336,0),AL336/D336)</f>
        <v>#DIV/0!</v>
      </c>
      <c r="BI336" s="3" t="e">
        <f>IF('Entrada e Saida'!$H$11="TRADING",IF('Entrada e Saida'!$H$12="REAL",AS336/D336,0),AM336/D336)</f>
        <v>#DIV/0!</v>
      </c>
      <c r="BJ336" s="3" t="e">
        <f>IF('Entrada e Saida'!$H$11="TRADING",AT336/D336,AO336/D336)</f>
        <v>#DIV/0!</v>
      </c>
      <c r="BK336" s="2" t="e">
        <f t="shared" si="169"/>
        <v>#DIV/0!</v>
      </c>
      <c r="BL336" s="2">
        <f>IF(O336&gt;0,IFERROR(IF('Entrada e Saida'!$H$11="DIRETA",0,(IF('Entrada e Saida'!$H$14="P.JURIDICA",(BD336*(1+O336)*N336)-((BD336/(1+M336))*'Entrada e Saida'!$G$65),((Produtos!N336-'Entrada e Saida'!$G$65)*Produtos!BD336)))),0),0)</f>
        <v>0</v>
      </c>
      <c r="BM336" s="2" t="e">
        <f t="shared" si="170"/>
        <v>#DIV/0!</v>
      </c>
    </row>
    <row r="337" spans="1:65" s="1" customFormat="1">
      <c r="A337" s="127"/>
      <c r="B337" s="114"/>
      <c r="C337" s="116"/>
      <c r="D337" s="146"/>
      <c r="E337" s="115">
        <f>IFERROR(VLOOKUP(A337,'Master Modelo'!A:I,9,FALSE),0)</f>
        <v>0</v>
      </c>
      <c r="F337" s="189">
        <f>IFERROR(VLOOKUP(A337,'Master Modelo'!A:I,8,FALSE),0)</f>
        <v>0</v>
      </c>
      <c r="G337" s="189">
        <f>IFERROR(VLOOKUP(A337,'Master Modelo'!A:K,11,FALSE),0)</f>
        <v>0</v>
      </c>
      <c r="H337" s="114" t="e">
        <f t="shared" si="153"/>
        <v>#DIV/0!</v>
      </c>
      <c r="I337" s="150">
        <f>IFERROR(VLOOKUP(A337,'Master Modelo'!A:I,3,FALSE),0)</f>
        <v>0</v>
      </c>
      <c r="J337" s="151">
        <f>IFERROR(VLOOKUP(A337,'Master Modelo'!A:I,5,FALSE),0)</f>
        <v>0</v>
      </c>
      <c r="K337" s="151">
        <f>IFERROR(VLOOKUP(A337,'Master Modelo'!A:I,6,FALSE),0)</f>
        <v>0</v>
      </c>
      <c r="L337" s="152" t="e">
        <f>VLOOKUP(A337,'Master Modelo'!A:J,10,FALSE)</f>
        <v>#N/A</v>
      </c>
      <c r="M337" s="150">
        <f>IFERROR(VLOOKUP(A337,'Master Modelo'!A:I,4,FALSE),0)</f>
        <v>0</v>
      </c>
      <c r="N337" s="128"/>
      <c r="O337" s="129"/>
      <c r="P337" s="9">
        <f t="shared" si="154"/>
        <v>0</v>
      </c>
      <c r="Q337" s="177">
        <f t="shared" si="152"/>
        <v>0</v>
      </c>
      <c r="R337" s="3">
        <f>D337*E337*'Entrada e Saida'!$K$8</f>
        <v>0</v>
      </c>
      <c r="S337" s="179" t="e">
        <f>'Entrada e Saida'!$H$21*'Entrada e Saida'!$K$8*(P337/(SUM(P:P)))</f>
        <v>#DIV/0!</v>
      </c>
      <c r="T337" s="179" t="e">
        <f>'Entrada e Saida'!$H$21*'Entrada e Saida'!$K$8*(Q337/(SUM(Q:Q)))</f>
        <v>#DIV/0!</v>
      </c>
      <c r="U337" s="179" t="e">
        <f>'Entrada e Saida'!$H$22*(P337/(SUM(P:P)))</f>
        <v>#DIV/0!</v>
      </c>
      <c r="V337" s="179" t="e">
        <f>'Entrada e Saida'!$H$22*(Q337/(SUM(Q:Q)))</f>
        <v>#DIV/0!</v>
      </c>
      <c r="W337" s="8" t="e">
        <f t="shared" si="155"/>
        <v>#DIV/0!</v>
      </c>
      <c r="X337" s="179" t="e">
        <f>'Entrada e Saida'!$H$26*(IF('Entrada e Saida'!$H$15="PESO",(P337/(SUM(P:P))),(Q337/(SUM(Q:Q)))))</f>
        <v>#DIV/0!</v>
      </c>
      <c r="Y337" s="179" t="e">
        <f>'Entrada e Saida'!$H$27*(IF('Entrada e Saida'!$H$15="PESO",(P337/(SUM(P:P))),(Q337/(SUM(Q:Q)))))</f>
        <v>#DIV/0!</v>
      </c>
      <c r="Z337" s="179" t="e">
        <f>'Entrada e Saida'!$H$28*(IF('Entrada e Saida'!$H$15="PESO",(P337/(SUM(P:P))),(Q337/(SUM(Q:Q)))))</f>
        <v>#DIV/0!</v>
      </c>
      <c r="AA337" s="10" t="e">
        <f t="shared" si="156"/>
        <v>#DIV/0!</v>
      </c>
      <c r="AB337" s="3" t="e">
        <f t="shared" si="157"/>
        <v>#DIV/0!</v>
      </c>
      <c r="AC337" s="3" t="e">
        <f t="shared" si="158"/>
        <v>#DIV/0!</v>
      </c>
      <c r="AD337" s="3" t="e">
        <f t="shared" si="159"/>
        <v>#DIV/0!</v>
      </c>
      <c r="AE337" s="9" t="e">
        <f t="shared" si="160"/>
        <v>#DIV/0!</v>
      </c>
      <c r="AF337" s="126">
        <f>IFERROR(D337*F337*L337*'Entrada e Saida'!$K$8,0)</f>
        <v>0</v>
      </c>
      <c r="AG337" s="3" t="e">
        <f>((W337+AA337+AB337+AC337+AD337+AE337+AF337)/(1-'Entrada e Saida'!$G$65))*'Entrada e Saida'!$I$66</f>
        <v>#DIV/0!</v>
      </c>
      <c r="AH337" s="8" t="e">
        <f t="shared" si="161"/>
        <v>#DIV/0!</v>
      </c>
      <c r="AI337" s="183" t="e">
        <f>'Entrada e Saida'!$K$51*(IF('Entrada e Saida'!$H$15="PESO",(P337/(SUM(P:P))),(Q337/(SUM(Q:Q)))))</f>
        <v>#DIV/0!</v>
      </c>
      <c r="AJ337" s="7">
        <f>(('Entrada e Saida'!$K$10-'Entrada e Saida'!$K$8)*E337*D337)</f>
        <v>0</v>
      </c>
      <c r="AK337" s="184" t="e">
        <f>IF('Entrada e Saida'!$H$15="PESO",W337+AA337+AH337+AI337+AJ337,W337+AA337+AH337+AI337+AJ337-S337+T337-U337+V337)</f>
        <v>#DIV/0!</v>
      </c>
      <c r="AL337" s="6" t="e">
        <f>IF('Entrada e Saida'!$H$12="REAL",AC337,0)</f>
        <v>#DIV/0!</v>
      </c>
      <c r="AM337" s="6" t="e">
        <f>IF('Entrada e Saida'!$H$12="REAL",AD337,0)</f>
        <v>#DIV/0!</v>
      </c>
      <c r="AN337" s="5" t="e">
        <f>IF('Entrada e Saida'!$H$13= "NÃO",AE337,0)</f>
        <v>#DIV/0!</v>
      </c>
      <c r="AO337" s="5" t="e">
        <f t="shared" si="162"/>
        <v>#DIV/0!</v>
      </c>
      <c r="AP337" s="4" t="e">
        <f t="shared" si="163"/>
        <v>#DIV/0!</v>
      </c>
      <c r="AQ337" s="3" t="e">
        <f>IF('Entrada e Saida'!$H$11="TRADING",AU337*'Custo Resumido'!D337,0)</f>
        <v>#DIV/0!</v>
      </c>
      <c r="AR337" s="3" t="e">
        <f>IF('Entrada e Saida'!$H$11="TRADING",AU337*'Entrada e Saida'!$G$63,0)</f>
        <v>#DIV/0!</v>
      </c>
      <c r="AS337" s="3" t="e">
        <f>IF('Entrada e Saida'!$H$11="TRADING",AU337*'Entrada e Saida'!$G$64,0)</f>
        <v>#DIV/0!</v>
      </c>
      <c r="AT337" s="3" t="e">
        <f>IF('Entrada e Saida'!$H$11="TRADING",AU337*'Entrada e Saida'!$G$65,0)</f>
        <v>#DIV/0!</v>
      </c>
      <c r="AU337" s="4" t="e">
        <f>IF('Entrada e Saida'!$H$11="TRADING",AP337/(1-(SUM('Entrada e Saida'!$G$63:$G$65)+'Custo Resumido'!D337)),0)</f>
        <v>#DIV/0!</v>
      </c>
      <c r="AV337" s="3" t="e">
        <f>IF('Entrada e Saida'!$H$13="NÃO",AU337*M337,0)</f>
        <v>#DIV/0!</v>
      </c>
      <c r="AW337" s="4" t="e">
        <f t="shared" si="164"/>
        <v>#DIV/0!</v>
      </c>
      <c r="AX337" s="3" t="e">
        <f>'Entrada e Saida'!$G$74*AU337</f>
        <v>#DIV/0!</v>
      </c>
      <c r="AY337" s="4" t="e">
        <f t="shared" si="165"/>
        <v>#DIV/0!</v>
      </c>
      <c r="AZ337" s="4" t="e">
        <f>AQ337+('Entrada e Saida'!$G$65-'Entrada e Saida'!$I$65)*AU337-AX337</f>
        <v>#DIV/0!</v>
      </c>
      <c r="BA337" s="3" t="e">
        <f>IF('Entrada e Saida'!$H$12="REAL",AZ337*'Entrada e Saida'!$G$81,AU337*'Entrada e Saida'!$G$81)</f>
        <v>#DIV/0!</v>
      </c>
      <c r="BB337" s="3" t="e">
        <f>IF('Entrada e Saida'!$H$12="REAL",AZ337*'Entrada e Saida'!$G$82,AU337*'Entrada e Saida'!$G$82)</f>
        <v>#DIV/0!</v>
      </c>
      <c r="BC337" s="4" t="e">
        <f t="shared" si="166"/>
        <v>#DIV/0!</v>
      </c>
      <c r="BD337" s="3" t="e">
        <f>IF('Entrada e Saida'!$H$11="TRADING",AW337/D337,AK337/D337)</f>
        <v>#DIV/0!</v>
      </c>
      <c r="BE337" s="3" t="e">
        <f t="shared" si="167"/>
        <v>#DIV/0!</v>
      </c>
      <c r="BF337" s="2" t="e">
        <f t="shared" si="168"/>
        <v>#DIV/0!</v>
      </c>
      <c r="BG337" s="3" t="e">
        <f>IF('Entrada e Saida'!$H$11="TRADING",AV337/D337,AN337/D337)</f>
        <v>#DIV/0!</v>
      </c>
      <c r="BH337" s="3" t="e">
        <f>IF('Entrada e Saida'!$H$11="TRADING",IF('Entrada e Saida'!$H$12="REAL",AR337/D337,0),AL337/D337)</f>
        <v>#DIV/0!</v>
      </c>
      <c r="BI337" s="3" t="e">
        <f>IF('Entrada e Saida'!$H$11="TRADING",IF('Entrada e Saida'!$H$12="REAL",AS337/D337,0),AM337/D337)</f>
        <v>#DIV/0!</v>
      </c>
      <c r="BJ337" s="3" t="e">
        <f>IF('Entrada e Saida'!$H$11="TRADING",AT337/D337,AO337/D337)</f>
        <v>#DIV/0!</v>
      </c>
      <c r="BK337" s="2" t="e">
        <f t="shared" si="169"/>
        <v>#DIV/0!</v>
      </c>
      <c r="BL337" s="2">
        <f>IF(O337&gt;0,IFERROR(IF('Entrada e Saida'!$H$11="DIRETA",0,(IF('Entrada e Saida'!$H$14="P.JURIDICA",(BD337*(1+O337)*N337)-((BD337/(1+M337))*'Entrada e Saida'!$G$65),((Produtos!N337-'Entrada e Saida'!$G$65)*Produtos!BD337)))),0),0)</f>
        <v>0</v>
      </c>
      <c r="BM337" s="2" t="e">
        <f t="shared" si="170"/>
        <v>#DIV/0!</v>
      </c>
    </row>
    <row r="338" spans="1:65" s="1" customFormat="1">
      <c r="A338" s="127"/>
      <c r="B338" s="114"/>
      <c r="C338" s="116"/>
      <c r="D338" s="146"/>
      <c r="E338" s="115">
        <f>IFERROR(VLOOKUP(A338,'Master Modelo'!A:I,9,FALSE),0)</f>
        <v>0</v>
      </c>
      <c r="F338" s="189">
        <f>IFERROR(VLOOKUP(A338,'Master Modelo'!A:I,8,FALSE),0)</f>
        <v>0</v>
      </c>
      <c r="G338" s="189">
        <f>IFERROR(VLOOKUP(A338,'Master Modelo'!A:K,11,FALSE),0)</f>
        <v>0</v>
      </c>
      <c r="H338" s="114" t="e">
        <f t="shared" si="153"/>
        <v>#DIV/0!</v>
      </c>
      <c r="I338" s="150">
        <f>IFERROR(VLOOKUP(A338,'Master Modelo'!A:I,3,FALSE),0)</f>
        <v>0</v>
      </c>
      <c r="J338" s="151">
        <f>IFERROR(VLOOKUP(A338,'Master Modelo'!A:I,5,FALSE),0)</f>
        <v>0</v>
      </c>
      <c r="K338" s="151">
        <f>IFERROR(VLOOKUP(A338,'Master Modelo'!A:I,6,FALSE),0)</f>
        <v>0</v>
      </c>
      <c r="L338" s="152" t="e">
        <f>VLOOKUP(A338,'Master Modelo'!A:J,10,FALSE)</f>
        <v>#N/A</v>
      </c>
      <c r="M338" s="150">
        <f>IFERROR(VLOOKUP(A338,'Master Modelo'!A:I,4,FALSE),0)</f>
        <v>0</v>
      </c>
      <c r="N338" s="128"/>
      <c r="O338" s="129"/>
      <c r="P338" s="9">
        <f t="shared" si="154"/>
        <v>0</v>
      </c>
      <c r="Q338" s="177">
        <f t="shared" si="152"/>
        <v>0</v>
      </c>
      <c r="R338" s="3">
        <f>D338*E338*'Entrada e Saida'!$K$8</f>
        <v>0</v>
      </c>
      <c r="S338" s="179" t="e">
        <f>'Entrada e Saida'!$H$21*'Entrada e Saida'!$K$8*(P338/(SUM(P:P)))</f>
        <v>#DIV/0!</v>
      </c>
      <c r="T338" s="179" t="e">
        <f>'Entrada e Saida'!$H$21*'Entrada e Saida'!$K$8*(Q338/(SUM(Q:Q)))</f>
        <v>#DIV/0!</v>
      </c>
      <c r="U338" s="179" t="e">
        <f>'Entrada e Saida'!$H$22*(P338/(SUM(P:P)))</f>
        <v>#DIV/0!</v>
      </c>
      <c r="V338" s="179" t="e">
        <f>'Entrada e Saida'!$H$22*(Q338/(SUM(Q:Q)))</f>
        <v>#DIV/0!</v>
      </c>
      <c r="W338" s="8" t="e">
        <f t="shared" si="155"/>
        <v>#DIV/0!</v>
      </c>
      <c r="X338" s="179" t="e">
        <f>'Entrada e Saida'!$H$26*(IF('Entrada e Saida'!$H$15="PESO",(P338/(SUM(P:P))),(Q338/(SUM(Q:Q)))))</f>
        <v>#DIV/0!</v>
      </c>
      <c r="Y338" s="179" t="e">
        <f>'Entrada e Saida'!$H$27*(IF('Entrada e Saida'!$H$15="PESO",(P338/(SUM(P:P))),(Q338/(SUM(Q:Q)))))</f>
        <v>#DIV/0!</v>
      </c>
      <c r="Z338" s="179" t="e">
        <f>'Entrada e Saida'!$H$28*(IF('Entrada e Saida'!$H$15="PESO",(P338/(SUM(P:P))),(Q338/(SUM(Q:Q)))))</f>
        <v>#DIV/0!</v>
      </c>
      <c r="AA338" s="10" t="e">
        <f t="shared" si="156"/>
        <v>#DIV/0!</v>
      </c>
      <c r="AB338" s="3" t="e">
        <f t="shared" si="157"/>
        <v>#DIV/0!</v>
      </c>
      <c r="AC338" s="3" t="e">
        <f t="shared" si="158"/>
        <v>#DIV/0!</v>
      </c>
      <c r="AD338" s="3" t="e">
        <f t="shared" si="159"/>
        <v>#DIV/0!</v>
      </c>
      <c r="AE338" s="9" t="e">
        <f t="shared" si="160"/>
        <v>#DIV/0!</v>
      </c>
      <c r="AF338" s="126">
        <f>IFERROR(D338*F338*L338*'Entrada e Saida'!$K$8,0)</f>
        <v>0</v>
      </c>
      <c r="AG338" s="3" t="e">
        <f>((W338+AA338+AB338+AC338+AD338+AE338+AF338)/(1-'Entrada e Saida'!$G$65))*'Entrada e Saida'!$I$66</f>
        <v>#DIV/0!</v>
      </c>
      <c r="AH338" s="8" t="e">
        <f t="shared" si="161"/>
        <v>#DIV/0!</v>
      </c>
      <c r="AI338" s="183" t="e">
        <f>'Entrada e Saida'!$K$51*(IF('Entrada e Saida'!$H$15="PESO",(P338/(SUM(P:P))),(Q338/(SUM(Q:Q)))))</f>
        <v>#DIV/0!</v>
      </c>
      <c r="AJ338" s="7">
        <f>(('Entrada e Saida'!$K$10-'Entrada e Saida'!$K$8)*E338*D338)</f>
        <v>0</v>
      </c>
      <c r="AK338" s="184" t="e">
        <f>IF('Entrada e Saida'!$H$15="PESO",W338+AA338+AH338+AI338+AJ338,W338+AA338+AH338+AI338+AJ338-S338+T338-U338+V338)</f>
        <v>#DIV/0!</v>
      </c>
      <c r="AL338" s="6" t="e">
        <f>IF('Entrada e Saida'!$H$12="REAL",AC338,0)</f>
        <v>#DIV/0!</v>
      </c>
      <c r="AM338" s="6" t="e">
        <f>IF('Entrada e Saida'!$H$12="REAL",AD338,0)</f>
        <v>#DIV/0!</v>
      </c>
      <c r="AN338" s="5" t="e">
        <f>IF('Entrada e Saida'!$H$13= "NÃO",AE338,0)</f>
        <v>#DIV/0!</v>
      </c>
      <c r="AO338" s="5" t="e">
        <f t="shared" si="162"/>
        <v>#DIV/0!</v>
      </c>
      <c r="AP338" s="4" t="e">
        <f t="shared" si="163"/>
        <v>#DIV/0!</v>
      </c>
      <c r="AQ338" s="3" t="e">
        <f>IF('Entrada e Saida'!$H$11="TRADING",AU338*'Custo Resumido'!D338,0)</f>
        <v>#DIV/0!</v>
      </c>
      <c r="AR338" s="3" t="e">
        <f>IF('Entrada e Saida'!$H$11="TRADING",AU338*'Entrada e Saida'!$G$63,0)</f>
        <v>#DIV/0!</v>
      </c>
      <c r="AS338" s="3" t="e">
        <f>IF('Entrada e Saida'!$H$11="TRADING",AU338*'Entrada e Saida'!$G$64,0)</f>
        <v>#DIV/0!</v>
      </c>
      <c r="AT338" s="3" t="e">
        <f>IF('Entrada e Saida'!$H$11="TRADING",AU338*'Entrada e Saida'!$G$65,0)</f>
        <v>#DIV/0!</v>
      </c>
      <c r="AU338" s="4" t="e">
        <f>IF('Entrada e Saida'!$H$11="TRADING",AP338/(1-(SUM('Entrada e Saida'!$G$63:$G$65)+'Custo Resumido'!D338)),0)</f>
        <v>#DIV/0!</v>
      </c>
      <c r="AV338" s="3" t="e">
        <f>IF('Entrada e Saida'!$H$13="NÃO",AU338*M338,0)</f>
        <v>#DIV/0!</v>
      </c>
      <c r="AW338" s="4" t="e">
        <f t="shared" si="164"/>
        <v>#DIV/0!</v>
      </c>
      <c r="AX338" s="3" t="e">
        <f>'Entrada e Saida'!$G$74*AU338</f>
        <v>#DIV/0!</v>
      </c>
      <c r="AY338" s="4" t="e">
        <f t="shared" si="165"/>
        <v>#DIV/0!</v>
      </c>
      <c r="AZ338" s="4" t="e">
        <f>AQ338+('Entrada e Saida'!$G$65-'Entrada e Saida'!$I$65)*AU338-AX338</f>
        <v>#DIV/0!</v>
      </c>
      <c r="BA338" s="3" t="e">
        <f>IF('Entrada e Saida'!$H$12="REAL",AZ338*'Entrada e Saida'!$G$81,AU338*'Entrada e Saida'!$G$81)</f>
        <v>#DIV/0!</v>
      </c>
      <c r="BB338" s="3" t="e">
        <f>IF('Entrada e Saida'!$H$12="REAL",AZ338*'Entrada e Saida'!$G$82,AU338*'Entrada e Saida'!$G$82)</f>
        <v>#DIV/0!</v>
      </c>
      <c r="BC338" s="4" t="e">
        <f t="shared" si="166"/>
        <v>#DIV/0!</v>
      </c>
      <c r="BD338" s="3" t="e">
        <f>IF('Entrada e Saida'!$H$11="TRADING",AW338/D338,AK338/D338)</f>
        <v>#DIV/0!</v>
      </c>
      <c r="BE338" s="3" t="e">
        <f t="shared" si="167"/>
        <v>#DIV/0!</v>
      </c>
      <c r="BF338" s="2" t="e">
        <f t="shared" si="168"/>
        <v>#DIV/0!</v>
      </c>
      <c r="BG338" s="3" t="e">
        <f>IF('Entrada e Saida'!$H$11="TRADING",AV338/D338,AN338/D338)</f>
        <v>#DIV/0!</v>
      </c>
      <c r="BH338" s="3" t="e">
        <f>IF('Entrada e Saida'!$H$11="TRADING",IF('Entrada e Saida'!$H$12="REAL",AR338/D338,0),AL338/D338)</f>
        <v>#DIV/0!</v>
      </c>
      <c r="BI338" s="3" t="e">
        <f>IF('Entrada e Saida'!$H$11="TRADING",IF('Entrada e Saida'!$H$12="REAL",AS338/D338,0),AM338/D338)</f>
        <v>#DIV/0!</v>
      </c>
      <c r="BJ338" s="3" t="e">
        <f>IF('Entrada e Saida'!$H$11="TRADING",AT338/D338,AO338/D338)</f>
        <v>#DIV/0!</v>
      </c>
      <c r="BK338" s="2" t="e">
        <f t="shared" si="169"/>
        <v>#DIV/0!</v>
      </c>
      <c r="BL338" s="2">
        <f>IF(O338&gt;0,IFERROR(IF('Entrada e Saida'!$H$11="DIRETA",0,(IF('Entrada e Saida'!$H$14="P.JURIDICA",(BD338*(1+O338)*N338)-((BD338/(1+M338))*'Entrada e Saida'!$G$65),((Produtos!N338-'Entrada e Saida'!$G$65)*Produtos!BD338)))),0),0)</f>
        <v>0</v>
      </c>
      <c r="BM338" s="2" t="e">
        <f t="shared" si="170"/>
        <v>#DIV/0!</v>
      </c>
    </row>
    <row r="339" spans="1:65" s="1" customFormat="1">
      <c r="A339" s="127"/>
      <c r="B339" s="114"/>
      <c r="C339" s="116"/>
      <c r="D339" s="146"/>
      <c r="E339" s="115">
        <f>IFERROR(VLOOKUP(A339,'Master Modelo'!A:I,9,FALSE),0)</f>
        <v>0</v>
      </c>
      <c r="F339" s="189">
        <f>IFERROR(VLOOKUP(A339,'Master Modelo'!A:I,8,FALSE),0)</f>
        <v>0</v>
      </c>
      <c r="G339" s="189">
        <f>IFERROR(VLOOKUP(A339,'Master Modelo'!A:K,11,FALSE),0)</f>
        <v>0</v>
      </c>
      <c r="H339" s="114" t="e">
        <f t="shared" si="153"/>
        <v>#DIV/0!</v>
      </c>
      <c r="I339" s="150">
        <f>IFERROR(VLOOKUP(A339,'Master Modelo'!A:I,3,FALSE),0)</f>
        <v>0</v>
      </c>
      <c r="J339" s="151">
        <f>IFERROR(VLOOKUP(A339,'Master Modelo'!A:I,5,FALSE),0)</f>
        <v>0</v>
      </c>
      <c r="K339" s="151">
        <f>IFERROR(VLOOKUP(A339,'Master Modelo'!A:I,6,FALSE),0)</f>
        <v>0</v>
      </c>
      <c r="L339" s="152" t="e">
        <f>VLOOKUP(A339,'Master Modelo'!A:J,10,FALSE)</f>
        <v>#N/A</v>
      </c>
      <c r="M339" s="150">
        <f>IFERROR(VLOOKUP(A339,'Master Modelo'!A:I,4,FALSE),0)</f>
        <v>0</v>
      </c>
      <c r="N339" s="128"/>
      <c r="O339" s="129"/>
      <c r="P339" s="9">
        <f t="shared" si="154"/>
        <v>0</v>
      </c>
      <c r="Q339" s="177">
        <f t="shared" si="152"/>
        <v>0</v>
      </c>
      <c r="R339" s="3">
        <f>D339*E339*'Entrada e Saida'!$K$8</f>
        <v>0</v>
      </c>
      <c r="S339" s="179" t="e">
        <f>'Entrada e Saida'!$H$21*'Entrada e Saida'!$K$8*(P339/(SUM(P:P)))</f>
        <v>#DIV/0!</v>
      </c>
      <c r="T339" s="179" t="e">
        <f>'Entrada e Saida'!$H$21*'Entrada e Saida'!$K$8*(Q339/(SUM(Q:Q)))</f>
        <v>#DIV/0!</v>
      </c>
      <c r="U339" s="179" t="e">
        <f>'Entrada e Saida'!$H$22*(P339/(SUM(P:P)))</f>
        <v>#DIV/0!</v>
      </c>
      <c r="V339" s="179" t="e">
        <f>'Entrada e Saida'!$H$22*(Q339/(SUM(Q:Q)))</f>
        <v>#DIV/0!</v>
      </c>
      <c r="W339" s="8" t="e">
        <f t="shared" si="155"/>
        <v>#DIV/0!</v>
      </c>
      <c r="X339" s="179" t="e">
        <f>'Entrada e Saida'!$H$26*(IF('Entrada e Saida'!$H$15="PESO",(P339/(SUM(P:P))),(Q339/(SUM(Q:Q)))))</f>
        <v>#DIV/0!</v>
      </c>
      <c r="Y339" s="179" t="e">
        <f>'Entrada e Saida'!$H$27*(IF('Entrada e Saida'!$H$15="PESO",(P339/(SUM(P:P))),(Q339/(SUM(Q:Q)))))</f>
        <v>#DIV/0!</v>
      </c>
      <c r="Z339" s="179" t="e">
        <f>'Entrada e Saida'!$H$28*(IF('Entrada e Saida'!$H$15="PESO",(P339/(SUM(P:P))),(Q339/(SUM(Q:Q)))))</f>
        <v>#DIV/0!</v>
      </c>
      <c r="AA339" s="10" t="e">
        <f t="shared" si="156"/>
        <v>#DIV/0!</v>
      </c>
      <c r="AB339" s="3" t="e">
        <f t="shared" si="157"/>
        <v>#DIV/0!</v>
      </c>
      <c r="AC339" s="3" t="e">
        <f t="shared" si="158"/>
        <v>#DIV/0!</v>
      </c>
      <c r="AD339" s="3" t="e">
        <f t="shared" si="159"/>
        <v>#DIV/0!</v>
      </c>
      <c r="AE339" s="9" t="e">
        <f t="shared" si="160"/>
        <v>#DIV/0!</v>
      </c>
      <c r="AF339" s="126">
        <f>IFERROR(D339*F339*L339*'Entrada e Saida'!$K$8,0)</f>
        <v>0</v>
      </c>
      <c r="AG339" s="3" t="e">
        <f>((W339+AA339+AB339+AC339+AD339+AE339+AF339)/(1-'Entrada e Saida'!$G$65))*'Entrada e Saida'!$I$66</f>
        <v>#DIV/0!</v>
      </c>
      <c r="AH339" s="8" t="e">
        <f t="shared" si="161"/>
        <v>#DIV/0!</v>
      </c>
      <c r="AI339" s="183" t="e">
        <f>'Entrada e Saida'!$K$51*(IF('Entrada e Saida'!$H$15="PESO",(P339/(SUM(P:P))),(Q339/(SUM(Q:Q)))))</f>
        <v>#DIV/0!</v>
      </c>
      <c r="AJ339" s="7">
        <f>(('Entrada e Saida'!$K$10-'Entrada e Saida'!$K$8)*E339*D339)</f>
        <v>0</v>
      </c>
      <c r="AK339" s="184" t="e">
        <f>IF('Entrada e Saida'!$H$15="PESO",W339+AA339+AH339+AI339+AJ339,W339+AA339+AH339+AI339+AJ339-S339+T339-U339+V339)</f>
        <v>#DIV/0!</v>
      </c>
      <c r="AL339" s="6" t="e">
        <f>IF('Entrada e Saida'!$H$12="REAL",AC339,0)</f>
        <v>#DIV/0!</v>
      </c>
      <c r="AM339" s="6" t="e">
        <f>IF('Entrada e Saida'!$H$12="REAL",AD339,0)</f>
        <v>#DIV/0!</v>
      </c>
      <c r="AN339" s="5" t="e">
        <f>IF('Entrada e Saida'!$H$13= "NÃO",AE339,0)</f>
        <v>#DIV/0!</v>
      </c>
      <c r="AO339" s="5" t="e">
        <f t="shared" si="162"/>
        <v>#DIV/0!</v>
      </c>
      <c r="AP339" s="4" t="e">
        <f t="shared" si="163"/>
        <v>#DIV/0!</v>
      </c>
      <c r="AQ339" s="3" t="e">
        <f>IF('Entrada e Saida'!$H$11="TRADING",AU339*'Custo Resumido'!D339,0)</f>
        <v>#DIV/0!</v>
      </c>
      <c r="AR339" s="3" t="e">
        <f>IF('Entrada e Saida'!$H$11="TRADING",AU339*'Entrada e Saida'!$G$63,0)</f>
        <v>#DIV/0!</v>
      </c>
      <c r="AS339" s="3" t="e">
        <f>IF('Entrada e Saida'!$H$11="TRADING",AU339*'Entrada e Saida'!$G$64,0)</f>
        <v>#DIV/0!</v>
      </c>
      <c r="AT339" s="3" t="e">
        <f>IF('Entrada e Saida'!$H$11="TRADING",AU339*'Entrada e Saida'!$G$65,0)</f>
        <v>#DIV/0!</v>
      </c>
      <c r="AU339" s="4" t="e">
        <f>IF('Entrada e Saida'!$H$11="TRADING",AP339/(1-(SUM('Entrada e Saida'!$G$63:$G$65)+'Custo Resumido'!D339)),0)</f>
        <v>#DIV/0!</v>
      </c>
      <c r="AV339" s="3" t="e">
        <f>IF('Entrada e Saida'!$H$13="NÃO",AU339*M339,0)</f>
        <v>#DIV/0!</v>
      </c>
      <c r="AW339" s="4" t="e">
        <f t="shared" si="164"/>
        <v>#DIV/0!</v>
      </c>
      <c r="AX339" s="3" t="e">
        <f>'Entrada e Saida'!$G$74*AU339</f>
        <v>#DIV/0!</v>
      </c>
      <c r="AY339" s="4" t="e">
        <f t="shared" si="165"/>
        <v>#DIV/0!</v>
      </c>
      <c r="AZ339" s="4" t="e">
        <f>AQ339+('Entrada e Saida'!$G$65-'Entrada e Saida'!$I$65)*AU339-AX339</f>
        <v>#DIV/0!</v>
      </c>
      <c r="BA339" s="3" t="e">
        <f>IF('Entrada e Saida'!$H$12="REAL",AZ339*'Entrada e Saida'!$G$81,AU339*'Entrada e Saida'!$G$81)</f>
        <v>#DIV/0!</v>
      </c>
      <c r="BB339" s="3" t="e">
        <f>IF('Entrada e Saida'!$H$12="REAL",AZ339*'Entrada e Saida'!$G$82,AU339*'Entrada e Saida'!$G$82)</f>
        <v>#DIV/0!</v>
      </c>
      <c r="BC339" s="4" t="e">
        <f t="shared" si="166"/>
        <v>#DIV/0!</v>
      </c>
      <c r="BD339" s="3" t="e">
        <f>IF('Entrada e Saida'!$H$11="TRADING",AW339/D339,AK339/D339)</f>
        <v>#DIV/0!</v>
      </c>
      <c r="BE339" s="3" t="e">
        <f t="shared" si="167"/>
        <v>#DIV/0!</v>
      </c>
      <c r="BF339" s="2" t="e">
        <f t="shared" si="168"/>
        <v>#DIV/0!</v>
      </c>
      <c r="BG339" s="3" t="e">
        <f>IF('Entrada e Saida'!$H$11="TRADING",AV339/D339,AN339/D339)</f>
        <v>#DIV/0!</v>
      </c>
      <c r="BH339" s="3" t="e">
        <f>IF('Entrada e Saida'!$H$11="TRADING",IF('Entrada e Saida'!$H$12="REAL",AR339/D339,0),AL339/D339)</f>
        <v>#DIV/0!</v>
      </c>
      <c r="BI339" s="3" t="e">
        <f>IF('Entrada e Saida'!$H$11="TRADING",IF('Entrada e Saida'!$H$12="REAL",AS339/D339,0),AM339/D339)</f>
        <v>#DIV/0!</v>
      </c>
      <c r="BJ339" s="3" t="e">
        <f>IF('Entrada e Saida'!$H$11="TRADING",AT339/D339,AO339/D339)</f>
        <v>#DIV/0!</v>
      </c>
      <c r="BK339" s="2" t="e">
        <f t="shared" si="169"/>
        <v>#DIV/0!</v>
      </c>
      <c r="BL339" s="2">
        <f>IF(O339&gt;0,IFERROR(IF('Entrada e Saida'!$H$11="DIRETA",0,(IF('Entrada e Saida'!$H$14="P.JURIDICA",(BD339*(1+O339)*N339)-((BD339/(1+M339))*'Entrada e Saida'!$G$65),((Produtos!N339-'Entrada e Saida'!$G$65)*Produtos!BD339)))),0),0)</f>
        <v>0</v>
      </c>
      <c r="BM339" s="2" t="e">
        <f t="shared" si="170"/>
        <v>#DIV/0!</v>
      </c>
    </row>
    <row r="340" spans="1:65" s="1" customFormat="1">
      <c r="A340" s="127"/>
      <c r="B340" s="114"/>
      <c r="C340" s="116"/>
      <c r="D340" s="146"/>
      <c r="E340" s="115">
        <f>IFERROR(VLOOKUP(A340,'Master Modelo'!A:I,9,FALSE),0)</f>
        <v>0</v>
      </c>
      <c r="F340" s="189">
        <f>IFERROR(VLOOKUP(A340,'Master Modelo'!A:I,8,FALSE),0)</f>
        <v>0</v>
      </c>
      <c r="G340" s="189">
        <f>IFERROR(VLOOKUP(A340,'Master Modelo'!A:K,11,FALSE),0)</f>
        <v>0</v>
      </c>
      <c r="H340" s="114" t="e">
        <f t="shared" si="153"/>
        <v>#DIV/0!</v>
      </c>
      <c r="I340" s="150">
        <f>IFERROR(VLOOKUP(A340,'Master Modelo'!A:I,3,FALSE),0)</f>
        <v>0</v>
      </c>
      <c r="J340" s="151">
        <f>IFERROR(VLOOKUP(A340,'Master Modelo'!A:I,5,FALSE),0)</f>
        <v>0</v>
      </c>
      <c r="K340" s="151">
        <f>IFERROR(VLOOKUP(A340,'Master Modelo'!A:I,6,FALSE),0)</f>
        <v>0</v>
      </c>
      <c r="L340" s="152" t="e">
        <f>VLOOKUP(A340,'Master Modelo'!A:J,10,FALSE)</f>
        <v>#N/A</v>
      </c>
      <c r="M340" s="150">
        <f>IFERROR(VLOOKUP(A340,'Master Modelo'!A:I,4,FALSE),0)</f>
        <v>0</v>
      </c>
      <c r="N340" s="128"/>
      <c r="O340" s="129"/>
      <c r="P340" s="9">
        <f t="shared" si="154"/>
        <v>0</v>
      </c>
      <c r="Q340" s="177">
        <f t="shared" si="152"/>
        <v>0</v>
      </c>
      <c r="R340" s="3">
        <f>D340*E340*'Entrada e Saida'!$K$8</f>
        <v>0</v>
      </c>
      <c r="S340" s="179" t="e">
        <f>'Entrada e Saida'!$H$21*'Entrada e Saida'!$K$8*(P340/(SUM(P:P)))</f>
        <v>#DIV/0!</v>
      </c>
      <c r="T340" s="179" t="e">
        <f>'Entrada e Saida'!$H$21*'Entrada e Saida'!$K$8*(Q340/(SUM(Q:Q)))</f>
        <v>#DIV/0!</v>
      </c>
      <c r="U340" s="179" t="e">
        <f>'Entrada e Saida'!$H$22*(P340/(SUM(P:P)))</f>
        <v>#DIV/0!</v>
      </c>
      <c r="V340" s="179" t="e">
        <f>'Entrada e Saida'!$H$22*(Q340/(SUM(Q:Q)))</f>
        <v>#DIV/0!</v>
      </c>
      <c r="W340" s="8" t="e">
        <f t="shared" si="155"/>
        <v>#DIV/0!</v>
      </c>
      <c r="X340" s="179" t="e">
        <f>'Entrada e Saida'!$H$26*(IF('Entrada e Saida'!$H$15="PESO",(P340/(SUM(P:P))),(Q340/(SUM(Q:Q)))))</f>
        <v>#DIV/0!</v>
      </c>
      <c r="Y340" s="179" t="e">
        <f>'Entrada e Saida'!$H$27*(IF('Entrada e Saida'!$H$15="PESO",(P340/(SUM(P:P))),(Q340/(SUM(Q:Q)))))</f>
        <v>#DIV/0!</v>
      </c>
      <c r="Z340" s="179" t="e">
        <f>'Entrada e Saida'!$H$28*(IF('Entrada e Saida'!$H$15="PESO",(P340/(SUM(P:P))),(Q340/(SUM(Q:Q)))))</f>
        <v>#DIV/0!</v>
      </c>
      <c r="AA340" s="10" t="e">
        <f t="shared" si="156"/>
        <v>#DIV/0!</v>
      </c>
      <c r="AB340" s="3" t="e">
        <f t="shared" si="157"/>
        <v>#DIV/0!</v>
      </c>
      <c r="AC340" s="3" t="e">
        <f t="shared" si="158"/>
        <v>#DIV/0!</v>
      </c>
      <c r="AD340" s="3" t="e">
        <f t="shared" si="159"/>
        <v>#DIV/0!</v>
      </c>
      <c r="AE340" s="9" t="e">
        <f t="shared" si="160"/>
        <v>#DIV/0!</v>
      </c>
      <c r="AF340" s="126">
        <f>IFERROR(D340*F340*L340*'Entrada e Saida'!$K$8,0)</f>
        <v>0</v>
      </c>
      <c r="AG340" s="3" t="e">
        <f>((W340+AA340+AB340+AC340+AD340+AE340+AF340)/(1-'Entrada e Saida'!$G$65))*'Entrada e Saida'!$I$66</f>
        <v>#DIV/0!</v>
      </c>
      <c r="AH340" s="8" t="e">
        <f t="shared" si="161"/>
        <v>#DIV/0!</v>
      </c>
      <c r="AI340" s="183" t="e">
        <f>'Entrada e Saida'!$K$51*(IF('Entrada e Saida'!$H$15="PESO",(P340/(SUM(P:P))),(Q340/(SUM(Q:Q)))))</f>
        <v>#DIV/0!</v>
      </c>
      <c r="AJ340" s="7">
        <f>(('Entrada e Saida'!$K$10-'Entrada e Saida'!$K$8)*E340*D340)</f>
        <v>0</v>
      </c>
      <c r="AK340" s="184" t="e">
        <f>IF('Entrada e Saida'!$H$15="PESO",W340+AA340+AH340+AI340+AJ340,W340+AA340+AH340+AI340+AJ340-S340+T340-U340+V340)</f>
        <v>#DIV/0!</v>
      </c>
      <c r="AL340" s="6" t="e">
        <f>IF('Entrada e Saida'!$H$12="REAL",AC340,0)</f>
        <v>#DIV/0!</v>
      </c>
      <c r="AM340" s="6" t="e">
        <f>IF('Entrada e Saida'!$H$12="REAL",AD340,0)</f>
        <v>#DIV/0!</v>
      </c>
      <c r="AN340" s="5" t="e">
        <f>IF('Entrada e Saida'!$H$13= "NÃO",AE340,0)</f>
        <v>#DIV/0!</v>
      </c>
      <c r="AO340" s="5" t="e">
        <f t="shared" si="162"/>
        <v>#DIV/0!</v>
      </c>
      <c r="AP340" s="4" t="e">
        <f t="shared" si="163"/>
        <v>#DIV/0!</v>
      </c>
      <c r="AQ340" s="3" t="e">
        <f>IF('Entrada e Saida'!$H$11="TRADING",AU340*'Custo Resumido'!D340,0)</f>
        <v>#DIV/0!</v>
      </c>
      <c r="AR340" s="3" t="e">
        <f>IF('Entrada e Saida'!$H$11="TRADING",AU340*'Entrada e Saida'!$G$63,0)</f>
        <v>#DIV/0!</v>
      </c>
      <c r="AS340" s="3" t="e">
        <f>IF('Entrada e Saida'!$H$11="TRADING",AU340*'Entrada e Saida'!$G$64,0)</f>
        <v>#DIV/0!</v>
      </c>
      <c r="AT340" s="3" t="e">
        <f>IF('Entrada e Saida'!$H$11="TRADING",AU340*'Entrada e Saida'!$G$65,0)</f>
        <v>#DIV/0!</v>
      </c>
      <c r="AU340" s="4" t="e">
        <f>IF('Entrada e Saida'!$H$11="TRADING",AP340/(1-(SUM('Entrada e Saida'!$G$63:$G$65)+'Custo Resumido'!D340)),0)</f>
        <v>#DIV/0!</v>
      </c>
      <c r="AV340" s="3" t="e">
        <f>IF('Entrada e Saida'!$H$13="NÃO",AU340*M340,0)</f>
        <v>#DIV/0!</v>
      </c>
      <c r="AW340" s="4" t="e">
        <f t="shared" si="164"/>
        <v>#DIV/0!</v>
      </c>
      <c r="AX340" s="3" t="e">
        <f>'Entrada e Saida'!$G$74*AU340</f>
        <v>#DIV/0!</v>
      </c>
      <c r="AY340" s="4" t="e">
        <f t="shared" si="165"/>
        <v>#DIV/0!</v>
      </c>
      <c r="AZ340" s="4" t="e">
        <f>AQ340+('Entrada e Saida'!$G$65-'Entrada e Saida'!$I$65)*AU340-AX340</f>
        <v>#DIV/0!</v>
      </c>
      <c r="BA340" s="3" t="e">
        <f>IF('Entrada e Saida'!$H$12="REAL",AZ340*'Entrada e Saida'!$G$81,AU340*'Entrada e Saida'!$G$81)</f>
        <v>#DIV/0!</v>
      </c>
      <c r="BB340" s="3" t="e">
        <f>IF('Entrada e Saida'!$H$12="REAL",AZ340*'Entrada e Saida'!$G$82,AU340*'Entrada e Saida'!$G$82)</f>
        <v>#DIV/0!</v>
      </c>
      <c r="BC340" s="4" t="e">
        <f t="shared" si="166"/>
        <v>#DIV/0!</v>
      </c>
      <c r="BD340" s="3" t="e">
        <f>IF('Entrada e Saida'!$H$11="TRADING",AW340/D340,AK340/D340)</f>
        <v>#DIV/0!</v>
      </c>
      <c r="BE340" s="3" t="e">
        <f t="shared" si="167"/>
        <v>#DIV/0!</v>
      </c>
      <c r="BF340" s="2" t="e">
        <f t="shared" si="168"/>
        <v>#DIV/0!</v>
      </c>
      <c r="BG340" s="3" t="e">
        <f>IF('Entrada e Saida'!$H$11="TRADING",AV340/D340,AN340/D340)</f>
        <v>#DIV/0!</v>
      </c>
      <c r="BH340" s="3" t="e">
        <f>IF('Entrada e Saida'!$H$11="TRADING",IF('Entrada e Saida'!$H$12="REAL",AR340/D340,0),AL340/D340)</f>
        <v>#DIV/0!</v>
      </c>
      <c r="BI340" s="3" t="e">
        <f>IF('Entrada e Saida'!$H$11="TRADING",IF('Entrada e Saida'!$H$12="REAL",AS340/D340,0),AM340/D340)</f>
        <v>#DIV/0!</v>
      </c>
      <c r="BJ340" s="3" t="e">
        <f>IF('Entrada e Saida'!$H$11="TRADING",AT340/D340,AO340/D340)</f>
        <v>#DIV/0!</v>
      </c>
      <c r="BK340" s="2" t="e">
        <f t="shared" si="169"/>
        <v>#DIV/0!</v>
      </c>
      <c r="BL340" s="2">
        <f>IF(O340&gt;0,IFERROR(IF('Entrada e Saida'!$H$11="DIRETA",0,(IF('Entrada e Saida'!$H$14="P.JURIDICA",(BD340*(1+O340)*N340)-((BD340/(1+M340))*'Entrada e Saida'!$G$65),((Produtos!N340-'Entrada e Saida'!$G$65)*Produtos!BD340)))),0),0)</f>
        <v>0</v>
      </c>
      <c r="BM340" s="2" t="e">
        <f t="shared" si="170"/>
        <v>#DIV/0!</v>
      </c>
    </row>
    <row r="341" spans="1:65" s="1" customFormat="1">
      <c r="A341" s="127"/>
      <c r="B341" s="114"/>
      <c r="C341" s="116"/>
      <c r="D341" s="146"/>
      <c r="E341" s="115">
        <f>IFERROR(VLOOKUP(A341,'Master Modelo'!A:I,9,FALSE),0)</f>
        <v>0</v>
      </c>
      <c r="F341" s="189">
        <f>IFERROR(VLOOKUP(A341,'Master Modelo'!A:I,8,FALSE),0)</f>
        <v>0</v>
      </c>
      <c r="G341" s="189">
        <f>IFERROR(VLOOKUP(A341,'Master Modelo'!A:K,11,FALSE),0)</f>
        <v>0</v>
      </c>
      <c r="H341" s="114" t="e">
        <f t="shared" si="153"/>
        <v>#DIV/0!</v>
      </c>
      <c r="I341" s="150">
        <f>IFERROR(VLOOKUP(A341,'Master Modelo'!A:I,3,FALSE),0)</f>
        <v>0</v>
      </c>
      <c r="J341" s="151">
        <f>IFERROR(VLOOKUP(A341,'Master Modelo'!A:I,5,FALSE),0)</f>
        <v>0</v>
      </c>
      <c r="K341" s="151">
        <f>IFERROR(VLOOKUP(A341,'Master Modelo'!A:I,6,FALSE),0)</f>
        <v>0</v>
      </c>
      <c r="L341" s="152" t="e">
        <f>VLOOKUP(A341,'Master Modelo'!A:J,10,FALSE)</f>
        <v>#N/A</v>
      </c>
      <c r="M341" s="150">
        <f>IFERROR(VLOOKUP(A341,'Master Modelo'!A:I,4,FALSE),0)</f>
        <v>0</v>
      </c>
      <c r="N341" s="128"/>
      <c r="O341" s="129"/>
      <c r="P341" s="9">
        <f t="shared" si="154"/>
        <v>0</v>
      </c>
      <c r="Q341" s="177">
        <f t="shared" si="152"/>
        <v>0</v>
      </c>
      <c r="R341" s="3">
        <f>D341*E341*'Entrada e Saida'!$K$8</f>
        <v>0</v>
      </c>
      <c r="S341" s="179" t="e">
        <f>'Entrada e Saida'!$H$21*'Entrada e Saida'!$K$8*(P341/(SUM(P:P)))</f>
        <v>#DIV/0!</v>
      </c>
      <c r="T341" s="179" t="e">
        <f>'Entrada e Saida'!$H$21*'Entrada e Saida'!$K$8*(Q341/(SUM(Q:Q)))</f>
        <v>#DIV/0!</v>
      </c>
      <c r="U341" s="179" t="e">
        <f>'Entrada e Saida'!$H$22*(P341/(SUM(P:P)))</f>
        <v>#DIV/0!</v>
      </c>
      <c r="V341" s="179" t="e">
        <f>'Entrada e Saida'!$H$22*(Q341/(SUM(Q:Q)))</f>
        <v>#DIV/0!</v>
      </c>
      <c r="W341" s="8" t="e">
        <f t="shared" si="155"/>
        <v>#DIV/0!</v>
      </c>
      <c r="X341" s="179" t="e">
        <f>'Entrada e Saida'!$H$26*(IF('Entrada e Saida'!$H$15="PESO",(P341/(SUM(P:P))),(Q341/(SUM(Q:Q)))))</f>
        <v>#DIV/0!</v>
      </c>
      <c r="Y341" s="179" t="e">
        <f>'Entrada e Saida'!$H$27*(IF('Entrada e Saida'!$H$15="PESO",(P341/(SUM(P:P))),(Q341/(SUM(Q:Q)))))</f>
        <v>#DIV/0!</v>
      </c>
      <c r="Z341" s="179" t="e">
        <f>'Entrada e Saida'!$H$28*(IF('Entrada e Saida'!$H$15="PESO",(P341/(SUM(P:P))),(Q341/(SUM(Q:Q)))))</f>
        <v>#DIV/0!</v>
      </c>
      <c r="AA341" s="10" t="e">
        <f t="shared" si="156"/>
        <v>#DIV/0!</v>
      </c>
      <c r="AB341" s="3" t="e">
        <f t="shared" si="157"/>
        <v>#DIV/0!</v>
      </c>
      <c r="AC341" s="3" t="e">
        <f t="shared" si="158"/>
        <v>#DIV/0!</v>
      </c>
      <c r="AD341" s="3" t="e">
        <f t="shared" si="159"/>
        <v>#DIV/0!</v>
      </c>
      <c r="AE341" s="9" t="e">
        <f t="shared" si="160"/>
        <v>#DIV/0!</v>
      </c>
      <c r="AF341" s="126">
        <f>IFERROR(D341*F341*L341*'Entrada e Saida'!$K$8,0)</f>
        <v>0</v>
      </c>
      <c r="AG341" s="3" t="e">
        <f>((W341+AA341+AB341+AC341+AD341+AE341+AF341)/(1-'Entrada e Saida'!$G$65))*'Entrada e Saida'!$I$66</f>
        <v>#DIV/0!</v>
      </c>
      <c r="AH341" s="8" t="e">
        <f t="shared" si="161"/>
        <v>#DIV/0!</v>
      </c>
      <c r="AI341" s="183" t="e">
        <f>'Entrada e Saida'!$K$51*(IF('Entrada e Saida'!$H$15="PESO",(P341/(SUM(P:P))),(Q341/(SUM(Q:Q)))))</f>
        <v>#DIV/0!</v>
      </c>
      <c r="AJ341" s="7">
        <f>(('Entrada e Saida'!$K$10-'Entrada e Saida'!$K$8)*E341*D341)</f>
        <v>0</v>
      </c>
      <c r="AK341" s="184" t="e">
        <f>IF('Entrada e Saida'!$H$15="PESO",W341+AA341+AH341+AI341+AJ341,W341+AA341+AH341+AI341+AJ341-S341+T341-U341+V341)</f>
        <v>#DIV/0!</v>
      </c>
      <c r="AL341" s="6" t="e">
        <f>IF('Entrada e Saida'!$H$12="REAL",AC341,0)</f>
        <v>#DIV/0!</v>
      </c>
      <c r="AM341" s="6" t="e">
        <f>IF('Entrada e Saida'!$H$12="REAL",AD341,0)</f>
        <v>#DIV/0!</v>
      </c>
      <c r="AN341" s="5" t="e">
        <f>IF('Entrada e Saida'!$H$13= "NÃO",AE341,0)</f>
        <v>#DIV/0!</v>
      </c>
      <c r="AO341" s="5" t="e">
        <f t="shared" si="162"/>
        <v>#DIV/0!</v>
      </c>
      <c r="AP341" s="4" t="e">
        <f t="shared" si="163"/>
        <v>#DIV/0!</v>
      </c>
      <c r="AQ341" s="3" t="e">
        <f>IF('Entrada e Saida'!$H$11="TRADING",AU341*'Custo Resumido'!D341,0)</f>
        <v>#DIV/0!</v>
      </c>
      <c r="AR341" s="3" t="e">
        <f>IF('Entrada e Saida'!$H$11="TRADING",AU341*'Entrada e Saida'!$G$63,0)</f>
        <v>#DIV/0!</v>
      </c>
      <c r="AS341" s="3" t="e">
        <f>IF('Entrada e Saida'!$H$11="TRADING",AU341*'Entrada e Saida'!$G$64,0)</f>
        <v>#DIV/0!</v>
      </c>
      <c r="AT341" s="3" t="e">
        <f>IF('Entrada e Saida'!$H$11="TRADING",AU341*'Entrada e Saida'!$G$65,0)</f>
        <v>#DIV/0!</v>
      </c>
      <c r="AU341" s="4" t="e">
        <f>IF('Entrada e Saida'!$H$11="TRADING",AP341/(1-(SUM('Entrada e Saida'!$G$63:$G$65)+'Custo Resumido'!D341)),0)</f>
        <v>#DIV/0!</v>
      </c>
      <c r="AV341" s="3" t="e">
        <f>IF('Entrada e Saida'!$H$13="NÃO",AU341*M341,0)</f>
        <v>#DIV/0!</v>
      </c>
      <c r="AW341" s="4" t="e">
        <f t="shared" si="164"/>
        <v>#DIV/0!</v>
      </c>
      <c r="AX341" s="3" t="e">
        <f>'Entrada e Saida'!$G$74*AU341</f>
        <v>#DIV/0!</v>
      </c>
      <c r="AY341" s="4" t="e">
        <f t="shared" si="165"/>
        <v>#DIV/0!</v>
      </c>
      <c r="AZ341" s="4" t="e">
        <f>AQ341+('Entrada e Saida'!$G$65-'Entrada e Saida'!$I$65)*AU341-AX341</f>
        <v>#DIV/0!</v>
      </c>
      <c r="BA341" s="3" t="e">
        <f>IF('Entrada e Saida'!$H$12="REAL",AZ341*'Entrada e Saida'!$G$81,AU341*'Entrada e Saida'!$G$81)</f>
        <v>#DIV/0!</v>
      </c>
      <c r="BB341" s="3" t="e">
        <f>IF('Entrada e Saida'!$H$12="REAL",AZ341*'Entrada e Saida'!$G$82,AU341*'Entrada e Saida'!$G$82)</f>
        <v>#DIV/0!</v>
      </c>
      <c r="BC341" s="4" t="e">
        <f t="shared" si="166"/>
        <v>#DIV/0!</v>
      </c>
      <c r="BD341" s="3" t="e">
        <f>IF('Entrada e Saida'!$H$11="TRADING",AW341/D341,AK341/D341)</f>
        <v>#DIV/0!</v>
      </c>
      <c r="BE341" s="3" t="e">
        <f t="shared" si="167"/>
        <v>#DIV/0!</v>
      </c>
      <c r="BF341" s="2" t="e">
        <f t="shared" si="168"/>
        <v>#DIV/0!</v>
      </c>
      <c r="BG341" s="3" t="e">
        <f>IF('Entrada e Saida'!$H$11="TRADING",AV341/D341,AN341/D341)</f>
        <v>#DIV/0!</v>
      </c>
      <c r="BH341" s="3" t="e">
        <f>IF('Entrada e Saida'!$H$11="TRADING",IF('Entrada e Saida'!$H$12="REAL",AR341/D341,0),AL341/D341)</f>
        <v>#DIV/0!</v>
      </c>
      <c r="BI341" s="3" t="e">
        <f>IF('Entrada e Saida'!$H$11="TRADING",IF('Entrada e Saida'!$H$12="REAL",AS341/D341,0),AM341/D341)</f>
        <v>#DIV/0!</v>
      </c>
      <c r="BJ341" s="3" t="e">
        <f>IF('Entrada e Saida'!$H$11="TRADING",AT341/D341,AO341/D341)</f>
        <v>#DIV/0!</v>
      </c>
      <c r="BK341" s="2" t="e">
        <f t="shared" si="169"/>
        <v>#DIV/0!</v>
      </c>
      <c r="BL341" s="2">
        <f>IF(O341&gt;0,IFERROR(IF('Entrada e Saida'!$H$11="DIRETA",0,(IF('Entrada e Saida'!$H$14="P.JURIDICA",(BD341*(1+O341)*N341)-((BD341/(1+M341))*'Entrada e Saida'!$G$65),((Produtos!N341-'Entrada e Saida'!$G$65)*Produtos!BD341)))),0),0)</f>
        <v>0</v>
      </c>
      <c r="BM341" s="2" t="e">
        <f t="shared" si="170"/>
        <v>#DIV/0!</v>
      </c>
    </row>
    <row r="342" spans="1:65" s="1" customFormat="1">
      <c r="A342" s="127"/>
      <c r="B342" s="114"/>
      <c r="C342" s="116"/>
      <c r="D342" s="146"/>
      <c r="E342" s="115">
        <f>IFERROR(VLOOKUP(A342,'Master Modelo'!A:I,9,FALSE),0)</f>
        <v>0</v>
      </c>
      <c r="F342" s="189">
        <f>IFERROR(VLOOKUP(A342,'Master Modelo'!A:I,8,FALSE),0)</f>
        <v>0</v>
      </c>
      <c r="G342" s="189">
        <f>IFERROR(VLOOKUP(A342,'Master Modelo'!A:K,11,FALSE),0)</f>
        <v>0</v>
      </c>
      <c r="H342" s="114" t="e">
        <f t="shared" si="153"/>
        <v>#DIV/0!</v>
      </c>
      <c r="I342" s="150">
        <f>IFERROR(VLOOKUP(A342,'Master Modelo'!A:I,3,FALSE),0)</f>
        <v>0</v>
      </c>
      <c r="J342" s="151">
        <f>IFERROR(VLOOKUP(A342,'Master Modelo'!A:I,5,FALSE),0)</f>
        <v>0</v>
      </c>
      <c r="K342" s="151">
        <f>IFERROR(VLOOKUP(A342,'Master Modelo'!A:I,6,FALSE),0)</f>
        <v>0</v>
      </c>
      <c r="L342" s="152" t="e">
        <f>VLOOKUP(A342,'Master Modelo'!A:J,10,FALSE)</f>
        <v>#N/A</v>
      </c>
      <c r="M342" s="150">
        <f>IFERROR(VLOOKUP(A342,'Master Modelo'!A:I,4,FALSE),0)</f>
        <v>0</v>
      </c>
      <c r="N342" s="128"/>
      <c r="O342" s="129"/>
      <c r="P342" s="9">
        <f t="shared" si="154"/>
        <v>0</v>
      </c>
      <c r="Q342" s="177">
        <f t="shared" si="152"/>
        <v>0</v>
      </c>
      <c r="R342" s="3">
        <f>D342*E342*'Entrada e Saida'!$K$8</f>
        <v>0</v>
      </c>
      <c r="S342" s="179" t="e">
        <f>'Entrada e Saida'!$H$21*'Entrada e Saida'!$K$8*(P342/(SUM(P:P)))</f>
        <v>#DIV/0!</v>
      </c>
      <c r="T342" s="179" t="e">
        <f>'Entrada e Saida'!$H$21*'Entrada e Saida'!$K$8*(Q342/(SUM(Q:Q)))</f>
        <v>#DIV/0!</v>
      </c>
      <c r="U342" s="179" t="e">
        <f>'Entrada e Saida'!$H$22*(P342/(SUM(P:P)))</f>
        <v>#DIV/0!</v>
      </c>
      <c r="V342" s="179" t="e">
        <f>'Entrada e Saida'!$H$22*(Q342/(SUM(Q:Q)))</f>
        <v>#DIV/0!</v>
      </c>
      <c r="W342" s="8" t="e">
        <f t="shared" si="155"/>
        <v>#DIV/0!</v>
      </c>
      <c r="X342" s="179" t="e">
        <f>'Entrada e Saida'!$H$26*(IF('Entrada e Saida'!$H$15="PESO",(P342/(SUM(P:P))),(Q342/(SUM(Q:Q)))))</f>
        <v>#DIV/0!</v>
      </c>
      <c r="Y342" s="179" t="e">
        <f>'Entrada e Saida'!$H$27*(IF('Entrada e Saida'!$H$15="PESO",(P342/(SUM(P:P))),(Q342/(SUM(Q:Q)))))</f>
        <v>#DIV/0!</v>
      </c>
      <c r="Z342" s="179" t="e">
        <f>'Entrada e Saida'!$H$28*(IF('Entrada e Saida'!$H$15="PESO",(P342/(SUM(P:P))),(Q342/(SUM(Q:Q)))))</f>
        <v>#DIV/0!</v>
      </c>
      <c r="AA342" s="10" t="e">
        <f t="shared" si="156"/>
        <v>#DIV/0!</v>
      </c>
      <c r="AB342" s="3" t="e">
        <f t="shared" si="157"/>
        <v>#DIV/0!</v>
      </c>
      <c r="AC342" s="3" t="e">
        <f t="shared" si="158"/>
        <v>#DIV/0!</v>
      </c>
      <c r="AD342" s="3" t="e">
        <f t="shared" si="159"/>
        <v>#DIV/0!</v>
      </c>
      <c r="AE342" s="9" t="e">
        <f t="shared" si="160"/>
        <v>#DIV/0!</v>
      </c>
      <c r="AF342" s="126">
        <f>IFERROR(D342*F342*L342*'Entrada e Saida'!$K$8,0)</f>
        <v>0</v>
      </c>
      <c r="AG342" s="3" t="e">
        <f>((W342+AA342+AB342+AC342+AD342+AE342+AF342)/(1-'Entrada e Saida'!$G$65))*'Entrada e Saida'!$I$66</f>
        <v>#DIV/0!</v>
      </c>
      <c r="AH342" s="8" t="e">
        <f t="shared" si="161"/>
        <v>#DIV/0!</v>
      </c>
      <c r="AI342" s="183" t="e">
        <f>'Entrada e Saida'!$K$51*(IF('Entrada e Saida'!$H$15="PESO",(P342/(SUM(P:P))),(Q342/(SUM(Q:Q)))))</f>
        <v>#DIV/0!</v>
      </c>
      <c r="AJ342" s="7">
        <f>(('Entrada e Saida'!$K$10-'Entrada e Saida'!$K$8)*E342*D342)</f>
        <v>0</v>
      </c>
      <c r="AK342" s="184" t="e">
        <f>IF('Entrada e Saida'!$H$15="PESO",W342+AA342+AH342+AI342+AJ342,W342+AA342+AH342+AI342+AJ342-S342+T342-U342+V342)</f>
        <v>#DIV/0!</v>
      </c>
      <c r="AL342" s="6" t="e">
        <f>IF('Entrada e Saida'!$H$12="REAL",AC342,0)</f>
        <v>#DIV/0!</v>
      </c>
      <c r="AM342" s="6" t="e">
        <f>IF('Entrada e Saida'!$H$12="REAL",AD342,0)</f>
        <v>#DIV/0!</v>
      </c>
      <c r="AN342" s="5" t="e">
        <f>IF('Entrada e Saida'!$H$13= "NÃO",AE342,0)</f>
        <v>#DIV/0!</v>
      </c>
      <c r="AO342" s="5" t="e">
        <f t="shared" si="162"/>
        <v>#DIV/0!</v>
      </c>
      <c r="AP342" s="4" t="e">
        <f t="shared" si="163"/>
        <v>#DIV/0!</v>
      </c>
      <c r="AQ342" s="3" t="e">
        <f>IF('Entrada e Saida'!$H$11="TRADING",AU342*'Custo Resumido'!D342,0)</f>
        <v>#DIV/0!</v>
      </c>
      <c r="AR342" s="3" t="e">
        <f>IF('Entrada e Saida'!$H$11="TRADING",AU342*'Entrada e Saida'!$G$63,0)</f>
        <v>#DIV/0!</v>
      </c>
      <c r="AS342" s="3" t="e">
        <f>IF('Entrada e Saida'!$H$11="TRADING",AU342*'Entrada e Saida'!$G$64,0)</f>
        <v>#DIV/0!</v>
      </c>
      <c r="AT342" s="3" t="e">
        <f>IF('Entrada e Saida'!$H$11="TRADING",AU342*'Entrada e Saida'!$G$65,0)</f>
        <v>#DIV/0!</v>
      </c>
      <c r="AU342" s="4" t="e">
        <f>IF('Entrada e Saida'!$H$11="TRADING",AP342/(1-(SUM('Entrada e Saida'!$G$63:$G$65)+'Custo Resumido'!D342)),0)</f>
        <v>#DIV/0!</v>
      </c>
      <c r="AV342" s="3" t="e">
        <f>IF('Entrada e Saida'!$H$13="NÃO",AU342*M342,0)</f>
        <v>#DIV/0!</v>
      </c>
      <c r="AW342" s="4" t="e">
        <f t="shared" si="164"/>
        <v>#DIV/0!</v>
      </c>
      <c r="AX342" s="3" t="e">
        <f>'Entrada e Saida'!$G$74*AU342</f>
        <v>#DIV/0!</v>
      </c>
      <c r="AY342" s="4" t="e">
        <f t="shared" si="165"/>
        <v>#DIV/0!</v>
      </c>
      <c r="AZ342" s="4" t="e">
        <f>AQ342+('Entrada e Saida'!$G$65-'Entrada e Saida'!$I$65)*AU342-AX342</f>
        <v>#DIV/0!</v>
      </c>
      <c r="BA342" s="3" t="e">
        <f>IF('Entrada e Saida'!$H$12="REAL",AZ342*'Entrada e Saida'!$G$81,AU342*'Entrada e Saida'!$G$81)</f>
        <v>#DIV/0!</v>
      </c>
      <c r="BB342" s="3" t="e">
        <f>IF('Entrada e Saida'!$H$12="REAL",AZ342*'Entrada e Saida'!$G$82,AU342*'Entrada e Saida'!$G$82)</f>
        <v>#DIV/0!</v>
      </c>
      <c r="BC342" s="4" t="e">
        <f t="shared" si="166"/>
        <v>#DIV/0!</v>
      </c>
      <c r="BD342" s="3" t="e">
        <f>IF('Entrada e Saida'!$H$11="TRADING",AW342/D342,AK342/D342)</f>
        <v>#DIV/0!</v>
      </c>
      <c r="BE342" s="3" t="e">
        <f t="shared" si="167"/>
        <v>#DIV/0!</v>
      </c>
      <c r="BF342" s="2" t="e">
        <f t="shared" si="168"/>
        <v>#DIV/0!</v>
      </c>
      <c r="BG342" s="3" t="e">
        <f>IF('Entrada e Saida'!$H$11="TRADING",AV342/D342,AN342/D342)</f>
        <v>#DIV/0!</v>
      </c>
      <c r="BH342" s="3" t="e">
        <f>IF('Entrada e Saida'!$H$11="TRADING",IF('Entrada e Saida'!$H$12="REAL",AR342/D342,0),AL342/D342)</f>
        <v>#DIV/0!</v>
      </c>
      <c r="BI342" s="3" t="e">
        <f>IF('Entrada e Saida'!$H$11="TRADING",IF('Entrada e Saida'!$H$12="REAL",AS342/D342,0),AM342/D342)</f>
        <v>#DIV/0!</v>
      </c>
      <c r="BJ342" s="3" t="e">
        <f>IF('Entrada e Saida'!$H$11="TRADING",AT342/D342,AO342/D342)</f>
        <v>#DIV/0!</v>
      </c>
      <c r="BK342" s="2" t="e">
        <f t="shared" si="169"/>
        <v>#DIV/0!</v>
      </c>
      <c r="BL342" s="2">
        <f>IF(O342&gt;0,IFERROR(IF('Entrada e Saida'!$H$11="DIRETA",0,(IF('Entrada e Saida'!$H$14="P.JURIDICA",(BD342*(1+O342)*N342)-((BD342/(1+M342))*'Entrada e Saida'!$G$65),((Produtos!N342-'Entrada e Saida'!$G$65)*Produtos!BD342)))),0),0)</f>
        <v>0</v>
      </c>
      <c r="BM342" s="2" t="e">
        <f t="shared" si="170"/>
        <v>#DIV/0!</v>
      </c>
    </row>
    <row r="343" spans="1:65" s="1" customFormat="1">
      <c r="A343" s="127"/>
      <c r="B343" s="114"/>
      <c r="C343" s="116"/>
      <c r="D343" s="146"/>
      <c r="E343" s="115">
        <f>IFERROR(VLOOKUP(A343,'Master Modelo'!A:I,9,FALSE),0)</f>
        <v>0</v>
      </c>
      <c r="F343" s="189">
        <f>IFERROR(VLOOKUP(A343,'Master Modelo'!A:I,8,FALSE),0)</f>
        <v>0</v>
      </c>
      <c r="G343" s="189">
        <f>IFERROR(VLOOKUP(A343,'Master Modelo'!A:K,11,FALSE),0)</f>
        <v>0</v>
      </c>
      <c r="H343" s="114" t="e">
        <f t="shared" si="153"/>
        <v>#DIV/0!</v>
      </c>
      <c r="I343" s="150">
        <f>IFERROR(VLOOKUP(A343,'Master Modelo'!A:I,3,FALSE),0)</f>
        <v>0</v>
      </c>
      <c r="J343" s="151">
        <f>IFERROR(VLOOKUP(A343,'Master Modelo'!A:I,5,FALSE),0)</f>
        <v>0</v>
      </c>
      <c r="K343" s="151">
        <f>IFERROR(VLOOKUP(A343,'Master Modelo'!A:I,6,FALSE),0)</f>
        <v>0</v>
      </c>
      <c r="L343" s="152" t="e">
        <f>VLOOKUP(A343,'Master Modelo'!A:J,10,FALSE)</f>
        <v>#N/A</v>
      </c>
      <c r="M343" s="150">
        <f>IFERROR(VLOOKUP(A343,'Master Modelo'!A:I,4,FALSE),0)</f>
        <v>0</v>
      </c>
      <c r="N343" s="128"/>
      <c r="O343" s="129"/>
      <c r="P343" s="9">
        <f t="shared" si="154"/>
        <v>0</v>
      </c>
      <c r="Q343" s="177">
        <f t="shared" si="152"/>
        <v>0</v>
      </c>
      <c r="R343" s="3">
        <f>D343*E343*'Entrada e Saida'!$K$8</f>
        <v>0</v>
      </c>
      <c r="S343" s="179" t="e">
        <f>'Entrada e Saida'!$H$21*'Entrada e Saida'!$K$8*(P343/(SUM(P:P)))</f>
        <v>#DIV/0!</v>
      </c>
      <c r="T343" s="179" t="e">
        <f>'Entrada e Saida'!$H$21*'Entrada e Saida'!$K$8*(Q343/(SUM(Q:Q)))</f>
        <v>#DIV/0!</v>
      </c>
      <c r="U343" s="179" t="e">
        <f>'Entrada e Saida'!$H$22*(P343/(SUM(P:P)))</f>
        <v>#DIV/0!</v>
      </c>
      <c r="V343" s="179" t="e">
        <f>'Entrada e Saida'!$H$22*(Q343/(SUM(Q:Q)))</f>
        <v>#DIV/0!</v>
      </c>
      <c r="W343" s="8" t="e">
        <f t="shared" si="155"/>
        <v>#DIV/0!</v>
      </c>
      <c r="X343" s="179" t="e">
        <f>'Entrada e Saida'!$H$26*(IF('Entrada e Saida'!$H$15="PESO",(P343/(SUM(P:P))),(Q343/(SUM(Q:Q)))))</f>
        <v>#DIV/0!</v>
      </c>
      <c r="Y343" s="179" t="e">
        <f>'Entrada e Saida'!$H$27*(IF('Entrada e Saida'!$H$15="PESO",(P343/(SUM(P:P))),(Q343/(SUM(Q:Q)))))</f>
        <v>#DIV/0!</v>
      </c>
      <c r="Z343" s="179" t="e">
        <f>'Entrada e Saida'!$H$28*(IF('Entrada e Saida'!$H$15="PESO",(P343/(SUM(P:P))),(Q343/(SUM(Q:Q)))))</f>
        <v>#DIV/0!</v>
      </c>
      <c r="AA343" s="10" t="e">
        <f t="shared" si="156"/>
        <v>#DIV/0!</v>
      </c>
      <c r="AB343" s="3" t="e">
        <f t="shared" si="157"/>
        <v>#DIV/0!</v>
      </c>
      <c r="AC343" s="3" t="e">
        <f t="shared" si="158"/>
        <v>#DIV/0!</v>
      </c>
      <c r="AD343" s="3" t="e">
        <f t="shared" si="159"/>
        <v>#DIV/0!</v>
      </c>
      <c r="AE343" s="9" t="e">
        <f t="shared" si="160"/>
        <v>#DIV/0!</v>
      </c>
      <c r="AF343" s="126">
        <f>IFERROR(D343*F343*L343*'Entrada e Saida'!$K$8,0)</f>
        <v>0</v>
      </c>
      <c r="AG343" s="3" t="e">
        <f>((W343+AA343+AB343+AC343+AD343+AE343+AF343)/(1-'Entrada e Saida'!$G$65))*'Entrada e Saida'!$I$66</f>
        <v>#DIV/0!</v>
      </c>
      <c r="AH343" s="8" t="e">
        <f t="shared" si="161"/>
        <v>#DIV/0!</v>
      </c>
      <c r="AI343" s="183" t="e">
        <f>'Entrada e Saida'!$K$51*(IF('Entrada e Saida'!$H$15="PESO",(P343/(SUM(P:P))),(Q343/(SUM(Q:Q)))))</f>
        <v>#DIV/0!</v>
      </c>
      <c r="AJ343" s="7">
        <f>(('Entrada e Saida'!$K$10-'Entrada e Saida'!$K$8)*E343*D343)</f>
        <v>0</v>
      </c>
      <c r="AK343" s="184" t="e">
        <f>IF('Entrada e Saida'!$H$15="PESO",W343+AA343+AH343+AI343+AJ343,W343+AA343+AH343+AI343+AJ343-S343+T343-U343+V343)</f>
        <v>#DIV/0!</v>
      </c>
      <c r="AL343" s="6" t="e">
        <f>IF('Entrada e Saida'!$H$12="REAL",AC343,0)</f>
        <v>#DIV/0!</v>
      </c>
      <c r="AM343" s="6" t="e">
        <f>IF('Entrada e Saida'!$H$12="REAL",AD343,0)</f>
        <v>#DIV/0!</v>
      </c>
      <c r="AN343" s="5" t="e">
        <f>IF('Entrada e Saida'!$H$13= "NÃO",AE343,0)</f>
        <v>#DIV/0!</v>
      </c>
      <c r="AO343" s="5" t="e">
        <f t="shared" si="162"/>
        <v>#DIV/0!</v>
      </c>
      <c r="AP343" s="4" t="e">
        <f t="shared" si="163"/>
        <v>#DIV/0!</v>
      </c>
      <c r="AQ343" s="3" t="e">
        <f>IF('Entrada e Saida'!$H$11="TRADING",AU343*'Custo Resumido'!D343,0)</f>
        <v>#DIV/0!</v>
      </c>
      <c r="AR343" s="3" t="e">
        <f>IF('Entrada e Saida'!$H$11="TRADING",AU343*'Entrada e Saida'!$G$63,0)</f>
        <v>#DIV/0!</v>
      </c>
      <c r="AS343" s="3" t="e">
        <f>IF('Entrada e Saida'!$H$11="TRADING",AU343*'Entrada e Saida'!$G$64,0)</f>
        <v>#DIV/0!</v>
      </c>
      <c r="AT343" s="3" t="e">
        <f>IF('Entrada e Saida'!$H$11="TRADING",AU343*'Entrada e Saida'!$G$65,0)</f>
        <v>#DIV/0!</v>
      </c>
      <c r="AU343" s="4" t="e">
        <f>IF('Entrada e Saida'!$H$11="TRADING",AP343/(1-(SUM('Entrada e Saida'!$G$63:$G$65)+'Custo Resumido'!D343)),0)</f>
        <v>#DIV/0!</v>
      </c>
      <c r="AV343" s="3" t="e">
        <f>IF('Entrada e Saida'!$H$13="NÃO",AU343*M343,0)</f>
        <v>#DIV/0!</v>
      </c>
      <c r="AW343" s="4" t="e">
        <f t="shared" si="164"/>
        <v>#DIV/0!</v>
      </c>
      <c r="AX343" s="3" t="e">
        <f>'Entrada e Saida'!$G$74*AU343</f>
        <v>#DIV/0!</v>
      </c>
      <c r="AY343" s="4" t="e">
        <f t="shared" si="165"/>
        <v>#DIV/0!</v>
      </c>
      <c r="AZ343" s="4" t="e">
        <f>AQ343+('Entrada e Saida'!$G$65-'Entrada e Saida'!$I$65)*AU343-AX343</f>
        <v>#DIV/0!</v>
      </c>
      <c r="BA343" s="3" t="e">
        <f>IF('Entrada e Saida'!$H$12="REAL",AZ343*'Entrada e Saida'!$G$81,AU343*'Entrada e Saida'!$G$81)</f>
        <v>#DIV/0!</v>
      </c>
      <c r="BB343" s="3" t="e">
        <f>IF('Entrada e Saida'!$H$12="REAL",AZ343*'Entrada e Saida'!$G$82,AU343*'Entrada e Saida'!$G$82)</f>
        <v>#DIV/0!</v>
      </c>
      <c r="BC343" s="4" t="e">
        <f t="shared" si="166"/>
        <v>#DIV/0!</v>
      </c>
      <c r="BD343" s="3" t="e">
        <f>IF('Entrada e Saida'!$H$11="TRADING",AW343/D343,AK343/D343)</f>
        <v>#DIV/0!</v>
      </c>
      <c r="BE343" s="3" t="e">
        <f t="shared" si="167"/>
        <v>#DIV/0!</v>
      </c>
      <c r="BF343" s="2" t="e">
        <f t="shared" si="168"/>
        <v>#DIV/0!</v>
      </c>
      <c r="BG343" s="3" t="e">
        <f>IF('Entrada e Saida'!$H$11="TRADING",AV343/D343,AN343/D343)</f>
        <v>#DIV/0!</v>
      </c>
      <c r="BH343" s="3" t="e">
        <f>IF('Entrada e Saida'!$H$11="TRADING",IF('Entrada e Saida'!$H$12="REAL",AR343/D343,0),AL343/D343)</f>
        <v>#DIV/0!</v>
      </c>
      <c r="BI343" s="3" t="e">
        <f>IF('Entrada e Saida'!$H$11="TRADING",IF('Entrada e Saida'!$H$12="REAL",AS343/D343,0),AM343/D343)</f>
        <v>#DIV/0!</v>
      </c>
      <c r="BJ343" s="3" t="e">
        <f>IF('Entrada e Saida'!$H$11="TRADING",AT343/D343,AO343/D343)</f>
        <v>#DIV/0!</v>
      </c>
      <c r="BK343" s="2" t="e">
        <f t="shared" si="169"/>
        <v>#DIV/0!</v>
      </c>
      <c r="BL343" s="2">
        <f>IF(O343&gt;0,IFERROR(IF('Entrada e Saida'!$H$11="DIRETA",0,(IF('Entrada e Saida'!$H$14="P.JURIDICA",(BD343*(1+O343)*N343)-((BD343/(1+M343))*'Entrada e Saida'!$G$65),((Produtos!N343-'Entrada e Saida'!$G$65)*Produtos!BD343)))),0),0)</f>
        <v>0</v>
      </c>
      <c r="BM343" s="2" t="e">
        <f t="shared" si="170"/>
        <v>#DIV/0!</v>
      </c>
    </row>
    <row r="344" spans="1:65" s="1" customFormat="1">
      <c r="A344" s="127"/>
      <c r="B344" s="114"/>
      <c r="C344" s="116"/>
      <c r="D344" s="146"/>
      <c r="E344" s="115">
        <f>IFERROR(VLOOKUP(A344,'Master Modelo'!A:I,9,FALSE),0)</f>
        <v>0</v>
      </c>
      <c r="F344" s="189">
        <f>IFERROR(VLOOKUP(A344,'Master Modelo'!A:I,8,FALSE),0)</f>
        <v>0</v>
      </c>
      <c r="G344" s="189">
        <f>IFERROR(VLOOKUP(A344,'Master Modelo'!A:K,11,FALSE),0)</f>
        <v>0</v>
      </c>
      <c r="H344" s="114" t="e">
        <f t="shared" si="153"/>
        <v>#DIV/0!</v>
      </c>
      <c r="I344" s="150">
        <f>IFERROR(VLOOKUP(A344,'Master Modelo'!A:I,3,FALSE),0)</f>
        <v>0</v>
      </c>
      <c r="J344" s="151">
        <f>IFERROR(VLOOKUP(A344,'Master Modelo'!A:I,5,FALSE),0)</f>
        <v>0</v>
      </c>
      <c r="K344" s="151">
        <f>IFERROR(VLOOKUP(A344,'Master Modelo'!A:I,6,FALSE),0)</f>
        <v>0</v>
      </c>
      <c r="L344" s="152" t="e">
        <f>VLOOKUP(A344,'Master Modelo'!A:J,10,FALSE)</f>
        <v>#N/A</v>
      </c>
      <c r="M344" s="150">
        <f>IFERROR(VLOOKUP(A344,'Master Modelo'!A:I,4,FALSE),0)</f>
        <v>0</v>
      </c>
      <c r="N344" s="128"/>
      <c r="O344" s="129"/>
      <c r="P344" s="9">
        <f t="shared" si="154"/>
        <v>0</v>
      </c>
      <c r="Q344" s="177">
        <f t="shared" si="152"/>
        <v>0</v>
      </c>
      <c r="R344" s="3">
        <f>D344*E344*'Entrada e Saida'!$K$8</f>
        <v>0</v>
      </c>
      <c r="S344" s="179" t="e">
        <f>'Entrada e Saida'!$H$21*'Entrada e Saida'!$K$8*(P344/(SUM(P:P)))</f>
        <v>#DIV/0!</v>
      </c>
      <c r="T344" s="179" t="e">
        <f>'Entrada e Saida'!$H$21*'Entrada e Saida'!$K$8*(Q344/(SUM(Q:Q)))</f>
        <v>#DIV/0!</v>
      </c>
      <c r="U344" s="179" t="e">
        <f>'Entrada e Saida'!$H$22*(P344/(SUM(P:P)))</f>
        <v>#DIV/0!</v>
      </c>
      <c r="V344" s="179" t="e">
        <f>'Entrada e Saida'!$H$22*(Q344/(SUM(Q:Q)))</f>
        <v>#DIV/0!</v>
      </c>
      <c r="W344" s="8" t="e">
        <f t="shared" si="155"/>
        <v>#DIV/0!</v>
      </c>
      <c r="X344" s="179" t="e">
        <f>'Entrada e Saida'!$H$26*(IF('Entrada e Saida'!$H$15="PESO",(P344/(SUM(P:P))),(Q344/(SUM(Q:Q)))))</f>
        <v>#DIV/0!</v>
      </c>
      <c r="Y344" s="179" t="e">
        <f>'Entrada e Saida'!$H$27*(IF('Entrada e Saida'!$H$15="PESO",(P344/(SUM(P:P))),(Q344/(SUM(Q:Q)))))</f>
        <v>#DIV/0!</v>
      </c>
      <c r="Z344" s="179" t="e">
        <f>'Entrada e Saida'!$H$28*(IF('Entrada e Saida'!$H$15="PESO",(P344/(SUM(P:P))),(Q344/(SUM(Q:Q)))))</f>
        <v>#DIV/0!</v>
      </c>
      <c r="AA344" s="10" t="e">
        <f t="shared" si="156"/>
        <v>#DIV/0!</v>
      </c>
      <c r="AB344" s="3" t="e">
        <f t="shared" si="157"/>
        <v>#DIV/0!</v>
      </c>
      <c r="AC344" s="3" t="e">
        <f t="shared" si="158"/>
        <v>#DIV/0!</v>
      </c>
      <c r="AD344" s="3" t="e">
        <f t="shared" si="159"/>
        <v>#DIV/0!</v>
      </c>
      <c r="AE344" s="9" t="e">
        <f t="shared" si="160"/>
        <v>#DIV/0!</v>
      </c>
      <c r="AF344" s="126">
        <f>IFERROR(D344*F344*L344*'Entrada e Saida'!$K$8,0)</f>
        <v>0</v>
      </c>
      <c r="AG344" s="3" t="e">
        <f>((W344+AA344+AB344+AC344+AD344+AE344+AF344)/(1-'Entrada e Saida'!$G$65))*'Entrada e Saida'!$I$66</f>
        <v>#DIV/0!</v>
      </c>
      <c r="AH344" s="8" t="e">
        <f t="shared" si="161"/>
        <v>#DIV/0!</v>
      </c>
      <c r="AI344" s="183" t="e">
        <f>'Entrada e Saida'!$K$51*(IF('Entrada e Saida'!$H$15="PESO",(P344/(SUM(P:P))),(Q344/(SUM(Q:Q)))))</f>
        <v>#DIV/0!</v>
      </c>
      <c r="AJ344" s="7">
        <f>(('Entrada e Saida'!$K$10-'Entrada e Saida'!$K$8)*E344*D344)</f>
        <v>0</v>
      </c>
      <c r="AK344" s="184" t="e">
        <f>IF('Entrada e Saida'!$H$15="PESO",W344+AA344+AH344+AI344+AJ344,W344+AA344+AH344+AI344+AJ344-S344+T344-U344+V344)</f>
        <v>#DIV/0!</v>
      </c>
      <c r="AL344" s="6" t="e">
        <f>IF('Entrada e Saida'!$H$12="REAL",AC344,0)</f>
        <v>#DIV/0!</v>
      </c>
      <c r="AM344" s="6" t="e">
        <f>IF('Entrada e Saida'!$H$12="REAL",AD344,0)</f>
        <v>#DIV/0!</v>
      </c>
      <c r="AN344" s="5" t="e">
        <f>IF('Entrada e Saida'!$H$13= "NÃO",AE344,0)</f>
        <v>#DIV/0!</v>
      </c>
      <c r="AO344" s="5" t="e">
        <f t="shared" si="162"/>
        <v>#DIV/0!</v>
      </c>
      <c r="AP344" s="4" t="e">
        <f t="shared" si="163"/>
        <v>#DIV/0!</v>
      </c>
      <c r="AQ344" s="3" t="e">
        <f>IF('Entrada e Saida'!$H$11="TRADING",AU344*'Custo Resumido'!D344,0)</f>
        <v>#DIV/0!</v>
      </c>
      <c r="AR344" s="3" t="e">
        <f>IF('Entrada e Saida'!$H$11="TRADING",AU344*'Entrada e Saida'!$G$63,0)</f>
        <v>#DIV/0!</v>
      </c>
      <c r="AS344" s="3" t="e">
        <f>IF('Entrada e Saida'!$H$11="TRADING",AU344*'Entrada e Saida'!$G$64,0)</f>
        <v>#DIV/0!</v>
      </c>
      <c r="AT344" s="3" t="e">
        <f>IF('Entrada e Saida'!$H$11="TRADING",AU344*'Entrada e Saida'!$G$65,0)</f>
        <v>#DIV/0!</v>
      </c>
      <c r="AU344" s="4" t="e">
        <f>IF('Entrada e Saida'!$H$11="TRADING",AP344/(1-(SUM('Entrada e Saida'!$G$63:$G$65)+'Custo Resumido'!D344)),0)</f>
        <v>#DIV/0!</v>
      </c>
      <c r="AV344" s="3" t="e">
        <f>IF('Entrada e Saida'!$H$13="NÃO",AU344*M344,0)</f>
        <v>#DIV/0!</v>
      </c>
      <c r="AW344" s="4" t="e">
        <f t="shared" si="164"/>
        <v>#DIV/0!</v>
      </c>
      <c r="AX344" s="3" t="e">
        <f>'Entrada e Saida'!$G$74*AU344</f>
        <v>#DIV/0!</v>
      </c>
      <c r="AY344" s="4" t="e">
        <f t="shared" si="165"/>
        <v>#DIV/0!</v>
      </c>
      <c r="AZ344" s="4" t="e">
        <f>AQ344+('Entrada e Saida'!$G$65-'Entrada e Saida'!$I$65)*AU344-AX344</f>
        <v>#DIV/0!</v>
      </c>
      <c r="BA344" s="3" t="e">
        <f>IF('Entrada e Saida'!$H$12="REAL",AZ344*'Entrada e Saida'!$G$81,AU344*'Entrada e Saida'!$G$81)</f>
        <v>#DIV/0!</v>
      </c>
      <c r="BB344" s="3" t="e">
        <f>IF('Entrada e Saida'!$H$12="REAL",AZ344*'Entrada e Saida'!$G$82,AU344*'Entrada e Saida'!$G$82)</f>
        <v>#DIV/0!</v>
      </c>
      <c r="BC344" s="4" t="e">
        <f t="shared" si="166"/>
        <v>#DIV/0!</v>
      </c>
      <c r="BD344" s="3" t="e">
        <f>IF('Entrada e Saida'!$H$11="TRADING",AW344/D344,AK344/D344)</f>
        <v>#DIV/0!</v>
      </c>
      <c r="BE344" s="3" t="e">
        <f t="shared" si="167"/>
        <v>#DIV/0!</v>
      </c>
      <c r="BF344" s="2" t="e">
        <f t="shared" si="168"/>
        <v>#DIV/0!</v>
      </c>
      <c r="BG344" s="3" t="e">
        <f>IF('Entrada e Saida'!$H$11="TRADING",AV344/D344,AN344/D344)</f>
        <v>#DIV/0!</v>
      </c>
      <c r="BH344" s="3" t="e">
        <f>IF('Entrada e Saida'!$H$11="TRADING",IF('Entrada e Saida'!$H$12="REAL",AR344/D344,0),AL344/D344)</f>
        <v>#DIV/0!</v>
      </c>
      <c r="BI344" s="3" t="e">
        <f>IF('Entrada e Saida'!$H$11="TRADING",IF('Entrada e Saida'!$H$12="REAL",AS344/D344,0),AM344/D344)</f>
        <v>#DIV/0!</v>
      </c>
      <c r="BJ344" s="3" t="e">
        <f>IF('Entrada e Saida'!$H$11="TRADING",AT344/D344,AO344/D344)</f>
        <v>#DIV/0!</v>
      </c>
      <c r="BK344" s="2" t="e">
        <f t="shared" si="169"/>
        <v>#DIV/0!</v>
      </c>
      <c r="BL344" s="2">
        <f>IF(O344&gt;0,IFERROR(IF('Entrada e Saida'!$H$11="DIRETA",0,(IF('Entrada e Saida'!$H$14="P.JURIDICA",(BD344*(1+O344)*N344)-((BD344/(1+M344))*'Entrada e Saida'!$G$65),((Produtos!N344-'Entrada e Saida'!$G$65)*Produtos!BD344)))),0),0)</f>
        <v>0</v>
      </c>
      <c r="BM344" s="2" t="e">
        <f t="shared" si="170"/>
        <v>#DIV/0!</v>
      </c>
    </row>
    <row r="345" spans="1:65" s="1" customFormat="1">
      <c r="A345" s="127"/>
      <c r="B345" s="114"/>
      <c r="C345" s="116"/>
      <c r="D345" s="146"/>
      <c r="E345" s="115">
        <f>IFERROR(VLOOKUP(A345,'Master Modelo'!A:I,9,FALSE),0)</f>
        <v>0</v>
      </c>
      <c r="F345" s="189">
        <f>IFERROR(VLOOKUP(A345,'Master Modelo'!A:I,8,FALSE),0)</f>
        <v>0</v>
      </c>
      <c r="G345" s="189">
        <f>IFERROR(VLOOKUP(A345,'Master Modelo'!A:K,11,FALSE),0)</f>
        <v>0</v>
      </c>
      <c r="H345" s="114" t="e">
        <f t="shared" si="153"/>
        <v>#DIV/0!</v>
      </c>
      <c r="I345" s="150">
        <f>IFERROR(VLOOKUP(A345,'Master Modelo'!A:I,3,FALSE),0)</f>
        <v>0</v>
      </c>
      <c r="J345" s="151">
        <f>IFERROR(VLOOKUP(A345,'Master Modelo'!A:I,5,FALSE),0)</f>
        <v>0</v>
      </c>
      <c r="K345" s="151">
        <f>IFERROR(VLOOKUP(A345,'Master Modelo'!A:I,6,FALSE),0)</f>
        <v>0</v>
      </c>
      <c r="L345" s="152" t="e">
        <f>VLOOKUP(A345,'Master Modelo'!A:J,10,FALSE)</f>
        <v>#N/A</v>
      </c>
      <c r="M345" s="150">
        <f>IFERROR(VLOOKUP(A345,'Master Modelo'!A:I,4,FALSE),0)</f>
        <v>0</v>
      </c>
      <c r="N345" s="128"/>
      <c r="O345" s="129"/>
      <c r="P345" s="9">
        <f t="shared" si="154"/>
        <v>0</v>
      </c>
      <c r="Q345" s="177">
        <f t="shared" si="152"/>
        <v>0</v>
      </c>
      <c r="R345" s="3">
        <f>D345*E345*'Entrada e Saida'!$K$8</f>
        <v>0</v>
      </c>
      <c r="S345" s="179" t="e">
        <f>'Entrada e Saida'!$H$21*'Entrada e Saida'!$K$8*(P345/(SUM(P:P)))</f>
        <v>#DIV/0!</v>
      </c>
      <c r="T345" s="179" t="e">
        <f>'Entrada e Saida'!$H$21*'Entrada e Saida'!$K$8*(Q345/(SUM(Q:Q)))</f>
        <v>#DIV/0!</v>
      </c>
      <c r="U345" s="179" t="e">
        <f>'Entrada e Saida'!$H$22*(P345/(SUM(P:P)))</f>
        <v>#DIV/0!</v>
      </c>
      <c r="V345" s="179" t="e">
        <f>'Entrada e Saida'!$H$22*(Q345/(SUM(Q:Q)))</f>
        <v>#DIV/0!</v>
      </c>
      <c r="W345" s="8" t="e">
        <f t="shared" si="155"/>
        <v>#DIV/0!</v>
      </c>
      <c r="X345" s="179" t="e">
        <f>'Entrada e Saida'!$H$26*(IF('Entrada e Saida'!$H$15="PESO",(P345/(SUM(P:P))),(Q345/(SUM(Q:Q)))))</f>
        <v>#DIV/0!</v>
      </c>
      <c r="Y345" s="179" t="e">
        <f>'Entrada e Saida'!$H$27*(IF('Entrada e Saida'!$H$15="PESO",(P345/(SUM(P:P))),(Q345/(SUM(Q:Q)))))</f>
        <v>#DIV/0!</v>
      </c>
      <c r="Z345" s="179" t="e">
        <f>'Entrada e Saida'!$H$28*(IF('Entrada e Saida'!$H$15="PESO",(P345/(SUM(P:P))),(Q345/(SUM(Q:Q)))))</f>
        <v>#DIV/0!</v>
      </c>
      <c r="AA345" s="10" t="e">
        <f t="shared" si="156"/>
        <v>#DIV/0!</v>
      </c>
      <c r="AB345" s="3" t="e">
        <f t="shared" si="157"/>
        <v>#DIV/0!</v>
      </c>
      <c r="AC345" s="3" t="e">
        <f t="shared" si="158"/>
        <v>#DIV/0!</v>
      </c>
      <c r="AD345" s="3" t="e">
        <f t="shared" si="159"/>
        <v>#DIV/0!</v>
      </c>
      <c r="AE345" s="9" t="e">
        <f t="shared" si="160"/>
        <v>#DIV/0!</v>
      </c>
      <c r="AF345" s="126">
        <f>IFERROR(D345*F345*L345*'Entrada e Saida'!$K$8,0)</f>
        <v>0</v>
      </c>
      <c r="AG345" s="3" t="e">
        <f>((W345+AA345+AB345+AC345+AD345+AE345+AF345)/(1-'Entrada e Saida'!$G$65))*'Entrada e Saida'!$I$66</f>
        <v>#DIV/0!</v>
      </c>
      <c r="AH345" s="8" t="e">
        <f t="shared" si="161"/>
        <v>#DIV/0!</v>
      </c>
      <c r="AI345" s="183" t="e">
        <f>'Entrada e Saida'!$K$51*(IF('Entrada e Saida'!$H$15="PESO",(P345/(SUM(P:P))),(Q345/(SUM(Q:Q)))))</f>
        <v>#DIV/0!</v>
      </c>
      <c r="AJ345" s="7">
        <f>(('Entrada e Saida'!$K$10-'Entrada e Saida'!$K$8)*E345*D345)</f>
        <v>0</v>
      </c>
      <c r="AK345" s="184" t="e">
        <f>IF('Entrada e Saida'!$H$15="PESO",W345+AA345+AH345+AI345+AJ345,W345+AA345+AH345+AI345+AJ345-S345+T345-U345+V345)</f>
        <v>#DIV/0!</v>
      </c>
      <c r="AL345" s="6" t="e">
        <f>IF('Entrada e Saida'!$H$12="REAL",AC345,0)</f>
        <v>#DIV/0!</v>
      </c>
      <c r="AM345" s="6" t="e">
        <f>IF('Entrada e Saida'!$H$12="REAL",AD345,0)</f>
        <v>#DIV/0!</v>
      </c>
      <c r="AN345" s="5" t="e">
        <f>IF('Entrada e Saida'!$H$13= "NÃO",AE345,0)</f>
        <v>#DIV/0!</v>
      </c>
      <c r="AO345" s="5" t="e">
        <f t="shared" si="162"/>
        <v>#DIV/0!</v>
      </c>
      <c r="AP345" s="4" t="e">
        <f t="shared" si="163"/>
        <v>#DIV/0!</v>
      </c>
      <c r="AQ345" s="3" t="e">
        <f>IF('Entrada e Saida'!$H$11="TRADING",AU345*'Custo Resumido'!D345,0)</f>
        <v>#DIV/0!</v>
      </c>
      <c r="AR345" s="3" t="e">
        <f>IF('Entrada e Saida'!$H$11="TRADING",AU345*'Entrada e Saida'!$G$63,0)</f>
        <v>#DIV/0!</v>
      </c>
      <c r="AS345" s="3" t="e">
        <f>IF('Entrada e Saida'!$H$11="TRADING",AU345*'Entrada e Saida'!$G$64,0)</f>
        <v>#DIV/0!</v>
      </c>
      <c r="AT345" s="3" t="e">
        <f>IF('Entrada e Saida'!$H$11="TRADING",AU345*'Entrada e Saida'!$G$65,0)</f>
        <v>#DIV/0!</v>
      </c>
      <c r="AU345" s="4" t="e">
        <f>IF('Entrada e Saida'!$H$11="TRADING",AP345/(1-(SUM('Entrada e Saida'!$G$63:$G$65)+'Custo Resumido'!D345)),0)</f>
        <v>#DIV/0!</v>
      </c>
      <c r="AV345" s="3" t="e">
        <f>IF('Entrada e Saida'!$H$13="NÃO",AU345*M345,0)</f>
        <v>#DIV/0!</v>
      </c>
      <c r="AW345" s="4" t="e">
        <f t="shared" si="164"/>
        <v>#DIV/0!</v>
      </c>
      <c r="AX345" s="3" t="e">
        <f>'Entrada e Saida'!$G$74*AU345</f>
        <v>#DIV/0!</v>
      </c>
      <c r="AY345" s="4" t="e">
        <f t="shared" si="165"/>
        <v>#DIV/0!</v>
      </c>
      <c r="AZ345" s="4" t="e">
        <f>AQ345+('Entrada e Saida'!$G$65-'Entrada e Saida'!$I$65)*AU345-AX345</f>
        <v>#DIV/0!</v>
      </c>
      <c r="BA345" s="3" t="e">
        <f>IF('Entrada e Saida'!$H$12="REAL",AZ345*'Entrada e Saida'!$G$81,AU345*'Entrada e Saida'!$G$81)</f>
        <v>#DIV/0!</v>
      </c>
      <c r="BB345" s="3" t="e">
        <f>IF('Entrada e Saida'!$H$12="REAL",AZ345*'Entrada e Saida'!$G$82,AU345*'Entrada e Saida'!$G$82)</f>
        <v>#DIV/0!</v>
      </c>
      <c r="BC345" s="4" t="e">
        <f t="shared" si="166"/>
        <v>#DIV/0!</v>
      </c>
      <c r="BD345" s="3" t="e">
        <f>IF('Entrada e Saida'!$H$11="TRADING",AW345/D345,AK345/D345)</f>
        <v>#DIV/0!</v>
      </c>
      <c r="BE345" s="3" t="e">
        <f t="shared" si="167"/>
        <v>#DIV/0!</v>
      </c>
      <c r="BF345" s="2" t="e">
        <f t="shared" si="168"/>
        <v>#DIV/0!</v>
      </c>
      <c r="BG345" s="3" t="e">
        <f>IF('Entrada e Saida'!$H$11="TRADING",AV345/D345,AN345/D345)</f>
        <v>#DIV/0!</v>
      </c>
      <c r="BH345" s="3" t="e">
        <f>IF('Entrada e Saida'!$H$11="TRADING",IF('Entrada e Saida'!$H$12="REAL",AR345/D345,0),AL345/D345)</f>
        <v>#DIV/0!</v>
      </c>
      <c r="BI345" s="3" t="e">
        <f>IF('Entrada e Saida'!$H$11="TRADING",IF('Entrada e Saida'!$H$12="REAL",AS345/D345,0),AM345/D345)</f>
        <v>#DIV/0!</v>
      </c>
      <c r="BJ345" s="3" t="e">
        <f>IF('Entrada e Saida'!$H$11="TRADING",AT345/D345,AO345/D345)</f>
        <v>#DIV/0!</v>
      </c>
      <c r="BK345" s="2" t="e">
        <f t="shared" si="169"/>
        <v>#DIV/0!</v>
      </c>
      <c r="BL345" s="2">
        <f>IF(O345&gt;0,IFERROR(IF('Entrada e Saida'!$H$11="DIRETA",0,(IF('Entrada e Saida'!$H$14="P.JURIDICA",(BD345*(1+O345)*N345)-((BD345/(1+M345))*'Entrada e Saida'!$G$65),((Produtos!N345-'Entrada e Saida'!$G$65)*Produtos!BD345)))),0),0)</f>
        <v>0</v>
      </c>
      <c r="BM345" s="2" t="e">
        <f t="shared" si="170"/>
        <v>#DIV/0!</v>
      </c>
    </row>
    <row r="346" spans="1:65" s="1" customFormat="1">
      <c r="A346" s="127"/>
      <c r="B346" s="114"/>
      <c r="C346" s="116"/>
      <c r="D346" s="146"/>
      <c r="E346" s="115">
        <f>IFERROR(VLOOKUP(A346,'Master Modelo'!A:I,9,FALSE),0)</f>
        <v>0</v>
      </c>
      <c r="F346" s="189">
        <f>IFERROR(VLOOKUP(A346,'Master Modelo'!A:I,8,FALSE),0)</f>
        <v>0</v>
      </c>
      <c r="G346" s="189">
        <f>IFERROR(VLOOKUP(A346,'Master Modelo'!A:K,11,FALSE),0)</f>
        <v>0</v>
      </c>
      <c r="H346" s="114" t="e">
        <f t="shared" si="153"/>
        <v>#DIV/0!</v>
      </c>
      <c r="I346" s="150">
        <f>IFERROR(VLOOKUP(A346,'Master Modelo'!A:I,3,FALSE),0)</f>
        <v>0</v>
      </c>
      <c r="J346" s="151">
        <f>IFERROR(VLOOKUP(A346,'Master Modelo'!A:I,5,FALSE),0)</f>
        <v>0</v>
      </c>
      <c r="K346" s="151">
        <f>IFERROR(VLOOKUP(A346,'Master Modelo'!A:I,6,FALSE),0)</f>
        <v>0</v>
      </c>
      <c r="L346" s="152" t="e">
        <f>VLOOKUP(A346,'Master Modelo'!A:J,10,FALSE)</f>
        <v>#N/A</v>
      </c>
      <c r="M346" s="150">
        <f>IFERROR(VLOOKUP(A346,'Master Modelo'!A:I,4,FALSE),0)</f>
        <v>0</v>
      </c>
      <c r="N346" s="128"/>
      <c r="O346" s="129"/>
      <c r="P346" s="9">
        <f t="shared" si="154"/>
        <v>0</v>
      </c>
      <c r="Q346" s="177">
        <f t="shared" si="152"/>
        <v>0</v>
      </c>
      <c r="R346" s="3">
        <f>D346*E346*'Entrada e Saida'!$K$8</f>
        <v>0</v>
      </c>
      <c r="S346" s="179" t="e">
        <f>'Entrada e Saida'!$H$21*'Entrada e Saida'!$K$8*(P346/(SUM(P:P)))</f>
        <v>#DIV/0!</v>
      </c>
      <c r="T346" s="179" t="e">
        <f>'Entrada e Saida'!$H$21*'Entrada e Saida'!$K$8*(Q346/(SUM(Q:Q)))</f>
        <v>#DIV/0!</v>
      </c>
      <c r="U346" s="179" t="e">
        <f>'Entrada e Saida'!$H$22*(P346/(SUM(P:P)))</f>
        <v>#DIV/0!</v>
      </c>
      <c r="V346" s="179" t="e">
        <f>'Entrada e Saida'!$H$22*(Q346/(SUM(Q:Q)))</f>
        <v>#DIV/0!</v>
      </c>
      <c r="W346" s="8" t="e">
        <f t="shared" si="155"/>
        <v>#DIV/0!</v>
      </c>
      <c r="X346" s="179" t="e">
        <f>'Entrada e Saida'!$H$26*(IF('Entrada e Saida'!$H$15="PESO",(P346/(SUM(P:P))),(Q346/(SUM(Q:Q)))))</f>
        <v>#DIV/0!</v>
      </c>
      <c r="Y346" s="179" t="e">
        <f>'Entrada e Saida'!$H$27*(IF('Entrada e Saida'!$H$15="PESO",(P346/(SUM(P:P))),(Q346/(SUM(Q:Q)))))</f>
        <v>#DIV/0!</v>
      </c>
      <c r="Z346" s="179" t="e">
        <f>'Entrada e Saida'!$H$28*(IF('Entrada e Saida'!$H$15="PESO",(P346/(SUM(P:P))),(Q346/(SUM(Q:Q)))))</f>
        <v>#DIV/0!</v>
      </c>
      <c r="AA346" s="10" t="e">
        <f t="shared" si="156"/>
        <v>#DIV/0!</v>
      </c>
      <c r="AB346" s="3" t="e">
        <f t="shared" si="157"/>
        <v>#DIV/0!</v>
      </c>
      <c r="AC346" s="3" t="e">
        <f t="shared" si="158"/>
        <v>#DIV/0!</v>
      </c>
      <c r="AD346" s="3" t="e">
        <f t="shared" si="159"/>
        <v>#DIV/0!</v>
      </c>
      <c r="AE346" s="9" t="e">
        <f t="shared" si="160"/>
        <v>#DIV/0!</v>
      </c>
      <c r="AF346" s="126">
        <f>IFERROR(D346*F346*L346*'Entrada e Saida'!$K$8,0)</f>
        <v>0</v>
      </c>
      <c r="AG346" s="3" t="e">
        <f>((W346+AA346+AB346+AC346+AD346+AE346+AF346)/(1-'Entrada e Saida'!$G$65))*'Entrada e Saida'!$I$66</f>
        <v>#DIV/0!</v>
      </c>
      <c r="AH346" s="8" t="e">
        <f t="shared" si="161"/>
        <v>#DIV/0!</v>
      </c>
      <c r="AI346" s="183" t="e">
        <f>'Entrada e Saida'!$K$51*(IF('Entrada e Saida'!$H$15="PESO",(P346/(SUM(P:P))),(Q346/(SUM(Q:Q)))))</f>
        <v>#DIV/0!</v>
      </c>
      <c r="AJ346" s="7">
        <f>(('Entrada e Saida'!$K$10-'Entrada e Saida'!$K$8)*E346*D346)</f>
        <v>0</v>
      </c>
      <c r="AK346" s="184" t="e">
        <f>IF('Entrada e Saida'!$H$15="PESO",W346+AA346+AH346+AI346+AJ346,W346+AA346+AH346+AI346+AJ346-S346+T346-U346+V346)</f>
        <v>#DIV/0!</v>
      </c>
      <c r="AL346" s="6" t="e">
        <f>IF('Entrada e Saida'!$H$12="REAL",AC346,0)</f>
        <v>#DIV/0!</v>
      </c>
      <c r="AM346" s="6" t="e">
        <f>IF('Entrada e Saida'!$H$12="REAL",AD346,0)</f>
        <v>#DIV/0!</v>
      </c>
      <c r="AN346" s="5" t="e">
        <f>IF('Entrada e Saida'!$H$13= "NÃO",AE346,0)</f>
        <v>#DIV/0!</v>
      </c>
      <c r="AO346" s="5" t="e">
        <f t="shared" si="162"/>
        <v>#DIV/0!</v>
      </c>
      <c r="AP346" s="4" t="e">
        <f t="shared" si="163"/>
        <v>#DIV/0!</v>
      </c>
      <c r="AQ346" s="3" t="e">
        <f>IF('Entrada e Saida'!$H$11="TRADING",AU346*'Custo Resumido'!D346,0)</f>
        <v>#DIV/0!</v>
      </c>
      <c r="AR346" s="3" t="e">
        <f>IF('Entrada e Saida'!$H$11="TRADING",AU346*'Entrada e Saida'!$G$63,0)</f>
        <v>#DIV/0!</v>
      </c>
      <c r="AS346" s="3" t="e">
        <f>IF('Entrada e Saida'!$H$11="TRADING",AU346*'Entrada e Saida'!$G$64,0)</f>
        <v>#DIV/0!</v>
      </c>
      <c r="AT346" s="3" t="e">
        <f>IF('Entrada e Saida'!$H$11="TRADING",AU346*'Entrada e Saida'!$G$65,0)</f>
        <v>#DIV/0!</v>
      </c>
      <c r="AU346" s="4" t="e">
        <f>IF('Entrada e Saida'!$H$11="TRADING",AP346/(1-(SUM('Entrada e Saida'!$G$63:$G$65)+'Custo Resumido'!D346)),0)</f>
        <v>#DIV/0!</v>
      </c>
      <c r="AV346" s="3" t="e">
        <f>IF('Entrada e Saida'!$H$13="NÃO",AU346*M346,0)</f>
        <v>#DIV/0!</v>
      </c>
      <c r="AW346" s="4" t="e">
        <f t="shared" si="164"/>
        <v>#DIV/0!</v>
      </c>
      <c r="AX346" s="3" t="e">
        <f>'Entrada e Saida'!$G$74*AU346</f>
        <v>#DIV/0!</v>
      </c>
      <c r="AY346" s="4" t="e">
        <f t="shared" si="165"/>
        <v>#DIV/0!</v>
      </c>
      <c r="AZ346" s="4" t="e">
        <f>AQ346+('Entrada e Saida'!$G$65-'Entrada e Saida'!$I$65)*AU346-AX346</f>
        <v>#DIV/0!</v>
      </c>
      <c r="BA346" s="3" t="e">
        <f>IF('Entrada e Saida'!$H$12="REAL",AZ346*'Entrada e Saida'!$G$81,AU346*'Entrada e Saida'!$G$81)</f>
        <v>#DIV/0!</v>
      </c>
      <c r="BB346" s="3" t="e">
        <f>IF('Entrada e Saida'!$H$12="REAL",AZ346*'Entrada e Saida'!$G$82,AU346*'Entrada e Saida'!$G$82)</f>
        <v>#DIV/0!</v>
      </c>
      <c r="BC346" s="4" t="e">
        <f t="shared" si="166"/>
        <v>#DIV/0!</v>
      </c>
      <c r="BD346" s="3" t="e">
        <f>IF('Entrada e Saida'!$H$11="TRADING",AW346/D346,AK346/D346)</f>
        <v>#DIV/0!</v>
      </c>
      <c r="BE346" s="3" t="e">
        <f t="shared" si="167"/>
        <v>#DIV/0!</v>
      </c>
      <c r="BF346" s="2" t="e">
        <f t="shared" si="168"/>
        <v>#DIV/0!</v>
      </c>
      <c r="BG346" s="3" t="e">
        <f>IF('Entrada e Saida'!$H$11="TRADING",AV346/D346,AN346/D346)</f>
        <v>#DIV/0!</v>
      </c>
      <c r="BH346" s="3" t="e">
        <f>IF('Entrada e Saida'!$H$11="TRADING",IF('Entrada e Saida'!$H$12="REAL",AR346/D346,0),AL346/D346)</f>
        <v>#DIV/0!</v>
      </c>
      <c r="BI346" s="3" t="e">
        <f>IF('Entrada e Saida'!$H$11="TRADING",IF('Entrada e Saida'!$H$12="REAL",AS346/D346,0),AM346/D346)</f>
        <v>#DIV/0!</v>
      </c>
      <c r="BJ346" s="3" t="e">
        <f>IF('Entrada e Saida'!$H$11="TRADING",AT346/D346,AO346/D346)</f>
        <v>#DIV/0!</v>
      </c>
      <c r="BK346" s="2" t="e">
        <f t="shared" si="169"/>
        <v>#DIV/0!</v>
      </c>
      <c r="BL346" s="2">
        <f>IF(O346&gt;0,IFERROR(IF('Entrada e Saida'!$H$11="DIRETA",0,(IF('Entrada e Saida'!$H$14="P.JURIDICA",(BD346*(1+O346)*N346)-((BD346/(1+M346))*'Entrada e Saida'!$G$65),((Produtos!N346-'Entrada e Saida'!$G$65)*Produtos!BD346)))),0),0)</f>
        <v>0</v>
      </c>
      <c r="BM346" s="2" t="e">
        <f t="shared" si="170"/>
        <v>#DIV/0!</v>
      </c>
    </row>
    <row r="347" spans="1:65" s="1" customFormat="1">
      <c r="A347" s="127"/>
      <c r="B347" s="114"/>
      <c r="C347" s="116"/>
      <c r="D347" s="146"/>
      <c r="E347" s="115">
        <f>IFERROR(VLOOKUP(A347,'Master Modelo'!A:I,9,FALSE),0)</f>
        <v>0</v>
      </c>
      <c r="F347" s="189">
        <f>IFERROR(VLOOKUP(A347,'Master Modelo'!A:I,8,FALSE),0)</f>
        <v>0</v>
      </c>
      <c r="G347" s="189">
        <f>IFERROR(VLOOKUP(A347,'Master Modelo'!A:K,11,FALSE),0)</f>
        <v>0</v>
      </c>
      <c r="H347" s="114" t="e">
        <f t="shared" si="153"/>
        <v>#DIV/0!</v>
      </c>
      <c r="I347" s="150">
        <f>IFERROR(VLOOKUP(A347,'Master Modelo'!A:I,3,FALSE),0)</f>
        <v>0</v>
      </c>
      <c r="J347" s="151">
        <f>IFERROR(VLOOKUP(A347,'Master Modelo'!A:I,5,FALSE),0)</f>
        <v>0</v>
      </c>
      <c r="K347" s="151">
        <f>IFERROR(VLOOKUP(A347,'Master Modelo'!A:I,6,FALSE),0)</f>
        <v>0</v>
      </c>
      <c r="L347" s="152" t="e">
        <f>VLOOKUP(A347,'Master Modelo'!A:J,10,FALSE)</f>
        <v>#N/A</v>
      </c>
      <c r="M347" s="150">
        <f>IFERROR(VLOOKUP(A347,'Master Modelo'!A:I,4,FALSE),0)</f>
        <v>0</v>
      </c>
      <c r="N347" s="128"/>
      <c r="O347" s="129"/>
      <c r="P347" s="9">
        <f t="shared" si="154"/>
        <v>0</v>
      </c>
      <c r="Q347" s="177">
        <f t="shared" si="152"/>
        <v>0</v>
      </c>
      <c r="R347" s="3">
        <f>D347*E347*'Entrada e Saida'!$K$8</f>
        <v>0</v>
      </c>
      <c r="S347" s="179" t="e">
        <f>'Entrada e Saida'!$H$21*'Entrada e Saida'!$K$8*(P347/(SUM(P:P)))</f>
        <v>#DIV/0!</v>
      </c>
      <c r="T347" s="179" t="e">
        <f>'Entrada e Saida'!$H$21*'Entrada e Saida'!$K$8*(Q347/(SUM(Q:Q)))</f>
        <v>#DIV/0!</v>
      </c>
      <c r="U347" s="179" t="e">
        <f>'Entrada e Saida'!$H$22*(P347/(SUM(P:P)))</f>
        <v>#DIV/0!</v>
      </c>
      <c r="V347" s="179" t="e">
        <f>'Entrada e Saida'!$H$22*(Q347/(SUM(Q:Q)))</f>
        <v>#DIV/0!</v>
      </c>
      <c r="W347" s="8" t="e">
        <f t="shared" si="155"/>
        <v>#DIV/0!</v>
      </c>
      <c r="X347" s="179" t="e">
        <f>'Entrada e Saida'!$H$26*(IF('Entrada e Saida'!$H$15="PESO",(P347/(SUM(P:P))),(Q347/(SUM(Q:Q)))))</f>
        <v>#DIV/0!</v>
      </c>
      <c r="Y347" s="179" t="e">
        <f>'Entrada e Saida'!$H$27*(IF('Entrada e Saida'!$H$15="PESO",(P347/(SUM(P:P))),(Q347/(SUM(Q:Q)))))</f>
        <v>#DIV/0!</v>
      </c>
      <c r="Z347" s="179" t="e">
        <f>'Entrada e Saida'!$H$28*(IF('Entrada e Saida'!$H$15="PESO",(P347/(SUM(P:P))),(Q347/(SUM(Q:Q)))))</f>
        <v>#DIV/0!</v>
      </c>
      <c r="AA347" s="10" t="e">
        <f t="shared" si="156"/>
        <v>#DIV/0!</v>
      </c>
      <c r="AB347" s="3" t="e">
        <f t="shared" si="157"/>
        <v>#DIV/0!</v>
      </c>
      <c r="AC347" s="3" t="e">
        <f t="shared" si="158"/>
        <v>#DIV/0!</v>
      </c>
      <c r="AD347" s="3" t="e">
        <f t="shared" si="159"/>
        <v>#DIV/0!</v>
      </c>
      <c r="AE347" s="9" t="e">
        <f t="shared" si="160"/>
        <v>#DIV/0!</v>
      </c>
      <c r="AF347" s="126">
        <f>IFERROR(D347*F347*L347*'Entrada e Saida'!$K$8,0)</f>
        <v>0</v>
      </c>
      <c r="AG347" s="3" t="e">
        <f>((W347+AA347+AB347+AC347+AD347+AE347+AF347)/(1-'Entrada e Saida'!$G$65))*'Entrada e Saida'!$I$66</f>
        <v>#DIV/0!</v>
      </c>
      <c r="AH347" s="8" t="e">
        <f t="shared" si="161"/>
        <v>#DIV/0!</v>
      </c>
      <c r="AI347" s="183" t="e">
        <f>'Entrada e Saida'!$K$51*(IF('Entrada e Saida'!$H$15="PESO",(P347/(SUM(P:P))),(Q347/(SUM(Q:Q)))))</f>
        <v>#DIV/0!</v>
      </c>
      <c r="AJ347" s="7">
        <f>(('Entrada e Saida'!$K$10-'Entrada e Saida'!$K$8)*E347*D347)</f>
        <v>0</v>
      </c>
      <c r="AK347" s="184" t="e">
        <f>IF('Entrada e Saida'!$H$15="PESO",W347+AA347+AH347+AI347+AJ347,W347+AA347+AH347+AI347+AJ347-S347+T347-U347+V347)</f>
        <v>#DIV/0!</v>
      </c>
      <c r="AL347" s="6" t="e">
        <f>IF('Entrada e Saida'!$H$12="REAL",AC347,0)</f>
        <v>#DIV/0!</v>
      </c>
      <c r="AM347" s="6" t="e">
        <f>IF('Entrada e Saida'!$H$12="REAL",AD347,0)</f>
        <v>#DIV/0!</v>
      </c>
      <c r="AN347" s="5" t="e">
        <f>IF('Entrada e Saida'!$H$13= "NÃO",AE347,0)</f>
        <v>#DIV/0!</v>
      </c>
      <c r="AO347" s="5" t="e">
        <f t="shared" si="162"/>
        <v>#DIV/0!</v>
      </c>
      <c r="AP347" s="4" t="e">
        <f t="shared" si="163"/>
        <v>#DIV/0!</v>
      </c>
      <c r="AQ347" s="3" t="e">
        <f>IF('Entrada e Saida'!$H$11="TRADING",AU347*'Custo Resumido'!D347,0)</f>
        <v>#DIV/0!</v>
      </c>
      <c r="AR347" s="3" t="e">
        <f>IF('Entrada e Saida'!$H$11="TRADING",AU347*'Entrada e Saida'!$G$63,0)</f>
        <v>#DIV/0!</v>
      </c>
      <c r="AS347" s="3" t="e">
        <f>IF('Entrada e Saida'!$H$11="TRADING",AU347*'Entrada e Saida'!$G$64,0)</f>
        <v>#DIV/0!</v>
      </c>
      <c r="AT347" s="3" t="e">
        <f>IF('Entrada e Saida'!$H$11="TRADING",AU347*'Entrada e Saida'!$G$65,0)</f>
        <v>#DIV/0!</v>
      </c>
      <c r="AU347" s="4" t="e">
        <f>IF('Entrada e Saida'!$H$11="TRADING",AP347/(1-(SUM('Entrada e Saida'!$G$63:$G$65)+'Custo Resumido'!D347)),0)</f>
        <v>#DIV/0!</v>
      </c>
      <c r="AV347" s="3" t="e">
        <f>IF('Entrada e Saida'!$H$13="NÃO",AU347*M347,0)</f>
        <v>#DIV/0!</v>
      </c>
      <c r="AW347" s="4" t="e">
        <f t="shared" si="164"/>
        <v>#DIV/0!</v>
      </c>
      <c r="AX347" s="3" t="e">
        <f>'Entrada e Saida'!$G$74*AU347</f>
        <v>#DIV/0!</v>
      </c>
      <c r="AY347" s="4" t="e">
        <f t="shared" si="165"/>
        <v>#DIV/0!</v>
      </c>
      <c r="AZ347" s="4" t="e">
        <f>AQ347+('Entrada e Saida'!$G$65-'Entrada e Saida'!$I$65)*AU347-AX347</f>
        <v>#DIV/0!</v>
      </c>
      <c r="BA347" s="3" t="e">
        <f>IF('Entrada e Saida'!$H$12="REAL",AZ347*'Entrada e Saida'!$G$81,AU347*'Entrada e Saida'!$G$81)</f>
        <v>#DIV/0!</v>
      </c>
      <c r="BB347" s="3" t="e">
        <f>IF('Entrada e Saida'!$H$12="REAL",AZ347*'Entrada e Saida'!$G$82,AU347*'Entrada e Saida'!$G$82)</f>
        <v>#DIV/0!</v>
      </c>
      <c r="BC347" s="4" t="e">
        <f t="shared" si="166"/>
        <v>#DIV/0!</v>
      </c>
      <c r="BD347" s="3" t="e">
        <f>IF('Entrada e Saida'!$H$11="TRADING",AW347/D347,AK347/D347)</f>
        <v>#DIV/0!</v>
      </c>
      <c r="BE347" s="3" t="e">
        <f t="shared" si="167"/>
        <v>#DIV/0!</v>
      </c>
      <c r="BF347" s="2" t="e">
        <f t="shared" si="168"/>
        <v>#DIV/0!</v>
      </c>
      <c r="BG347" s="3" t="e">
        <f>IF('Entrada e Saida'!$H$11="TRADING",AV347/D347,AN347/D347)</f>
        <v>#DIV/0!</v>
      </c>
      <c r="BH347" s="3" t="e">
        <f>IF('Entrada e Saida'!$H$11="TRADING",IF('Entrada e Saida'!$H$12="REAL",AR347/D347,0),AL347/D347)</f>
        <v>#DIV/0!</v>
      </c>
      <c r="BI347" s="3" t="e">
        <f>IF('Entrada e Saida'!$H$11="TRADING",IF('Entrada e Saida'!$H$12="REAL",AS347/D347,0),AM347/D347)</f>
        <v>#DIV/0!</v>
      </c>
      <c r="BJ347" s="3" t="e">
        <f>IF('Entrada e Saida'!$H$11="TRADING",AT347/D347,AO347/D347)</f>
        <v>#DIV/0!</v>
      </c>
      <c r="BK347" s="2" t="e">
        <f t="shared" si="169"/>
        <v>#DIV/0!</v>
      </c>
      <c r="BL347" s="2">
        <f>IF(O347&gt;0,IFERROR(IF('Entrada e Saida'!$H$11="DIRETA",0,(IF('Entrada e Saida'!$H$14="P.JURIDICA",(BD347*(1+O347)*N347)-((BD347/(1+M347))*'Entrada e Saida'!$G$65),((Produtos!N347-'Entrada e Saida'!$G$65)*Produtos!BD347)))),0),0)</f>
        <v>0</v>
      </c>
      <c r="BM347" s="2" t="e">
        <f t="shared" si="170"/>
        <v>#DIV/0!</v>
      </c>
    </row>
    <row r="348" spans="1:65" s="1" customFormat="1">
      <c r="A348" s="127"/>
      <c r="B348" s="114"/>
      <c r="C348" s="116"/>
      <c r="D348" s="146"/>
      <c r="E348" s="115">
        <f>IFERROR(VLOOKUP(A348,'Master Modelo'!A:I,9,FALSE),0)</f>
        <v>0</v>
      </c>
      <c r="F348" s="189">
        <f>IFERROR(VLOOKUP(A348,'Master Modelo'!A:I,8,FALSE),0)</f>
        <v>0</v>
      </c>
      <c r="G348" s="189">
        <f>IFERROR(VLOOKUP(A348,'Master Modelo'!A:K,11,FALSE),0)</f>
        <v>0</v>
      </c>
      <c r="H348" s="114" t="e">
        <f t="shared" si="153"/>
        <v>#DIV/0!</v>
      </c>
      <c r="I348" s="150">
        <f>IFERROR(VLOOKUP(A348,'Master Modelo'!A:I,3,FALSE),0)</f>
        <v>0</v>
      </c>
      <c r="J348" s="151">
        <f>IFERROR(VLOOKUP(A348,'Master Modelo'!A:I,5,FALSE),0)</f>
        <v>0</v>
      </c>
      <c r="K348" s="151">
        <f>IFERROR(VLOOKUP(A348,'Master Modelo'!A:I,6,FALSE),0)</f>
        <v>0</v>
      </c>
      <c r="L348" s="152" t="e">
        <f>VLOOKUP(A348,'Master Modelo'!A:J,10,FALSE)</f>
        <v>#N/A</v>
      </c>
      <c r="M348" s="150">
        <f>IFERROR(VLOOKUP(A348,'Master Modelo'!A:I,4,FALSE),0)</f>
        <v>0</v>
      </c>
      <c r="N348" s="128"/>
      <c r="O348" s="129"/>
      <c r="P348" s="9">
        <f t="shared" si="154"/>
        <v>0</v>
      </c>
      <c r="Q348" s="177">
        <f t="shared" si="152"/>
        <v>0</v>
      </c>
      <c r="R348" s="3">
        <f>D348*E348*'Entrada e Saida'!$K$8</f>
        <v>0</v>
      </c>
      <c r="S348" s="179" t="e">
        <f>'Entrada e Saida'!$H$21*'Entrada e Saida'!$K$8*(P348/(SUM(P:P)))</f>
        <v>#DIV/0!</v>
      </c>
      <c r="T348" s="179" t="e">
        <f>'Entrada e Saida'!$H$21*'Entrada e Saida'!$K$8*(Q348/(SUM(Q:Q)))</f>
        <v>#DIV/0!</v>
      </c>
      <c r="U348" s="179" t="e">
        <f>'Entrada e Saida'!$H$22*(P348/(SUM(P:P)))</f>
        <v>#DIV/0!</v>
      </c>
      <c r="V348" s="179" t="e">
        <f>'Entrada e Saida'!$H$22*(Q348/(SUM(Q:Q)))</f>
        <v>#DIV/0!</v>
      </c>
      <c r="W348" s="8" t="e">
        <f t="shared" si="155"/>
        <v>#DIV/0!</v>
      </c>
      <c r="X348" s="179" t="e">
        <f>'Entrada e Saida'!$H$26*(IF('Entrada e Saida'!$H$15="PESO",(P348/(SUM(P:P))),(Q348/(SUM(Q:Q)))))</f>
        <v>#DIV/0!</v>
      </c>
      <c r="Y348" s="179" t="e">
        <f>'Entrada e Saida'!$H$27*(IF('Entrada e Saida'!$H$15="PESO",(P348/(SUM(P:P))),(Q348/(SUM(Q:Q)))))</f>
        <v>#DIV/0!</v>
      </c>
      <c r="Z348" s="179" t="e">
        <f>'Entrada e Saida'!$H$28*(IF('Entrada e Saida'!$H$15="PESO",(P348/(SUM(P:P))),(Q348/(SUM(Q:Q)))))</f>
        <v>#DIV/0!</v>
      </c>
      <c r="AA348" s="10" t="e">
        <f t="shared" si="156"/>
        <v>#DIV/0!</v>
      </c>
      <c r="AB348" s="3" t="e">
        <f t="shared" si="157"/>
        <v>#DIV/0!</v>
      </c>
      <c r="AC348" s="3" t="e">
        <f t="shared" si="158"/>
        <v>#DIV/0!</v>
      </c>
      <c r="AD348" s="3" t="e">
        <f t="shared" si="159"/>
        <v>#DIV/0!</v>
      </c>
      <c r="AE348" s="9" t="e">
        <f t="shared" si="160"/>
        <v>#DIV/0!</v>
      </c>
      <c r="AF348" s="126">
        <f>IFERROR(D348*F348*L348*'Entrada e Saida'!$K$8,0)</f>
        <v>0</v>
      </c>
      <c r="AG348" s="3" t="e">
        <f>((W348+AA348+AB348+AC348+AD348+AE348+AF348)/(1-'Entrada e Saida'!$G$65))*'Entrada e Saida'!$I$66</f>
        <v>#DIV/0!</v>
      </c>
      <c r="AH348" s="8" t="e">
        <f t="shared" si="161"/>
        <v>#DIV/0!</v>
      </c>
      <c r="AI348" s="183" t="e">
        <f>'Entrada e Saida'!$K$51*(IF('Entrada e Saida'!$H$15="PESO",(P348/(SUM(P:P))),(Q348/(SUM(Q:Q)))))</f>
        <v>#DIV/0!</v>
      </c>
      <c r="AJ348" s="7">
        <f>(('Entrada e Saida'!$K$10-'Entrada e Saida'!$K$8)*E348*D348)</f>
        <v>0</v>
      </c>
      <c r="AK348" s="184" t="e">
        <f>IF('Entrada e Saida'!$H$15="PESO",W348+AA348+AH348+AI348+AJ348,W348+AA348+AH348+AI348+AJ348-S348+T348-U348+V348)</f>
        <v>#DIV/0!</v>
      </c>
      <c r="AL348" s="6" t="e">
        <f>IF('Entrada e Saida'!$H$12="REAL",AC348,0)</f>
        <v>#DIV/0!</v>
      </c>
      <c r="AM348" s="6" t="e">
        <f>IF('Entrada e Saida'!$H$12="REAL",AD348,0)</f>
        <v>#DIV/0!</v>
      </c>
      <c r="AN348" s="5" t="e">
        <f>IF('Entrada e Saida'!$H$13= "NÃO",AE348,0)</f>
        <v>#DIV/0!</v>
      </c>
      <c r="AO348" s="5" t="e">
        <f t="shared" si="162"/>
        <v>#DIV/0!</v>
      </c>
      <c r="AP348" s="4" t="e">
        <f t="shared" si="163"/>
        <v>#DIV/0!</v>
      </c>
      <c r="AQ348" s="3" t="e">
        <f>IF('Entrada e Saida'!$H$11="TRADING",AU348*'Custo Resumido'!D348,0)</f>
        <v>#DIV/0!</v>
      </c>
      <c r="AR348" s="3" t="e">
        <f>IF('Entrada e Saida'!$H$11="TRADING",AU348*'Entrada e Saida'!$G$63,0)</f>
        <v>#DIV/0!</v>
      </c>
      <c r="AS348" s="3" t="e">
        <f>IF('Entrada e Saida'!$H$11="TRADING",AU348*'Entrada e Saida'!$G$64,0)</f>
        <v>#DIV/0!</v>
      </c>
      <c r="AT348" s="3" t="e">
        <f>IF('Entrada e Saida'!$H$11="TRADING",AU348*'Entrada e Saida'!$G$65,0)</f>
        <v>#DIV/0!</v>
      </c>
      <c r="AU348" s="4" t="e">
        <f>IF('Entrada e Saida'!$H$11="TRADING",AP348/(1-(SUM('Entrada e Saida'!$G$63:$G$65)+'Custo Resumido'!D348)),0)</f>
        <v>#DIV/0!</v>
      </c>
      <c r="AV348" s="3" t="e">
        <f>IF('Entrada e Saida'!$H$13="NÃO",AU348*M348,0)</f>
        <v>#DIV/0!</v>
      </c>
      <c r="AW348" s="4" t="e">
        <f t="shared" si="164"/>
        <v>#DIV/0!</v>
      </c>
      <c r="AX348" s="3" t="e">
        <f>'Entrada e Saida'!$G$74*AU348</f>
        <v>#DIV/0!</v>
      </c>
      <c r="AY348" s="4" t="e">
        <f t="shared" si="165"/>
        <v>#DIV/0!</v>
      </c>
      <c r="AZ348" s="4" t="e">
        <f>AQ348+('Entrada e Saida'!$G$65-'Entrada e Saida'!$I$65)*AU348-AX348</f>
        <v>#DIV/0!</v>
      </c>
      <c r="BA348" s="3" t="e">
        <f>IF('Entrada e Saida'!$H$12="REAL",AZ348*'Entrada e Saida'!$G$81,AU348*'Entrada e Saida'!$G$81)</f>
        <v>#DIV/0!</v>
      </c>
      <c r="BB348" s="3" t="e">
        <f>IF('Entrada e Saida'!$H$12="REAL",AZ348*'Entrada e Saida'!$G$82,AU348*'Entrada e Saida'!$G$82)</f>
        <v>#DIV/0!</v>
      </c>
      <c r="BC348" s="4" t="e">
        <f t="shared" si="166"/>
        <v>#DIV/0!</v>
      </c>
      <c r="BD348" s="3" t="e">
        <f>IF('Entrada e Saida'!$H$11="TRADING",AW348/D348,AK348/D348)</f>
        <v>#DIV/0!</v>
      </c>
      <c r="BE348" s="3" t="e">
        <f t="shared" si="167"/>
        <v>#DIV/0!</v>
      </c>
      <c r="BF348" s="2" t="e">
        <f t="shared" si="168"/>
        <v>#DIV/0!</v>
      </c>
      <c r="BG348" s="3" t="e">
        <f>IF('Entrada e Saida'!$H$11="TRADING",AV348/D348,AN348/D348)</f>
        <v>#DIV/0!</v>
      </c>
      <c r="BH348" s="3" t="e">
        <f>IF('Entrada e Saida'!$H$11="TRADING",IF('Entrada e Saida'!$H$12="REAL",AR348/D348,0),AL348/D348)</f>
        <v>#DIV/0!</v>
      </c>
      <c r="BI348" s="3" t="e">
        <f>IF('Entrada e Saida'!$H$11="TRADING",IF('Entrada e Saida'!$H$12="REAL",AS348/D348,0),AM348/D348)</f>
        <v>#DIV/0!</v>
      </c>
      <c r="BJ348" s="3" t="e">
        <f>IF('Entrada e Saida'!$H$11="TRADING",AT348/D348,AO348/D348)</f>
        <v>#DIV/0!</v>
      </c>
      <c r="BK348" s="2" t="e">
        <f t="shared" si="169"/>
        <v>#DIV/0!</v>
      </c>
      <c r="BL348" s="2">
        <f>IF(O348&gt;0,IFERROR(IF('Entrada e Saida'!$H$11="DIRETA",0,(IF('Entrada e Saida'!$H$14="P.JURIDICA",(BD348*(1+O348)*N348)-((BD348/(1+M348))*'Entrada e Saida'!$G$65),((Produtos!N348-'Entrada e Saida'!$G$65)*Produtos!BD348)))),0),0)</f>
        <v>0</v>
      </c>
      <c r="BM348" s="2" t="e">
        <f t="shared" si="170"/>
        <v>#DIV/0!</v>
      </c>
    </row>
    <row r="349" spans="1:65" s="1" customFormat="1">
      <c r="A349" s="127"/>
      <c r="B349" s="114"/>
      <c r="C349" s="116"/>
      <c r="D349" s="146"/>
      <c r="E349" s="115">
        <f>IFERROR(VLOOKUP(A349,'Master Modelo'!A:I,9,FALSE),0)</f>
        <v>0</v>
      </c>
      <c r="F349" s="189">
        <f>IFERROR(VLOOKUP(A349,'Master Modelo'!A:I,8,FALSE),0)</f>
        <v>0</v>
      </c>
      <c r="G349" s="189">
        <f>IFERROR(VLOOKUP(A349,'Master Modelo'!A:K,11,FALSE),0)</f>
        <v>0</v>
      </c>
      <c r="H349" s="114" t="e">
        <f t="shared" si="153"/>
        <v>#DIV/0!</v>
      </c>
      <c r="I349" s="150">
        <f>IFERROR(VLOOKUP(A349,'Master Modelo'!A:I,3,FALSE),0)</f>
        <v>0</v>
      </c>
      <c r="J349" s="151">
        <f>IFERROR(VLOOKUP(A349,'Master Modelo'!A:I,5,FALSE),0)</f>
        <v>0</v>
      </c>
      <c r="K349" s="151">
        <f>IFERROR(VLOOKUP(A349,'Master Modelo'!A:I,6,FALSE),0)</f>
        <v>0</v>
      </c>
      <c r="L349" s="152" t="e">
        <f>VLOOKUP(A349,'Master Modelo'!A:J,10,FALSE)</f>
        <v>#N/A</v>
      </c>
      <c r="M349" s="150">
        <f>IFERROR(VLOOKUP(A349,'Master Modelo'!A:I,4,FALSE),0)</f>
        <v>0</v>
      </c>
      <c r="N349" s="128"/>
      <c r="O349" s="129"/>
      <c r="P349" s="9">
        <f t="shared" si="154"/>
        <v>0</v>
      </c>
      <c r="Q349" s="177">
        <f t="shared" si="152"/>
        <v>0</v>
      </c>
      <c r="R349" s="3">
        <f>D349*E349*'Entrada e Saida'!$K$8</f>
        <v>0</v>
      </c>
      <c r="S349" s="179" t="e">
        <f>'Entrada e Saida'!$H$21*'Entrada e Saida'!$K$8*(P349/(SUM(P:P)))</f>
        <v>#DIV/0!</v>
      </c>
      <c r="T349" s="179" t="e">
        <f>'Entrada e Saida'!$H$21*'Entrada e Saida'!$K$8*(Q349/(SUM(Q:Q)))</f>
        <v>#DIV/0!</v>
      </c>
      <c r="U349" s="179" t="e">
        <f>'Entrada e Saida'!$H$22*(P349/(SUM(P:P)))</f>
        <v>#DIV/0!</v>
      </c>
      <c r="V349" s="179" t="e">
        <f>'Entrada e Saida'!$H$22*(Q349/(SUM(Q:Q)))</f>
        <v>#DIV/0!</v>
      </c>
      <c r="W349" s="8" t="e">
        <f t="shared" si="155"/>
        <v>#DIV/0!</v>
      </c>
      <c r="X349" s="179" t="e">
        <f>'Entrada e Saida'!$H$26*(IF('Entrada e Saida'!$H$15="PESO",(P349/(SUM(P:P))),(Q349/(SUM(Q:Q)))))</f>
        <v>#DIV/0!</v>
      </c>
      <c r="Y349" s="179" t="e">
        <f>'Entrada e Saida'!$H$27*(IF('Entrada e Saida'!$H$15="PESO",(P349/(SUM(P:P))),(Q349/(SUM(Q:Q)))))</f>
        <v>#DIV/0!</v>
      </c>
      <c r="Z349" s="179" t="e">
        <f>'Entrada e Saida'!$H$28*(IF('Entrada e Saida'!$H$15="PESO",(P349/(SUM(P:P))),(Q349/(SUM(Q:Q)))))</f>
        <v>#DIV/0!</v>
      </c>
      <c r="AA349" s="10" t="e">
        <f t="shared" si="156"/>
        <v>#DIV/0!</v>
      </c>
      <c r="AB349" s="3" t="e">
        <f t="shared" si="157"/>
        <v>#DIV/0!</v>
      </c>
      <c r="AC349" s="3" t="e">
        <f t="shared" si="158"/>
        <v>#DIV/0!</v>
      </c>
      <c r="AD349" s="3" t="e">
        <f t="shared" si="159"/>
        <v>#DIV/0!</v>
      </c>
      <c r="AE349" s="9" t="e">
        <f t="shared" si="160"/>
        <v>#DIV/0!</v>
      </c>
      <c r="AF349" s="126">
        <f>IFERROR(D349*F349*L349*'Entrada e Saida'!$K$8,0)</f>
        <v>0</v>
      </c>
      <c r="AG349" s="3" t="e">
        <f>((W349+AA349+AB349+AC349+AD349+AE349+AF349)/(1-'Entrada e Saida'!$G$65))*'Entrada e Saida'!$I$66</f>
        <v>#DIV/0!</v>
      </c>
      <c r="AH349" s="8" t="e">
        <f t="shared" si="161"/>
        <v>#DIV/0!</v>
      </c>
      <c r="AI349" s="183" t="e">
        <f>'Entrada e Saida'!$K$51*(IF('Entrada e Saida'!$H$15="PESO",(P349/(SUM(P:P))),(Q349/(SUM(Q:Q)))))</f>
        <v>#DIV/0!</v>
      </c>
      <c r="AJ349" s="7">
        <f>(('Entrada e Saida'!$K$10-'Entrada e Saida'!$K$8)*E349*D349)</f>
        <v>0</v>
      </c>
      <c r="AK349" s="184" t="e">
        <f>IF('Entrada e Saida'!$H$15="PESO",W349+AA349+AH349+AI349+AJ349,W349+AA349+AH349+AI349+AJ349-S349+T349-U349+V349)</f>
        <v>#DIV/0!</v>
      </c>
      <c r="AL349" s="6" t="e">
        <f>IF('Entrada e Saida'!$H$12="REAL",AC349,0)</f>
        <v>#DIV/0!</v>
      </c>
      <c r="AM349" s="6" t="e">
        <f>IF('Entrada e Saida'!$H$12="REAL",AD349,0)</f>
        <v>#DIV/0!</v>
      </c>
      <c r="AN349" s="5" t="e">
        <f>IF('Entrada e Saida'!$H$13= "NÃO",AE349,0)</f>
        <v>#DIV/0!</v>
      </c>
      <c r="AO349" s="5" t="e">
        <f t="shared" si="162"/>
        <v>#DIV/0!</v>
      </c>
      <c r="AP349" s="4" t="e">
        <f t="shared" si="163"/>
        <v>#DIV/0!</v>
      </c>
      <c r="AQ349" s="3" t="e">
        <f>IF('Entrada e Saida'!$H$11="TRADING",AU349*'Custo Resumido'!D349,0)</f>
        <v>#DIV/0!</v>
      </c>
      <c r="AR349" s="3" t="e">
        <f>IF('Entrada e Saida'!$H$11="TRADING",AU349*'Entrada e Saida'!$G$63,0)</f>
        <v>#DIV/0!</v>
      </c>
      <c r="AS349" s="3" t="e">
        <f>IF('Entrada e Saida'!$H$11="TRADING",AU349*'Entrada e Saida'!$G$64,0)</f>
        <v>#DIV/0!</v>
      </c>
      <c r="AT349" s="3" t="e">
        <f>IF('Entrada e Saida'!$H$11="TRADING",AU349*'Entrada e Saida'!$G$65,0)</f>
        <v>#DIV/0!</v>
      </c>
      <c r="AU349" s="4" t="e">
        <f>IF('Entrada e Saida'!$H$11="TRADING",AP349/(1-(SUM('Entrada e Saida'!$G$63:$G$65)+'Custo Resumido'!D349)),0)</f>
        <v>#DIV/0!</v>
      </c>
      <c r="AV349" s="3" t="e">
        <f>IF('Entrada e Saida'!$H$13="NÃO",AU349*M349,0)</f>
        <v>#DIV/0!</v>
      </c>
      <c r="AW349" s="4" t="e">
        <f t="shared" si="164"/>
        <v>#DIV/0!</v>
      </c>
      <c r="AX349" s="3" t="e">
        <f>'Entrada e Saida'!$G$74*AU349</f>
        <v>#DIV/0!</v>
      </c>
      <c r="AY349" s="4" t="e">
        <f t="shared" si="165"/>
        <v>#DIV/0!</v>
      </c>
      <c r="AZ349" s="4" t="e">
        <f>AQ349+('Entrada e Saida'!$G$65-'Entrada e Saida'!$I$65)*AU349-AX349</f>
        <v>#DIV/0!</v>
      </c>
      <c r="BA349" s="3" t="e">
        <f>IF('Entrada e Saida'!$H$12="REAL",AZ349*'Entrada e Saida'!$G$81,AU349*'Entrada e Saida'!$G$81)</f>
        <v>#DIV/0!</v>
      </c>
      <c r="BB349" s="3" t="e">
        <f>IF('Entrada e Saida'!$H$12="REAL",AZ349*'Entrada e Saida'!$G$82,AU349*'Entrada e Saida'!$G$82)</f>
        <v>#DIV/0!</v>
      </c>
      <c r="BC349" s="4" t="e">
        <f t="shared" si="166"/>
        <v>#DIV/0!</v>
      </c>
      <c r="BD349" s="3" t="e">
        <f>IF('Entrada e Saida'!$H$11="TRADING",AW349/D349,AK349/D349)</f>
        <v>#DIV/0!</v>
      </c>
      <c r="BE349" s="3" t="e">
        <f t="shared" si="167"/>
        <v>#DIV/0!</v>
      </c>
      <c r="BF349" s="2" t="e">
        <f t="shared" si="168"/>
        <v>#DIV/0!</v>
      </c>
      <c r="BG349" s="3" t="e">
        <f>IF('Entrada e Saida'!$H$11="TRADING",AV349/D349,AN349/D349)</f>
        <v>#DIV/0!</v>
      </c>
      <c r="BH349" s="3" t="e">
        <f>IF('Entrada e Saida'!$H$11="TRADING",IF('Entrada e Saida'!$H$12="REAL",AR349/D349,0),AL349/D349)</f>
        <v>#DIV/0!</v>
      </c>
      <c r="BI349" s="3" t="e">
        <f>IF('Entrada e Saida'!$H$11="TRADING",IF('Entrada e Saida'!$H$12="REAL",AS349/D349,0),AM349/D349)</f>
        <v>#DIV/0!</v>
      </c>
      <c r="BJ349" s="3" t="e">
        <f>IF('Entrada e Saida'!$H$11="TRADING",AT349/D349,AO349/D349)</f>
        <v>#DIV/0!</v>
      </c>
      <c r="BK349" s="2" t="e">
        <f t="shared" si="169"/>
        <v>#DIV/0!</v>
      </c>
      <c r="BL349" s="2">
        <f>IF(O349&gt;0,IFERROR(IF('Entrada e Saida'!$H$11="DIRETA",0,(IF('Entrada e Saida'!$H$14="P.JURIDICA",(BD349*(1+O349)*N349)-((BD349/(1+M349))*'Entrada e Saida'!$G$65),((Produtos!N349-'Entrada e Saida'!$G$65)*Produtos!BD349)))),0),0)</f>
        <v>0</v>
      </c>
      <c r="BM349" s="2" t="e">
        <f t="shared" si="170"/>
        <v>#DIV/0!</v>
      </c>
    </row>
    <row r="350" spans="1:65" s="1" customFormat="1">
      <c r="A350" s="127"/>
      <c r="B350" s="114"/>
      <c r="C350" s="116"/>
      <c r="D350" s="146"/>
      <c r="E350" s="115">
        <f>IFERROR(VLOOKUP(A350,'Master Modelo'!A:I,9,FALSE),0)</f>
        <v>0</v>
      </c>
      <c r="F350" s="189">
        <f>IFERROR(VLOOKUP(A350,'Master Modelo'!A:I,8,FALSE),0)</f>
        <v>0</v>
      </c>
      <c r="G350" s="189">
        <f>IFERROR(VLOOKUP(A350,'Master Modelo'!A:K,11,FALSE),0)</f>
        <v>0</v>
      </c>
      <c r="H350" s="114" t="e">
        <f t="shared" si="153"/>
        <v>#DIV/0!</v>
      </c>
      <c r="I350" s="150">
        <f>IFERROR(VLOOKUP(A350,'Master Modelo'!A:I,3,FALSE),0)</f>
        <v>0</v>
      </c>
      <c r="J350" s="151">
        <f>IFERROR(VLOOKUP(A350,'Master Modelo'!A:I,5,FALSE),0)</f>
        <v>0</v>
      </c>
      <c r="K350" s="151">
        <f>IFERROR(VLOOKUP(A350,'Master Modelo'!A:I,6,FALSE),0)</f>
        <v>0</v>
      </c>
      <c r="L350" s="152" t="e">
        <f>VLOOKUP(A350,'Master Modelo'!A:J,10,FALSE)</f>
        <v>#N/A</v>
      </c>
      <c r="M350" s="150">
        <f>IFERROR(VLOOKUP(A350,'Master Modelo'!A:I,4,FALSE),0)</f>
        <v>0</v>
      </c>
      <c r="N350" s="128"/>
      <c r="O350" s="129"/>
      <c r="P350" s="9">
        <f t="shared" si="154"/>
        <v>0</v>
      </c>
      <c r="Q350" s="177">
        <f t="shared" si="152"/>
        <v>0</v>
      </c>
      <c r="R350" s="3">
        <f>D350*E350*'Entrada e Saida'!$K$8</f>
        <v>0</v>
      </c>
      <c r="S350" s="179" t="e">
        <f>'Entrada e Saida'!$H$21*'Entrada e Saida'!$K$8*(P350/(SUM(P:P)))</f>
        <v>#DIV/0!</v>
      </c>
      <c r="T350" s="179" t="e">
        <f>'Entrada e Saida'!$H$21*'Entrada e Saida'!$K$8*(Q350/(SUM(Q:Q)))</f>
        <v>#DIV/0!</v>
      </c>
      <c r="U350" s="179" t="e">
        <f>'Entrada e Saida'!$H$22*(P350/(SUM(P:P)))</f>
        <v>#DIV/0!</v>
      </c>
      <c r="V350" s="179" t="e">
        <f>'Entrada e Saida'!$H$22*(Q350/(SUM(Q:Q)))</f>
        <v>#DIV/0!</v>
      </c>
      <c r="W350" s="8" t="e">
        <f t="shared" si="155"/>
        <v>#DIV/0!</v>
      </c>
      <c r="X350" s="179" t="e">
        <f>'Entrada e Saida'!$H$26*(IF('Entrada e Saida'!$H$15="PESO",(P350/(SUM(P:P))),(Q350/(SUM(Q:Q)))))</f>
        <v>#DIV/0!</v>
      </c>
      <c r="Y350" s="179" t="e">
        <f>'Entrada e Saida'!$H$27*(IF('Entrada e Saida'!$H$15="PESO",(P350/(SUM(P:P))),(Q350/(SUM(Q:Q)))))</f>
        <v>#DIV/0!</v>
      </c>
      <c r="Z350" s="179" t="e">
        <f>'Entrada e Saida'!$H$28*(IF('Entrada e Saida'!$H$15="PESO",(P350/(SUM(P:P))),(Q350/(SUM(Q:Q)))))</f>
        <v>#DIV/0!</v>
      </c>
      <c r="AA350" s="10" t="e">
        <f t="shared" si="156"/>
        <v>#DIV/0!</v>
      </c>
      <c r="AB350" s="3" t="e">
        <f t="shared" si="157"/>
        <v>#DIV/0!</v>
      </c>
      <c r="AC350" s="3" t="e">
        <f t="shared" si="158"/>
        <v>#DIV/0!</v>
      </c>
      <c r="AD350" s="3" t="e">
        <f t="shared" si="159"/>
        <v>#DIV/0!</v>
      </c>
      <c r="AE350" s="9" t="e">
        <f t="shared" si="160"/>
        <v>#DIV/0!</v>
      </c>
      <c r="AF350" s="126">
        <f>IFERROR(D350*F350*L350*'Entrada e Saida'!$K$8,0)</f>
        <v>0</v>
      </c>
      <c r="AG350" s="3" t="e">
        <f>((W350+AA350+AB350+AC350+AD350+AE350+AF350)/(1-'Entrada e Saida'!$G$65))*'Entrada e Saida'!$I$66</f>
        <v>#DIV/0!</v>
      </c>
      <c r="AH350" s="8" t="e">
        <f t="shared" si="161"/>
        <v>#DIV/0!</v>
      </c>
      <c r="AI350" s="183" t="e">
        <f>'Entrada e Saida'!$K$51*(IF('Entrada e Saida'!$H$15="PESO",(P350/(SUM(P:P))),(Q350/(SUM(Q:Q)))))</f>
        <v>#DIV/0!</v>
      </c>
      <c r="AJ350" s="7">
        <f>(('Entrada e Saida'!$K$10-'Entrada e Saida'!$K$8)*E350*D350)</f>
        <v>0</v>
      </c>
      <c r="AK350" s="184" t="e">
        <f>IF('Entrada e Saida'!$H$15="PESO",W350+AA350+AH350+AI350+AJ350,W350+AA350+AH350+AI350+AJ350-S350+T350-U350+V350)</f>
        <v>#DIV/0!</v>
      </c>
      <c r="AL350" s="6" t="e">
        <f>IF('Entrada e Saida'!$H$12="REAL",AC350,0)</f>
        <v>#DIV/0!</v>
      </c>
      <c r="AM350" s="6" t="e">
        <f>IF('Entrada e Saida'!$H$12="REAL",AD350,0)</f>
        <v>#DIV/0!</v>
      </c>
      <c r="AN350" s="5" t="e">
        <f>IF('Entrada e Saida'!$H$13= "NÃO",AE350,0)</f>
        <v>#DIV/0!</v>
      </c>
      <c r="AO350" s="5" t="e">
        <f t="shared" si="162"/>
        <v>#DIV/0!</v>
      </c>
      <c r="AP350" s="4" t="e">
        <f t="shared" si="163"/>
        <v>#DIV/0!</v>
      </c>
      <c r="AQ350" s="3" t="e">
        <f>IF('Entrada e Saida'!$H$11="TRADING",AU350*'Custo Resumido'!D350,0)</f>
        <v>#DIV/0!</v>
      </c>
      <c r="AR350" s="3" t="e">
        <f>IF('Entrada e Saida'!$H$11="TRADING",AU350*'Entrada e Saida'!$G$63,0)</f>
        <v>#DIV/0!</v>
      </c>
      <c r="AS350" s="3" t="e">
        <f>IF('Entrada e Saida'!$H$11="TRADING",AU350*'Entrada e Saida'!$G$64,0)</f>
        <v>#DIV/0!</v>
      </c>
      <c r="AT350" s="3" t="e">
        <f>IF('Entrada e Saida'!$H$11="TRADING",AU350*'Entrada e Saida'!$G$65,0)</f>
        <v>#DIV/0!</v>
      </c>
      <c r="AU350" s="4" t="e">
        <f>IF('Entrada e Saida'!$H$11="TRADING",AP350/(1-(SUM('Entrada e Saida'!$G$63:$G$65)+'Custo Resumido'!D350)),0)</f>
        <v>#DIV/0!</v>
      </c>
      <c r="AV350" s="3" t="e">
        <f>IF('Entrada e Saida'!$H$13="NÃO",AU350*M350,0)</f>
        <v>#DIV/0!</v>
      </c>
      <c r="AW350" s="4" t="e">
        <f t="shared" si="164"/>
        <v>#DIV/0!</v>
      </c>
      <c r="AX350" s="3" t="e">
        <f>'Entrada e Saida'!$G$74*AU350</f>
        <v>#DIV/0!</v>
      </c>
      <c r="AY350" s="4" t="e">
        <f t="shared" si="165"/>
        <v>#DIV/0!</v>
      </c>
      <c r="AZ350" s="4" t="e">
        <f>AQ350+('Entrada e Saida'!$G$65-'Entrada e Saida'!$I$65)*AU350-AX350</f>
        <v>#DIV/0!</v>
      </c>
      <c r="BA350" s="3" t="e">
        <f>IF('Entrada e Saida'!$H$12="REAL",AZ350*'Entrada e Saida'!$G$81,AU350*'Entrada e Saida'!$G$81)</f>
        <v>#DIV/0!</v>
      </c>
      <c r="BB350" s="3" t="e">
        <f>IF('Entrada e Saida'!$H$12="REAL",AZ350*'Entrada e Saida'!$G$82,AU350*'Entrada e Saida'!$G$82)</f>
        <v>#DIV/0!</v>
      </c>
      <c r="BC350" s="4" t="e">
        <f t="shared" si="166"/>
        <v>#DIV/0!</v>
      </c>
      <c r="BD350" s="3" t="e">
        <f>IF('Entrada e Saida'!$H$11="TRADING",AW350/D350,AK350/D350)</f>
        <v>#DIV/0!</v>
      </c>
      <c r="BE350" s="3" t="e">
        <f t="shared" si="167"/>
        <v>#DIV/0!</v>
      </c>
      <c r="BF350" s="2" t="e">
        <f t="shared" si="168"/>
        <v>#DIV/0!</v>
      </c>
      <c r="BG350" s="3" t="e">
        <f>IF('Entrada e Saida'!$H$11="TRADING",AV350/D350,AN350/D350)</f>
        <v>#DIV/0!</v>
      </c>
      <c r="BH350" s="3" t="e">
        <f>IF('Entrada e Saida'!$H$11="TRADING",IF('Entrada e Saida'!$H$12="REAL",AR350/D350,0),AL350/D350)</f>
        <v>#DIV/0!</v>
      </c>
      <c r="BI350" s="3" t="e">
        <f>IF('Entrada e Saida'!$H$11="TRADING",IF('Entrada e Saida'!$H$12="REAL",AS350/D350,0),AM350/D350)</f>
        <v>#DIV/0!</v>
      </c>
      <c r="BJ350" s="3" t="e">
        <f>IF('Entrada e Saida'!$H$11="TRADING",AT350/D350,AO350/D350)</f>
        <v>#DIV/0!</v>
      </c>
      <c r="BK350" s="2" t="e">
        <f t="shared" si="169"/>
        <v>#DIV/0!</v>
      </c>
      <c r="BL350" s="2">
        <f>IF(O350&gt;0,IFERROR(IF('Entrada e Saida'!$H$11="DIRETA",0,(IF('Entrada e Saida'!$H$14="P.JURIDICA",(BD350*(1+O350)*N350)-((BD350/(1+M350))*'Entrada e Saida'!$G$65),((Produtos!N350-'Entrada e Saida'!$G$65)*Produtos!BD350)))),0),0)</f>
        <v>0</v>
      </c>
      <c r="BM350" s="2" t="e">
        <f t="shared" si="170"/>
        <v>#DIV/0!</v>
      </c>
    </row>
    <row r="351" spans="1:65" s="1" customFormat="1">
      <c r="A351" s="127"/>
      <c r="B351" s="114">
        <f>IFERROR(VLOOKUP(A351,'Master Modelo'!A:I,7,FALSE),0)</f>
        <v>0</v>
      </c>
      <c r="C351" s="116">
        <f>IFERROR(VLOOKUP(A351,'Master Modelo'!A:I,2,FALSE),0)</f>
        <v>0</v>
      </c>
      <c r="D351" s="146"/>
      <c r="E351" s="115">
        <f>IFERROR(VLOOKUP(A351,'Master Modelo'!A:I,9,FALSE),0)</f>
        <v>0</v>
      </c>
      <c r="F351" s="189">
        <f>IFERROR(VLOOKUP(A351,'Master Modelo'!A:I,8,FALSE),0)</f>
        <v>0</v>
      </c>
      <c r="G351" s="189">
        <f>IFERROR(VLOOKUP(A351,'Master Modelo'!A:K,11,FALSE),0)</f>
        <v>0</v>
      </c>
      <c r="H351" s="114" t="e">
        <f t="shared" si="153"/>
        <v>#DIV/0!</v>
      </c>
      <c r="I351" s="150">
        <f>IFERROR(VLOOKUP(A351,'Master Modelo'!A:I,3,FALSE),0)</f>
        <v>0</v>
      </c>
      <c r="J351" s="151">
        <f>IFERROR(VLOOKUP(A351,'Master Modelo'!A:I,5,FALSE),0)</f>
        <v>0</v>
      </c>
      <c r="K351" s="151">
        <f>IFERROR(VLOOKUP(A351,'Master Modelo'!A:I,6,FALSE),0)</f>
        <v>0</v>
      </c>
      <c r="L351" s="152" t="e">
        <f>VLOOKUP(A351,'Master Modelo'!A:J,10,FALSE)</f>
        <v>#N/A</v>
      </c>
      <c r="M351" s="150">
        <f>IFERROR(VLOOKUP(A351,'Master Modelo'!A:I,4,FALSE),0)</f>
        <v>0</v>
      </c>
      <c r="N351" s="128"/>
      <c r="O351" s="129"/>
      <c r="P351" s="9">
        <f t="shared" si="154"/>
        <v>0</v>
      </c>
      <c r="Q351" s="177">
        <f t="shared" si="152"/>
        <v>0</v>
      </c>
      <c r="R351" s="3">
        <f>D351*E351*'Entrada e Saida'!$K$8</f>
        <v>0</v>
      </c>
      <c r="S351" s="179" t="e">
        <f>'Entrada e Saida'!$H$21*'Entrada e Saida'!$K$8*(P351/(SUM(P:P)))</f>
        <v>#DIV/0!</v>
      </c>
      <c r="T351" s="179" t="e">
        <f>'Entrada e Saida'!$H$21*'Entrada e Saida'!$K$8*(Q351/(SUM(Q:Q)))</f>
        <v>#DIV/0!</v>
      </c>
      <c r="U351" s="179" t="e">
        <f>'Entrada e Saida'!$H$22*(P351/(SUM(P:P)))</f>
        <v>#DIV/0!</v>
      </c>
      <c r="V351" s="179" t="e">
        <f>'Entrada e Saida'!$H$22*(Q351/(SUM(Q:Q)))</f>
        <v>#DIV/0!</v>
      </c>
      <c r="W351" s="8" t="e">
        <f t="shared" si="155"/>
        <v>#DIV/0!</v>
      </c>
      <c r="X351" s="179" t="e">
        <f>'Entrada e Saida'!$H$26*(IF('Entrada e Saida'!$H$15="PESO",(P351/(SUM(P:P))),(Q351/(SUM(Q:Q)))))</f>
        <v>#DIV/0!</v>
      </c>
      <c r="Y351" s="179" t="e">
        <f>'Entrada e Saida'!$H$27*(IF('Entrada e Saida'!$H$15="PESO",(P351/(SUM(P:P))),(Q351/(SUM(Q:Q)))))</f>
        <v>#DIV/0!</v>
      </c>
      <c r="Z351" s="179" t="e">
        <f>'Entrada e Saida'!$H$28*(IF('Entrada e Saida'!$H$15="PESO",(P351/(SUM(P:P))),(Q351/(SUM(Q:Q)))))</f>
        <v>#DIV/0!</v>
      </c>
      <c r="AA351" s="10" t="e">
        <f t="shared" si="156"/>
        <v>#DIV/0!</v>
      </c>
      <c r="AB351" s="3" t="e">
        <f t="shared" si="157"/>
        <v>#DIV/0!</v>
      </c>
      <c r="AC351" s="3" t="e">
        <f t="shared" si="158"/>
        <v>#DIV/0!</v>
      </c>
      <c r="AD351" s="3" t="e">
        <f t="shared" si="159"/>
        <v>#DIV/0!</v>
      </c>
      <c r="AE351" s="9" t="e">
        <f t="shared" si="160"/>
        <v>#DIV/0!</v>
      </c>
      <c r="AF351" s="126">
        <f>IFERROR(D351*F351*L351*'Entrada e Saida'!$K$8,0)</f>
        <v>0</v>
      </c>
      <c r="AG351" s="3" t="e">
        <f>((W351+AA351+AB351+AC351+AD351+AE351+AF351)/(1-'Entrada e Saida'!$G$65))*'Entrada e Saida'!$I$66</f>
        <v>#DIV/0!</v>
      </c>
      <c r="AH351" s="8" t="e">
        <f t="shared" si="161"/>
        <v>#DIV/0!</v>
      </c>
      <c r="AI351" s="183" t="e">
        <f>'Entrada e Saida'!$K$51*(IF('Entrada e Saida'!$H$15="PESO",(P351/(SUM(P:P))),(Q351/(SUM(Q:Q)))))</f>
        <v>#DIV/0!</v>
      </c>
      <c r="AJ351" s="7">
        <f>(('Entrada e Saida'!$K$10-'Entrada e Saida'!$K$8)*E351*D351)</f>
        <v>0</v>
      </c>
      <c r="AK351" s="184" t="e">
        <f>IF('Entrada e Saida'!$H$15="PESO",W351+AA351+AH351+AI351+AJ351,W351+AA351+AH351+AI351+AJ351-S351+T351-U351+V351)</f>
        <v>#DIV/0!</v>
      </c>
      <c r="AL351" s="6" t="e">
        <f>IF('Entrada e Saida'!$H$12="REAL",AC351,0)</f>
        <v>#DIV/0!</v>
      </c>
      <c r="AM351" s="6" t="e">
        <f>IF('Entrada e Saida'!$H$12="REAL",AD351,0)</f>
        <v>#DIV/0!</v>
      </c>
      <c r="AN351" s="5" t="e">
        <f>IF('Entrada e Saida'!$H$13= "NÃO",AE351,0)</f>
        <v>#DIV/0!</v>
      </c>
      <c r="AO351" s="5" t="e">
        <f t="shared" si="162"/>
        <v>#DIV/0!</v>
      </c>
      <c r="AP351" s="4" t="e">
        <f t="shared" si="163"/>
        <v>#DIV/0!</v>
      </c>
      <c r="AQ351" s="3" t="e">
        <f>IF('Entrada e Saida'!$H$11="TRADING",AU351*'Custo Resumido'!D351,0)</f>
        <v>#DIV/0!</v>
      </c>
      <c r="AR351" s="3" t="e">
        <f>IF('Entrada e Saida'!$H$11="TRADING",AU351*'Entrada e Saida'!$G$63,0)</f>
        <v>#DIV/0!</v>
      </c>
      <c r="AS351" s="3" t="e">
        <f>IF('Entrada e Saida'!$H$11="TRADING",AU351*'Entrada e Saida'!$G$64,0)</f>
        <v>#DIV/0!</v>
      </c>
      <c r="AT351" s="3" t="e">
        <f>IF('Entrada e Saida'!$H$11="TRADING",AU351*'Entrada e Saida'!$G$65,0)</f>
        <v>#DIV/0!</v>
      </c>
      <c r="AU351" s="4" t="e">
        <f>IF('Entrada e Saida'!$H$11="TRADING",AP351/(1-(SUM('Entrada e Saida'!$G$63:$G$65)+'Custo Resumido'!D351)),0)</f>
        <v>#DIV/0!</v>
      </c>
      <c r="AV351" s="3" t="e">
        <f>IF('Entrada e Saida'!$H$13="NÃO",AU351*M351,0)</f>
        <v>#DIV/0!</v>
      </c>
      <c r="AW351" s="4" t="e">
        <f t="shared" si="164"/>
        <v>#DIV/0!</v>
      </c>
      <c r="AX351" s="3" t="e">
        <f>'Entrada e Saida'!$G$74*AU351</f>
        <v>#DIV/0!</v>
      </c>
      <c r="AY351" s="4" t="e">
        <f t="shared" si="165"/>
        <v>#DIV/0!</v>
      </c>
      <c r="AZ351" s="4" t="e">
        <f>AQ351+('Entrada e Saida'!$G$65-'Entrada e Saida'!$I$65)*AU351-AX351</f>
        <v>#DIV/0!</v>
      </c>
      <c r="BA351" s="3" t="e">
        <f>IF('Entrada e Saida'!$H$12="REAL",AZ351*'Entrada e Saida'!$G$81,AU351*'Entrada e Saida'!$G$81)</f>
        <v>#DIV/0!</v>
      </c>
      <c r="BB351" s="3" t="e">
        <f>IF('Entrada e Saida'!$H$12="REAL",AZ351*'Entrada e Saida'!$G$82,AU351*'Entrada e Saida'!$G$82)</f>
        <v>#DIV/0!</v>
      </c>
      <c r="BC351" s="4" t="e">
        <f t="shared" si="166"/>
        <v>#DIV/0!</v>
      </c>
      <c r="BD351" s="3" t="e">
        <f>IF('Entrada e Saida'!$H$11="TRADING",AW351/D351,AK351/D351)</f>
        <v>#DIV/0!</v>
      </c>
      <c r="BE351" s="3" t="e">
        <f t="shared" si="167"/>
        <v>#DIV/0!</v>
      </c>
      <c r="BF351" s="2" t="e">
        <f t="shared" si="168"/>
        <v>#DIV/0!</v>
      </c>
      <c r="BG351" s="3" t="e">
        <f>IF('Entrada e Saida'!$H$11="TRADING",AV351/D351,AN351/D351)</f>
        <v>#DIV/0!</v>
      </c>
      <c r="BH351" s="3" t="e">
        <f>IF('Entrada e Saida'!$H$11="TRADING",IF('Entrada e Saida'!$H$12="REAL",AR351/D351,0),AL351/D351)</f>
        <v>#DIV/0!</v>
      </c>
      <c r="BI351" s="3" t="e">
        <f>IF('Entrada e Saida'!$H$11="TRADING",IF('Entrada e Saida'!$H$12="REAL",AS351/D351,0),AM351/D351)</f>
        <v>#DIV/0!</v>
      </c>
      <c r="BJ351" s="3" t="e">
        <f>IF('Entrada e Saida'!$H$11="TRADING",AT351/D351,AO351/D351)</f>
        <v>#DIV/0!</v>
      </c>
      <c r="BK351" s="2" t="e">
        <f t="shared" si="169"/>
        <v>#DIV/0!</v>
      </c>
      <c r="BL351" s="2">
        <f>IF(O351&gt;0,IFERROR(IF('Entrada e Saida'!$H$11="DIRETA",0,(IF('Entrada e Saida'!$H$14="P.JURIDICA",(BD351*(1+O351)*N351)-((BD351/(1+M351))*'Entrada e Saida'!$G$65),((Produtos!N351-'Entrada e Saida'!$G$65)*Produtos!BD351)))),0),0)</f>
        <v>0</v>
      </c>
      <c r="BM351" s="2" t="e">
        <f t="shared" si="170"/>
        <v>#DIV/0!</v>
      </c>
    </row>
    <row r="352" spans="1:65" s="1" customFormat="1">
      <c r="A352" s="127"/>
      <c r="B352" s="114">
        <f>IFERROR(VLOOKUP(A352,'Master Modelo'!A:I,7,FALSE),0)</f>
        <v>0</v>
      </c>
      <c r="C352" s="116">
        <f>IFERROR(VLOOKUP(A352,'Master Modelo'!A:I,2,FALSE),0)</f>
        <v>0</v>
      </c>
      <c r="D352" s="146"/>
      <c r="E352" s="115">
        <f>IFERROR(VLOOKUP(A352,'Master Modelo'!A:I,9,FALSE),0)</f>
        <v>0</v>
      </c>
      <c r="F352" s="189">
        <f>IFERROR(VLOOKUP(A352,'Master Modelo'!A:I,8,FALSE),0)</f>
        <v>0</v>
      </c>
      <c r="G352" s="189">
        <f>IFERROR(VLOOKUP(A352,'Master Modelo'!A:K,11,FALSE),0)</f>
        <v>0</v>
      </c>
      <c r="H352" s="114" t="e">
        <f t="shared" si="153"/>
        <v>#DIV/0!</v>
      </c>
      <c r="I352" s="150">
        <f>IFERROR(VLOOKUP(A352,'Master Modelo'!A:I,3,FALSE),0)</f>
        <v>0</v>
      </c>
      <c r="J352" s="151">
        <f>IFERROR(VLOOKUP(A352,'Master Modelo'!A:I,5,FALSE),0)</f>
        <v>0</v>
      </c>
      <c r="K352" s="151">
        <f>IFERROR(VLOOKUP(A352,'Master Modelo'!A:I,6,FALSE),0)</f>
        <v>0</v>
      </c>
      <c r="L352" s="152" t="e">
        <f>VLOOKUP(A352,'Master Modelo'!A:J,10,FALSE)</f>
        <v>#N/A</v>
      </c>
      <c r="M352" s="150">
        <f>IFERROR(VLOOKUP(A352,'Master Modelo'!A:I,4,FALSE),0)</f>
        <v>0</v>
      </c>
      <c r="N352" s="128"/>
      <c r="O352" s="129"/>
      <c r="P352" s="9">
        <f t="shared" si="154"/>
        <v>0</v>
      </c>
      <c r="Q352" s="177">
        <f t="shared" si="152"/>
        <v>0</v>
      </c>
      <c r="R352" s="3">
        <f>D352*E352*'Entrada e Saida'!$K$8</f>
        <v>0</v>
      </c>
      <c r="S352" s="179" t="e">
        <f>'Entrada e Saida'!$H$21*'Entrada e Saida'!$K$8*(P352/(SUM(P:P)))</f>
        <v>#DIV/0!</v>
      </c>
      <c r="T352" s="179" t="e">
        <f>'Entrada e Saida'!$H$21*'Entrada e Saida'!$K$8*(Q352/(SUM(Q:Q)))</f>
        <v>#DIV/0!</v>
      </c>
      <c r="U352" s="179" t="e">
        <f>'Entrada e Saida'!$H$22*(P352/(SUM(P:P)))</f>
        <v>#DIV/0!</v>
      </c>
      <c r="V352" s="179" t="e">
        <f>'Entrada e Saida'!$H$22*(Q352/(SUM(Q:Q)))</f>
        <v>#DIV/0!</v>
      </c>
      <c r="W352" s="8" t="e">
        <f t="shared" si="155"/>
        <v>#DIV/0!</v>
      </c>
      <c r="X352" s="179" t="e">
        <f>'Entrada e Saida'!$H$26*(IF('Entrada e Saida'!$H$15="PESO",(P352/(SUM(P:P))),(Q352/(SUM(Q:Q)))))</f>
        <v>#DIV/0!</v>
      </c>
      <c r="Y352" s="179" t="e">
        <f>'Entrada e Saida'!$H$27*(IF('Entrada e Saida'!$H$15="PESO",(P352/(SUM(P:P))),(Q352/(SUM(Q:Q)))))</f>
        <v>#DIV/0!</v>
      </c>
      <c r="Z352" s="179" t="e">
        <f>'Entrada e Saida'!$H$28*(IF('Entrada e Saida'!$H$15="PESO",(P352/(SUM(P:P))),(Q352/(SUM(Q:Q)))))</f>
        <v>#DIV/0!</v>
      </c>
      <c r="AA352" s="10" t="e">
        <f t="shared" si="156"/>
        <v>#DIV/0!</v>
      </c>
      <c r="AB352" s="3" t="e">
        <f t="shared" si="157"/>
        <v>#DIV/0!</v>
      </c>
      <c r="AC352" s="3" t="e">
        <f t="shared" si="158"/>
        <v>#DIV/0!</v>
      </c>
      <c r="AD352" s="3" t="e">
        <f t="shared" si="159"/>
        <v>#DIV/0!</v>
      </c>
      <c r="AE352" s="9" t="e">
        <f t="shared" si="160"/>
        <v>#DIV/0!</v>
      </c>
      <c r="AF352" s="126">
        <f>IFERROR(D352*F352*L352*'Entrada e Saida'!$K$8,0)</f>
        <v>0</v>
      </c>
      <c r="AG352" s="3" t="e">
        <f>((W352+AA352+AB352+AC352+AD352+AE352+AF352)/(1-'Entrada e Saida'!$G$65))*'Entrada e Saida'!$I$66</f>
        <v>#DIV/0!</v>
      </c>
      <c r="AH352" s="8" t="e">
        <f t="shared" si="161"/>
        <v>#DIV/0!</v>
      </c>
      <c r="AI352" s="183" t="e">
        <f>'Entrada e Saida'!$K$51*(IF('Entrada e Saida'!$H$15="PESO",(P352/(SUM(P:P))),(Q352/(SUM(Q:Q)))))</f>
        <v>#DIV/0!</v>
      </c>
      <c r="AJ352" s="7">
        <f>(('Entrada e Saida'!$K$10-'Entrada e Saida'!$K$8)*E352*D352)</f>
        <v>0</v>
      </c>
      <c r="AK352" s="184" t="e">
        <f>IF('Entrada e Saida'!$H$15="PESO",W352+AA352+AH352+AI352+AJ352,W352+AA352+AH352+AI352+AJ352-S352+T352-U352+V352)</f>
        <v>#DIV/0!</v>
      </c>
      <c r="AL352" s="6" t="e">
        <f>IF('Entrada e Saida'!$H$12="REAL",AC352,0)</f>
        <v>#DIV/0!</v>
      </c>
      <c r="AM352" s="6" t="e">
        <f>IF('Entrada e Saida'!$H$12="REAL",AD352,0)</f>
        <v>#DIV/0!</v>
      </c>
      <c r="AN352" s="5" t="e">
        <f>IF('Entrada e Saida'!$H$13= "NÃO",AE352,0)</f>
        <v>#DIV/0!</v>
      </c>
      <c r="AO352" s="5" t="e">
        <f t="shared" si="162"/>
        <v>#DIV/0!</v>
      </c>
      <c r="AP352" s="4" t="e">
        <f t="shared" si="163"/>
        <v>#DIV/0!</v>
      </c>
      <c r="AQ352" s="3" t="e">
        <f>IF('Entrada e Saida'!$H$11="TRADING",AU352*'Custo Resumido'!D352,0)</f>
        <v>#DIV/0!</v>
      </c>
      <c r="AR352" s="3" t="e">
        <f>IF('Entrada e Saida'!$H$11="TRADING",AU352*'Entrada e Saida'!$G$63,0)</f>
        <v>#DIV/0!</v>
      </c>
      <c r="AS352" s="3" t="e">
        <f>IF('Entrada e Saida'!$H$11="TRADING",AU352*'Entrada e Saida'!$G$64,0)</f>
        <v>#DIV/0!</v>
      </c>
      <c r="AT352" s="3" t="e">
        <f>IF('Entrada e Saida'!$H$11="TRADING",AU352*'Entrada e Saida'!$G$65,0)</f>
        <v>#DIV/0!</v>
      </c>
      <c r="AU352" s="4" t="e">
        <f>IF('Entrada e Saida'!$H$11="TRADING",AP352/(1-(SUM('Entrada e Saida'!$G$63:$G$65)+'Custo Resumido'!D352)),0)</f>
        <v>#DIV/0!</v>
      </c>
      <c r="AV352" s="3" t="e">
        <f>IF('Entrada e Saida'!$H$13="NÃO",AU352*M352,0)</f>
        <v>#DIV/0!</v>
      </c>
      <c r="AW352" s="4" t="e">
        <f t="shared" si="164"/>
        <v>#DIV/0!</v>
      </c>
      <c r="AX352" s="3" t="e">
        <f>'Entrada e Saida'!$G$74*AU352</f>
        <v>#DIV/0!</v>
      </c>
      <c r="AY352" s="4" t="e">
        <f t="shared" si="165"/>
        <v>#DIV/0!</v>
      </c>
      <c r="AZ352" s="4" t="e">
        <f>AQ352+('Entrada e Saida'!$G$65-'Entrada e Saida'!$I$65)*AU352-AX352</f>
        <v>#DIV/0!</v>
      </c>
      <c r="BA352" s="3" t="e">
        <f>IF('Entrada e Saida'!$H$12="REAL",AZ352*'Entrada e Saida'!$G$81,AU352*'Entrada e Saida'!$G$81)</f>
        <v>#DIV/0!</v>
      </c>
      <c r="BB352" s="3" t="e">
        <f>IF('Entrada e Saida'!$H$12="REAL",AZ352*'Entrada e Saida'!$G$82,AU352*'Entrada e Saida'!$G$82)</f>
        <v>#DIV/0!</v>
      </c>
      <c r="BC352" s="4" t="e">
        <f t="shared" si="166"/>
        <v>#DIV/0!</v>
      </c>
      <c r="BD352" s="3" t="e">
        <f>IF('Entrada e Saida'!$H$11="TRADING",AW352/D352,AK352/D352)</f>
        <v>#DIV/0!</v>
      </c>
      <c r="BE352" s="3" t="e">
        <f t="shared" si="167"/>
        <v>#DIV/0!</v>
      </c>
      <c r="BF352" s="2" t="e">
        <f t="shared" si="168"/>
        <v>#DIV/0!</v>
      </c>
      <c r="BG352" s="3" t="e">
        <f>IF('Entrada e Saida'!$H$11="TRADING",AV352/D352,AN352/D352)</f>
        <v>#DIV/0!</v>
      </c>
      <c r="BH352" s="3" t="e">
        <f>IF('Entrada e Saida'!$H$11="TRADING",IF('Entrada e Saida'!$H$12="REAL",AR352/D352,0),AL352/D352)</f>
        <v>#DIV/0!</v>
      </c>
      <c r="BI352" s="3" t="e">
        <f>IF('Entrada e Saida'!$H$11="TRADING",IF('Entrada e Saida'!$H$12="REAL",AS352/D352,0),AM352/D352)</f>
        <v>#DIV/0!</v>
      </c>
      <c r="BJ352" s="3" t="e">
        <f>IF('Entrada e Saida'!$H$11="TRADING",AT352/D352,AO352/D352)</f>
        <v>#DIV/0!</v>
      </c>
      <c r="BK352" s="2" t="e">
        <f t="shared" si="169"/>
        <v>#DIV/0!</v>
      </c>
      <c r="BL352" s="2">
        <f>IF(O352&gt;0,IFERROR(IF('Entrada e Saida'!$H$11="DIRETA",0,(IF('Entrada e Saida'!$H$14="P.JURIDICA",(BD352*(1+O352)*N352)-((BD352/(1+M352))*'Entrada e Saida'!$G$65),((Produtos!N352-'Entrada e Saida'!$G$65)*Produtos!BD352)))),0),0)</f>
        <v>0</v>
      </c>
      <c r="BM352" s="2" t="e">
        <f t="shared" si="170"/>
        <v>#DIV/0!</v>
      </c>
    </row>
    <row r="353" spans="1:65" s="1" customFormat="1">
      <c r="A353" s="127"/>
      <c r="B353" s="114">
        <f>IFERROR(VLOOKUP(A353,'Master Modelo'!A:I,7,FALSE),0)</f>
        <v>0</v>
      </c>
      <c r="C353" s="116">
        <f>IFERROR(VLOOKUP(A353,'Master Modelo'!A:I,2,FALSE),0)</f>
        <v>0</v>
      </c>
      <c r="D353" s="146"/>
      <c r="E353" s="115">
        <f>IFERROR(VLOOKUP(A353,'Master Modelo'!A:I,9,FALSE),0)</f>
        <v>0</v>
      </c>
      <c r="F353" s="189">
        <f>IFERROR(VLOOKUP(A353,'Master Modelo'!A:I,8,FALSE),0)</f>
        <v>0</v>
      </c>
      <c r="G353" s="189">
        <f>IFERROR(VLOOKUP(A353,'Master Modelo'!A:K,11,FALSE),0)</f>
        <v>0</v>
      </c>
      <c r="H353" s="114" t="e">
        <f t="shared" si="153"/>
        <v>#DIV/0!</v>
      </c>
      <c r="I353" s="150">
        <f>IFERROR(VLOOKUP(A353,'Master Modelo'!A:I,3,FALSE),0)</f>
        <v>0</v>
      </c>
      <c r="J353" s="151">
        <f>IFERROR(VLOOKUP(A353,'Master Modelo'!A:I,5,FALSE),0)</f>
        <v>0</v>
      </c>
      <c r="K353" s="151">
        <f>IFERROR(VLOOKUP(A353,'Master Modelo'!A:I,6,FALSE),0)</f>
        <v>0</v>
      </c>
      <c r="L353" s="152" t="e">
        <f>VLOOKUP(A353,'Master Modelo'!A:J,10,FALSE)</f>
        <v>#N/A</v>
      </c>
      <c r="M353" s="150">
        <f>IFERROR(VLOOKUP(A353,'Master Modelo'!A:I,4,FALSE),0)</f>
        <v>0</v>
      </c>
      <c r="N353" s="128"/>
      <c r="O353" s="129"/>
      <c r="P353" s="9">
        <f t="shared" si="154"/>
        <v>0</v>
      </c>
      <c r="Q353" s="177">
        <f t="shared" si="152"/>
        <v>0</v>
      </c>
      <c r="R353" s="3">
        <f>D353*E353*'Entrada e Saida'!$K$8</f>
        <v>0</v>
      </c>
      <c r="S353" s="179" t="e">
        <f>'Entrada e Saida'!$H$21*'Entrada e Saida'!$K$8*(P353/(SUM(P:P)))</f>
        <v>#DIV/0!</v>
      </c>
      <c r="T353" s="179" t="e">
        <f>'Entrada e Saida'!$H$21*'Entrada e Saida'!$K$8*(Q353/(SUM(Q:Q)))</f>
        <v>#DIV/0!</v>
      </c>
      <c r="U353" s="179" t="e">
        <f>'Entrada e Saida'!$H$22*(P353/(SUM(P:P)))</f>
        <v>#DIV/0!</v>
      </c>
      <c r="V353" s="179" t="e">
        <f>'Entrada e Saida'!$H$22*(Q353/(SUM(Q:Q)))</f>
        <v>#DIV/0!</v>
      </c>
      <c r="W353" s="8" t="e">
        <f t="shared" si="155"/>
        <v>#DIV/0!</v>
      </c>
      <c r="X353" s="179" t="e">
        <f>'Entrada e Saida'!$H$26*(IF('Entrada e Saida'!$H$15="PESO",(P353/(SUM(P:P))),(Q353/(SUM(Q:Q)))))</f>
        <v>#DIV/0!</v>
      </c>
      <c r="Y353" s="179" t="e">
        <f>'Entrada e Saida'!$H$27*(IF('Entrada e Saida'!$H$15="PESO",(P353/(SUM(P:P))),(Q353/(SUM(Q:Q)))))</f>
        <v>#DIV/0!</v>
      </c>
      <c r="Z353" s="179" t="e">
        <f>'Entrada e Saida'!$H$28*(IF('Entrada e Saida'!$H$15="PESO",(P353/(SUM(P:P))),(Q353/(SUM(Q:Q)))))</f>
        <v>#DIV/0!</v>
      </c>
      <c r="AA353" s="10" t="e">
        <f t="shared" si="156"/>
        <v>#DIV/0!</v>
      </c>
      <c r="AB353" s="3" t="e">
        <f t="shared" si="157"/>
        <v>#DIV/0!</v>
      </c>
      <c r="AC353" s="3" t="e">
        <f t="shared" si="158"/>
        <v>#DIV/0!</v>
      </c>
      <c r="AD353" s="3" t="e">
        <f t="shared" si="159"/>
        <v>#DIV/0!</v>
      </c>
      <c r="AE353" s="9" t="e">
        <f t="shared" si="160"/>
        <v>#DIV/0!</v>
      </c>
      <c r="AF353" s="126">
        <f>IFERROR(D353*F353*L353*'Entrada e Saida'!$K$8,0)</f>
        <v>0</v>
      </c>
      <c r="AG353" s="3" t="e">
        <f>((W353+AA353+AB353+AC353+AD353+AE353+AF353)/(1-'Entrada e Saida'!$G$65))*'Entrada e Saida'!$I$66</f>
        <v>#DIV/0!</v>
      </c>
      <c r="AH353" s="8" t="e">
        <f t="shared" si="161"/>
        <v>#DIV/0!</v>
      </c>
      <c r="AI353" s="183" t="e">
        <f>'Entrada e Saida'!$K$51*(IF('Entrada e Saida'!$H$15="PESO",(P353/(SUM(P:P))),(Q353/(SUM(Q:Q)))))</f>
        <v>#DIV/0!</v>
      </c>
      <c r="AJ353" s="7">
        <f>(('Entrada e Saida'!$K$10-'Entrada e Saida'!$K$8)*E353*D353)</f>
        <v>0</v>
      </c>
      <c r="AK353" s="184" t="e">
        <f>IF('Entrada e Saida'!$H$15="PESO",W353+AA353+AH353+AI353+AJ353,W353+AA353+AH353+AI353+AJ353-S353+T353-U353+V353)</f>
        <v>#DIV/0!</v>
      </c>
      <c r="AL353" s="6" t="e">
        <f>IF('Entrada e Saida'!$H$12="REAL",AC353,0)</f>
        <v>#DIV/0!</v>
      </c>
      <c r="AM353" s="6" t="e">
        <f>IF('Entrada e Saida'!$H$12="REAL",AD353,0)</f>
        <v>#DIV/0!</v>
      </c>
      <c r="AN353" s="5" t="e">
        <f>IF('Entrada e Saida'!$H$13= "NÃO",AE353,0)</f>
        <v>#DIV/0!</v>
      </c>
      <c r="AO353" s="5" t="e">
        <f t="shared" si="162"/>
        <v>#DIV/0!</v>
      </c>
      <c r="AP353" s="4" t="e">
        <f t="shared" si="163"/>
        <v>#DIV/0!</v>
      </c>
      <c r="AQ353" s="3" t="e">
        <f>IF('Entrada e Saida'!$H$11="TRADING",AU353*'Custo Resumido'!D353,0)</f>
        <v>#DIV/0!</v>
      </c>
      <c r="AR353" s="3" t="e">
        <f>IF('Entrada e Saida'!$H$11="TRADING",AU353*'Entrada e Saida'!$G$63,0)</f>
        <v>#DIV/0!</v>
      </c>
      <c r="AS353" s="3" t="e">
        <f>IF('Entrada e Saida'!$H$11="TRADING",AU353*'Entrada e Saida'!$G$64,0)</f>
        <v>#DIV/0!</v>
      </c>
      <c r="AT353" s="3" t="e">
        <f>IF('Entrada e Saida'!$H$11="TRADING",AU353*'Entrada e Saida'!$G$65,0)</f>
        <v>#DIV/0!</v>
      </c>
      <c r="AU353" s="4" t="e">
        <f>IF('Entrada e Saida'!$H$11="TRADING",AP353/(1-(SUM('Entrada e Saida'!$G$63:$G$65)+'Custo Resumido'!D353)),0)</f>
        <v>#DIV/0!</v>
      </c>
      <c r="AV353" s="3" t="e">
        <f>IF('Entrada e Saida'!$H$13="NÃO",AU353*M353,0)</f>
        <v>#DIV/0!</v>
      </c>
      <c r="AW353" s="4" t="e">
        <f t="shared" si="164"/>
        <v>#DIV/0!</v>
      </c>
      <c r="AX353" s="3" t="e">
        <f>'Entrada e Saida'!$G$74*AU353</f>
        <v>#DIV/0!</v>
      </c>
      <c r="AY353" s="4" t="e">
        <f t="shared" si="165"/>
        <v>#DIV/0!</v>
      </c>
      <c r="AZ353" s="4" t="e">
        <f>AQ353+('Entrada e Saida'!$G$65-'Entrada e Saida'!$I$65)*AU353-AX353</f>
        <v>#DIV/0!</v>
      </c>
      <c r="BA353" s="3" t="e">
        <f>IF('Entrada e Saida'!$H$12="REAL",AZ353*'Entrada e Saida'!$G$81,AU353*'Entrada e Saida'!$G$81)</f>
        <v>#DIV/0!</v>
      </c>
      <c r="BB353" s="3" t="e">
        <f>IF('Entrada e Saida'!$H$12="REAL",AZ353*'Entrada e Saida'!$G$82,AU353*'Entrada e Saida'!$G$82)</f>
        <v>#DIV/0!</v>
      </c>
      <c r="BC353" s="4" t="e">
        <f t="shared" si="166"/>
        <v>#DIV/0!</v>
      </c>
      <c r="BD353" s="3" t="e">
        <f>IF('Entrada e Saida'!$H$11="TRADING",AW353/D353,AK353/D353)</f>
        <v>#DIV/0!</v>
      </c>
      <c r="BE353" s="3" t="e">
        <f t="shared" si="167"/>
        <v>#DIV/0!</v>
      </c>
      <c r="BF353" s="2" t="e">
        <f t="shared" si="168"/>
        <v>#DIV/0!</v>
      </c>
      <c r="BG353" s="3" t="e">
        <f>IF('Entrada e Saida'!$H$11="TRADING",AV353/D353,AN353/D353)</f>
        <v>#DIV/0!</v>
      </c>
      <c r="BH353" s="3" t="e">
        <f>IF('Entrada e Saida'!$H$11="TRADING",IF('Entrada e Saida'!$H$12="REAL",AR353/D353,0),AL353/D353)</f>
        <v>#DIV/0!</v>
      </c>
      <c r="BI353" s="3" t="e">
        <f>IF('Entrada e Saida'!$H$11="TRADING",IF('Entrada e Saida'!$H$12="REAL",AS353/D353,0),AM353/D353)</f>
        <v>#DIV/0!</v>
      </c>
      <c r="BJ353" s="3" t="e">
        <f>IF('Entrada e Saida'!$H$11="TRADING",AT353/D353,AO353/D353)</f>
        <v>#DIV/0!</v>
      </c>
      <c r="BK353" s="2" t="e">
        <f t="shared" si="169"/>
        <v>#DIV/0!</v>
      </c>
      <c r="BL353" s="2">
        <f>IF(O353&gt;0,IFERROR(IF('Entrada e Saida'!$H$11="DIRETA",0,(IF('Entrada e Saida'!$H$14="P.JURIDICA",(BD353*(1+O353)*N353)-((BD353/(1+M353))*'Entrada e Saida'!$G$65),((Produtos!N353-'Entrada e Saida'!$G$65)*Produtos!BD353)))),0),0)</f>
        <v>0</v>
      </c>
      <c r="BM353" s="2" t="e">
        <f t="shared" si="170"/>
        <v>#DIV/0!</v>
      </c>
    </row>
    <row r="354" spans="1:65" s="1" customFormat="1">
      <c r="A354" s="127"/>
      <c r="B354" s="114">
        <f>IFERROR(VLOOKUP(A354,'Master Modelo'!A:I,7,FALSE),0)</f>
        <v>0</v>
      </c>
      <c r="C354" s="116">
        <f>IFERROR(VLOOKUP(A354,'Master Modelo'!A:I,2,FALSE),0)</f>
        <v>0</v>
      </c>
      <c r="D354" s="146"/>
      <c r="E354" s="115">
        <f>IFERROR(VLOOKUP(A354,'Master Modelo'!A:I,9,FALSE),0)</f>
        <v>0</v>
      </c>
      <c r="F354" s="189">
        <f>IFERROR(VLOOKUP(A354,'Master Modelo'!A:I,8,FALSE),0)</f>
        <v>0</v>
      </c>
      <c r="G354" s="189">
        <f>IFERROR(VLOOKUP(A354,'Master Modelo'!A:K,11,FALSE),0)</f>
        <v>0</v>
      </c>
      <c r="H354" s="114" t="e">
        <f t="shared" si="153"/>
        <v>#DIV/0!</v>
      </c>
      <c r="I354" s="150">
        <f>IFERROR(VLOOKUP(A354,'Master Modelo'!A:I,3,FALSE),0)</f>
        <v>0</v>
      </c>
      <c r="J354" s="151">
        <f>IFERROR(VLOOKUP(A354,'Master Modelo'!A:I,5,FALSE),0)</f>
        <v>0</v>
      </c>
      <c r="K354" s="151">
        <f>IFERROR(VLOOKUP(A354,'Master Modelo'!A:I,6,FALSE),0)</f>
        <v>0</v>
      </c>
      <c r="L354" s="152" t="e">
        <f>VLOOKUP(A354,'Master Modelo'!A:J,10,FALSE)</f>
        <v>#N/A</v>
      </c>
      <c r="M354" s="150">
        <f>IFERROR(VLOOKUP(A354,'Master Modelo'!A:I,4,FALSE),0)</f>
        <v>0</v>
      </c>
      <c r="N354" s="128"/>
      <c r="O354" s="129"/>
      <c r="P354" s="9">
        <f t="shared" si="154"/>
        <v>0</v>
      </c>
      <c r="Q354" s="177">
        <f t="shared" si="152"/>
        <v>0</v>
      </c>
      <c r="R354" s="3">
        <f>D354*E354*'Entrada e Saida'!$K$8</f>
        <v>0</v>
      </c>
      <c r="S354" s="179" t="e">
        <f>'Entrada e Saida'!$H$21*'Entrada e Saida'!$K$8*(P354/(SUM(P:P)))</f>
        <v>#DIV/0!</v>
      </c>
      <c r="T354" s="179" t="e">
        <f>'Entrada e Saida'!$H$21*'Entrada e Saida'!$K$8*(Q354/(SUM(Q:Q)))</f>
        <v>#DIV/0!</v>
      </c>
      <c r="U354" s="179" t="e">
        <f>'Entrada e Saida'!$H$22*(P354/(SUM(P:P)))</f>
        <v>#DIV/0!</v>
      </c>
      <c r="V354" s="179" t="e">
        <f>'Entrada e Saida'!$H$22*(Q354/(SUM(Q:Q)))</f>
        <v>#DIV/0!</v>
      </c>
      <c r="W354" s="8" t="e">
        <f t="shared" si="155"/>
        <v>#DIV/0!</v>
      </c>
      <c r="X354" s="179" t="e">
        <f>'Entrada e Saida'!$H$26*(IF('Entrada e Saida'!$H$15="PESO",(P354/(SUM(P:P))),(Q354/(SUM(Q:Q)))))</f>
        <v>#DIV/0!</v>
      </c>
      <c r="Y354" s="179" t="e">
        <f>'Entrada e Saida'!$H$27*(IF('Entrada e Saida'!$H$15="PESO",(P354/(SUM(P:P))),(Q354/(SUM(Q:Q)))))</f>
        <v>#DIV/0!</v>
      </c>
      <c r="Z354" s="179" t="e">
        <f>'Entrada e Saida'!$H$28*(IF('Entrada e Saida'!$H$15="PESO",(P354/(SUM(P:P))),(Q354/(SUM(Q:Q)))))</f>
        <v>#DIV/0!</v>
      </c>
      <c r="AA354" s="10" t="e">
        <f t="shared" si="156"/>
        <v>#DIV/0!</v>
      </c>
      <c r="AB354" s="3" t="e">
        <f t="shared" si="157"/>
        <v>#DIV/0!</v>
      </c>
      <c r="AC354" s="3" t="e">
        <f t="shared" si="158"/>
        <v>#DIV/0!</v>
      </c>
      <c r="AD354" s="3" t="e">
        <f t="shared" si="159"/>
        <v>#DIV/0!</v>
      </c>
      <c r="AE354" s="9" t="e">
        <f t="shared" si="160"/>
        <v>#DIV/0!</v>
      </c>
      <c r="AF354" s="126">
        <f>IFERROR(D354*F354*L354*'Entrada e Saida'!$K$8,0)</f>
        <v>0</v>
      </c>
      <c r="AG354" s="3" t="e">
        <f>((W354+AA354+AB354+AC354+AD354+AE354+AF354)/(1-'Entrada e Saida'!$G$65))*'Entrada e Saida'!$I$66</f>
        <v>#DIV/0!</v>
      </c>
      <c r="AH354" s="8" t="e">
        <f t="shared" si="161"/>
        <v>#DIV/0!</v>
      </c>
      <c r="AI354" s="183" t="e">
        <f>'Entrada e Saida'!$K$51*(IF('Entrada e Saida'!$H$15="PESO",(P354/(SUM(P:P))),(Q354/(SUM(Q:Q)))))</f>
        <v>#DIV/0!</v>
      </c>
      <c r="AJ354" s="7">
        <f>(('Entrada e Saida'!$K$10-'Entrada e Saida'!$K$8)*E354*D354)</f>
        <v>0</v>
      </c>
      <c r="AK354" s="184" t="e">
        <f>IF('Entrada e Saida'!$H$15="PESO",W354+AA354+AH354+AI354+AJ354,W354+AA354+AH354+AI354+AJ354-S354+T354-U354+V354)</f>
        <v>#DIV/0!</v>
      </c>
      <c r="AL354" s="6" t="e">
        <f>IF('Entrada e Saida'!$H$12="REAL",AC354,0)</f>
        <v>#DIV/0!</v>
      </c>
      <c r="AM354" s="6" t="e">
        <f>IF('Entrada e Saida'!$H$12="REAL",AD354,0)</f>
        <v>#DIV/0!</v>
      </c>
      <c r="AN354" s="5" t="e">
        <f>IF('Entrada e Saida'!$H$13= "NÃO",AE354,0)</f>
        <v>#DIV/0!</v>
      </c>
      <c r="AO354" s="5" t="e">
        <f t="shared" si="162"/>
        <v>#DIV/0!</v>
      </c>
      <c r="AP354" s="4" t="e">
        <f t="shared" si="163"/>
        <v>#DIV/0!</v>
      </c>
      <c r="AQ354" s="3" t="e">
        <f>IF('Entrada e Saida'!$H$11="TRADING",AU354*'Custo Resumido'!D354,0)</f>
        <v>#DIV/0!</v>
      </c>
      <c r="AR354" s="3" t="e">
        <f>IF('Entrada e Saida'!$H$11="TRADING",AU354*'Entrada e Saida'!$G$63,0)</f>
        <v>#DIV/0!</v>
      </c>
      <c r="AS354" s="3" t="e">
        <f>IF('Entrada e Saida'!$H$11="TRADING",AU354*'Entrada e Saida'!$G$64,0)</f>
        <v>#DIV/0!</v>
      </c>
      <c r="AT354" s="3" t="e">
        <f>IF('Entrada e Saida'!$H$11="TRADING",AU354*'Entrada e Saida'!$G$65,0)</f>
        <v>#DIV/0!</v>
      </c>
      <c r="AU354" s="4" t="e">
        <f>IF('Entrada e Saida'!$H$11="TRADING",AP354/(1-(SUM('Entrada e Saida'!$G$63:$G$65)+'Custo Resumido'!D354)),0)</f>
        <v>#DIV/0!</v>
      </c>
      <c r="AV354" s="3" t="e">
        <f>IF('Entrada e Saida'!$H$13="NÃO",AU354*M354,0)</f>
        <v>#DIV/0!</v>
      </c>
      <c r="AW354" s="4" t="e">
        <f t="shared" si="164"/>
        <v>#DIV/0!</v>
      </c>
      <c r="AX354" s="3" t="e">
        <f>'Entrada e Saida'!$G$74*AU354</f>
        <v>#DIV/0!</v>
      </c>
      <c r="AY354" s="4" t="e">
        <f t="shared" si="165"/>
        <v>#DIV/0!</v>
      </c>
      <c r="AZ354" s="4" t="e">
        <f>AQ354+('Entrada e Saida'!$G$65-'Entrada e Saida'!$I$65)*AU354-AX354</f>
        <v>#DIV/0!</v>
      </c>
      <c r="BA354" s="3" t="e">
        <f>IF('Entrada e Saida'!$H$12="REAL",AZ354*'Entrada e Saida'!$G$81,AU354*'Entrada e Saida'!$G$81)</f>
        <v>#DIV/0!</v>
      </c>
      <c r="BB354" s="3" t="e">
        <f>IF('Entrada e Saida'!$H$12="REAL",AZ354*'Entrada e Saida'!$G$82,AU354*'Entrada e Saida'!$G$82)</f>
        <v>#DIV/0!</v>
      </c>
      <c r="BC354" s="4" t="e">
        <f t="shared" si="166"/>
        <v>#DIV/0!</v>
      </c>
      <c r="BD354" s="3" t="e">
        <f>IF('Entrada e Saida'!$H$11="TRADING",AW354/D354,AK354/D354)</f>
        <v>#DIV/0!</v>
      </c>
      <c r="BE354" s="3" t="e">
        <f t="shared" si="167"/>
        <v>#DIV/0!</v>
      </c>
      <c r="BF354" s="2" t="e">
        <f t="shared" si="168"/>
        <v>#DIV/0!</v>
      </c>
      <c r="BG354" s="3" t="e">
        <f>IF('Entrada e Saida'!$H$11="TRADING",AV354/D354,AN354/D354)</f>
        <v>#DIV/0!</v>
      </c>
      <c r="BH354" s="3" t="e">
        <f>IF('Entrada e Saida'!$H$11="TRADING",IF('Entrada e Saida'!$H$12="REAL",AR354/D354,0),AL354/D354)</f>
        <v>#DIV/0!</v>
      </c>
      <c r="BI354" s="3" t="e">
        <f>IF('Entrada e Saida'!$H$11="TRADING",IF('Entrada e Saida'!$H$12="REAL",AS354/D354,0),AM354/D354)</f>
        <v>#DIV/0!</v>
      </c>
      <c r="BJ354" s="3" t="e">
        <f>IF('Entrada e Saida'!$H$11="TRADING",AT354/D354,AO354/D354)</f>
        <v>#DIV/0!</v>
      </c>
      <c r="BK354" s="2" t="e">
        <f t="shared" si="169"/>
        <v>#DIV/0!</v>
      </c>
      <c r="BL354" s="2">
        <f>IF(O354&gt;0,IFERROR(IF('Entrada e Saida'!$H$11="DIRETA",0,(IF('Entrada e Saida'!$H$14="P.JURIDICA",(BD354*(1+O354)*N354)-((BD354/(1+M354))*'Entrada e Saida'!$G$65),((Produtos!N354-'Entrada e Saida'!$G$65)*Produtos!BD354)))),0),0)</f>
        <v>0</v>
      </c>
      <c r="BM354" s="2" t="e">
        <f t="shared" si="170"/>
        <v>#DIV/0!</v>
      </c>
    </row>
    <row r="355" spans="1:65" s="1" customFormat="1">
      <c r="A355" s="127"/>
      <c r="B355" s="114">
        <f>IFERROR(VLOOKUP(A355,'Master Modelo'!A:I,7,FALSE),0)</f>
        <v>0</v>
      </c>
      <c r="C355" s="116">
        <f>IFERROR(VLOOKUP(A355,'Master Modelo'!A:I,2,FALSE),0)</f>
        <v>0</v>
      </c>
      <c r="D355" s="146"/>
      <c r="E355" s="115">
        <f>IFERROR(VLOOKUP(A355,'Master Modelo'!A:I,9,FALSE),0)</f>
        <v>0</v>
      </c>
      <c r="F355" s="189">
        <f>IFERROR(VLOOKUP(A355,'Master Modelo'!A:I,8,FALSE),0)</f>
        <v>0</v>
      </c>
      <c r="G355" s="189">
        <f>IFERROR(VLOOKUP(A355,'Master Modelo'!A:K,11,FALSE),0)</f>
        <v>0</v>
      </c>
      <c r="H355" s="114" t="e">
        <f t="shared" si="153"/>
        <v>#DIV/0!</v>
      </c>
      <c r="I355" s="150">
        <f>IFERROR(VLOOKUP(A355,'Master Modelo'!A:I,3,FALSE),0)</f>
        <v>0</v>
      </c>
      <c r="J355" s="151">
        <f>IFERROR(VLOOKUP(A355,'Master Modelo'!A:I,5,FALSE),0)</f>
        <v>0</v>
      </c>
      <c r="K355" s="151">
        <f>IFERROR(VLOOKUP(A355,'Master Modelo'!A:I,6,FALSE),0)</f>
        <v>0</v>
      </c>
      <c r="L355" s="152" t="e">
        <f>VLOOKUP(A355,'Master Modelo'!A:J,10,FALSE)</f>
        <v>#N/A</v>
      </c>
      <c r="M355" s="150">
        <f>IFERROR(VLOOKUP(A355,'Master Modelo'!A:I,4,FALSE),0)</f>
        <v>0</v>
      </c>
      <c r="N355" s="128"/>
      <c r="O355" s="129"/>
      <c r="P355" s="9">
        <f t="shared" si="154"/>
        <v>0</v>
      </c>
      <c r="Q355" s="177">
        <f t="shared" si="152"/>
        <v>0</v>
      </c>
      <c r="R355" s="3">
        <f>D355*E355*'Entrada e Saida'!$K$8</f>
        <v>0</v>
      </c>
      <c r="S355" s="179" t="e">
        <f>'Entrada e Saida'!$H$21*'Entrada e Saida'!$K$8*(P355/(SUM(P:P)))</f>
        <v>#DIV/0!</v>
      </c>
      <c r="T355" s="179" t="e">
        <f>'Entrada e Saida'!$H$21*'Entrada e Saida'!$K$8*(Q355/(SUM(Q:Q)))</f>
        <v>#DIV/0!</v>
      </c>
      <c r="U355" s="179" t="e">
        <f>'Entrada e Saida'!$H$22*(P355/(SUM(P:P)))</f>
        <v>#DIV/0!</v>
      </c>
      <c r="V355" s="179" t="e">
        <f>'Entrada e Saida'!$H$22*(Q355/(SUM(Q:Q)))</f>
        <v>#DIV/0!</v>
      </c>
      <c r="W355" s="8" t="e">
        <f t="shared" si="155"/>
        <v>#DIV/0!</v>
      </c>
      <c r="X355" s="179" t="e">
        <f>'Entrada e Saida'!$H$26*(IF('Entrada e Saida'!$H$15="PESO",(P355/(SUM(P:P))),(Q355/(SUM(Q:Q)))))</f>
        <v>#DIV/0!</v>
      </c>
      <c r="Y355" s="179" t="e">
        <f>'Entrada e Saida'!$H$27*(IF('Entrada e Saida'!$H$15="PESO",(P355/(SUM(P:P))),(Q355/(SUM(Q:Q)))))</f>
        <v>#DIV/0!</v>
      </c>
      <c r="Z355" s="179" t="e">
        <f>'Entrada e Saida'!$H$28*(IF('Entrada e Saida'!$H$15="PESO",(P355/(SUM(P:P))),(Q355/(SUM(Q:Q)))))</f>
        <v>#DIV/0!</v>
      </c>
      <c r="AA355" s="10" t="e">
        <f t="shared" si="156"/>
        <v>#DIV/0!</v>
      </c>
      <c r="AB355" s="3" t="e">
        <f t="shared" si="157"/>
        <v>#DIV/0!</v>
      </c>
      <c r="AC355" s="3" t="e">
        <f t="shared" si="158"/>
        <v>#DIV/0!</v>
      </c>
      <c r="AD355" s="3" t="e">
        <f t="shared" si="159"/>
        <v>#DIV/0!</v>
      </c>
      <c r="AE355" s="9" t="e">
        <f t="shared" si="160"/>
        <v>#DIV/0!</v>
      </c>
      <c r="AF355" s="126">
        <f>IFERROR(D355*F355*L355*'Entrada e Saida'!$K$8,0)</f>
        <v>0</v>
      </c>
      <c r="AG355" s="3" t="e">
        <f>((W355+AA355+AB355+AC355+AD355+AE355+AF355)/(1-'Entrada e Saida'!$G$65))*'Entrada e Saida'!$I$66</f>
        <v>#DIV/0!</v>
      </c>
      <c r="AH355" s="8" t="e">
        <f t="shared" si="161"/>
        <v>#DIV/0!</v>
      </c>
      <c r="AI355" s="183" t="e">
        <f>'Entrada e Saida'!$K$51*(IF('Entrada e Saida'!$H$15="PESO",(P355/(SUM(P:P))),(Q355/(SUM(Q:Q)))))</f>
        <v>#DIV/0!</v>
      </c>
      <c r="AJ355" s="7">
        <f>(('Entrada e Saida'!$K$10-'Entrada e Saida'!$K$8)*E355*D355)</f>
        <v>0</v>
      </c>
      <c r="AK355" s="184" t="e">
        <f>IF('Entrada e Saida'!$H$15="PESO",W355+AA355+AH355+AI355+AJ355,W355+AA355+AH355+AI355+AJ355-S355+T355-U355+V355)</f>
        <v>#DIV/0!</v>
      </c>
      <c r="AL355" s="6" t="e">
        <f>IF('Entrada e Saida'!$H$12="REAL",AC355,0)</f>
        <v>#DIV/0!</v>
      </c>
      <c r="AM355" s="6" t="e">
        <f>IF('Entrada e Saida'!$H$12="REAL",AD355,0)</f>
        <v>#DIV/0!</v>
      </c>
      <c r="AN355" s="5" t="e">
        <f>IF('Entrada e Saida'!$H$13= "NÃO",AE355,0)</f>
        <v>#DIV/0!</v>
      </c>
      <c r="AO355" s="5" t="e">
        <f t="shared" si="162"/>
        <v>#DIV/0!</v>
      </c>
      <c r="AP355" s="4" t="e">
        <f t="shared" si="163"/>
        <v>#DIV/0!</v>
      </c>
      <c r="AQ355" s="3" t="e">
        <f>IF('Entrada e Saida'!$H$11="TRADING",AU355*'Custo Resumido'!D355,0)</f>
        <v>#DIV/0!</v>
      </c>
      <c r="AR355" s="3" t="e">
        <f>IF('Entrada e Saida'!$H$11="TRADING",AU355*'Entrada e Saida'!$G$63,0)</f>
        <v>#DIV/0!</v>
      </c>
      <c r="AS355" s="3" t="e">
        <f>IF('Entrada e Saida'!$H$11="TRADING",AU355*'Entrada e Saida'!$G$64,0)</f>
        <v>#DIV/0!</v>
      </c>
      <c r="AT355" s="3" t="e">
        <f>IF('Entrada e Saida'!$H$11="TRADING",AU355*'Entrada e Saida'!$G$65,0)</f>
        <v>#DIV/0!</v>
      </c>
      <c r="AU355" s="4" t="e">
        <f>IF('Entrada e Saida'!$H$11="TRADING",AP355/(1-(SUM('Entrada e Saida'!$G$63:$G$65)+'Custo Resumido'!D355)),0)</f>
        <v>#DIV/0!</v>
      </c>
      <c r="AV355" s="3" t="e">
        <f>IF('Entrada e Saida'!$H$13="NÃO",AU355*M355,0)</f>
        <v>#DIV/0!</v>
      </c>
      <c r="AW355" s="4" t="e">
        <f t="shared" si="164"/>
        <v>#DIV/0!</v>
      </c>
      <c r="AX355" s="3" t="e">
        <f>'Entrada e Saida'!$G$74*AU355</f>
        <v>#DIV/0!</v>
      </c>
      <c r="AY355" s="4" t="e">
        <f t="shared" si="165"/>
        <v>#DIV/0!</v>
      </c>
      <c r="AZ355" s="4" t="e">
        <f>AQ355+('Entrada e Saida'!$G$65-'Entrada e Saida'!$I$65)*AU355-AX355</f>
        <v>#DIV/0!</v>
      </c>
      <c r="BA355" s="3" t="e">
        <f>IF('Entrada e Saida'!$H$12="REAL",AZ355*'Entrada e Saida'!$G$81,AU355*'Entrada e Saida'!$G$81)</f>
        <v>#DIV/0!</v>
      </c>
      <c r="BB355" s="3" t="e">
        <f>IF('Entrada e Saida'!$H$12="REAL",AZ355*'Entrada e Saida'!$G$82,AU355*'Entrada e Saida'!$G$82)</f>
        <v>#DIV/0!</v>
      </c>
      <c r="BC355" s="4" t="e">
        <f t="shared" si="166"/>
        <v>#DIV/0!</v>
      </c>
      <c r="BD355" s="3" t="e">
        <f>IF('Entrada e Saida'!$H$11="TRADING",AW355/D355,AK355/D355)</f>
        <v>#DIV/0!</v>
      </c>
      <c r="BE355" s="3" t="e">
        <f t="shared" si="167"/>
        <v>#DIV/0!</v>
      </c>
      <c r="BF355" s="2" t="e">
        <f t="shared" si="168"/>
        <v>#DIV/0!</v>
      </c>
      <c r="BG355" s="3" t="e">
        <f>IF('Entrada e Saida'!$H$11="TRADING",AV355/D355,AN355/D355)</f>
        <v>#DIV/0!</v>
      </c>
      <c r="BH355" s="3" t="e">
        <f>IF('Entrada e Saida'!$H$11="TRADING",IF('Entrada e Saida'!$H$12="REAL",AR355/D355,0),AL355/D355)</f>
        <v>#DIV/0!</v>
      </c>
      <c r="BI355" s="3" t="e">
        <f>IF('Entrada e Saida'!$H$11="TRADING",IF('Entrada e Saida'!$H$12="REAL",AS355/D355,0),AM355/D355)</f>
        <v>#DIV/0!</v>
      </c>
      <c r="BJ355" s="3" t="e">
        <f>IF('Entrada e Saida'!$H$11="TRADING",AT355/D355,AO355/D355)</f>
        <v>#DIV/0!</v>
      </c>
      <c r="BK355" s="2" t="e">
        <f t="shared" si="169"/>
        <v>#DIV/0!</v>
      </c>
      <c r="BL355" s="2">
        <f>IF(O355&gt;0,IFERROR(IF('Entrada e Saida'!$H$11="DIRETA",0,(IF('Entrada e Saida'!$H$14="P.JURIDICA",(BD355*(1+O355)*N355)-((BD355/(1+M355))*'Entrada e Saida'!$G$65),((Produtos!N355-'Entrada e Saida'!$G$65)*Produtos!BD355)))),0),0)</f>
        <v>0</v>
      </c>
      <c r="BM355" s="2" t="e">
        <f t="shared" si="170"/>
        <v>#DIV/0!</v>
      </c>
    </row>
    <row r="356" spans="1:65" s="1" customFormat="1">
      <c r="A356" s="127"/>
      <c r="B356" s="114">
        <f>IFERROR(VLOOKUP(A356,'Master Modelo'!A:I,7,FALSE),0)</f>
        <v>0</v>
      </c>
      <c r="C356" s="116">
        <f>IFERROR(VLOOKUP(A356,'Master Modelo'!A:I,2,FALSE),0)</f>
        <v>0</v>
      </c>
      <c r="D356" s="146"/>
      <c r="E356" s="115">
        <f>IFERROR(VLOOKUP(A356,'Master Modelo'!A:I,9,FALSE),0)</f>
        <v>0</v>
      </c>
      <c r="F356" s="189">
        <f>IFERROR(VLOOKUP(A356,'Master Modelo'!A:I,8,FALSE),0)</f>
        <v>0</v>
      </c>
      <c r="G356" s="189">
        <f>IFERROR(VLOOKUP(A356,'Master Modelo'!A:K,11,FALSE),0)</f>
        <v>0</v>
      </c>
      <c r="H356" s="114" t="e">
        <f t="shared" si="153"/>
        <v>#DIV/0!</v>
      </c>
      <c r="I356" s="150">
        <f>IFERROR(VLOOKUP(A356,'Master Modelo'!A:I,3,FALSE),0)</f>
        <v>0</v>
      </c>
      <c r="J356" s="151">
        <f>IFERROR(VLOOKUP(A356,'Master Modelo'!A:I,5,FALSE),0)</f>
        <v>0</v>
      </c>
      <c r="K356" s="151">
        <f>IFERROR(VLOOKUP(A356,'Master Modelo'!A:I,6,FALSE),0)</f>
        <v>0</v>
      </c>
      <c r="L356" s="152" t="e">
        <f>VLOOKUP(A356,'Master Modelo'!A:J,10,FALSE)</f>
        <v>#N/A</v>
      </c>
      <c r="M356" s="150">
        <f>IFERROR(VLOOKUP(A356,'Master Modelo'!A:I,4,FALSE),0)</f>
        <v>0</v>
      </c>
      <c r="N356" s="128"/>
      <c r="O356" s="129"/>
      <c r="P356" s="9">
        <f t="shared" si="154"/>
        <v>0</v>
      </c>
      <c r="Q356" s="177">
        <f t="shared" si="152"/>
        <v>0</v>
      </c>
      <c r="R356" s="3">
        <f>D356*E356*'Entrada e Saida'!$K$8</f>
        <v>0</v>
      </c>
      <c r="S356" s="179" t="e">
        <f>'Entrada e Saida'!$H$21*'Entrada e Saida'!$K$8*(P356/(SUM(P:P)))</f>
        <v>#DIV/0!</v>
      </c>
      <c r="T356" s="179" t="e">
        <f>'Entrada e Saida'!$H$21*'Entrada e Saida'!$K$8*(Q356/(SUM(Q:Q)))</f>
        <v>#DIV/0!</v>
      </c>
      <c r="U356" s="179" t="e">
        <f>'Entrada e Saida'!$H$22*(P356/(SUM(P:P)))</f>
        <v>#DIV/0!</v>
      </c>
      <c r="V356" s="179" t="e">
        <f>'Entrada e Saida'!$H$22*(Q356/(SUM(Q:Q)))</f>
        <v>#DIV/0!</v>
      </c>
      <c r="W356" s="8" t="e">
        <f t="shared" si="155"/>
        <v>#DIV/0!</v>
      </c>
      <c r="X356" s="179" t="e">
        <f>'Entrada e Saida'!$H$26*(IF('Entrada e Saida'!$H$15="PESO",(P356/(SUM(P:P))),(Q356/(SUM(Q:Q)))))</f>
        <v>#DIV/0!</v>
      </c>
      <c r="Y356" s="179" t="e">
        <f>'Entrada e Saida'!$H$27*(IF('Entrada e Saida'!$H$15="PESO",(P356/(SUM(P:P))),(Q356/(SUM(Q:Q)))))</f>
        <v>#DIV/0!</v>
      </c>
      <c r="Z356" s="179" t="e">
        <f>'Entrada e Saida'!$H$28*(IF('Entrada e Saida'!$H$15="PESO",(P356/(SUM(P:P))),(Q356/(SUM(Q:Q)))))</f>
        <v>#DIV/0!</v>
      </c>
      <c r="AA356" s="10" t="e">
        <f t="shared" si="156"/>
        <v>#DIV/0!</v>
      </c>
      <c r="AB356" s="3" t="e">
        <f t="shared" si="157"/>
        <v>#DIV/0!</v>
      </c>
      <c r="AC356" s="3" t="e">
        <f t="shared" si="158"/>
        <v>#DIV/0!</v>
      </c>
      <c r="AD356" s="3" t="e">
        <f t="shared" si="159"/>
        <v>#DIV/0!</v>
      </c>
      <c r="AE356" s="9" t="e">
        <f t="shared" si="160"/>
        <v>#DIV/0!</v>
      </c>
      <c r="AF356" s="126">
        <f>IFERROR(D356*F356*L356*'Entrada e Saida'!$K$8,0)</f>
        <v>0</v>
      </c>
      <c r="AG356" s="3" t="e">
        <f>((W356+AA356+AB356+AC356+AD356+AE356+AF356)/(1-'Entrada e Saida'!$G$65))*'Entrada e Saida'!$I$66</f>
        <v>#DIV/0!</v>
      </c>
      <c r="AH356" s="8" t="e">
        <f t="shared" si="161"/>
        <v>#DIV/0!</v>
      </c>
      <c r="AI356" s="183" t="e">
        <f>'Entrada e Saida'!$K$51*(IF('Entrada e Saida'!$H$15="PESO",(P356/(SUM(P:P))),(Q356/(SUM(Q:Q)))))</f>
        <v>#DIV/0!</v>
      </c>
      <c r="AJ356" s="7">
        <f>(('Entrada e Saida'!$K$10-'Entrada e Saida'!$K$8)*E356*D356)</f>
        <v>0</v>
      </c>
      <c r="AK356" s="184" t="e">
        <f>IF('Entrada e Saida'!$H$15="PESO",W356+AA356+AH356+AI356+AJ356,W356+AA356+AH356+AI356+AJ356-S356+T356-U356+V356)</f>
        <v>#DIV/0!</v>
      </c>
      <c r="AL356" s="6" t="e">
        <f>IF('Entrada e Saida'!$H$12="REAL",AC356,0)</f>
        <v>#DIV/0!</v>
      </c>
      <c r="AM356" s="6" t="e">
        <f>IF('Entrada e Saida'!$H$12="REAL",AD356,0)</f>
        <v>#DIV/0!</v>
      </c>
      <c r="AN356" s="5" t="e">
        <f>IF('Entrada e Saida'!$H$13= "NÃO",AE356,0)</f>
        <v>#DIV/0!</v>
      </c>
      <c r="AO356" s="5" t="e">
        <f t="shared" si="162"/>
        <v>#DIV/0!</v>
      </c>
      <c r="AP356" s="4" t="e">
        <f t="shared" si="163"/>
        <v>#DIV/0!</v>
      </c>
      <c r="AQ356" s="3" t="e">
        <f>IF('Entrada e Saida'!$H$11="TRADING",AU356*'Custo Resumido'!D356,0)</f>
        <v>#DIV/0!</v>
      </c>
      <c r="AR356" s="3" t="e">
        <f>IF('Entrada e Saida'!$H$11="TRADING",AU356*'Entrada e Saida'!$G$63,0)</f>
        <v>#DIV/0!</v>
      </c>
      <c r="AS356" s="3" t="e">
        <f>IF('Entrada e Saida'!$H$11="TRADING",AU356*'Entrada e Saida'!$G$64,0)</f>
        <v>#DIV/0!</v>
      </c>
      <c r="AT356" s="3" t="e">
        <f>IF('Entrada e Saida'!$H$11="TRADING",AU356*'Entrada e Saida'!$G$65,0)</f>
        <v>#DIV/0!</v>
      </c>
      <c r="AU356" s="4" t="e">
        <f>IF('Entrada e Saida'!$H$11="TRADING",AP356/(1-(SUM('Entrada e Saida'!$G$63:$G$65)+'Custo Resumido'!D356)),0)</f>
        <v>#DIV/0!</v>
      </c>
      <c r="AV356" s="3" t="e">
        <f>IF('Entrada e Saida'!$H$13="NÃO",AU356*M356,0)</f>
        <v>#DIV/0!</v>
      </c>
      <c r="AW356" s="4" t="e">
        <f t="shared" si="164"/>
        <v>#DIV/0!</v>
      </c>
      <c r="AX356" s="3" t="e">
        <f>'Entrada e Saida'!$G$74*AU356</f>
        <v>#DIV/0!</v>
      </c>
      <c r="AY356" s="4" t="e">
        <f t="shared" si="165"/>
        <v>#DIV/0!</v>
      </c>
      <c r="AZ356" s="4" t="e">
        <f>AQ356+('Entrada e Saida'!$G$65-'Entrada e Saida'!$I$65)*AU356-AX356</f>
        <v>#DIV/0!</v>
      </c>
      <c r="BA356" s="3" t="e">
        <f>IF('Entrada e Saida'!$H$12="REAL",AZ356*'Entrada e Saida'!$G$81,AU356*'Entrada e Saida'!$G$81)</f>
        <v>#DIV/0!</v>
      </c>
      <c r="BB356" s="3" t="e">
        <f>IF('Entrada e Saida'!$H$12="REAL",AZ356*'Entrada e Saida'!$G$82,AU356*'Entrada e Saida'!$G$82)</f>
        <v>#DIV/0!</v>
      </c>
      <c r="BC356" s="4" t="e">
        <f t="shared" si="166"/>
        <v>#DIV/0!</v>
      </c>
      <c r="BD356" s="3" t="e">
        <f>IF('Entrada e Saida'!$H$11="TRADING",AW356/D356,AK356/D356)</f>
        <v>#DIV/0!</v>
      </c>
      <c r="BE356" s="3" t="e">
        <f t="shared" si="167"/>
        <v>#DIV/0!</v>
      </c>
      <c r="BF356" s="2" t="e">
        <f t="shared" si="168"/>
        <v>#DIV/0!</v>
      </c>
      <c r="BG356" s="3" t="e">
        <f>IF('Entrada e Saida'!$H$11="TRADING",AV356/D356,AN356/D356)</f>
        <v>#DIV/0!</v>
      </c>
      <c r="BH356" s="3" t="e">
        <f>IF('Entrada e Saida'!$H$11="TRADING",IF('Entrada e Saida'!$H$12="REAL",AR356/D356,0),AL356/D356)</f>
        <v>#DIV/0!</v>
      </c>
      <c r="BI356" s="3" t="e">
        <f>IF('Entrada e Saida'!$H$11="TRADING",IF('Entrada e Saida'!$H$12="REAL",AS356/D356,0),AM356/D356)</f>
        <v>#DIV/0!</v>
      </c>
      <c r="BJ356" s="3" t="e">
        <f>IF('Entrada e Saida'!$H$11="TRADING",AT356/D356,AO356/D356)</f>
        <v>#DIV/0!</v>
      </c>
      <c r="BK356" s="2" t="e">
        <f t="shared" si="169"/>
        <v>#DIV/0!</v>
      </c>
      <c r="BL356" s="2">
        <f>IF(O356&gt;0,IFERROR(IF('Entrada e Saida'!$H$11="DIRETA",0,(IF('Entrada e Saida'!$H$14="P.JURIDICA",(BD356*(1+O356)*N356)-((BD356/(1+M356))*'Entrada e Saida'!$G$65),((Produtos!N356-'Entrada e Saida'!$G$65)*Produtos!BD356)))),0),0)</f>
        <v>0</v>
      </c>
      <c r="BM356" s="2" t="e">
        <f t="shared" si="170"/>
        <v>#DIV/0!</v>
      </c>
    </row>
    <row r="357" spans="1:65" s="1" customFormat="1">
      <c r="A357" s="127"/>
      <c r="B357" s="114">
        <f>IFERROR(VLOOKUP(A357,'Master Modelo'!A:I,7,FALSE),0)</f>
        <v>0</v>
      </c>
      <c r="C357" s="116">
        <f>IFERROR(VLOOKUP(A357,'Master Modelo'!A:I,2,FALSE),0)</f>
        <v>0</v>
      </c>
      <c r="D357" s="146"/>
      <c r="E357" s="115">
        <f>IFERROR(VLOOKUP(A357,'Master Modelo'!A:I,9,FALSE),0)</f>
        <v>0</v>
      </c>
      <c r="F357" s="189">
        <f>IFERROR(VLOOKUP(A357,'Master Modelo'!A:I,8,FALSE),0)</f>
        <v>0</v>
      </c>
      <c r="G357" s="189">
        <f>IFERROR(VLOOKUP(A357,'Master Modelo'!A:K,11,FALSE),0)</f>
        <v>0</v>
      </c>
      <c r="H357" s="114" t="e">
        <f t="shared" si="153"/>
        <v>#DIV/0!</v>
      </c>
      <c r="I357" s="150">
        <f>IFERROR(VLOOKUP(A357,'Master Modelo'!A:I,3,FALSE),0)</f>
        <v>0</v>
      </c>
      <c r="J357" s="151">
        <f>IFERROR(VLOOKUP(A357,'Master Modelo'!A:I,5,FALSE),0)</f>
        <v>0</v>
      </c>
      <c r="K357" s="151">
        <f>IFERROR(VLOOKUP(A357,'Master Modelo'!A:I,6,FALSE),0)</f>
        <v>0</v>
      </c>
      <c r="L357" s="152" t="e">
        <f>VLOOKUP(A357,'Master Modelo'!A:J,10,FALSE)</f>
        <v>#N/A</v>
      </c>
      <c r="M357" s="150">
        <f>IFERROR(VLOOKUP(A357,'Master Modelo'!A:I,4,FALSE),0)</f>
        <v>0</v>
      </c>
      <c r="N357" s="128"/>
      <c r="O357" s="129"/>
      <c r="P357" s="9">
        <f t="shared" si="154"/>
        <v>0</v>
      </c>
      <c r="Q357" s="177">
        <f t="shared" si="152"/>
        <v>0</v>
      </c>
      <c r="R357" s="3">
        <f>D357*E357*'Entrada e Saida'!$K$8</f>
        <v>0</v>
      </c>
      <c r="S357" s="179" t="e">
        <f>'Entrada e Saida'!$H$21*'Entrada e Saida'!$K$8*(P357/(SUM(P:P)))</f>
        <v>#DIV/0!</v>
      </c>
      <c r="T357" s="179" t="e">
        <f>'Entrada e Saida'!$H$21*'Entrada e Saida'!$K$8*(Q357/(SUM(Q:Q)))</f>
        <v>#DIV/0!</v>
      </c>
      <c r="U357" s="179" t="e">
        <f>'Entrada e Saida'!$H$22*(P357/(SUM(P:P)))</f>
        <v>#DIV/0!</v>
      </c>
      <c r="V357" s="179" t="e">
        <f>'Entrada e Saida'!$H$22*(Q357/(SUM(Q:Q)))</f>
        <v>#DIV/0!</v>
      </c>
      <c r="W357" s="8" t="e">
        <f t="shared" si="155"/>
        <v>#DIV/0!</v>
      </c>
      <c r="X357" s="179" t="e">
        <f>'Entrada e Saida'!$H$26*(IF('Entrada e Saida'!$H$15="PESO",(P357/(SUM(P:P))),(Q357/(SUM(Q:Q)))))</f>
        <v>#DIV/0!</v>
      </c>
      <c r="Y357" s="179" t="e">
        <f>'Entrada e Saida'!$H$27*(IF('Entrada e Saida'!$H$15="PESO",(P357/(SUM(P:P))),(Q357/(SUM(Q:Q)))))</f>
        <v>#DIV/0!</v>
      </c>
      <c r="Z357" s="179" t="e">
        <f>'Entrada e Saida'!$H$28*(IF('Entrada e Saida'!$H$15="PESO",(P357/(SUM(P:P))),(Q357/(SUM(Q:Q)))))</f>
        <v>#DIV/0!</v>
      </c>
      <c r="AA357" s="10" t="e">
        <f t="shared" si="156"/>
        <v>#DIV/0!</v>
      </c>
      <c r="AB357" s="3" t="e">
        <f t="shared" si="157"/>
        <v>#DIV/0!</v>
      </c>
      <c r="AC357" s="3" t="e">
        <f t="shared" si="158"/>
        <v>#DIV/0!</v>
      </c>
      <c r="AD357" s="3" t="e">
        <f t="shared" si="159"/>
        <v>#DIV/0!</v>
      </c>
      <c r="AE357" s="9" t="e">
        <f t="shared" si="160"/>
        <v>#DIV/0!</v>
      </c>
      <c r="AF357" s="126">
        <f>IFERROR(D357*F357*L357*'Entrada e Saida'!$K$8,0)</f>
        <v>0</v>
      </c>
      <c r="AG357" s="3" t="e">
        <f>((W357+AA357+AB357+AC357+AD357+AE357+AF357)/(1-'Entrada e Saida'!$G$65))*'Entrada e Saida'!$I$66</f>
        <v>#DIV/0!</v>
      </c>
      <c r="AH357" s="8" t="e">
        <f t="shared" si="161"/>
        <v>#DIV/0!</v>
      </c>
      <c r="AI357" s="183" t="e">
        <f>'Entrada e Saida'!$K$51*(IF('Entrada e Saida'!$H$15="PESO",(P357/(SUM(P:P))),(Q357/(SUM(Q:Q)))))</f>
        <v>#DIV/0!</v>
      </c>
      <c r="AJ357" s="7">
        <f>(('Entrada e Saida'!$K$10-'Entrada e Saida'!$K$8)*E357*D357)</f>
        <v>0</v>
      </c>
      <c r="AK357" s="184" t="e">
        <f>IF('Entrada e Saida'!$H$15="PESO",W357+AA357+AH357+AI357+AJ357,W357+AA357+AH357+AI357+AJ357-S357+T357-U357+V357)</f>
        <v>#DIV/0!</v>
      </c>
      <c r="AL357" s="6" t="e">
        <f>IF('Entrada e Saida'!$H$12="REAL",AC357,0)</f>
        <v>#DIV/0!</v>
      </c>
      <c r="AM357" s="6" t="e">
        <f>IF('Entrada e Saida'!$H$12="REAL",AD357,0)</f>
        <v>#DIV/0!</v>
      </c>
      <c r="AN357" s="5" t="e">
        <f>IF('Entrada e Saida'!$H$13= "NÃO",AE357,0)</f>
        <v>#DIV/0!</v>
      </c>
      <c r="AO357" s="5" t="e">
        <f t="shared" si="162"/>
        <v>#DIV/0!</v>
      </c>
      <c r="AP357" s="4" t="e">
        <f t="shared" si="163"/>
        <v>#DIV/0!</v>
      </c>
      <c r="AQ357" s="3" t="e">
        <f>IF('Entrada e Saida'!$H$11="TRADING",AU357*'Custo Resumido'!D357,0)</f>
        <v>#DIV/0!</v>
      </c>
      <c r="AR357" s="3" t="e">
        <f>IF('Entrada e Saida'!$H$11="TRADING",AU357*'Entrada e Saida'!$G$63,0)</f>
        <v>#DIV/0!</v>
      </c>
      <c r="AS357" s="3" t="e">
        <f>IF('Entrada e Saida'!$H$11="TRADING",AU357*'Entrada e Saida'!$G$64,0)</f>
        <v>#DIV/0!</v>
      </c>
      <c r="AT357" s="3" t="e">
        <f>IF('Entrada e Saida'!$H$11="TRADING",AU357*'Entrada e Saida'!$G$65,0)</f>
        <v>#DIV/0!</v>
      </c>
      <c r="AU357" s="4" t="e">
        <f>IF('Entrada e Saida'!$H$11="TRADING",AP357/(1-(SUM('Entrada e Saida'!$G$63:$G$65)+'Custo Resumido'!D357)),0)</f>
        <v>#DIV/0!</v>
      </c>
      <c r="AV357" s="3" t="e">
        <f>IF('Entrada e Saida'!$H$13="NÃO",AU357*M357,0)</f>
        <v>#DIV/0!</v>
      </c>
      <c r="AW357" s="4" t="e">
        <f t="shared" si="164"/>
        <v>#DIV/0!</v>
      </c>
      <c r="AX357" s="3" t="e">
        <f>'Entrada e Saida'!$G$74*AU357</f>
        <v>#DIV/0!</v>
      </c>
      <c r="AY357" s="4" t="e">
        <f t="shared" si="165"/>
        <v>#DIV/0!</v>
      </c>
      <c r="AZ357" s="4" t="e">
        <f>AQ357+('Entrada e Saida'!$G$65-'Entrada e Saida'!$I$65)*AU357-AX357</f>
        <v>#DIV/0!</v>
      </c>
      <c r="BA357" s="3" t="e">
        <f>IF('Entrada e Saida'!$H$12="REAL",AZ357*'Entrada e Saida'!$G$81,AU357*'Entrada e Saida'!$G$81)</f>
        <v>#DIV/0!</v>
      </c>
      <c r="BB357" s="3" t="e">
        <f>IF('Entrada e Saida'!$H$12="REAL",AZ357*'Entrada e Saida'!$G$82,AU357*'Entrada e Saida'!$G$82)</f>
        <v>#DIV/0!</v>
      </c>
      <c r="BC357" s="4" t="e">
        <f t="shared" si="166"/>
        <v>#DIV/0!</v>
      </c>
      <c r="BD357" s="3" t="e">
        <f>IF('Entrada e Saida'!$H$11="TRADING",AW357/D357,AK357/D357)</f>
        <v>#DIV/0!</v>
      </c>
      <c r="BE357" s="3" t="e">
        <f t="shared" si="167"/>
        <v>#DIV/0!</v>
      </c>
      <c r="BF357" s="2" t="e">
        <f t="shared" si="168"/>
        <v>#DIV/0!</v>
      </c>
      <c r="BG357" s="3" t="e">
        <f>IF('Entrada e Saida'!$H$11="TRADING",AV357/D357,AN357/D357)</f>
        <v>#DIV/0!</v>
      </c>
      <c r="BH357" s="3" t="e">
        <f>IF('Entrada e Saida'!$H$11="TRADING",IF('Entrada e Saida'!$H$12="REAL",AR357/D357,0),AL357/D357)</f>
        <v>#DIV/0!</v>
      </c>
      <c r="BI357" s="3" t="e">
        <f>IF('Entrada e Saida'!$H$11="TRADING",IF('Entrada e Saida'!$H$12="REAL",AS357/D357,0),AM357/D357)</f>
        <v>#DIV/0!</v>
      </c>
      <c r="BJ357" s="3" t="e">
        <f>IF('Entrada e Saida'!$H$11="TRADING",AT357/D357,AO357/D357)</f>
        <v>#DIV/0!</v>
      </c>
      <c r="BK357" s="2" t="e">
        <f t="shared" si="169"/>
        <v>#DIV/0!</v>
      </c>
      <c r="BL357" s="2">
        <f>IF(O357&gt;0,IFERROR(IF('Entrada e Saida'!$H$11="DIRETA",0,(IF('Entrada e Saida'!$H$14="P.JURIDICA",(BD357*(1+O357)*N357)-((BD357/(1+M357))*'Entrada e Saida'!$G$65),((Produtos!N357-'Entrada e Saida'!$G$65)*Produtos!BD357)))),0),0)</f>
        <v>0</v>
      </c>
      <c r="BM357" s="2" t="e">
        <f t="shared" si="170"/>
        <v>#DIV/0!</v>
      </c>
    </row>
    <row r="358" spans="1:65" s="1" customFormat="1">
      <c r="A358" s="127"/>
      <c r="B358" s="114">
        <f>IFERROR(VLOOKUP(A358,'Master Modelo'!A:I,7,FALSE),0)</f>
        <v>0</v>
      </c>
      <c r="C358" s="116">
        <f>IFERROR(VLOOKUP(A358,'Master Modelo'!A:I,2,FALSE),0)</f>
        <v>0</v>
      </c>
      <c r="D358" s="146"/>
      <c r="E358" s="115">
        <f>IFERROR(VLOOKUP(A358,'Master Modelo'!A:I,9,FALSE),0)</f>
        <v>0</v>
      </c>
      <c r="F358" s="189">
        <f>IFERROR(VLOOKUP(A358,'Master Modelo'!A:I,8,FALSE),0)</f>
        <v>0</v>
      </c>
      <c r="G358" s="189">
        <f>IFERROR(VLOOKUP(A358,'Master Modelo'!A:K,11,FALSE),0)</f>
        <v>0</v>
      </c>
      <c r="H358" s="114" t="e">
        <f t="shared" si="153"/>
        <v>#DIV/0!</v>
      </c>
      <c r="I358" s="150">
        <f>IFERROR(VLOOKUP(A358,'Master Modelo'!A:I,3,FALSE),0)</f>
        <v>0</v>
      </c>
      <c r="J358" s="151">
        <f>IFERROR(VLOOKUP(A358,'Master Modelo'!A:I,5,FALSE),0)</f>
        <v>0</v>
      </c>
      <c r="K358" s="151">
        <f>IFERROR(VLOOKUP(A358,'Master Modelo'!A:I,6,FALSE),0)</f>
        <v>0</v>
      </c>
      <c r="L358" s="152" t="e">
        <f>VLOOKUP(A358,'Master Modelo'!A:J,10,FALSE)</f>
        <v>#N/A</v>
      </c>
      <c r="M358" s="150">
        <f>IFERROR(VLOOKUP(A358,'Master Modelo'!A:I,4,FALSE),0)</f>
        <v>0</v>
      </c>
      <c r="N358" s="128"/>
      <c r="O358" s="129"/>
      <c r="P358" s="9">
        <f t="shared" si="154"/>
        <v>0</v>
      </c>
      <c r="Q358" s="177">
        <f t="shared" si="152"/>
        <v>0</v>
      </c>
      <c r="R358" s="3">
        <f>D358*E358*'Entrada e Saida'!$K$8</f>
        <v>0</v>
      </c>
      <c r="S358" s="179" t="e">
        <f>'Entrada e Saida'!$H$21*'Entrada e Saida'!$K$8*(P358/(SUM(P:P)))</f>
        <v>#DIV/0!</v>
      </c>
      <c r="T358" s="179" t="e">
        <f>'Entrada e Saida'!$H$21*'Entrada e Saida'!$K$8*(Q358/(SUM(Q:Q)))</f>
        <v>#DIV/0!</v>
      </c>
      <c r="U358" s="179" t="e">
        <f>'Entrada e Saida'!$H$22*(P358/(SUM(P:P)))</f>
        <v>#DIV/0!</v>
      </c>
      <c r="V358" s="179" t="e">
        <f>'Entrada e Saida'!$H$22*(Q358/(SUM(Q:Q)))</f>
        <v>#DIV/0!</v>
      </c>
      <c r="W358" s="8" t="e">
        <f t="shared" si="155"/>
        <v>#DIV/0!</v>
      </c>
      <c r="X358" s="179" t="e">
        <f>'Entrada e Saida'!$H$26*(IF('Entrada e Saida'!$H$15="PESO",(P358/(SUM(P:P))),(Q358/(SUM(Q:Q)))))</f>
        <v>#DIV/0!</v>
      </c>
      <c r="Y358" s="179" t="e">
        <f>'Entrada e Saida'!$H$27*(IF('Entrada e Saida'!$H$15="PESO",(P358/(SUM(P:P))),(Q358/(SUM(Q:Q)))))</f>
        <v>#DIV/0!</v>
      </c>
      <c r="Z358" s="179" t="e">
        <f>'Entrada e Saida'!$H$28*(IF('Entrada e Saida'!$H$15="PESO",(P358/(SUM(P:P))),(Q358/(SUM(Q:Q)))))</f>
        <v>#DIV/0!</v>
      </c>
      <c r="AA358" s="10" t="e">
        <f t="shared" si="156"/>
        <v>#DIV/0!</v>
      </c>
      <c r="AB358" s="3" t="e">
        <f t="shared" si="157"/>
        <v>#DIV/0!</v>
      </c>
      <c r="AC358" s="3" t="e">
        <f t="shared" si="158"/>
        <v>#DIV/0!</v>
      </c>
      <c r="AD358" s="3" t="e">
        <f t="shared" si="159"/>
        <v>#DIV/0!</v>
      </c>
      <c r="AE358" s="9" t="e">
        <f t="shared" si="160"/>
        <v>#DIV/0!</v>
      </c>
      <c r="AF358" s="126">
        <f>IFERROR(D358*F358*L358*'Entrada e Saida'!$K$8,0)</f>
        <v>0</v>
      </c>
      <c r="AG358" s="3" t="e">
        <f>((W358+AA358+AB358+AC358+AD358+AE358+AF358)/(1-'Entrada e Saida'!$G$65))*'Entrada e Saida'!$I$66</f>
        <v>#DIV/0!</v>
      </c>
      <c r="AH358" s="8" t="e">
        <f t="shared" si="161"/>
        <v>#DIV/0!</v>
      </c>
      <c r="AI358" s="183" t="e">
        <f>'Entrada e Saida'!$K$51*(IF('Entrada e Saida'!$H$15="PESO",(P358/(SUM(P:P))),(Q358/(SUM(Q:Q)))))</f>
        <v>#DIV/0!</v>
      </c>
      <c r="AJ358" s="7">
        <f>(('Entrada e Saida'!$K$10-'Entrada e Saida'!$K$8)*E358*D358)</f>
        <v>0</v>
      </c>
      <c r="AK358" s="184" t="e">
        <f>IF('Entrada e Saida'!$H$15="PESO",W358+AA358+AH358+AI358+AJ358,W358+AA358+AH358+AI358+AJ358-S358+T358-U358+V358)</f>
        <v>#DIV/0!</v>
      </c>
      <c r="AL358" s="6" t="e">
        <f>IF('Entrada e Saida'!$H$12="REAL",AC358,0)</f>
        <v>#DIV/0!</v>
      </c>
      <c r="AM358" s="6" t="e">
        <f>IF('Entrada e Saida'!$H$12="REAL",AD358,0)</f>
        <v>#DIV/0!</v>
      </c>
      <c r="AN358" s="5" t="e">
        <f>IF('Entrada e Saida'!$H$13= "NÃO",AE358,0)</f>
        <v>#DIV/0!</v>
      </c>
      <c r="AO358" s="5" t="e">
        <f t="shared" si="162"/>
        <v>#DIV/0!</v>
      </c>
      <c r="AP358" s="4" t="e">
        <f t="shared" si="163"/>
        <v>#DIV/0!</v>
      </c>
      <c r="AQ358" s="3" t="e">
        <f>IF('Entrada e Saida'!$H$11="TRADING",AU358*'Custo Resumido'!D358,0)</f>
        <v>#DIV/0!</v>
      </c>
      <c r="AR358" s="3" t="e">
        <f>IF('Entrada e Saida'!$H$11="TRADING",AU358*'Entrada e Saida'!$G$63,0)</f>
        <v>#DIV/0!</v>
      </c>
      <c r="AS358" s="3" t="e">
        <f>IF('Entrada e Saida'!$H$11="TRADING",AU358*'Entrada e Saida'!$G$64,0)</f>
        <v>#DIV/0!</v>
      </c>
      <c r="AT358" s="3" t="e">
        <f>IF('Entrada e Saida'!$H$11="TRADING",AU358*'Entrada e Saida'!$G$65,0)</f>
        <v>#DIV/0!</v>
      </c>
      <c r="AU358" s="4" t="e">
        <f>IF('Entrada e Saida'!$H$11="TRADING",AP358/(1-(SUM('Entrada e Saida'!$G$63:$G$65)+'Custo Resumido'!D358)),0)</f>
        <v>#DIV/0!</v>
      </c>
      <c r="AV358" s="3" t="e">
        <f>IF('Entrada e Saida'!$H$13="NÃO",AU358*M358,0)</f>
        <v>#DIV/0!</v>
      </c>
      <c r="AW358" s="4" t="e">
        <f t="shared" si="164"/>
        <v>#DIV/0!</v>
      </c>
      <c r="AX358" s="3" t="e">
        <f>'Entrada e Saida'!$G$74*AU358</f>
        <v>#DIV/0!</v>
      </c>
      <c r="AY358" s="4" t="e">
        <f t="shared" si="165"/>
        <v>#DIV/0!</v>
      </c>
      <c r="AZ358" s="4" t="e">
        <f>AQ358+('Entrada e Saida'!$G$65-'Entrada e Saida'!$I$65)*AU358-AX358</f>
        <v>#DIV/0!</v>
      </c>
      <c r="BA358" s="3" t="e">
        <f>IF('Entrada e Saida'!$H$12="REAL",AZ358*'Entrada e Saida'!$G$81,AU358*'Entrada e Saida'!$G$81)</f>
        <v>#DIV/0!</v>
      </c>
      <c r="BB358" s="3" t="e">
        <f>IF('Entrada e Saida'!$H$12="REAL",AZ358*'Entrada e Saida'!$G$82,AU358*'Entrada e Saida'!$G$82)</f>
        <v>#DIV/0!</v>
      </c>
      <c r="BC358" s="4" t="e">
        <f t="shared" si="166"/>
        <v>#DIV/0!</v>
      </c>
      <c r="BD358" s="3" t="e">
        <f>IF('Entrada e Saida'!$H$11="TRADING",AW358/D358,AK358/D358)</f>
        <v>#DIV/0!</v>
      </c>
      <c r="BE358" s="3" t="e">
        <f t="shared" si="167"/>
        <v>#DIV/0!</v>
      </c>
      <c r="BF358" s="2" t="e">
        <f t="shared" si="168"/>
        <v>#DIV/0!</v>
      </c>
      <c r="BG358" s="3" t="e">
        <f>IF('Entrada e Saida'!$H$11="TRADING",AV358/D358,AN358/D358)</f>
        <v>#DIV/0!</v>
      </c>
      <c r="BH358" s="3" t="e">
        <f>IF('Entrada e Saida'!$H$11="TRADING",IF('Entrada e Saida'!$H$12="REAL",AR358/D358,0),AL358/D358)</f>
        <v>#DIV/0!</v>
      </c>
      <c r="BI358" s="3" t="e">
        <f>IF('Entrada e Saida'!$H$11="TRADING",IF('Entrada e Saida'!$H$12="REAL",AS358/D358,0),AM358/D358)</f>
        <v>#DIV/0!</v>
      </c>
      <c r="BJ358" s="3" t="e">
        <f>IF('Entrada e Saida'!$H$11="TRADING",AT358/D358,AO358/D358)</f>
        <v>#DIV/0!</v>
      </c>
      <c r="BK358" s="2" t="e">
        <f t="shared" si="169"/>
        <v>#DIV/0!</v>
      </c>
      <c r="BL358" s="2">
        <f>IF(O358&gt;0,IFERROR(IF('Entrada e Saida'!$H$11="DIRETA",0,(IF('Entrada e Saida'!$H$14="P.JURIDICA",(BD358*(1+O358)*N358)-((BD358/(1+M358))*'Entrada e Saida'!$G$65),((Produtos!N358-'Entrada e Saida'!$G$65)*Produtos!BD358)))),0),0)</f>
        <v>0</v>
      </c>
      <c r="BM358" s="2" t="e">
        <f t="shared" si="170"/>
        <v>#DIV/0!</v>
      </c>
    </row>
    <row r="359" spans="1:65" s="1" customFormat="1">
      <c r="A359" s="127"/>
      <c r="B359" s="114">
        <f>IFERROR(VLOOKUP(A359,'Master Modelo'!A:I,7,FALSE),0)</f>
        <v>0</v>
      </c>
      <c r="C359" s="116">
        <f>IFERROR(VLOOKUP(A359,'Master Modelo'!A:I,2,FALSE),0)</f>
        <v>0</v>
      </c>
      <c r="D359" s="146"/>
      <c r="E359" s="115">
        <f>IFERROR(VLOOKUP(A359,'Master Modelo'!A:I,9,FALSE),0)</f>
        <v>0</v>
      </c>
      <c r="F359" s="189">
        <f>IFERROR(VLOOKUP(A359,'Master Modelo'!A:I,8,FALSE),0)</f>
        <v>0</v>
      </c>
      <c r="G359" s="189">
        <f>IFERROR(VLOOKUP(A359,'Master Modelo'!A:K,11,FALSE),0)</f>
        <v>0</v>
      </c>
      <c r="H359" s="114" t="e">
        <f t="shared" si="153"/>
        <v>#DIV/0!</v>
      </c>
      <c r="I359" s="150">
        <f>IFERROR(VLOOKUP(A359,'Master Modelo'!A:I,3,FALSE),0)</f>
        <v>0</v>
      </c>
      <c r="J359" s="151">
        <f>IFERROR(VLOOKUP(A359,'Master Modelo'!A:I,5,FALSE),0)</f>
        <v>0</v>
      </c>
      <c r="K359" s="151">
        <f>IFERROR(VLOOKUP(A359,'Master Modelo'!A:I,6,FALSE),0)</f>
        <v>0</v>
      </c>
      <c r="L359" s="152" t="e">
        <f>VLOOKUP(A359,'Master Modelo'!A:J,10,FALSE)</f>
        <v>#N/A</v>
      </c>
      <c r="M359" s="150">
        <f>IFERROR(VLOOKUP(A359,'Master Modelo'!A:I,4,FALSE),0)</f>
        <v>0</v>
      </c>
      <c r="N359" s="128"/>
      <c r="O359" s="129"/>
      <c r="P359" s="9">
        <f t="shared" si="154"/>
        <v>0</v>
      </c>
      <c r="Q359" s="177">
        <f t="shared" si="152"/>
        <v>0</v>
      </c>
      <c r="R359" s="3">
        <f>D359*E359*'Entrada e Saida'!$K$8</f>
        <v>0</v>
      </c>
      <c r="S359" s="179" t="e">
        <f>'Entrada e Saida'!$H$21*'Entrada e Saida'!$K$8*(P359/(SUM(P:P)))</f>
        <v>#DIV/0!</v>
      </c>
      <c r="T359" s="179" t="e">
        <f>'Entrada e Saida'!$H$21*'Entrada e Saida'!$K$8*(Q359/(SUM(Q:Q)))</f>
        <v>#DIV/0!</v>
      </c>
      <c r="U359" s="179" t="e">
        <f>'Entrada e Saida'!$H$22*(P359/(SUM(P:P)))</f>
        <v>#DIV/0!</v>
      </c>
      <c r="V359" s="179" t="e">
        <f>'Entrada e Saida'!$H$22*(Q359/(SUM(Q:Q)))</f>
        <v>#DIV/0!</v>
      </c>
      <c r="W359" s="8" t="e">
        <f t="shared" si="155"/>
        <v>#DIV/0!</v>
      </c>
      <c r="X359" s="179" t="e">
        <f>'Entrada e Saida'!$H$26*(IF('Entrada e Saida'!$H$15="PESO",(P359/(SUM(P:P))),(Q359/(SUM(Q:Q)))))</f>
        <v>#DIV/0!</v>
      </c>
      <c r="Y359" s="179" t="e">
        <f>'Entrada e Saida'!$H$27*(IF('Entrada e Saida'!$H$15="PESO",(P359/(SUM(P:P))),(Q359/(SUM(Q:Q)))))</f>
        <v>#DIV/0!</v>
      </c>
      <c r="Z359" s="179" t="e">
        <f>'Entrada e Saida'!$H$28*(IF('Entrada e Saida'!$H$15="PESO",(P359/(SUM(P:P))),(Q359/(SUM(Q:Q)))))</f>
        <v>#DIV/0!</v>
      </c>
      <c r="AA359" s="10" t="e">
        <f t="shared" si="156"/>
        <v>#DIV/0!</v>
      </c>
      <c r="AB359" s="3" t="e">
        <f t="shared" si="157"/>
        <v>#DIV/0!</v>
      </c>
      <c r="AC359" s="3" t="e">
        <f t="shared" si="158"/>
        <v>#DIV/0!</v>
      </c>
      <c r="AD359" s="3" t="e">
        <f t="shared" si="159"/>
        <v>#DIV/0!</v>
      </c>
      <c r="AE359" s="9" t="e">
        <f t="shared" si="160"/>
        <v>#DIV/0!</v>
      </c>
      <c r="AF359" s="126">
        <f>IFERROR(D359*F359*L359*'Entrada e Saida'!$K$8,0)</f>
        <v>0</v>
      </c>
      <c r="AG359" s="3" t="e">
        <f>((W359+AA359+AB359+AC359+AD359+AE359+AF359)/(1-'Entrada e Saida'!$G$65))*'Entrada e Saida'!$I$66</f>
        <v>#DIV/0!</v>
      </c>
      <c r="AH359" s="8" t="e">
        <f t="shared" si="161"/>
        <v>#DIV/0!</v>
      </c>
      <c r="AI359" s="183" t="e">
        <f>'Entrada e Saida'!$K$51*(IF('Entrada e Saida'!$H$15="PESO",(P359/(SUM(P:P))),(Q359/(SUM(Q:Q)))))</f>
        <v>#DIV/0!</v>
      </c>
      <c r="AJ359" s="7">
        <f>(('Entrada e Saida'!$K$10-'Entrada e Saida'!$K$8)*E359*D359)</f>
        <v>0</v>
      </c>
      <c r="AK359" s="184" t="e">
        <f>IF('Entrada e Saida'!$H$15="PESO",W359+AA359+AH359+AI359+AJ359,W359+AA359+AH359+AI359+AJ359-S359+T359-U359+V359)</f>
        <v>#DIV/0!</v>
      </c>
      <c r="AL359" s="6" t="e">
        <f>IF('Entrada e Saida'!$H$12="REAL",AC359,0)</f>
        <v>#DIV/0!</v>
      </c>
      <c r="AM359" s="6" t="e">
        <f>IF('Entrada e Saida'!$H$12="REAL",AD359,0)</f>
        <v>#DIV/0!</v>
      </c>
      <c r="AN359" s="5" t="e">
        <f>IF('Entrada e Saida'!$H$13= "NÃO",AE359,0)</f>
        <v>#DIV/0!</v>
      </c>
      <c r="AO359" s="5" t="e">
        <f t="shared" si="162"/>
        <v>#DIV/0!</v>
      </c>
      <c r="AP359" s="4" t="e">
        <f t="shared" si="163"/>
        <v>#DIV/0!</v>
      </c>
      <c r="AQ359" s="3" t="e">
        <f>IF('Entrada e Saida'!$H$11="TRADING",AU359*'Custo Resumido'!D359,0)</f>
        <v>#DIV/0!</v>
      </c>
      <c r="AR359" s="3" t="e">
        <f>IF('Entrada e Saida'!$H$11="TRADING",AU359*'Entrada e Saida'!$G$63,0)</f>
        <v>#DIV/0!</v>
      </c>
      <c r="AS359" s="3" t="e">
        <f>IF('Entrada e Saida'!$H$11="TRADING",AU359*'Entrada e Saida'!$G$64,0)</f>
        <v>#DIV/0!</v>
      </c>
      <c r="AT359" s="3" t="e">
        <f>IF('Entrada e Saida'!$H$11="TRADING",AU359*'Entrada e Saida'!$G$65,0)</f>
        <v>#DIV/0!</v>
      </c>
      <c r="AU359" s="4" t="e">
        <f>IF('Entrada e Saida'!$H$11="TRADING",AP359/(1-(SUM('Entrada e Saida'!$G$63:$G$65)+'Custo Resumido'!D359)),0)</f>
        <v>#DIV/0!</v>
      </c>
      <c r="AV359" s="3" t="e">
        <f>IF('Entrada e Saida'!$H$13="NÃO",AU359*M359,0)</f>
        <v>#DIV/0!</v>
      </c>
      <c r="AW359" s="4" t="e">
        <f t="shared" si="164"/>
        <v>#DIV/0!</v>
      </c>
      <c r="AX359" s="3" t="e">
        <f>'Entrada e Saida'!$G$74*AU359</f>
        <v>#DIV/0!</v>
      </c>
      <c r="AY359" s="4" t="e">
        <f t="shared" si="165"/>
        <v>#DIV/0!</v>
      </c>
      <c r="AZ359" s="4" t="e">
        <f>AQ359+('Entrada e Saida'!$G$65-'Entrada e Saida'!$I$65)*AU359-AX359</f>
        <v>#DIV/0!</v>
      </c>
      <c r="BA359" s="3" t="e">
        <f>IF('Entrada e Saida'!$H$12="REAL",AZ359*'Entrada e Saida'!$G$81,AU359*'Entrada e Saida'!$G$81)</f>
        <v>#DIV/0!</v>
      </c>
      <c r="BB359" s="3" t="e">
        <f>IF('Entrada e Saida'!$H$12="REAL",AZ359*'Entrada e Saida'!$G$82,AU359*'Entrada e Saida'!$G$82)</f>
        <v>#DIV/0!</v>
      </c>
      <c r="BC359" s="4" t="e">
        <f t="shared" si="166"/>
        <v>#DIV/0!</v>
      </c>
      <c r="BD359" s="3" t="e">
        <f>IF('Entrada e Saida'!$H$11="TRADING",AW359/D359,AK359/D359)</f>
        <v>#DIV/0!</v>
      </c>
      <c r="BE359" s="3" t="e">
        <f t="shared" si="167"/>
        <v>#DIV/0!</v>
      </c>
      <c r="BF359" s="2" t="e">
        <f t="shared" si="168"/>
        <v>#DIV/0!</v>
      </c>
      <c r="BG359" s="3" t="e">
        <f>IF('Entrada e Saida'!$H$11="TRADING",AV359/D359,AN359/D359)</f>
        <v>#DIV/0!</v>
      </c>
      <c r="BH359" s="3" t="e">
        <f>IF('Entrada e Saida'!$H$11="TRADING",IF('Entrada e Saida'!$H$12="REAL",AR359/D359,0),AL359/D359)</f>
        <v>#DIV/0!</v>
      </c>
      <c r="BI359" s="3" t="e">
        <f>IF('Entrada e Saida'!$H$11="TRADING",IF('Entrada e Saida'!$H$12="REAL",AS359/D359,0),AM359/D359)</f>
        <v>#DIV/0!</v>
      </c>
      <c r="BJ359" s="3" t="e">
        <f>IF('Entrada e Saida'!$H$11="TRADING",AT359/D359,AO359/D359)</f>
        <v>#DIV/0!</v>
      </c>
      <c r="BK359" s="2" t="e">
        <f t="shared" si="169"/>
        <v>#DIV/0!</v>
      </c>
      <c r="BL359" s="2">
        <f>IF(O359&gt;0,IFERROR(IF('Entrada e Saida'!$H$11="DIRETA",0,(IF('Entrada e Saida'!$H$14="P.JURIDICA",(BD359*(1+O359)*N359)-((BD359/(1+M359))*'Entrada e Saida'!$G$65),((Produtos!N359-'Entrada e Saida'!$G$65)*Produtos!BD359)))),0),0)</f>
        <v>0</v>
      </c>
      <c r="BM359" s="2" t="e">
        <f t="shared" si="170"/>
        <v>#DIV/0!</v>
      </c>
    </row>
    <row r="360" spans="1:65" s="1" customFormat="1">
      <c r="A360" s="127"/>
      <c r="B360" s="114">
        <f>IFERROR(VLOOKUP(A360,'Master Modelo'!A:I,7,FALSE),0)</f>
        <v>0</v>
      </c>
      <c r="C360" s="116">
        <f>IFERROR(VLOOKUP(A360,'Master Modelo'!A:I,2,FALSE),0)</f>
        <v>0</v>
      </c>
      <c r="D360" s="146"/>
      <c r="E360" s="115">
        <f>IFERROR(VLOOKUP(A360,'Master Modelo'!A:I,9,FALSE),0)</f>
        <v>0</v>
      </c>
      <c r="F360" s="189">
        <f>IFERROR(VLOOKUP(A360,'Master Modelo'!A:I,8,FALSE),0)</f>
        <v>0</v>
      </c>
      <c r="G360" s="189">
        <f>IFERROR(VLOOKUP(A360,'Master Modelo'!A:K,11,FALSE),0)</f>
        <v>0</v>
      </c>
      <c r="H360" s="114" t="e">
        <f t="shared" si="153"/>
        <v>#DIV/0!</v>
      </c>
      <c r="I360" s="150">
        <f>IFERROR(VLOOKUP(A360,'Master Modelo'!A:I,3,FALSE),0)</f>
        <v>0</v>
      </c>
      <c r="J360" s="151">
        <f>IFERROR(VLOOKUP(A360,'Master Modelo'!A:I,5,FALSE),0)</f>
        <v>0</v>
      </c>
      <c r="K360" s="151">
        <f>IFERROR(VLOOKUP(A360,'Master Modelo'!A:I,6,FALSE),0)</f>
        <v>0</v>
      </c>
      <c r="L360" s="152" t="e">
        <f>VLOOKUP(A360,'Master Modelo'!A:J,10,FALSE)</f>
        <v>#N/A</v>
      </c>
      <c r="M360" s="150">
        <f>IFERROR(VLOOKUP(A360,'Master Modelo'!A:I,4,FALSE),0)</f>
        <v>0</v>
      </c>
      <c r="N360" s="128"/>
      <c r="O360" s="129"/>
      <c r="P360" s="9">
        <f t="shared" si="154"/>
        <v>0</v>
      </c>
      <c r="Q360" s="177">
        <f t="shared" si="152"/>
        <v>0</v>
      </c>
      <c r="R360" s="3">
        <f>D360*E360*'Entrada e Saida'!$K$8</f>
        <v>0</v>
      </c>
      <c r="S360" s="179" t="e">
        <f>'Entrada e Saida'!$H$21*'Entrada e Saida'!$K$8*(P360/(SUM(P:P)))</f>
        <v>#DIV/0!</v>
      </c>
      <c r="T360" s="179" t="e">
        <f>'Entrada e Saida'!$H$21*'Entrada e Saida'!$K$8*(Q360/(SUM(Q:Q)))</f>
        <v>#DIV/0!</v>
      </c>
      <c r="U360" s="179" t="e">
        <f>'Entrada e Saida'!$H$22*(P360/(SUM(P:P)))</f>
        <v>#DIV/0!</v>
      </c>
      <c r="V360" s="179" t="e">
        <f>'Entrada e Saida'!$H$22*(Q360/(SUM(Q:Q)))</f>
        <v>#DIV/0!</v>
      </c>
      <c r="W360" s="8" t="e">
        <f t="shared" si="155"/>
        <v>#DIV/0!</v>
      </c>
      <c r="X360" s="179" t="e">
        <f>'Entrada e Saida'!$H$26*(IF('Entrada e Saida'!$H$15="PESO",(P360/(SUM(P:P))),(Q360/(SUM(Q:Q)))))</f>
        <v>#DIV/0!</v>
      </c>
      <c r="Y360" s="179" t="e">
        <f>'Entrada e Saida'!$H$27*(IF('Entrada e Saida'!$H$15="PESO",(P360/(SUM(P:P))),(Q360/(SUM(Q:Q)))))</f>
        <v>#DIV/0!</v>
      </c>
      <c r="Z360" s="179" t="e">
        <f>'Entrada e Saida'!$H$28*(IF('Entrada e Saida'!$H$15="PESO",(P360/(SUM(P:P))),(Q360/(SUM(Q:Q)))))</f>
        <v>#DIV/0!</v>
      </c>
      <c r="AA360" s="10" t="e">
        <f t="shared" si="156"/>
        <v>#DIV/0!</v>
      </c>
      <c r="AB360" s="3" t="e">
        <f t="shared" si="157"/>
        <v>#DIV/0!</v>
      </c>
      <c r="AC360" s="3" t="e">
        <f t="shared" si="158"/>
        <v>#DIV/0!</v>
      </c>
      <c r="AD360" s="3" t="e">
        <f t="shared" si="159"/>
        <v>#DIV/0!</v>
      </c>
      <c r="AE360" s="9" t="e">
        <f t="shared" si="160"/>
        <v>#DIV/0!</v>
      </c>
      <c r="AF360" s="126">
        <f>IFERROR(D360*F360*L360*'Entrada e Saida'!$K$8,0)</f>
        <v>0</v>
      </c>
      <c r="AG360" s="3" t="e">
        <f>((W360+AA360+AB360+AC360+AD360+AE360+AF360)/(1-'Entrada e Saida'!$G$65))*'Entrada e Saida'!$I$66</f>
        <v>#DIV/0!</v>
      </c>
      <c r="AH360" s="8" t="e">
        <f t="shared" si="161"/>
        <v>#DIV/0!</v>
      </c>
      <c r="AI360" s="183" t="e">
        <f>'Entrada e Saida'!$K$51*(IF('Entrada e Saida'!$H$15="PESO",(P360/(SUM(P:P))),(Q360/(SUM(Q:Q)))))</f>
        <v>#DIV/0!</v>
      </c>
      <c r="AJ360" s="7">
        <f>(('Entrada e Saida'!$K$10-'Entrada e Saida'!$K$8)*E360*D360)</f>
        <v>0</v>
      </c>
      <c r="AK360" s="184" t="e">
        <f>IF('Entrada e Saida'!$H$15="PESO",W360+AA360+AH360+AI360+AJ360,W360+AA360+AH360+AI360+AJ360-S360+T360-U360+V360)</f>
        <v>#DIV/0!</v>
      </c>
      <c r="AL360" s="6" t="e">
        <f>IF('Entrada e Saida'!$H$12="REAL",AC360,0)</f>
        <v>#DIV/0!</v>
      </c>
      <c r="AM360" s="6" t="e">
        <f>IF('Entrada e Saida'!$H$12="REAL",AD360,0)</f>
        <v>#DIV/0!</v>
      </c>
      <c r="AN360" s="5" t="e">
        <f>IF('Entrada e Saida'!$H$13= "NÃO",AE360,0)</f>
        <v>#DIV/0!</v>
      </c>
      <c r="AO360" s="5" t="e">
        <f t="shared" si="162"/>
        <v>#DIV/0!</v>
      </c>
      <c r="AP360" s="4" t="e">
        <f t="shared" si="163"/>
        <v>#DIV/0!</v>
      </c>
      <c r="AQ360" s="3" t="e">
        <f>IF('Entrada e Saida'!$H$11="TRADING",AU360*'Custo Resumido'!D360,0)</f>
        <v>#DIV/0!</v>
      </c>
      <c r="AR360" s="3" t="e">
        <f>IF('Entrada e Saida'!$H$11="TRADING",AU360*'Entrada e Saida'!$G$63,0)</f>
        <v>#DIV/0!</v>
      </c>
      <c r="AS360" s="3" t="e">
        <f>IF('Entrada e Saida'!$H$11="TRADING",AU360*'Entrada e Saida'!$G$64,0)</f>
        <v>#DIV/0!</v>
      </c>
      <c r="AT360" s="3" t="e">
        <f>IF('Entrada e Saida'!$H$11="TRADING",AU360*'Entrada e Saida'!$G$65,0)</f>
        <v>#DIV/0!</v>
      </c>
      <c r="AU360" s="4" t="e">
        <f>IF('Entrada e Saida'!$H$11="TRADING",AP360/(1-(SUM('Entrada e Saida'!$G$63:$G$65)+'Custo Resumido'!D360)),0)</f>
        <v>#DIV/0!</v>
      </c>
      <c r="AV360" s="3" t="e">
        <f>IF('Entrada e Saida'!$H$13="NÃO",AU360*M360,0)</f>
        <v>#DIV/0!</v>
      </c>
      <c r="AW360" s="4" t="e">
        <f t="shared" si="164"/>
        <v>#DIV/0!</v>
      </c>
      <c r="AX360" s="3" t="e">
        <f>'Entrada e Saida'!$G$74*AU360</f>
        <v>#DIV/0!</v>
      </c>
      <c r="AY360" s="4" t="e">
        <f t="shared" si="165"/>
        <v>#DIV/0!</v>
      </c>
      <c r="AZ360" s="4" t="e">
        <f>AQ360+('Entrada e Saida'!$G$65-'Entrada e Saida'!$I$65)*AU360-AX360</f>
        <v>#DIV/0!</v>
      </c>
      <c r="BA360" s="3" t="e">
        <f>IF('Entrada e Saida'!$H$12="REAL",AZ360*'Entrada e Saida'!$G$81,AU360*'Entrada e Saida'!$G$81)</f>
        <v>#DIV/0!</v>
      </c>
      <c r="BB360" s="3" t="e">
        <f>IF('Entrada e Saida'!$H$12="REAL",AZ360*'Entrada e Saida'!$G$82,AU360*'Entrada e Saida'!$G$82)</f>
        <v>#DIV/0!</v>
      </c>
      <c r="BC360" s="4" t="e">
        <f t="shared" si="166"/>
        <v>#DIV/0!</v>
      </c>
      <c r="BD360" s="3" t="e">
        <f>IF('Entrada e Saida'!$H$11="TRADING",AW360/D360,AK360/D360)</f>
        <v>#DIV/0!</v>
      </c>
      <c r="BE360" s="3" t="e">
        <f t="shared" si="167"/>
        <v>#DIV/0!</v>
      </c>
      <c r="BF360" s="2" t="e">
        <f t="shared" si="168"/>
        <v>#DIV/0!</v>
      </c>
      <c r="BG360" s="3" t="e">
        <f>IF('Entrada e Saida'!$H$11="TRADING",AV360/D360,AN360/D360)</f>
        <v>#DIV/0!</v>
      </c>
      <c r="BH360" s="3" t="e">
        <f>IF('Entrada e Saida'!$H$11="TRADING",IF('Entrada e Saida'!$H$12="REAL",AR360/D360,0),AL360/D360)</f>
        <v>#DIV/0!</v>
      </c>
      <c r="BI360" s="3" t="e">
        <f>IF('Entrada e Saida'!$H$11="TRADING",IF('Entrada e Saida'!$H$12="REAL",AS360/D360,0),AM360/D360)</f>
        <v>#DIV/0!</v>
      </c>
      <c r="BJ360" s="3" t="e">
        <f>IF('Entrada e Saida'!$H$11="TRADING",AT360/D360,AO360/D360)</f>
        <v>#DIV/0!</v>
      </c>
      <c r="BK360" s="2" t="e">
        <f t="shared" si="169"/>
        <v>#DIV/0!</v>
      </c>
      <c r="BL360" s="2">
        <f>IF(O360&gt;0,IFERROR(IF('Entrada e Saida'!$H$11="DIRETA",0,(IF('Entrada e Saida'!$H$14="P.JURIDICA",(BD360*(1+O360)*N360)-((BD360/(1+M360))*'Entrada e Saida'!$G$65),((Produtos!N360-'Entrada e Saida'!$G$65)*Produtos!BD360)))),0),0)</f>
        <v>0</v>
      </c>
      <c r="BM360" s="2" t="e">
        <f t="shared" si="170"/>
        <v>#DIV/0!</v>
      </c>
    </row>
    <row r="361" spans="1:65" s="1" customFormat="1">
      <c r="A361" s="127"/>
      <c r="B361" s="114">
        <f>IFERROR(VLOOKUP(A361,'Master Modelo'!A:I,7,FALSE),0)</f>
        <v>0</v>
      </c>
      <c r="C361" s="116">
        <f>IFERROR(VLOOKUP(A361,'Master Modelo'!A:I,2,FALSE),0)</f>
        <v>0</v>
      </c>
      <c r="D361" s="146"/>
      <c r="E361" s="115">
        <f>IFERROR(VLOOKUP(A361,'Master Modelo'!A:I,9,FALSE),0)</f>
        <v>0</v>
      </c>
      <c r="F361" s="189">
        <f>IFERROR(VLOOKUP(A361,'Master Modelo'!A:I,8,FALSE),0)</f>
        <v>0</v>
      </c>
      <c r="G361" s="189">
        <f>IFERROR(VLOOKUP(A361,'Master Modelo'!A:K,11,FALSE),0)</f>
        <v>0</v>
      </c>
      <c r="H361" s="114" t="e">
        <f t="shared" si="153"/>
        <v>#DIV/0!</v>
      </c>
      <c r="I361" s="150">
        <f>IFERROR(VLOOKUP(A361,'Master Modelo'!A:I,3,FALSE),0)</f>
        <v>0</v>
      </c>
      <c r="J361" s="151">
        <f>IFERROR(VLOOKUP(A361,'Master Modelo'!A:I,5,FALSE),0)</f>
        <v>0</v>
      </c>
      <c r="K361" s="151">
        <f>IFERROR(VLOOKUP(A361,'Master Modelo'!A:I,6,FALSE),0)</f>
        <v>0</v>
      </c>
      <c r="L361" s="152" t="e">
        <f>VLOOKUP(A361,'Master Modelo'!A:J,10,FALSE)</f>
        <v>#N/A</v>
      </c>
      <c r="M361" s="150">
        <f>IFERROR(VLOOKUP(A361,'Master Modelo'!A:I,4,FALSE),0)</f>
        <v>0</v>
      </c>
      <c r="N361" s="128"/>
      <c r="O361" s="129"/>
      <c r="P361" s="9">
        <f t="shared" si="154"/>
        <v>0</v>
      </c>
      <c r="Q361" s="177">
        <f t="shared" si="152"/>
        <v>0</v>
      </c>
      <c r="R361" s="3">
        <f>D361*E361*'Entrada e Saida'!$K$8</f>
        <v>0</v>
      </c>
      <c r="S361" s="179" t="e">
        <f>'Entrada e Saida'!$H$21*'Entrada e Saida'!$K$8*(P361/(SUM(P:P)))</f>
        <v>#DIV/0!</v>
      </c>
      <c r="T361" s="179" t="e">
        <f>'Entrada e Saida'!$H$21*'Entrada e Saida'!$K$8*(Q361/(SUM(Q:Q)))</f>
        <v>#DIV/0!</v>
      </c>
      <c r="U361" s="179" t="e">
        <f>'Entrada e Saida'!$H$22*(P361/(SUM(P:P)))</f>
        <v>#DIV/0!</v>
      </c>
      <c r="V361" s="179" t="e">
        <f>'Entrada e Saida'!$H$22*(Q361/(SUM(Q:Q)))</f>
        <v>#DIV/0!</v>
      </c>
      <c r="W361" s="8" t="e">
        <f t="shared" si="155"/>
        <v>#DIV/0!</v>
      </c>
      <c r="X361" s="179" t="e">
        <f>'Entrada e Saida'!$H$26*(IF('Entrada e Saida'!$H$15="PESO",(P361/(SUM(P:P))),(Q361/(SUM(Q:Q)))))</f>
        <v>#DIV/0!</v>
      </c>
      <c r="Y361" s="179" t="e">
        <f>'Entrada e Saida'!$H$27*(IF('Entrada e Saida'!$H$15="PESO",(P361/(SUM(P:P))),(Q361/(SUM(Q:Q)))))</f>
        <v>#DIV/0!</v>
      </c>
      <c r="Z361" s="179" t="e">
        <f>'Entrada e Saida'!$H$28*(IF('Entrada e Saida'!$H$15="PESO",(P361/(SUM(P:P))),(Q361/(SUM(Q:Q)))))</f>
        <v>#DIV/0!</v>
      </c>
      <c r="AA361" s="10" t="e">
        <f t="shared" si="156"/>
        <v>#DIV/0!</v>
      </c>
      <c r="AB361" s="3" t="e">
        <f t="shared" si="157"/>
        <v>#DIV/0!</v>
      </c>
      <c r="AC361" s="3" t="e">
        <f t="shared" si="158"/>
        <v>#DIV/0!</v>
      </c>
      <c r="AD361" s="3" t="e">
        <f t="shared" si="159"/>
        <v>#DIV/0!</v>
      </c>
      <c r="AE361" s="9" t="e">
        <f t="shared" si="160"/>
        <v>#DIV/0!</v>
      </c>
      <c r="AF361" s="126">
        <f>IFERROR(D361*F361*L361*'Entrada e Saida'!$K$8,0)</f>
        <v>0</v>
      </c>
      <c r="AG361" s="3" t="e">
        <f>((W361+AA361+AB361+AC361+AD361+AE361+AF361)/(1-'Entrada e Saida'!$G$65))*'Entrada e Saida'!$I$66</f>
        <v>#DIV/0!</v>
      </c>
      <c r="AH361" s="8" t="e">
        <f t="shared" si="161"/>
        <v>#DIV/0!</v>
      </c>
      <c r="AI361" s="183" t="e">
        <f>'Entrada e Saida'!$K$51*(IF('Entrada e Saida'!$H$15="PESO",(P361/(SUM(P:P))),(Q361/(SUM(Q:Q)))))</f>
        <v>#DIV/0!</v>
      </c>
      <c r="AJ361" s="7">
        <f>(('Entrada e Saida'!$K$10-'Entrada e Saida'!$K$8)*E361*D361)</f>
        <v>0</v>
      </c>
      <c r="AK361" s="184" t="e">
        <f>IF('Entrada e Saida'!$H$15="PESO",W361+AA361+AH361+AI361+AJ361,W361+AA361+AH361+AI361+AJ361-S361+T361-U361+V361)</f>
        <v>#DIV/0!</v>
      </c>
      <c r="AL361" s="6" t="e">
        <f>IF('Entrada e Saida'!$H$12="REAL",AC361,0)</f>
        <v>#DIV/0!</v>
      </c>
      <c r="AM361" s="6" t="e">
        <f>IF('Entrada e Saida'!$H$12="REAL",AD361,0)</f>
        <v>#DIV/0!</v>
      </c>
      <c r="AN361" s="5" t="e">
        <f>IF('Entrada e Saida'!$H$13= "NÃO",AE361,0)</f>
        <v>#DIV/0!</v>
      </c>
      <c r="AO361" s="5" t="e">
        <f t="shared" si="162"/>
        <v>#DIV/0!</v>
      </c>
      <c r="AP361" s="4" t="e">
        <f t="shared" si="163"/>
        <v>#DIV/0!</v>
      </c>
      <c r="AQ361" s="3" t="e">
        <f>IF('Entrada e Saida'!$H$11="TRADING",AU361*'Custo Resumido'!D361,0)</f>
        <v>#DIV/0!</v>
      </c>
      <c r="AR361" s="3" t="e">
        <f>IF('Entrada e Saida'!$H$11="TRADING",AU361*'Entrada e Saida'!$G$63,0)</f>
        <v>#DIV/0!</v>
      </c>
      <c r="AS361" s="3" t="e">
        <f>IF('Entrada e Saida'!$H$11="TRADING",AU361*'Entrada e Saida'!$G$64,0)</f>
        <v>#DIV/0!</v>
      </c>
      <c r="AT361" s="3" t="e">
        <f>IF('Entrada e Saida'!$H$11="TRADING",AU361*'Entrada e Saida'!$G$65,0)</f>
        <v>#DIV/0!</v>
      </c>
      <c r="AU361" s="4" t="e">
        <f>IF('Entrada e Saida'!$H$11="TRADING",AP361/(1-(SUM('Entrada e Saida'!$G$63:$G$65)+'Custo Resumido'!D361)),0)</f>
        <v>#DIV/0!</v>
      </c>
      <c r="AV361" s="3" t="e">
        <f>IF('Entrada e Saida'!$H$13="NÃO",AU361*M361,0)</f>
        <v>#DIV/0!</v>
      </c>
      <c r="AW361" s="4" t="e">
        <f t="shared" si="164"/>
        <v>#DIV/0!</v>
      </c>
      <c r="AX361" s="3" t="e">
        <f>'Entrada e Saida'!$G$74*AU361</f>
        <v>#DIV/0!</v>
      </c>
      <c r="AY361" s="4" t="e">
        <f t="shared" si="165"/>
        <v>#DIV/0!</v>
      </c>
      <c r="AZ361" s="4" t="e">
        <f>AQ361+('Entrada e Saida'!$G$65-'Entrada e Saida'!$I$65)*AU361-AX361</f>
        <v>#DIV/0!</v>
      </c>
      <c r="BA361" s="3" t="e">
        <f>IF('Entrada e Saida'!$H$12="REAL",AZ361*'Entrada e Saida'!$G$81,AU361*'Entrada e Saida'!$G$81)</f>
        <v>#DIV/0!</v>
      </c>
      <c r="BB361" s="3" t="e">
        <f>IF('Entrada e Saida'!$H$12="REAL",AZ361*'Entrada e Saida'!$G$82,AU361*'Entrada e Saida'!$G$82)</f>
        <v>#DIV/0!</v>
      </c>
      <c r="BC361" s="4" t="e">
        <f t="shared" si="166"/>
        <v>#DIV/0!</v>
      </c>
      <c r="BD361" s="3" t="e">
        <f>IF('Entrada e Saida'!$H$11="TRADING",AW361/D361,AK361/D361)</f>
        <v>#DIV/0!</v>
      </c>
      <c r="BE361" s="3" t="e">
        <f t="shared" si="167"/>
        <v>#DIV/0!</v>
      </c>
      <c r="BF361" s="2" t="e">
        <f t="shared" si="168"/>
        <v>#DIV/0!</v>
      </c>
      <c r="BG361" s="3" t="e">
        <f>IF('Entrada e Saida'!$H$11="TRADING",AV361/D361,AN361/D361)</f>
        <v>#DIV/0!</v>
      </c>
      <c r="BH361" s="3" t="e">
        <f>IF('Entrada e Saida'!$H$11="TRADING",IF('Entrada e Saida'!$H$12="REAL",AR361/D361,0),AL361/D361)</f>
        <v>#DIV/0!</v>
      </c>
      <c r="BI361" s="3" t="e">
        <f>IF('Entrada e Saida'!$H$11="TRADING",IF('Entrada e Saida'!$H$12="REAL",AS361/D361,0),AM361/D361)</f>
        <v>#DIV/0!</v>
      </c>
      <c r="BJ361" s="3" t="e">
        <f>IF('Entrada e Saida'!$H$11="TRADING",AT361/D361,AO361/D361)</f>
        <v>#DIV/0!</v>
      </c>
      <c r="BK361" s="2" t="e">
        <f t="shared" si="169"/>
        <v>#DIV/0!</v>
      </c>
      <c r="BL361" s="2">
        <f>IF(O361&gt;0,IFERROR(IF('Entrada e Saida'!$H$11="DIRETA",0,(IF('Entrada e Saida'!$H$14="P.JURIDICA",(BD361*(1+O361)*N361)-((BD361/(1+M361))*'Entrada e Saida'!$G$65),((Produtos!N361-'Entrada e Saida'!$G$65)*Produtos!BD361)))),0),0)</f>
        <v>0</v>
      </c>
      <c r="BM361" s="2" t="e">
        <f t="shared" si="170"/>
        <v>#DIV/0!</v>
      </c>
    </row>
    <row r="362" spans="1:65" s="1" customFormat="1">
      <c r="A362" s="127"/>
      <c r="B362" s="114">
        <f>IFERROR(VLOOKUP(A362,'Master Modelo'!A:I,7,FALSE),0)</f>
        <v>0</v>
      </c>
      <c r="C362" s="116">
        <f>IFERROR(VLOOKUP(A362,'Master Modelo'!A:I,2,FALSE),0)</f>
        <v>0</v>
      </c>
      <c r="D362" s="146"/>
      <c r="E362" s="115">
        <f>IFERROR(VLOOKUP(A362,'Master Modelo'!A:I,9,FALSE),0)</f>
        <v>0</v>
      </c>
      <c r="F362" s="189">
        <f>IFERROR(VLOOKUP(A362,'Master Modelo'!A:I,8,FALSE),0)</f>
        <v>0</v>
      </c>
      <c r="G362" s="189">
        <f>IFERROR(VLOOKUP(A362,'Master Modelo'!A:K,11,FALSE),0)</f>
        <v>0</v>
      </c>
      <c r="H362" s="114" t="e">
        <f t="shared" si="153"/>
        <v>#DIV/0!</v>
      </c>
      <c r="I362" s="150">
        <f>IFERROR(VLOOKUP(A362,'Master Modelo'!A:I,3,FALSE),0)</f>
        <v>0</v>
      </c>
      <c r="J362" s="151">
        <f>IFERROR(VLOOKUP(A362,'Master Modelo'!A:I,5,FALSE),0)</f>
        <v>0</v>
      </c>
      <c r="K362" s="151">
        <f>IFERROR(VLOOKUP(A362,'Master Modelo'!A:I,6,FALSE),0)</f>
        <v>0</v>
      </c>
      <c r="L362" s="152" t="e">
        <f>VLOOKUP(A362,'Master Modelo'!A:J,10,FALSE)</f>
        <v>#N/A</v>
      </c>
      <c r="M362" s="150">
        <f>IFERROR(VLOOKUP(A362,'Master Modelo'!A:I,4,FALSE),0)</f>
        <v>0</v>
      </c>
      <c r="N362" s="128"/>
      <c r="O362" s="129"/>
      <c r="P362" s="9">
        <f t="shared" si="154"/>
        <v>0</v>
      </c>
      <c r="Q362" s="177">
        <f t="shared" si="152"/>
        <v>0</v>
      </c>
      <c r="R362" s="3">
        <f>D362*E362*'Entrada e Saida'!$K$8</f>
        <v>0</v>
      </c>
      <c r="S362" s="179" t="e">
        <f>'Entrada e Saida'!$H$21*'Entrada e Saida'!$K$8*(P362/(SUM(P:P)))</f>
        <v>#DIV/0!</v>
      </c>
      <c r="T362" s="179" t="e">
        <f>'Entrada e Saida'!$H$21*'Entrada e Saida'!$K$8*(Q362/(SUM(Q:Q)))</f>
        <v>#DIV/0!</v>
      </c>
      <c r="U362" s="179" t="e">
        <f>'Entrada e Saida'!$H$22*(P362/(SUM(P:P)))</f>
        <v>#DIV/0!</v>
      </c>
      <c r="V362" s="179" t="e">
        <f>'Entrada e Saida'!$H$22*(Q362/(SUM(Q:Q)))</f>
        <v>#DIV/0!</v>
      </c>
      <c r="W362" s="8" t="e">
        <f t="shared" si="155"/>
        <v>#DIV/0!</v>
      </c>
      <c r="X362" s="179" t="e">
        <f>'Entrada e Saida'!$H$26*(IF('Entrada e Saida'!$H$15="PESO",(P362/(SUM(P:P))),(Q362/(SUM(Q:Q)))))</f>
        <v>#DIV/0!</v>
      </c>
      <c r="Y362" s="179" t="e">
        <f>'Entrada e Saida'!$H$27*(IF('Entrada e Saida'!$H$15="PESO",(P362/(SUM(P:P))),(Q362/(SUM(Q:Q)))))</f>
        <v>#DIV/0!</v>
      </c>
      <c r="Z362" s="179" t="e">
        <f>'Entrada e Saida'!$H$28*(IF('Entrada e Saida'!$H$15="PESO",(P362/(SUM(P:P))),(Q362/(SUM(Q:Q)))))</f>
        <v>#DIV/0!</v>
      </c>
      <c r="AA362" s="10" t="e">
        <f t="shared" si="156"/>
        <v>#DIV/0!</v>
      </c>
      <c r="AB362" s="3" t="e">
        <f t="shared" si="157"/>
        <v>#DIV/0!</v>
      </c>
      <c r="AC362" s="3" t="e">
        <f t="shared" si="158"/>
        <v>#DIV/0!</v>
      </c>
      <c r="AD362" s="3" t="e">
        <f t="shared" si="159"/>
        <v>#DIV/0!</v>
      </c>
      <c r="AE362" s="9" t="e">
        <f t="shared" si="160"/>
        <v>#DIV/0!</v>
      </c>
      <c r="AF362" s="126">
        <f>IFERROR(D362*F362*L362*'Entrada e Saida'!$K$8,0)</f>
        <v>0</v>
      </c>
      <c r="AG362" s="3" t="e">
        <f>((W362+AA362+AB362+AC362+AD362+AE362+AF362)/(1-'Entrada e Saida'!$G$65))*'Entrada e Saida'!$I$66</f>
        <v>#DIV/0!</v>
      </c>
      <c r="AH362" s="8" t="e">
        <f t="shared" si="161"/>
        <v>#DIV/0!</v>
      </c>
      <c r="AI362" s="183" t="e">
        <f>'Entrada e Saida'!$K$51*(IF('Entrada e Saida'!$H$15="PESO",(P362/(SUM(P:P))),(Q362/(SUM(Q:Q)))))</f>
        <v>#DIV/0!</v>
      </c>
      <c r="AJ362" s="7">
        <f>(('Entrada e Saida'!$K$10-'Entrada e Saida'!$K$8)*E362*D362)</f>
        <v>0</v>
      </c>
      <c r="AK362" s="184" t="e">
        <f>IF('Entrada e Saida'!$H$15="PESO",W362+AA362+AH362+AI362+AJ362,W362+AA362+AH362+AI362+AJ362-S362+T362-U362+V362)</f>
        <v>#DIV/0!</v>
      </c>
      <c r="AL362" s="6" t="e">
        <f>IF('Entrada e Saida'!$H$12="REAL",AC362,0)</f>
        <v>#DIV/0!</v>
      </c>
      <c r="AM362" s="6" t="e">
        <f>IF('Entrada e Saida'!$H$12="REAL",AD362,0)</f>
        <v>#DIV/0!</v>
      </c>
      <c r="AN362" s="5" t="e">
        <f>IF('Entrada e Saida'!$H$13= "NÃO",AE362,0)</f>
        <v>#DIV/0!</v>
      </c>
      <c r="AO362" s="5" t="e">
        <f t="shared" si="162"/>
        <v>#DIV/0!</v>
      </c>
      <c r="AP362" s="4" t="e">
        <f t="shared" si="163"/>
        <v>#DIV/0!</v>
      </c>
      <c r="AQ362" s="3" t="e">
        <f>IF('Entrada e Saida'!$H$11="TRADING",AU362*'Custo Resumido'!D362,0)</f>
        <v>#DIV/0!</v>
      </c>
      <c r="AR362" s="3" t="e">
        <f>IF('Entrada e Saida'!$H$11="TRADING",AU362*'Entrada e Saida'!$G$63,0)</f>
        <v>#DIV/0!</v>
      </c>
      <c r="AS362" s="3" t="e">
        <f>IF('Entrada e Saida'!$H$11="TRADING",AU362*'Entrada e Saida'!$G$64,0)</f>
        <v>#DIV/0!</v>
      </c>
      <c r="AT362" s="3" t="e">
        <f>IF('Entrada e Saida'!$H$11="TRADING",AU362*'Entrada e Saida'!$G$65,0)</f>
        <v>#DIV/0!</v>
      </c>
      <c r="AU362" s="4" t="e">
        <f>IF('Entrada e Saida'!$H$11="TRADING",AP362/(1-(SUM('Entrada e Saida'!$G$63:$G$65)+'Custo Resumido'!D362)),0)</f>
        <v>#DIV/0!</v>
      </c>
      <c r="AV362" s="3" t="e">
        <f>IF('Entrada e Saida'!$H$13="NÃO",AU362*M362,0)</f>
        <v>#DIV/0!</v>
      </c>
      <c r="AW362" s="4" t="e">
        <f t="shared" si="164"/>
        <v>#DIV/0!</v>
      </c>
      <c r="AX362" s="3" t="e">
        <f>'Entrada e Saida'!$G$74*AU362</f>
        <v>#DIV/0!</v>
      </c>
      <c r="AY362" s="4" t="e">
        <f t="shared" si="165"/>
        <v>#DIV/0!</v>
      </c>
      <c r="AZ362" s="4" t="e">
        <f>AQ362+('Entrada e Saida'!$G$65-'Entrada e Saida'!$I$65)*AU362-AX362</f>
        <v>#DIV/0!</v>
      </c>
      <c r="BA362" s="3" t="e">
        <f>IF('Entrada e Saida'!$H$12="REAL",AZ362*'Entrada e Saida'!$G$81,AU362*'Entrada e Saida'!$G$81)</f>
        <v>#DIV/0!</v>
      </c>
      <c r="BB362" s="3" t="e">
        <f>IF('Entrada e Saida'!$H$12="REAL",AZ362*'Entrada e Saida'!$G$82,AU362*'Entrada e Saida'!$G$82)</f>
        <v>#DIV/0!</v>
      </c>
      <c r="BC362" s="4" t="e">
        <f t="shared" si="166"/>
        <v>#DIV/0!</v>
      </c>
      <c r="BD362" s="3" t="e">
        <f>IF('Entrada e Saida'!$H$11="TRADING",AW362/D362,AK362/D362)</f>
        <v>#DIV/0!</v>
      </c>
      <c r="BE362" s="3" t="e">
        <f t="shared" si="167"/>
        <v>#DIV/0!</v>
      </c>
      <c r="BF362" s="2" t="e">
        <f t="shared" si="168"/>
        <v>#DIV/0!</v>
      </c>
      <c r="BG362" s="3" t="e">
        <f>IF('Entrada e Saida'!$H$11="TRADING",AV362/D362,AN362/D362)</f>
        <v>#DIV/0!</v>
      </c>
      <c r="BH362" s="3" t="e">
        <f>IF('Entrada e Saida'!$H$11="TRADING",IF('Entrada e Saida'!$H$12="REAL",AR362/D362,0),AL362/D362)</f>
        <v>#DIV/0!</v>
      </c>
      <c r="BI362" s="3" t="e">
        <f>IF('Entrada e Saida'!$H$11="TRADING",IF('Entrada e Saida'!$H$12="REAL",AS362/D362,0),AM362/D362)</f>
        <v>#DIV/0!</v>
      </c>
      <c r="BJ362" s="3" t="e">
        <f>IF('Entrada e Saida'!$H$11="TRADING",AT362/D362,AO362/D362)</f>
        <v>#DIV/0!</v>
      </c>
      <c r="BK362" s="2" t="e">
        <f t="shared" si="169"/>
        <v>#DIV/0!</v>
      </c>
      <c r="BL362" s="2">
        <f>IF(O362&gt;0,IFERROR(IF('Entrada e Saida'!$H$11="DIRETA",0,(IF('Entrada e Saida'!$H$14="P.JURIDICA",(BD362*(1+O362)*N362)-((BD362/(1+M362))*'Entrada e Saida'!$G$65),((Produtos!N362-'Entrada e Saida'!$G$65)*Produtos!BD362)))),0),0)</f>
        <v>0</v>
      </c>
      <c r="BM362" s="2" t="e">
        <f t="shared" si="170"/>
        <v>#DIV/0!</v>
      </c>
    </row>
    <row r="363" spans="1:65" s="1" customFormat="1">
      <c r="A363" s="127"/>
      <c r="B363" s="114">
        <f>IFERROR(VLOOKUP(A363,'Master Modelo'!A:I,7,FALSE),0)</f>
        <v>0</v>
      </c>
      <c r="C363" s="116">
        <f>IFERROR(VLOOKUP(A363,'Master Modelo'!A:I,2,FALSE),0)</f>
        <v>0</v>
      </c>
      <c r="D363" s="146"/>
      <c r="E363" s="115">
        <f>IFERROR(VLOOKUP(A363,'Master Modelo'!A:I,9,FALSE),0)</f>
        <v>0</v>
      </c>
      <c r="F363" s="189">
        <f>IFERROR(VLOOKUP(A363,'Master Modelo'!A:I,8,FALSE),0)</f>
        <v>0</v>
      </c>
      <c r="G363" s="189">
        <f>IFERROR(VLOOKUP(A363,'Master Modelo'!A:K,11,FALSE),0)</f>
        <v>0</v>
      </c>
      <c r="H363" s="114" t="e">
        <f t="shared" si="153"/>
        <v>#DIV/0!</v>
      </c>
      <c r="I363" s="150">
        <f>IFERROR(VLOOKUP(A363,'Master Modelo'!A:I,3,FALSE),0)</f>
        <v>0</v>
      </c>
      <c r="J363" s="151">
        <f>IFERROR(VLOOKUP(A363,'Master Modelo'!A:I,5,FALSE),0)</f>
        <v>0</v>
      </c>
      <c r="K363" s="151">
        <f>IFERROR(VLOOKUP(A363,'Master Modelo'!A:I,6,FALSE),0)</f>
        <v>0</v>
      </c>
      <c r="L363" s="152" t="e">
        <f>VLOOKUP(A363,'Master Modelo'!A:J,10,FALSE)</f>
        <v>#N/A</v>
      </c>
      <c r="M363" s="150">
        <f>IFERROR(VLOOKUP(A363,'Master Modelo'!A:I,4,FALSE),0)</f>
        <v>0</v>
      </c>
      <c r="N363" s="128"/>
      <c r="O363" s="129"/>
      <c r="P363" s="9">
        <f t="shared" si="154"/>
        <v>0</v>
      </c>
      <c r="Q363" s="177">
        <f t="shared" si="152"/>
        <v>0</v>
      </c>
      <c r="R363" s="3">
        <f>D363*E363*'Entrada e Saida'!$K$8</f>
        <v>0</v>
      </c>
      <c r="S363" s="179" t="e">
        <f>'Entrada e Saida'!$H$21*'Entrada e Saida'!$K$8*(P363/(SUM(P:P)))</f>
        <v>#DIV/0!</v>
      </c>
      <c r="T363" s="179" t="e">
        <f>'Entrada e Saida'!$H$21*'Entrada e Saida'!$K$8*(Q363/(SUM(Q:Q)))</f>
        <v>#DIV/0!</v>
      </c>
      <c r="U363" s="179" t="e">
        <f>'Entrada e Saida'!$H$22*(P363/(SUM(P:P)))</f>
        <v>#DIV/0!</v>
      </c>
      <c r="V363" s="179" t="e">
        <f>'Entrada e Saida'!$H$22*(Q363/(SUM(Q:Q)))</f>
        <v>#DIV/0!</v>
      </c>
      <c r="W363" s="8" t="e">
        <f t="shared" si="155"/>
        <v>#DIV/0!</v>
      </c>
      <c r="X363" s="179" t="e">
        <f>'Entrada e Saida'!$H$26*(IF('Entrada e Saida'!$H$15="PESO",(P363/(SUM(P:P))),(Q363/(SUM(Q:Q)))))</f>
        <v>#DIV/0!</v>
      </c>
      <c r="Y363" s="179" t="e">
        <f>'Entrada e Saida'!$H$27*(IF('Entrada e Saida'!$H$15="PESO",(P363/(SUM(P:P))),(Q363/(SUM(Q:Q)))))</f>
        <v>#DIV/0!</v>
      </c>
      <c r="Z363" s="179" t="e">
        <f>'Entrada e Saida'!$H$28*(IF('Entrada e Saida'!$H$15="PESO",(P363/(SUM(P:P))),(Q363/(SUM(Q:Q)))))</f>
        <v>#DIV/0!</v>
      </c>
      <c r="AA363" s="10" t="e">
        <f t="shared" si="156"/>
        <v>#DIV/0!</v>
      </c>
      <c r="AB363" s="3" t="e">
        <f t="shared" si="157"/>
        <v>#DIV/0!</v>
      </c>
      <c r="AC363" s="3" t="e">
        <f t="shared" si="158"/>
        <v>#DIV/0!</v>
      </c>
      <c r="AD363" s="3" t="e">
        <f t="shared" si="159"/>
        <v>#DIV/0!</v>
      </c>
      <c r="AE363" s="9" t="e">
        <f t="shared" si="160"/>
        <v>#DIV/0!</v>
      </c>
      <c r="AF363" s="126">
        <f>IFERROR(D363*F363*L363*'Entrada e Saida'!$K$8,0)</f>
        <v>0</v>
      </c>
      <c r="AG363" s="3" t="e">
        <f>((W363+AA363+AB363+AC363+AD363+AE363+AF363)/(1-'Entrada e Saida'!$G$65))*'Entrada e Saida'!$I$66</f>
        <v>#DIV/0!</v>
      </c>
      <c r="AH363" s="8" t="e">
        <f t="shared" si="161"/>
        <v>#DIV/0!</v>
      </c>
      <c r="AI363" s="183" t="e">
        <f>'Entrada e Saida'!$K$51*(IF('Entrada e Saida'!$H$15="PESO",(P363/(SUM(P:P))),(Q363/(SUM(Q:Q)))))</f>
        <v>#DIV/0!</v>
      </c>
      <c r="AJ363" s="7">
        <f>(('Entrada e Saida'!$K$10-'Entrada e Saida'!$K$8)*E363*D363)</f>
        <v>0</v>
      </c>
      <c r="AK363" s="184" t="e">
        <f>IF('Entrada e Saida'!$H$15="PESO",W363+AA363+AH363+AI363+AJ363,W363+AA363+AH363+AI363+AJ363-S363+T363-U363+V363)</f>
        <v>#DIV/0!</v>
      </c>
      <c r="AL363" s="6" t="e">
        <f>IF('Entrada e Saida'!$H$12="REAL",AC363,0)</f>
        <v>#DIV/0!</v>
      </c>
      <c r="AM363" s="6" t="e">
        <f>IF('Entrada e Saida'!$H$12="REAL",AD363,0)</f>
        <v>#DIV/0!</v>
      </c>
      <c r="AN363" s="5" t="e">
        <f>IF('Entrada e Saida'!$H$13= "NÃO",AE363,0)</f>
        <v>#DIV/0!</v>
      </c>
      <c r="AO363" s="5" t="e">
        <f t="shared" si="162"/>
        <v>#DIV/0!</v>
      </c>
      <c r="AP363" s="4" t="e">
        <f t="shared" si="163"/>
        <v>#DIV/0!</v>
      </c>
      <c r="AQ363" s="3" t="e">
        <f>IF('Entrada e Saida'!$H$11="TRADING",AU363*'Custo Resumido'!D363,0)</f>
        <v>#DIV/0!</v>
      </c>
      <c r="AR363" s="3" t="e">
        <f>IF('Entrada e Saida'!$H$11="TRADING",AU363*'Entrada e Saida'!$G$63,0)</f>
        <v>#DIV/0!</v>
      </c>
      <c r="AS363" s="3" t="e">
        <f>IF('Entrada e Saida'!$H$11="TRADING",AU363*'Entrada e Saida'!$G$64,0)</f>
        <v>#DIV/0!</v>
      </c>
      <c r="AT363" s="3" t="e">
        <f>IF('Entrada e Saida'!$H$11="TRADING",AU363*'Entrada e Saida'!$G$65,0)</f>
        <v>#DIV/0!</v>
      </c>
      <c r="AU363" s="4" t="e">
        <f>IF('Entrada e Saida'!$H$11="TRADING",AP363/(1-(SUM('Entrada e Saida'!$G$63:$G$65)+'Custo Resumido'!D363)),0)</f>
        <v>#DIV/0!</v>
      </c>
      <c r="AV363" s="3" t="e">
        <f>IF('Entrada e Saida'!$H$13="NÃO",AU363*M363,0)</f>
        <v>#DIV/0!</v>
      </c>
      <c r="AW363" s="4" t="e">
        <f t="shared" si="164"/>
        <v>#DIV/0!</v>
      </c>
      <c r="AX363" s="3" t="e">
        <f>'Entrada e Saida'!$G$74*AU363</f>
        <v>#DIV/0!</v>
      </c>
      <c r="AY363" s="4" t="e">
        <f t="shared" si="165"/>
        <v>#DIV/0!</v>
      </c>
      <c r="AZ363" s="4" t="e">
        <f>AQ363+('Entrada e Saida'!$G$65-'Entrada e Saida'!$I$65)*AU363-AX363</f>
        <v>#DIV/0!</v>
      </c>
      <c r="BA363" s="3" t="e">
        <f>IF('Entrada e Saida'!$H$12="REAL",AZ363*'Entrada e Saida'!$G$81,AU363*'Entrada e Saida'!$G$81)</f>
        <v>#DIV/0!</v>
      </c>
      <c r="BB363" s="3" t="e">
        <f>IF('Entrada e Saida'!$H$12="REAL",AZ363*'Entrada e Saida'!$G$82,AU363*'Entrada e Saida'!$G$82)</f>
        <v>#DIV/0!</v>
      </c>
      <c r="BC363" s="4" t="e">
        <f t="shared" si="166"/>
        <v>#DIV/0!</v>
      </c>
      <c r="BD363" s="3" t="e">
        <f>IF('Entrada e Saida'!$H$11="TRADING",AW363/D363,AK363/D363)</f>
        <v>#DIV/0!</v>
      </c>
      <c r="BE363" s="3" t="e">
        <f t="shared" si="167"/>
        <v>#DIV/0!</v>
      </c>
      <c r="BF363" s="2" t="e">
        <f t="shared" si="168"/>
        <v>#DIV/0!</v>
      </c>
      <c r="BG363" s="3" t="e">
        <f>IF('Entrada e Saida'!$H$11="TRADING",AV363/D363,AN363/D363)</f>
        <v>#DIV/0!</v>
      </c>
      <c r="BH363" s="3" t="e">
        <f>IF('Entrada e Saida'!$H$11="TRADING",IF('Entrada e Saida'!$H$12="REAL",AR363/D363,0),AL363/D363)</f>
        <v>#DIV/0!</v>
      </c>
      <c r="BI363" s="3" t="e">
        <f>IF('Entrada e Saida'!$H$11="TRADING",IF('Entrada e Saida'!$H$12="REAL",AS363/D363,0),AM363/D363)</f>
        <v>#DIV/0!</v>
      </c>
      <c r="BJ363" s="3" t="e">
        <f>IF('Entrada e Saida'!$H$11="TRADING",AT363/D363,AO363/D363)</f>
        <v>#DIV/0!</v>
      </c>
      <c r="BK363" s="2" t="e">
        <f t="shared" si="169"/>
        <v>#DIV/0!</v>
      </c>
      <c r="BL363" s="2">
        <f>IF(O363&gt;0,IFERROR(IF('Entrada e Saida'!$H$11="DIRETA",0,(IF('Entrada e Saida'!$H$14="P.JURIDICA",(BD363*(1+O363)*N363)-((BD363/(1+M363))*'Entrada e Saida'!$G$65),((Produtos!N363-'Entrada e Saida'!$G$65)*Produtos!BD363)))),0),0)</f>
        <v>0</v>
      </c>
      <c r="BM363" s="2" t="e">
        <f t="shared" si="170"/>
        <v>#DIV/0!</v>
      </c>
    </row>
    <row r="364" spans="1:65" s="1" customFormat="1">
      <c r="A364" s="127"/>
      <c r="B364" s="114">
        <f>IFERROR(VLOOKUP(A364,'Master Modelo'!A:I,7,FALSE),0)</f>
        <v>0</v>
      </c>
      <c r="C364" s="116">
        <f>IFERROR(VLOOKUP(A364,'Master Modelo'!A:I,2,FALSE),0)</f>
        <v>0</v>
      </c>
      <c r="D364" s="146"/>
      <c r="E364" s="115">
        <f>IFERROR(VLOOKUP(A364,'Master Modelo'!A:I,9,FALSE),0)</f>
        <v>0</v>
      </c>
      <c r="F364" s="189">
        <f>IFERROR(VLOOKUP(A364,'Master Modelo'!A:I,8,FALSE),0)</f>
        <v>0</v>
      </c>
      <c r="G364" s="189">
        <f>IFERROR(VLOOKUP(A364,'Master Modelo'!A:K,11,FALSE),0)</f>
        <v>0</v>
      </c>
      <c r="H364" s="114" t="e">
        <f t="shared" si="153"/>
        <v>#DIV/0!</v>
      </c>
      <c r="I364" s="150">
        <f>IFERROR(VLOOKUP(A364,'Master Modelo'!A:I,3,FALSE),0)</f>
        <v>0</v>
      </c>
      <c r="J364" s="151">
        <f>IFERROR(VLOOKUP(A364,'Master Modelo'!A:I,5,FALSE),0)</f>
        <v>0</v>
      </c>
      <c r="K364" s="151">
        <f>IFERROR(VLOOKUP(A364,'Master Modelo'!A:I,6,FALSE),0)</f>
        <v>0</v>
      </c>
      <c r="L364" s="152" t="e">
        <f>VLOOKUP(A364,'Master Modelo'!A:J,10,FALSE)</f>
        <v>#N/A</v>
      </c>
      <c r="M364" s="150">
        <f>IFERROR(VLOOKUP(A364,'Master Modelo'!A:I,4,FALSE),0)</f>
        <v>0</v>
      </c>
      <c r="N364" s="128"/>
      <c r="O364" s="129"/>
      <c r="P364" s="9">
        <f t="shared" si="154"/>
        <v>0</v>
      </c>
      <c r="Q364" s="177">
        <f t="shared" si="152"/>
        <v>0</v>
      </c>
      <c r="R364" s="3">
        <f>D364*E364*'Entrada e Saida'!$K$8</f>
        <v>0</v>
      </c>
      <c r="S364" s="179" t="e">
        <f>'Entrada e Saida'!$H$21*'Entrada e Saida'!$K$8*(P364/(SUM(P:P)))</f>
        <v>#DIV/0!</v>
      </c>
      <c r="T364" s="179" t="e">
        <f>'Entrada e Saida'!$H$21*'Entrada e Saida'!$K$8*(Q364/(SUM(Q:Q)))</f>
        <v>#DIV/0!</v>
      </c>
      <c r="U364" s="179" t="e">
        <f>'Entrada e Saida'!$H$22*(P364/(SUM(P:P)))</f>
        <v>#DIV/0!</v>
      </c>
      <c r="V364" s="179" t="e">
        <f>'Entrada e Saida'!$H$22*(Q364/(SUM(Q:Q)))</f>
        <v>#DIV/0!</v>
      </c>
      <c r="W364" s="8" t="e">
        <f t="shared" si="155"/>
        <v>#DIV/0!</v>
      </c>
      <c r="X364" s="179" t="e">
        <f>'Entrada e Saida'!$H$26*(IF('Entrada e Saida'!$H$15="PESO",(P364/(SUM(P:P))),(Q364/(SUM(Q:Q)))))</f>
        <v>#DIV/0!</v>
      </c>
      <c r="Y364" s="179" t="e">
        <f>'Entrada e Saida'!$H$27*(IF('Entrada e Saida'!$H$15="PESO",(P364/(SUM(P:P))),(Q364/(SUM(Q:Q)))))</f>
        <v>#DIV/0!</v>
      </c>
      <c r="Z364" s="179" t="e">
        <f>'Entrada e Saida'!$H$28*(IF('Entrada e Saida'!$H$15="PESO",(P364/(SUM(P:P))),(Q364/(SUM(Q:Q)))))</f>
        <v>#DIV/0!</v>
      </c>
      <c r="AA364" s="10" t="e">
        <f t="shared" si="156"/>
        <v>#DIV/0!</v>
      </c>
      <c r="AB364" s="3" t="e">
        <f t="shared" si="157"/>
        <v>#DIV/0!</v>
      </c>
      <c r="AC364" s="3" t="e">
        <f t="shared" si="158"/>
        <v>#DIV/0!</v>
      </c>
      <c r="AD364" s="3" t="e">
        <f t="shared" si="159"/>
        <v>#DIV/0!</v>
      </c>
      <c r="AE364" s="9" t="e">
        <f t="shared" si="160"/>
        <v>#DIV/0!</v>
      </c>
      <c r="AF364" s="126">
        <f>IFERROR(D364*F364*L364*'Entrada e Saida'!$K$8,0)</f>
        <v>0</v>
      </c>
      <c r="AG364" s="3" t="e">
        <f>((W364+AA364+AB364+AC364+AD364+AE364+AF364)/(1-'Entrada e Saida'!$G$65))*'Entrada e Saida'!$I$66</f>
        <v>#DIV/0!</v>
      </c>
      <c r="AH364" s="8" t="e">
        <f t="shared" si="161"/>
        <v>#DIV/0!</v>
      </c>
      <c r="AI364" s="183" t="e">
        <f>'Entrada e Saida'!$K$51*(IF('Entrada e Saida'!$H$15="PESO",(P364/(SUM(P:P))),(Q364/(SUM(Q:Q)))))</f>
        <v>#DIV/0!</v>
      </c>
      <c r="AJ364" s="7">
        <f>(('Entrada e Saida'!$K$10-'Entrada e Saida'!$K$8)*E364*D364)</f>
        <v>0</v>
      </c>
      <c r="AK364" s="184" t="e">
        <f>IF('Entrada e Saida'!$H$15="PESO",W364+AA364+AH364+AI364+AJ364,W364+AA364+AH364+AI364+AJ364-S364+T364-U364+V364)</f>
        <v>#DIV/0!</v>
      </c>
      <c r="AL364" s="6" t="e">
        <f>IF('Entrada e Saida'!$H$12="REAL",AC364,0)</f>
        <v>#DIV/0!</v>
      </c>
      <c r="AM364" s="6" t="e">
        <f>IF('Entrada e Saida'!$H$12="REAL",AD364,0)</f>
        <v>#DIV/0!</v>
      </c>
      <c r="AN364" s="5" t="e">
        <f>IF('Entrada e Saida'!$H$13= "NÃO",AE364,0)</f>
        <v>#DIV/0!</v>
      </c>
      <c r="AO364" s="5" t="e">
        <f t="shared" si="162"/>
        <v>#DIV/0!</v>
      </c>
      <c r="AP364" s="4" t="e">
        <f t="shared" si="163"/>
        <v>#DIV/0!</v>
      </c>
      <c r="AQ364" s="3" t="e">
        <f>IF('Entrada e Saida'!$H$11="TRADING",AU364*'Custo Resumido'!D364,0)</f>
        <v>#DIV/0!</v>
      </c>
      <c r="AR364" s="3" t="e">
        <f>IF('Entrada e Saida'!$H$11="TRADING",AU364*'Entrada e Saida'!$G$63,0)</f>
        <v>#DIV/0!</v>
      </c>
      <c r="AS364" s="3" t="e">
        <f>IF('Entrada e Saida'!$H$11="TRADING",AU364*'Entrada e Saida'!$G$64,0)</f>
        <v>#DIV/0!</v>
      </c>
      <c r="AT364" s="3" t="e">
        <f>IF('Entrada e Saida'!$H$11="TRADING",AU364*'Entrada e Saida'!$G$65,0)</f>
        <v>#DIV/0!</v>
      </c>
      <c r="AU364" s="4" t="e">
        <f>IF('Entrada e Saida'!$H$11="TRADING",AP364/(1-(SUM('Entrada e Saida'!$G$63:$G$65)+'Custo Resumido'!D364)),0)</f>
        <v>#DIV/0!</v>
      </c>
      <c r="AV364" s="3" t="e">
        <f>IF('Entrada e Saida'!$H$13="NÃO",AU364*M364,0)</f>
        <v>#DIV/0!</v>
      </c>
      <c r="AW364" s="4" t="e">
        <f t="shared" si="164"/>
        <v>#DIV/0!</v>
      </c>
      <c r="AX364" s="3" t="e">
        <f>'Entrada e Saida'!$G$74*AU364</f>
        <v>#DIV/0!</v>
      </c>
      <c r="AY364" s="4" t="e">
        <f t="shared" si="165"/>
        <v>#DIV/0!</v>
      </c>
      <c r="AZ364" s="4" t="e">
        <f>AQ364+('Entrada e Saida'!$G$65-'Entrada e Saida'!$I$65)*AU364-AX364</f>
        <v>#DIV/0!</v>
      </c>
      <c r="BA364" s="3" t="e">
        <f>IF('Entrada e Saida'!$H$12="REAL",AZ364*'Entrada e Saida'!$G$81,AU364*'Entrada e Saida'!$G$81)</f>
        <v>#DIV/0!</v>
      </c>
      <c r="BB364" s="3" t="e">
        <f>IF('Entrada e Saida'!$H$12="REAL",AZ364*'Entrada e Saida'!$G$82,AU364*'Entrada e Saida'!$G$82)</f>
        <v>#DIV/0!</v>
      </c>
      <c r="BC364" s="4" t="e">
        <f t="shared" si="166"/>
        <v>#DIV/0!</v>
      </c>
      <c r="BD364" s="3" t="e">
        <f>IF('Entrada e Saida'!$H$11="TRADING",AW364/D364,AK364/D364)</f>
        <v>#DIV/0!</v>
      </c>
      <c r="BE364" s="3" t="e">
        <f t="shared" si="167"/>
        <v>#DIV/0!</v>
      </c>
      <c r="BF364" s="2" t="e">
        <f t="shared" si="168"/>
        <v>#DIV/0!</v>
      </c>
      <c r="BG364" s="3" t="e">
        <f>IF('Entrada e Saida'!$H$11="TRADING",AV364/D364,AN364/D364)</f>
        <v>#DIV/0!</v>
      </c>
      <c r="BH364" s="3" t="e">
        <f>IF('Entrada e Saida'!$H$11="TRADING",IF('Entrada e Saida'!$H$12="REAL",AR364/D364,0),AL364/D364)</f>
        <v>#DIV/0!</v>
      </c>
      <c r="BI364" s="3" t="e">
        <f>IF('Entrada e Saida'!$H$11="TRADING",IF('Entrada e Saida'!$H$12="REAL",AS364/D364,0),AM364/D364)</f>
        <v>#DIV/0!</v>
      </c>
      <c r="BJ364" s="3" t="e">
        <f>IF('Entrada e Saida'!$H$11="TRADING",AT364/D364,AO364/D364)</f>
        <v>#DIV/0!</v>
      </c>
      <c r="BK364" s="2" t="e">
        <f t="shared" si="169"/>
        <v>#DIV/0!</v>
      </c>
      <c r="BL364" s="2">
        <f>IF(O364&gt;0,IFERROR(IF('Entrada e Saida'!$H$11="DIRETA",0,(IF('Entrada e Saida'!$H$14="P.JURIDICA",(BD364*(1+O364)*N364)-((BD364/(1+M364))*'Entrada e Saida'!$G$65),((Produtos!N364-'Entrada e Saida'!$G$65)*Produtos!BD364)))),0),0)</f>
        <v>0</v>
      </c>
      <c r="BM364" s="2" t="e">
        <f t="shared" si="170"/>
        <v>#DIV/0!</v>
      </c>
    </row>
    <row r="365" spans="1:65" s="1" customFormat="1">
      <c r="A365" s="127"/>
      <c r="B365" s="114">
        <f>IFERROR(VLOOKUP(A365,'Master Modelo'!A:I,7,FALSE),0)</f>
        <v>0</v>
      </c>
      <c r="C365" s="116">
        <f>IFERROR(VLOOKUP(A365,'Master Modelo'!A:I,2,FALSE),0)</f>
        <v>0</v>
      </c>
      <c r="D365" s="146"/>
      <c r="E365" s="115">
        <f>IFERROR(VLOOKUP(A365,'Master Modelo'!A:I,9,FALSE),0)</f>
        <v>0</v>
      </c>
      <c r="F365" s="189">
        <f>IFERROR(VLOOKUP(A365,'Master Modelo'!A:I,8,FALSE),0)</f>
        <v>0</v>
      </c>
      <c r="G365" s="189">
        <f>IFERROR(VLOOKUP(A365,'Master Modelo'!A:K,11,FALSE),0)</f>
        <v>0</v>
      </c>
      <c r="H365" s="114" t="e">
        <f t="shared" si="153"/>
        <v>#DIV/0!</v>
      </c>
      <c r="I365" s="150">
        <f>IFERROR(VLOOKUP(A365,'Master Modelo'!A:I,3,FALSE),0)</f>
        <v>0</v>
      </c>
      <c r="J365" s="151">
        <f>IFERROR(VLOOKUP(A365,'Master Modelo'!A:I,5,FALSE),0)</f>
        <v>0</v>
      </c>
      <c r="K365" s="151">
        <f>IFERROR(VLOOKUP(A365,'Master Modelo'!A:I,6,FALSE),0)</f>
        <v>0</v>
      </c>
      <c r="L365" s="152" t="e">
        <f>VLOOKUP(A365,'Master Modelo'!A:J,10,FALSE)</f>
        <v>#N/A</v>
      </c>
      <c r="M365" s="150">
        <f>IFERROR(VLOOKUP(A365,'Master Modelo'!A:I,4,FALSE),0)</f>
        <v>0</v>
      </c>
      <c r="N365" s="128"/>
      <c r="O365" s="129"/>
      <c r="P365" s="9">
        <f t="shared" si="154"/>
        <v>0</v>
      </c>
      <c r="Q365" s="177">
        <f t="shared" si="152"/>
        <v>0</v>
      </c>
      <c r="R365" s="3">
        <f>D365*E365*'Entrada e Saida'!$K$8</f>
        <v>0</v>
      </c>
      <c r="S365" s="179" t="e">
        <f>'Entrada e Saida'!$H$21*'Entrada e Saida'!$K$8*(P365/(SUM(P:P)))</f>
        <v>#DIV/0!</v>
      </c>
      <c r="T365" s="179" t="e">
        <f>'Entrada e Saida'!$H$21*'Entrada e Saida'!$K$8*(Q365/(SUM(Q:Q)))</f>
        <v>#DIV/0!</v>
      </c>
      <c r="U365" s="179" t="e">
        <f>'Entrada e Saida'!$H$22*(P365/(SUM(P:P)))</f>
        <v>#DIV/0!</v>
      </c>
      <c r="V365" s="179" t="e">
        <f>'Entrada e Saida'!$H$22*(Q365/(SUM(Q:Q)))</f>
        <v>#DIV/0!</v>
      </c>
      <c r="W365" s="8" t="e">
        <f t="shared" si="155"/>
        <v>#DIV/0!</v>
      </c>
      <c r="X365" s="179" t="e">
        <f>'Entrada e Saida'!$H$26*(IF('Entrada e Saida'!$H$15="PESO",(P365/(SUM(P:P))),(Q365/(SUM(Q:Q)))))</f>
        <v>#DIV/0!</v>
      </c>
      <c r="Y365" s="179" t="e">
        <f>'Entrada e Saida'!$H$27*(IF('Entrada e Saida'!$H$15="PESO",(P365/(SUM(P:P))),(Q365/(SUM(Q:Q)))))</f>
        <v>#DIV/0!</v>
      </c>
      <c r="Z365" s="179" t="e">
        <f>'Entrada e Saida'!$H$28*(IF('Entrada e Saida'!$H$15="PESO",(P365/(SUM(P:P))),(Q365/(SUM(Q:Q)))))</f>
        <v>#DIV/0!</v>
      </c>
      <c r="AA365" s="10" t="e">
        <f t="shared" si="156"/>
        <v>#DIV/0!</v>
      </c>
      <c r="AB365" s="3" t="e">
        <f t="shared" si="157"/>
        <v>#DIV/0!</v>
      </c>
      <c r="AC365" s="3" t="e">
        <f t="shared" si="158"/>
        <v>#DIV/0!</v>
      </c>
      <c r="AD365" s="3" t="e">
        <f t="shared" si="159"/>
        <v>#DIV/0!</v>
      </c>
      <c r="AE365" s="9" t="e">
        <f t="shared" si="160"/>
        <v>#DIV/0!</v>
      </c>
      <c r="AF365" s="126">
        <f>IFERROR(D365*F365*L365*'Entrada e Saida'!$K$8,0)</f>
        <v>0</v>
      </c>
      <c r="AG365" s="3" t="e">
        <f>((W365+AA365+AB365+AC365+AD365+AE365+AF365)/(1-'Entrada e Saida'!$G$65))*'Entrada e Saida'!$I$66</f>
        <v>#DIV/0!</v>
      </c>
      <c r="AH365" s="8" t="e">
        <f t="shared" si="161"/>
        <v>#DIV/0!</v>
      </c>
      <c r="AI365" s="183" t="e">
        <f>'Entrada e Saida'!$K$51*(IF('Entrada e Saida'!$H$15="PESO",(P365/(SUM(P:P))),(Q365/(SUM(Q:Q)))))</f>
        <v>#DIV/0!</v>
      </c>
      <c r="AJ365" s="7">
        <f>(('Entrada e Saida'!$K$10-'Entrada e Saida'!$K$8)*E365*D365)</f>
        <v>0</v>
      </c>
      <c r="AK365" s="184" t="e">
        <f>IF('Entrada e Saida'!$H$15="PESO",W365+AA365+AH365+AI365+AJ365,W365+AA365+AH365+AI365+AJ365-S365+T365-U365+V365)</f>
        <v>#DIV/0!</v>
      </c>
      <c r="AL365" s="6" t="e">
        <f>IF('Entrada e Saida'!$H$12="REAL",AC365,0)</f>
        <v>#DIV/0!</v>
      </c>
      <c r="AM365" s="6" t="e">
        <f>IF('Entrada e Saida'!$H$12="REAL",AD365,0)</f>
        <v>#DIV/0!</v>
      </c>
      <c r="AN365" s="5" t="e">
        <f>IF('Entrada e Saida'!$H$13= "NÃO",AE365,0)</f>
        <v>#DIV/0!</v>
      </c>
      <c r="AO365" s="5" t="e">
        <f t="shared" si="162"/>
        <v>#DIV/0!</v>
      </c>
      <c r="AP365" s="4" t="e">
        <f t="shared" si="163"/>
        <v>#DIV/0!</v>
      </c>
      <c r="AQ365" s="3" t="e">
        <f>IF('Entrada e Saida'!$H$11="TRADING",AU365*'Custo Resumido'!D365,0)</f>
        <v>#DIV/0!</v>
      </c>
      <c r="AR365" s="3" t="e">
        <f>IF('Entrada e Saida'!$H$11="TRADING",AU365*'Entrada e Saida'!$G$63,0)</f>
        <v>#DIV/0!</v>
      </c>
      <c r="AS365" s="3" t="e">
        <f>IF('Entrada e Saida'!$H$11="TRADING",AU365*'Entrada e Saida'!$G$64,0)</f>
        <v>#DIV/0!</v>
      </c>
      <c r="AT365" s="3" t="e">
        <f>IF('Entrada e Saida'!$H$11="TRADING",AU365*'Entrada e Saida'!$G$65,0)</f>
        <v>#DIV/0!</v>
      </c>
      <c r="AU365" s="4" t="e">
        <f>IF('Entrada e Saida'!$H$11="TRADING",AP365/(1-(SUM('Entrada e Saida'!$G$63:$G$65)+'Custo Resumido'!D365)),0)</f>
        <v>#DIV/0!</v>
      </c>
      <c r="AV365" s="3" t="e">
        <f>IF('Entrada e Saida'!$H$13="NÃO",AU365*M365,0)</f>
        <v>#DIV/0!</v>
      </c>
      <c r="AW365" s="4" t="e">
        <f t="shared" si="164"/>
        <v>#DIV/0!</v>
      </c>
      <c r="AX365" s="3" t="e">
        <f>'Entrada e Saida'!$G$74*AU365</f>
        <v>#DIV/0!</v>
      </c>
      <c r="AY365" s="4" t="e">
        <f t="shared" si="165"/>
        <v>#DIV/0!</v>
      </c>
      <c r="AZ365" s="4" t="e">
        <f>AQ365+('Entrada e Saida'!$G$65-'Entrada e Saida'!$I$65)*AU365-AX365</f>
        <v>#DIV/0!</v>
      </c>
      <c r="BA365" s="3" t="e">
        <f>IF('Entrada e Saida'!$H$12="REAL",AZ365*'Entrada e Saida'!$G$81,AU365*'Entrada e Saida'!$G$81)</f>
        <v>#DIV/0!</v>
      </c>
      <c r="BB365" s="3" t="e">
        <f>IF('Entrada e Saida'!$H$12="REAL",AZ365*'Entrada e Saida'!$G$82,AU365*'Entrada e Saida'!$G$82)</f>
        <v>#DIV/0!</v>
      </c>
      <c r="BC365" s="4" t="e">
        <f t="shared" si="166"/>
        <v>#DIV/0!</v>
      </c>
      <c r="BD365" s="3" t="e">
        <f>IF('Entrada e Saida'!$H$11="TRADING",AW365/D365,AK365/D365)</f>
        <v>#DIV/0!</v>
      </c>
      <c r="BE365" s="3" t="e">
        <f t="shared" si="167"/>
        <v>#DIV/0!</v>
      </c>
      <c r="BF365" s="2" t="e">
        <f t="shared" si="168"/>
        <v>#DIV/0!</v>
      </c>
      <c r="BG365" s="3" t="e">
        <f>IF('Entrada e Saida'!$H$11="TRADING",AV365/D365,AN365/D365)</f>
        <v>#DIV/0!</v>
      </c>
      <c r="BH365" s="3" t="e">
        <f>IF('Entrada e Saida'!$H$11="TRADING",IF('Entrada e Saida'!$H$12="REAL",AR365/D365,0),AL365/D365)</f>
        <v>#DIV/0!</v>
      </c>
      <c r="BI365" s="3" t="e">
        <f>IF('Entrada e Saida'!$H$11="TRADING",IF('Entrada e Saida'!$H$12="REAL",AS365/D365,0),AM365/D365)</f>
        <v>#DIV/0!</v>
      </c>
      <c r="BJ365" s="3" t="e">
        <f>IF('Entrada e Saida'!$H$11="TRADING",AT365/D365,AO365/D365)</f>
        <v>#DIV/0!</v>
      </c>
      <c r="BK365" s="2" t="e">
        <f t="shared" si="169"/>
        <v>#DIV/0!</v>
      </c>
      <c r="BL365" s="2">
        <f>IF(O365&gt;0,IFERROR(IF('Entrada e Saida'!$H$11="DIRETA",0,(IF('Entrada e Saida'!$H$14="P.JURIDICA",(BD365*(1+O365)*N365)-((BD365/(1+M365))*'Entrada e Saida'!$G$65),((Produtos!N365-'Entrada e Saida'!$G$65)*Produtos!BD365)))),0),0)</f>
        <v>0</v>
      </c>
      <c r="BM365" s="2" t="e">
        <f t="shared" si="170"/>
        <v>#DIV/0!</v>
      </c>
    </row>
    <row r="366" spans="1:65" s="1" customFormat="1">
      <c r="A366" s="127"/>
      <c r="B366" s="114">
        <f>IFERROR(VLOOKUP(A366,'Master Modelo'!A:I,7,FALSE),0)</f>
        <v>0</v>
      </c>
      <c r="C366" s="116">
        <f>IFERROR(VLOOKUP(A366,'Master Modelo'!A:I,2,FALSE),0)</f>
        <v>0</v>
      </c>
      <c r="D366" s="146"/>
      <c r="E366" s="115">
        <f>IFERROR(VLOOKUP(A366,'Master Modelo'!A:I,9,FALSE),0)</f>
        <v>0</v>
      </c>
      <c r="F366" s="189">
        <f>IFERROR(VLOOKUP(A366,'Master Modelo'!A:I,8,FALSE),0)</f>
        <v>0</v>
      </c>
      <c r="G366" s="189">
        <f>IFERROR(VLOOKUP(A366,'Master Modelo'!A:K,11,FALSE),0)</f>
        <v>0</v>
      </c>
      <c r="H366" s="114" t="e">
        <f t="shared" si="153"/>
        <v>#DIV/0!</v>
      </c>
      <c r="I366" s="150">
        <f>IFERROR(VLOOKUP(A366,'Master Modelo'!A:I,3,FALSE),0)</f>
        <v>0</v>
      </c>
      <c r="J366" s="151">
        <f>IFERROR(VLOOKUP(A366,'Master Modelo'!A:I,5,FALSE),0)</f>
        <v>0</v>
      </c>
      <c r="K366" s="151">
        <f>IFERROR(VLOOKUP(A366,'Master Modelo'!A:I,6,FALSE),0)</f>
        <v>0</v>
      </c>
      <c r="L366" s="152" t="e">
        <f>VLOOKUP(A366,'Master Modelo'!A:J,10,FALSE)</f>
        <v>#N/A</v>
      </c>
      <c r="M366" s="150">
        <f>IFERROR(VLOOKUP(A366,'Master Modelo'!A:I,4,FALSE),0)</f>
        <v>0</v>
      </c>
      <c r="N366" s="128"/>
      <c r="O366" s="129"/>
      <c r="P366" s="9">
        <f t="shared" si="154"/>
        <v>0</v>
      </c>
      <c r="Q366" s="177">
        <f t="shared" si="152"/>
        <v>0</v>
      </c>
      <c r="R366" s="3">
        <f>D366*E366*'Entrada e Saida'!$K$8</f>
        <v>0</v>
      </c>
      <c r="S366" s="179" t="e">
        <f>'Entrada e Saida'!$H$21*'Entrada e Saida'!$K$8*(P366/(SUM(P:P)))</f>
        <v>#DIV/0!</v>
      </c>
      <c r="T366" s="179" t="e">
        <f>'Entrada e Saida'!$H$21*'Entrada e Saida'!$K$8*(Q366/(SUM(Q:Q)))</f>
        <v>#DIV/0!</v>
      </c>
      <c r="U366" s="179" t="e">
        <f>'Entrada e Saida'!$H$22*(P366/(SUM(P:P)))</f>
        <v>#DIV/0!</v>
      </c>
      <c r="V366" s="179" t="e">
        <f>'Entrada e Saida'!$H$22*(Q366/(SUM(Q:Q)))</f>
        <v>#DIV/0!</v>
      </c>
      <c r="W366" s="8" t="e">
        <f t="shared" si="155"/>
        <v>#DIV/0!</v>
      </c>
      <c r="X366" s="179" t="e">
        <f>'Entrada e Saida'!$H$26*(IF('Entrada e Saida'!$H$15="PESO",(P366/(SUM(P:P))),(Q366/(SUM(Q:Q)))))</f>
        <v>#DIV/0!</v>
      </c>
      <c r="Y366" s="179" t="e">
        <f>'Entrada e Saida'!$H$27*(IF('Entrada e Saida'!$H$15="PESO",(P366/(SUM(P:P))),(Q366/(SUM(Q:Q)))))</f>
        <v>#DIV/0!</v>
      </c>
      <c r="Z366" s="179" t="e">
        <f>'Entrada e Saida'!$H$28*(IF('Entrada e Saida'!$H$15="PESO",(P366/(SUM(P:P))),(Q366/(SUM(Q:Q)))))</f>
        <v>#DIV/0!</v>
      </c>
      <c r="AA366" s="10" t="e">
        <f t="shared" si="156"/>
        <v>#DIV/0!</v>
      </c>
      <c r="AB366" s="3" t="e">
        <f t="shared" si="157"/>
        <v>#DIV/0!</v>
      </c>
      <c r="AC366" s="3" t="e">
        <f t="shared" si="158"/>
        <v>#DIV/0!</v>
      </c>
      <c r="AD366" s="3" t="e">
        <f t="shared" si="159"/>
        <v>#DIV/0!</v>
      </c>
      <c r="AE366" s="9" t="e">
        <f t="shared" si="160"/>
        <v>#DIV/0!</v>
      </c>
      <c r="AF366" s="126">
        <f>IFERROR(D366*F366*L366*'Entrada e Saida'!$K$8,0)</f>
        <v>0</v>
      </c>
      <c r="AG366" s="3" t="e">
        <f>((W366+AA366+AB366+AC366+AD366+AE366+AF366)/(1-'Entrada e Saida'!$G$65))*'Entrada e Saida'!$I$66</f>
        <v>#DIV/0!</v>
      </c>
      <c r="AH366" s="8" t="e">
        <f t="shared" si="161"/>
        <v>#DIV/0!</v>
      </c>
      <c r="AI366" s="183" t="e">
        <f>'Entrada e Saida'!$K$51*(IF('Entrada e Saida'!$H$15="PESO",(P366/(SUM(P:P))),(Q366/(SUM(Q:Q)))))</f>
        <v>#DIV/0!</v>
      </c>
      <c r="AJ366" s="7">
        <f>(('Entrada e Saida'!$K$10-'Entrada e Saida'!$K$8)*E366*D366)</f>
        <v>0</v>
      </c>
      <c r="AK366" s="184" t="e">
        <f>IF('Entrada e Saida'!$H$15="PESO",W366+AA366+AH366+AI366+AJ366,W366+AA366+AH366+AI366+AJ366-S366+T366-U366+V366)</f>
        <v>#DIV/0!</v>
      </c>
      <c r="AL366" s="6" t="e">
        <f>IF('Entrada e Saida'!$H$12="REAL",AC366,0)</f>
        <v>#DIV/0!</v>
      </c>
      <c r="AM366" s="6" t="e">
        <f>IF('Entrada e Saida'!$H$12="REAL",AD366,0)</f>
        <v>#DIV/0!</v>
      </c>
      <c r="AN366" s="5" t="e">
        <f>IF('Entrada e Saida'!$H$13= "NÃO",AE366,0)</f>
        <v>#DIV/0!</v>
      </c>
      <c r="AO366" s="5" t="e">
        <f t="shared" si="162"/>
        <v>#DIV/0!</v>
      </c>
      <c r="AP366" s="4" t="e">
        <f t="shared" si="163"/>
        <v>#DIV/0!</v>
      </c>
      <c r="AQ366" s="3" t="e">
        <f>IF('Entrada e Saida'!$H$11="TRADING",AU366*'Custo Resumido'!D366,0)</f>
        <v>#DIV/0!</v>
      </c>
      <c r="AR366" s="3" t="e">
        <f>IF('Entrada e Saida'!$H$11="TRADING",AU366*'Entrada e Saida'!$G$63,0)</f>
        <v>#DIV/0!</v>
      </c>
      <c r="AS366" s="3" t="e">
        <f>IF('Entrada e Saida'!$H$11="TRADING",AU366*'Entrada e Saida'!$G$64,0)</f>
        <v>#DIV/0!</v>
      </c>
      <c r="AT366" s="3" t="e">
        <f>IF('Entrada e Saida'!$H$11="TRADING",AU366*'Entrada e Saida'!$G$65,0)</f>
        <v>#DIV/0!</v>
      </c>
      <c r="AU366" s="4" t="e">
        <f>IF('Entrada e Saida'!$H$11="TRADING",AP366/(1-(SUM('Entrada e Saida'!$G$63:$G$65)+'Custo Resumido'!D366)),0)</f>
        <v>#DIV/0!</v>
      </c>
      <c r="AV366" s="3" t="e">
        <f>IF('Entrada e Saida'!$H$13="NÃO",AU366*M366,0)</f>
        <v>#DIV/0!</v>
      </c>
      <c r="AW366" s="4" t="e">
        <f t="shared" si="164"/>
        <v>#DIV/0!</v>
      </c>
      <c r="AX366" s="3" t="e">
        <f>'Entrada e Saida'!$G$74*AU366</f>
        <v>#DIV/0!</v>
      </c>
      <c r="AY366" s="4" t="e">
        <f t="shared" si="165"/>
        <v>#DIV/0!</v>
      </c>
      <c r="AZ366" s="4" t="e">
        <f>AQ366+('Entrada e Saida'!$G$65-'Entrada e Saida'!$I$65)*AU366-AX366</f>
        <v>#DIV/0!</v>
      </c>
      <c r="BA366" s="3" t="e">
        <f>IF('Entrada e Saida'!$H$12="REAL",AZ366*'Entrada e Saida'!$G$81,AU366*'Entrada e Saida'!$G$81)</f>
        <v>#DIV/0!</v>
      </c>
      <c r="BB366" s="3" t="e">
        <f>IF('Entrada e Saida'!$H$12="REAL",AZ366*'Entrada e Saida'!$G$82,AU366*'Entrada e Saida'!$G$82)</f>
        <v>#DIV/0!</v>
      </c>
      <c r="BC366" s="4" t="e">
        <f t="shared" si="166"/>
        <v>#DIV/0!</v>
      </c>
      <c r="BD366" s="3" t="e">
        <f>IF('Entrada e Saida'!$H$11="TRADING",AW366/D366,AK366/D366)</f>
        <v>#DIV/0!</v>
      </c>
      <c r="BE366" s="3" t="e">
        <f t="shared" si="167"/>
        <v>#DIV/0!</v>
      </c>
      <c r="BF366" s="2" t="e">
        <f t="shared" si="168"/>
        <v>#DIV/0!</v>
      </c>
      <c r="BG366" s="3" t="e">
        <f>IF('Entrada e Saida'!$H$11="TRADING",AV366/D366,AN366/D366)</f>
        <v>#DIV/0!</v>
      </c>
      <c r="BH366" s="3" t="e">
        <f>IF('Entrada e Saida'!$H$11="TRADING",IF('Entrada e Saida'!$H$12="REAL",AR366/D366,0),AL366/D366)</f>
        <v>#DIV/0!</v>
      </c>
      <c r="BI366" s="3" t="e">
        <f>IF('Entrada e Saida'!$H$11="TRADING",IF('Entrada e Saida'!$H$12="REAL",AS366/D366,0),AM366/D366)</f>
        <v>#DIV/0!</v>
      </c>
      <c r="BJ366" s="3" t="e">
        <f>IF('Entrada e Saida'!$H$11="TRADING",AT366/D366,AO366/D366)</f>
        <v>#DIV/0!</v>
      </c>
      <c r="BK366" s="2" t="e">
        <f t="shared" si="169"/>
        <v>#DIV/0!</v>
      </c>
      <c r="BL366" s="2">
        <f>IF(O366&gt;0,IFERROR(IF('Entrada e Saida'!$H$11="DIRETA",0,(IF('Entrada e Saida'!$H$14="P.JURIDICA",(BD366*(1+O366)*N366)-((BD366/(1+M366))*'Entrada e Saida'!$G$65),((Produtos!N366-'Entrada e Saida'!$G$65)*Produtos!BD366)))),0),0)</f>
        <v>0</v>
      </c>
      <c r="BM366" s="2" t="e">
        <f t="shared" si="170"/>
        <v>#DIV/0!</v>
      </c>
    </row>
    <row r="367" spans="1:65" s="1" customFormat="1">
      <c r="A367" s="127"/>
      <c r="B367" s="114">
        <f>IFERROR(VLOOKUP(A367,'Master Modelo'!A:I,7,FALSE),0)</f>
        <v>0</v>
      </c>
      <c r="C367" s="116">
        <f>IFERROR(VLOOKUP(A367,'Master Modelo'!A:I,2,FALSE),0)</f>
        <v>0</v>
      </c>
      <c r="D367" s="146"/>
      <c r="E367" s="115">
        <f>IFERROR(VLOOKUP(A367,'Master Modelo'!A:I,9,FALSE),0)</f>
        <v>0</v>
      </c>
      <c r="F367" s="189">
        <f>IFERROR(VLOOKUP(A367,'Master Modelo'!A:I,8,FALSE),0)</f>
        <v>0</v>
      </c>
      <c r="G367" s="189">
        <f>IFERROR(VLOOKUP(A367,'Master Modelo'!A:K,11,FALSE),0)</f>
        <v>0</v>
      </c>
      <c r="H367" s="114" t="e">
        <f t="shared" si="153"/>
        <v>#DIV/0!</v>
      </c>
      <c r="I367" s="150">
        <f>IFERROR(VLOOKUP(A367,'Master Modelo'!A:I,3,FALSE),0)</f>
        <v>0</v>
      </c>
      <c r="J367" s="151">
        <f>IFERROR(VLOOKUP(A367,'Master Modelo'!A:I,5,FALSE),0)</f>
        <v>0</v>
      </c>
      <c r="K367" s="151">
        <f>IFERROR(VLOOKUP(A367,'Master Modelo'!A:I,6,FALSE),0)</f>
        <v>0</v>
      </c>
      <c r="L367" s="152" t="e">
        <f>VLOOKUP(A367,'Master Modelo'!A:J,10,FALSE)</f>
        <v>#N/A</v>
      </c>
      <c r="M367" s="150">
        <f>IFERROR(VLOOKUP(A367,'Master Modelo'!A:I,4,FALSE),0)</f>
        <v>0</v>
      </c>
      <c r="N367" s="128"/>
      <c r="O367" s="129"/>
      <c r="P367" s="9">
        <f t="shared" si="154"/>
        <v>0</v>
      </c>
      <c r="Q367" s="177">
        <f t="shared" si="152"/>
        <v>0</v>
      </c>
      <c r="R367" s="3">
        <f>D367*E367*'Entrada e Saida'!$K$8</f>
        <v>0</v>
      </c>
      <c r="S367" s="179" t="e">
        <f>'Entrada e Saida'!$H$21*'Entrada e Saida'!$K$8*(P367/(SUM(P:P)))</f>
        <v>#DIV/0!</v>
      </c>
      <c r="T367" s="179" t="e">
        <f>'Entrada e Saida'!$H$21*'Entrada e Saida'!$K$8*(Q367/(SUM(Q:Q)))</f>
        <v>#DIV/0!</v>
      </c>
      <c r="U367" s="179" t="e">
        <f>'Entrada e Saida'!$H$22*(P367/(SUM(P:P)))</f>
        <v>#DIV/0!</v>
      </c>
      <c r="V367" s="179" t="e">
        <f>'Entrada e Saida'!$H$22*(Q367/(SUM(Q:Q)))</f>
        <v>#DIV/0!</v>
      </c>
      <c r="W367" s="8" t="e">
        <f t="shared" si="155"/>
        <v>#DIV/0!</v>
      </c>
      <c r="X367" s="179" t="e">
        <f>'Entrada e Saida'!$H$26*(IF('Entrada e Saida'!$H$15="PESO",(P367/(SUM(P:P))),(Q367/(SUM(Q:Q)))))</f>
        <v>#DIV/0!</v>
      </c>
      <c r="Y367" s="179" t="e">
        <f>'Entrada e Saida'!$H$27*(IF('Entrada e Saida'!$H$15="PESO",(P367/(SUM(P:P))),(Q367/(SUM(Q:Q)))))</f>
        <v>#DIV/0!</v>
      </c>
      <c r="Z367" s="179" t="e">
        <f>'Entrada e Saida'!$H$28*(IF('Entrada e Saida'!$H$15="PESO",(P367/(SUM(P:P))),(Q367/(SUM(Q:Q)))))</f>
        <v>#DIV/0!</v>
      </c>
      <c r="AA367" s="10" t="e">
        <f t="shared" si="156"/>
        <v>#DIV/0!</v>
      </c>
      <c r="AB367" s="3" t="e">
        <f t="shared" si="157"/>
        <v>#DIV/0!</v>
      </c>
      <c r="AC367" s="3" t="e">
        <f t="shared" si="158"/>
        <v>#DIV/0!</v>
      </c>
      <c r="AD367" s="3" t="e">
        <f t="shared" si="159"/>
        <v>#DIV/0!</v>
      </c>
      <c r="AE367" s="9" t="e">
        <f t="shared" si="160"/>
        <v>#DIV/0!</v>
      </c>
      <c r="AF367" s="126">
        <f>IFERROR(D367*F367*L367*'Entrada e Saida'!$K$8,0)</f>
        <v>0</v>
      </c>
      <c r="AG367" s="3" t="e">
        <f>((W367+AA367+AB367+AC367+AD367+AE367+AF367)/(1-'Entrada e Saida'!$G$65))*'Entrada e Saida'!$I$66</f>
        <v>#DIV/0!</v>
      </c>
      <c r="AH367" s="8" t="e">
        <f t="shared" si="161"/>
        <v>#DIV/0!</v>
      </c>
      <c r="AI367" s="183" t="e">
        <f>'Entrada e Saida'!$K$51*(IF('Entrada e Saida'!$H$15="PESO",(P367/(SUM(P:P))),(Q367/(SUM(Q:Q)))))</f>
        <v>#DIV/0!</v>
      </c>
      <c r="AJ367" s="7">
        <f>(('Entrada e Saida'!$K$10-'Entrada e Saida'!$K$8)*E367*D367)</f>
        <v>0</v>
      </c>
      <c r="AK367" s="184" t="e">
        <f>IF('Entrada e Saida'!$H$15="PESO",W367+AA367+AH367+AI367+AJ367,W367+AA367+AH367+AI367+AJ367-S367+T367-U367+V367)</f>
        <v>#DIV/0!</v>
      </c>
      <c r="AL367" s="6" t="e">
        <f>IF('Entrada e Saida'!$H$12="REAL",AC367,0)</f>
        <v>#DIV/0!</v>
      </c>
      <c r="AM367" s="6" t="e">
        <f>IF('Entrada e Saida'!$H$12="REAL",AD367,0)</f>
        <v>#DIV/0!</v>
      </c>
      <c r="AN367" s="5" t="e">
        <f>IF('Entrada e Saida'!$H$13= "NÃO",AE367,0)</f>
        <v>#DIV/0!</v>
      </c>
      <c r="AO367" s="5" t="e">
        <f t="shared" si="162"/>
        <v>#DIV/0!</v>
      </c>
      <c r="AP367" s="4" t="e">
        <f t="shared" si="163"/>
        <v>#DIV/0!</v>
      </c>
      <c r="AQ367" s="3" t="e">
        <f>IF('Entrada e Saida'!$H$11="TRADING",AU367*'Custo Resumido'!D367,0)</f>
        <v>#DIV/0!</v>
      </c>
      <c r="AR367" s="3" t="e">
        <f>IF('Entrada e Saida'!$H$11="TRADING",AU367*'Entrada e Saida'!$G$63,0)</f>
        <v>#DIV/0!</v>
      </c>
      <c r="AS367" s="3" t="e">
        <f>IF('Entrada e Saida'!$H$11="TRADING",AU367*'Entrada e Saida'!$G$64,0)</f>
        <v>#DIV/0!</v>
      </c>
      <c r="AT367" s="3" t="e">
        <f>IF('Entrada e Saida'!$H$11="TRADING",AU367*'Entrada e Saida'!$G$65,0)</f>
        <v>#DIV/0!</v>
      </c>
      <c r="AU367" s="4" t="e">
        <f>IF('Entrada e Saida'!$H$11="TRADING",AP367/(1-(SUM('Entrada e Saida'!$G$63:$G$65)+'Custo Resumido'!D367)),0)</f>
        <v>#DIV/0!</v>
      </c>
      <c r="AV367" s="3" t="e">
        <f>IF('Entrada e Saida'!$H$13="NÃO",AU367*M367,0)</f>
        <v>#DIV/0!</v>
      </c>
      <c r="AW367" s="4" t="e">
        <f t="shared" si="164"/>
        <v>#DIV/0!</v>
      </c>
      <c r="AX367" s="3" t="e">
        <f>'Entrada e Saida'!$G$74*AU367</f>
        <v>#DIV/0!</v>
      </c>
      <c r="AY367" s="4" t="e">
        <f t="shared" si="165"/>
        <v>#DIV/0!</v>
      </c>
      <c r="AZ367" s="4" t="e">
        <f>AQ367+('Entrada e Saida'!$G$65-'Entrada e Saida'!$I$65)*AU367-AX367</f>
        <v>#DIV/0!</v>
      </c>
      <c r="BA367" s="3" t="e">
        <f>IF('Entrada e Saida'!$H$12="REAL",AZ367*'Entrada e Saida'!$G$81,AU367*'Entrada e Saida'!$G$81)</f>
        <v>#DIV/0!</v>
      </c>
      <c r="BB367" s="3" t="e">
        <f>IF('Entrada e Saida'!$H$12="REAL",AZ367*'Entrada e Saida'!$G$82,AU367*'Entrada e Saida'!$G$82)</f>
        <v>#DIV/0!</v>
      </c>
      <c r="BC367" s="4" t="e">
        <f t="shared" si="166"/>
        <v>#DIV/0!</v>
      </c>
      <c r="BD367" s="3" t="e">
        <f>IF('Entrada e Saida'!$H$11="TRADING",AW367/D367,AK367/D367)</f>
        <v>#DIV/0!</v>
      </c>
      <c r="BE367" s="3" t="e">
        <f t="shared" si="167"/>
        <v>#DIV/0!</v>
      </c>
      <c r="BF367" s="2" t="e">
        <f t="shared" si="168"/>
        <v>#DIV/0!</v>
      </c>
      <c r="BG367" s="3" t="e">
        <f>IF('Entrada e Saida'!$H$11="TRADING",AV367/D367,AN367/D367)</f>
        <v>#DIV/0!</v>
      </c>
      <c r="BH367" s="3" t="e">
        <f>IF('Entrada e Saida'!$H$11="TRADING",IF('Entrada e Saida'!$H$12="REAL",AR367/D367,0),AL367/D367)</f>
        <v>#DIV/0!</v>
      </c>
      <c r="BI367" s="3" t="e">
        <f>IF('Entrada e Saida'!$H$11="TRADING",IF('Entrada e Saida'!$H$12="REAL",AS367/D367,0),AM367/D367)</f>
        <v>#DIV/0!</v>
      </c>
      <c r="BJ367" s="3" t="e">
        <f>IF('Entrada e Saida'!$H$11="TRADING",AT367/D367,AO367/D367)</f>
        <v>#DIV/0!</v>
      </c>
      <c r="BK367" s="2" t="e">
        <f t="shared" si="169"/>
        <v>#DIV/0!</v>
      </c>
      <c r="BL367" s="2">
        <f>IF(O367&gt;0,IFERROR(IF('Entrada e Saida'!$H$11="DIRETA",0,(IF('Entrada e Saida'!$H$14="P.JURIDICA",(BD367*(1+O367)*N367)-((BD367/(1+M367))*'Entrada e Saida'!$G$65),((Produtos!N367-'Entrada e Saida'!$G$65)*Produtos!BD367)))),0),0)</f>
        <v>0</v>
      </c>
      <c r="BM367" s="2" t="e">
        <f t="shared" si="170"/>
        <v>#DIV/0!</v>
      </c>
    </row>
    <row r="368" spans="1:65" s="1" customFormat="1">
      <c r="A368" s="127"/>
      <c r="B368" s="114">
        <f>IFERROR(VLOOKUP(A368,'Master Modelo'!A:I,7,FALSE),0)</f>
        <v>0</v>
      </c>
      <c r="C368" s="116">
        <f>IFERROR(VLOOKUP(A368,'Master Modelo'!A:I,2,FALSE),0)</f>
        <v>0</v>
      </c>
      <c r="D368" s="146"/>
      <c r="E368" s="115">
        <f>IFERROR(VLOOKUP(A368,'Master Modelo'!A:I,9,FALSE),0)</f>
        <v>0</v>
      </c>
      <c r="F368" s="189">
        <f>IFERROR(VLOOKUP(A368,'Master Modelo'!A:I,8,FALSE),0)</f>
        <v>0</v>
      </c>
      <c r="G368" s="189">
        <f>IFERROR(VLOOKUP(A368,'Master Modelo'!A:K,11,FALSE),0)</f>
        <v>0</v>
      </c>
      <c r="H368" s="114" t="e">
        <f t="shared" si="153"/>
        <v>#DIV/0!</v>
      </c>
      <c r="I368" s="150">
        <f>IFERROR(VLOOKUP(A368,'Master Modelo'!A:I,3,FALSE),0)</f>
        <v>0</v>
      </c>
      <c r="J368" s="151">
        <f>IFERROR(VLOOKUP(A368,'Master Modelo'!A:I,5,FALSE),0)</f>
        <v>0</v>
      </c>
      <c r="K368" s="151">
        <f>IFERROR(VLOOKUP(A368,'Master Modelo'!A:I,6,FALSE),0)</f>
        <v>0</v>
      </c>
      <c r="L368" s="152" t="e">
        <f>VLOOKUP(A368,'Master Modelo'!A:J,10,FALSE)</f>
        <v>#N/A</v>
      </c>
      <c r="M368" s="150">
        <f>IFERROR(VLOOKUP(A368,'Master Modelo'!A:I,4,FALSE),0)</f>
        <v>0</v>
      </c>
      <c r="N368" s="128"/>
      <c r="O368" s="129"/>
      <c r="P368" s="9">
        <f t="shared" si="154"/>
        <v>0</v>
      </c>
      <c r="Q368" s="177">
        <f t="shared" si="152"/>
        <v>0</v>
      </c>
      <c r="R368" s="3">
        <f>D368*E368*'Entrada e Saida'!$K$8</f>
        <v>0</v>
      </c>
      <c r="S368" s="179" t="e">
        <f>'Entrada e Saida'!$H$21*'Entrada e Saida'!$K$8*(P368/(SUM(P:P)))</f>
        <v>#DIV/0!</v>
      </c>
      <c r="T368" s="179" t="e">
        <f>'Entrada e Saida'!$H$21*'Entrada e Saida'!$K$8*(Q368/(SUM(Q:Q)))</f>
        <v>#DIV/0!</v>
      </c>
      <c r="U368" s="179" t="e">
        <f>'Entrada e Saida'!$H$22*(P368/(SUM(P:P)))</f>
        <v>#DIV/0!</v>
      </c>
      <c r="V368" s="179" t="e">
        <f>'Entrada e Saida'!$H$22*(Q368/(SUM(Q:Q)))</f>
        <v>#DIV/0!</v>
      </c>
      <c r="W368" s="8" t="e">
        <f t="shared" si="155"/>
        <v>#DIV/0!</v>
      </c>
      <c r="X368" s="179" t="e">
        <f>'Entrada e Saida'!$H$26*(IF('Entrada e Saida'!$H$15="PESO",(P368/(SUM(P:P))),(Q368/(SUM(Q:Q)))))</f>
        <v>#DIV/0!</v>
      </c>
      <c r="Y368" s="179" t="e">
        <f>'Entrada e Saida'!$H$27*(IF('Entrada e Saida'!$H$15="PESO",(P368/(SUM(P:P))),(Q368/(SUM(Q:Q)))))</f>
        <v>#DIV/0!</v>
      </c>
      <c r="Z368" s="179" t="e">
        <f>'Entrada e Saida'!$H$28*(IF('Entrada e Saida'!$H$15="PESO",(P368/(SUM(P:P))),(Q368/(SUM(Q:Q)))))</f>
        <v>#DIV/0!</v>
      </c>
      <c r="AA368" s="10" t="e">
        <f t="shared" si="156"/>
        <v>#DIV/0!</v>
      </c>
      <c r="AB368" s="3" t="e">
        <f t="shared" si="157"/>
        <v>#DIV/0!</v>
      </c>
      <c r="AC368" s="3" t="e">
        <f t="shared" si="158"/>
        <v>#DIV/0!</v>
      </c>
      <c r="AD368" s="3" t="e">
        <f t="shared" si="159"/>
        <v>#DIV/0!</v>
      </c>
      <c r="AE368" s="9" t="e">
        <f t="shared" si="160"/>
        <v>#DIV/0!</v>
      </c>
      <c r="AF368" s="126">
        <f>IFERROR(D368*F368*L368*'Entrada e Saida'!$K$8,0)</f>
        <v>0</v>
      </c>
      <c r="AG368" s="3" t="e">
        <f>((W368+AA368+AB368+AC368+AD368+AE368+AF368)/(1-'Entrada e Saida'!$G$65))*'Entrada e Saida'!$I$66</f>
        <v>#DIV/0!</v>
      </c>
      <c r="AH368" s="8" t="e">
        <f t="shared" si="161"/>
        <v>#DIV/0!</v>
      </c>
      <c r="AI368" s="183" t="e">
        <f>'Entrada e Saida'!$K$51*(IF('Entrada e Saida'!$H$15="PESO",(P368/(SUM(P:P))),(Q368/(SUM(Q:Q)))))</f>
        <v>#DIV/0!</v>
      </c>
      <c r="AJ368" s="7">
        <f>(('Entrada e Saida'!$K$10-'Entrada e Saida'!$K$8)*E368*D368)</f>
        <v>0</v>
      </c>
      <c r="AK368" s="184" t="e">
        <f>IF('Entrada e Saida'!$H$15="PESO",W368+AA368+AH368+AI368+AJ368,W368+AA368+AH368+AI368+AJ368-S368+T368-U368+V368)</f>
        <v>#DIV/0!</v>
      </c>
      <c r="AL368" s="6" t="e">
        <f>IF('Entrada e Saida'!$H$12="REAL",AC368,0)</f>
        <v>#DIV/0!</v>
      </c>
      <c r="AM368" s="6" t="e">
        <f>IF('Entrada e Saida'!$H$12="REAL",AD368,0)</f>
        <v>#DIV/0!</v>
      </c>
      <c r="AN368" s="5" t="e">
        <f>IF('Entrada e Saida'!$H$13= "NÃO",AE368,0)</f>
        <v>#DIV/0!</v>
      </c>
      <c r="AO368" s="5" t="e">
        <f t="shared" si="162"/>
        <v>#DIV/0!</v>
      </c>
      <c r="AP368" s="4" t="e">
        <f t="shared" si="163"/>
        <v>#DIV/0!</v>
      </c>
      <c r="AQ368" s="3" t="e">
        <f>IF('Entrada e Saida'!$H$11="TRADING",AU368*'Custo Resumido'!D368,0)</f>
        <v>#DIV/0!</v>
      </c>
      <c r="AR368" s="3" t="e">
        <f>IF('Entrada e Saida'!$H$11="TRADING",AU368*'Entrada e Saida'!$G$63,0)</f>
        <v>#DIV/0!</v>
      </c>
      <c r="AS368" s="3" t="e">
        <f>IF('Entrada e Saida'!$H$11="TRADING",AU368*'Entrada e Saida'!$G$64,0)</f>
        <v>#DIV/0!</v>
      </c>
      <c r="AT368" s="3" t="e">
        <f>IF('Entrada e Saida'!$H$11="TRADING",AU368*'Entrada e Saida'!$G$65,0)</f>
        <v>#DIV/0!</v>
      </c>
      <c r="AU368" s="4" t="e">
        <f>IF('Entrada e Saida'!$H$11="TRADING",AP368/(1-(SUM('Entrada e Saida'!$G$63:$G$65)+'Custo Resumido'!D368)),0)</f>
        <v>#DIV/0!</v>
      </c>
      <c r="AV368" s="3" t="e">
        <f>IF('Entrada e Saida'!$H$13="NÃO",AU368*M368,0)</f>
        <v>#DIV/0!</v>
      </c>
      <c r="AW368" s="4" t="e">
        <f t="shared" si="164"/>
        <v>#DIV/0!</v>
      </c>
      <c r="AX368" s="3" t="e">
        <f>'Entrada e Saida'!$G$74*AU368</f>
        <v>#DIV/0!</v>
      </c>
      <c r="AY368" s="4" t="e">
        <f t="shared" si="165"/>
        <v>#DIV/0!</v>
      </c>
      <c r="AZ368" s="4" t="e">
        <f>AQ368+('Entrada e Saida'!$G$65-'Entrada e Saida'!$I$65)*AU368-AX368</f>
        <v>#DIV/0!</v>
      </c>
      <c r="BA368" s="3" t="e">
        <f>IF('Entrada e Saida'!$H$12="REAL",AZ368*'Entrada e Saida'!$G$81,AU368*'Entrada e Saida'!$G$81)</f>
        <v>#DIV/0!</v>
      </c>
      <c r="BB368" s="3" t="e">
        <f>IF('Entrada e Saida'!$H$12="REAL",AZ368*'Entrada e Saida'!$G$82,AU368*'Entrada e Saida'!$G$82)</f>
        <v>#DIV/0!</v>
      </c>
      <c r="BC368" s="4" t="e">
        <f t="shared" si="166"/>
        <v>#DIV/0!</v>
      </c>
      <c r="BD368" s="3" t="e">
        <f>IF('Entrada e Saida'!$H$11="TRADING",AW368/D368,AK368/D368)</f>
        <v>#DIV/0!</v>
      </c>
      <c r="BE368" s="3" t="e">
        <f t="shared" si="167"/>
        <v>#DIV/0!</v>
      </c>
      <c r="BF368" s="2" t="e">
        <f t="shared" si="168"/>
        <v>#DIV/0!</v>
      </c>
      <c r="BG368" s="3" t="e">
        <f>IF('Entrada e Saida'!$H$11="TRADING",AV368/D368,AN368/D368)</f>
        <v>#DIV/0!</v>
      </c>
      <c r="BH368" s="3" t="e">
        <f>IF('Entrada e Saida'!$H$11="TRADING",IF('Entrada e Saida'!$H$12="REAL",AR368/D368,0),AL368/D368)</f>
        <v>#DIV/0!</v>
      </c>
      <c r="BI368" s="3" t="e">
        <f>IF('Entrada e Saida'!$H$11="TRADING",IF('Entrada e Saida'!$H$12="REAL",AS368/D368,0),AM368/D368)</f>
        <v>#DIV/0!</v>
      </c>
      <c r="BJ368" s="3" t="e">
        <f>IF('Entrada e Saida'!$H$11="TRADING",AT368/D368,AO368/D368)</f>
        <v>#DIV/0!</v>
      </c>
      <c r="BK368" s="2" t="e">
        <f t="shared" si="169"/>
        <v>#DIV/0!</v>
      </c>
      <c r="BL368" s="2">
        <f>IF(O368&gt;0,IFERROR(IF('Entrada e Saida'!$H$11="DIRETA",0,(IF('Entrada e Saida'!$H$14="P.JURIDICA",(BD368*(1+O368)*N368)-((BD368/(1+M368))*'Entrada e Saida'!$G$65),((Produtos!N368-'Entrada e Saida'!$G$65)*Produtos!BD368)))),0),0)</f>
        <v>0</v>
      </c>
      <c r="BM368" s="2" t="e">
        <f t="shared" si="170"/>
        <v>#DIV/0!</v>
      </c>
    </row>
    <row r="369" spans="1:65" s="1" customFormat="1">
      <c r="A369" s="127"/>
      <c r="B369" s="114">
        <f>IFERROR(VLOOKUP(A369,'Master Modelo'!A:I,7,FALSE),0)</f>
        <v>0</v>
      </c>
      <c r="C369" s="116">
        <f>IFERROR(VLOOKUP(A369,'Master Modelo'!A:I,2,FALSE),0)</f>
        <v>0</v>
      </c>
      <c r="D369" s="146"/>
      <c r="E369" s="115">
        <f>IFERROR(VLOOKUP(A369,'Master Modelo'!A:I,9,FALSE),0)</f>
        <v>0</v>
      </c>
      <c r="F369" s="189">
        <f>IFERROR(VLOOKUP(A369,'Master Modelo'!A:I,8,FALSE),0)</f>
        <v>0</v>
      </c>
      <c r="G369" s="189">
        <f>IFERROR(VLOOKUP(A369,'Master Modelo'!A:K,11,FALSE),0)</f>
        <v>0</v>
      </c>
      <c r="H369" s="114" t="e">
        <f t="shared" si="153"/>
        <v>#DIV/0!</v>
      </c>
      <c r="I369" s="150">
        <f>IFERROR(VLOOKUP(A369,'Master Modelo'!A:I,3,FALSE),0)</f>
        <v>0</v>
      </c>
      <c r="J369" s="151">
        <f>IFERROR(VLOOKUP(A369,'Master Modelo'!A:I,5,FALSE),0)</f>
        <v>0</v>
      </c>
      <c r="K369" s="151">
        <f>IFERROR(VLOOKUP(A369,'Master Modelo'!A:I,6,FALSE),0)</f>
        <v>0</v>
      </c>
      <c r="L369" s="152" t="e">
        <f>VLOOKUP(A369,'Master Modelo'!A:J,10,FALSE)</f>
        <v>#N/A</v>
      </c>
      <c r="M369" s="150">
        <f>IFERROR(VLOOKUP(A369,'Master Modelo'!A:I,4,FALSE),0)</f>
        <v>0</v>
      </c>
      <c r="N369" s="128"/>
      <c r="O369" s="129"/>
      <c r="P369" s="9">
        <f t="shared" si="154"/>
        <v>0</v>
      </c>
      <c r="Q369" s="177">
        <f t="shared" si="152"/>
        <v>0</v>
      </c>
      <c r="R369" s="3">
        <f>D369*E369*'Entrada e Saida'!$K$8</f>
        <v>0</v>
      </c>
      <c r="S369" s="179" t="e">
        <f>'Entrada e Saida'!$H$21*'Entrada e Saida'!$K$8*(P369/(SUM(P:P)))</f>
        <v>#DIV/0!</v>
      </c>
      <c r="T369" s="179" t="e">
        <f>'Entrada e Saida'!$H$21*'Entrada e Saida'!$K$8*(Q369/(SUM(Q:Q)))</f>
        <v>#DIV/0!</v>
      </c>
      <c r="U369" s="179" t="e">
        <f>'Entrada e Saida'!$H$22*(P369/(SUM(P:P)))</f>
        <v>#DIV/0!</v>
      </c>
      <c r="V369" s="179" t="e">
        <f>'Entrada e Saida'!$H$22*(Q369/(SUM(Q:Q)))</f>
        <v>#DIV/0!</v>
      </c>
      <c r="W369" s="8" t="e">
        <f t="shared" si="155"/>
        <v>#DIV/0!</v>
      </c>
      <c r="X369" s="179" t="e">
        <f>'Entrada e Saida'!$H$26*(IF('Entrada e Saida'!$H$15="PESO",(P369/(SUM(P:P))),(Q369/(SUM(Q:Q)))))</f>
        <v>#DIV/0!</v>
      </c>
      <c r="Y369" s="179" t="e">
        <f>'Entrada e Saida'!$H$27*(IF('Entrada e Saida'!$H$15="PESO",(P369/(SUM(P:P))),(Q369/(SUM(Q:Q)))))</f>
        <v>#DIV/0!</v>
      </c>
      <c r="Z369" s="179" t="e">
        <f>'Entrada e Saida'!$H$28*(IF('Entrada e Saida'!$H$15="PESO",(P369/(SUM(P:P))),(Q369/(SUM(Q:Q)))))</f>
        <v>#DIV/0!</v>
      </c>
      <c r="AA369" s="10" t="e">
        <f t="shared" si="156"/>
        <v>#DIV/0!</v>
      </c>
      <c r="AB369" s="3" t="e">
        <f t="shared" si="157"/>
        <v>#DIV/0!</v>
      </c>
      <c r="AC369" s="3" t="e">
        <f t="shared" si="158"/>
        <v>#DIV/0!</v>
      </c>
      <c r="AD369" s="3" t="e">
        <f t="shared" si="159"/>
        <v>#DIV/0!</v>
      </c>
      <c r="AE369" s="9" t="e">
        <f t="shared" si="160"/>
        <v>#DIV/0!</v>
      </c>
      <c r="AF369" s="126">
        <f>IFERROR(D369*F369*L369*'Entrada e Saida'!$K$8,0)</f>
        <v>0</v>
      </c>
      <c r="AG369" s="3" t="e">
        <f>((W369+AA369+AB369+AC369+AD369+AE369+AF369)/(1-'Entrada e Saida'!$G$65))*'Entrada e Saida'!$I$66</f>
        <v>#DIV/0!</v>
      </c>
      <c r="AH369" s="8" t="e">
        <f t="shared" si="161"/>
        <v>#DIV/0!</v>
      </c>
      <c r="AI369" s="183" t="e">
        <f>'Entrada e Saida'!$K$51*(IF('Entrada e Saida'!$H$15="PESO",(P369/(SUM(P:P))),(Q369/(SUM(Q:Q)))))</f>
        <v>#DIV/0!</v>
      </c>
      <c r="AJ369" s="7">
        <f>(('Entrada e Saida'!$K$10-'Entrada e Saida'!$K$8)*E369*D369)</f>
        <v>0</v>
      </c>
      <c r="AK369" s="184" t="e">
        <f>IF('Entrada e Saida'!$H$15="PESO",W369+AA369+AH369+AI369+AJ369,W369+AA369+AH369+AI369+AJ369-S369+T369-U369+V369)</f>
        <v>#DIV/0!</v>
      </c>
      <c r="AL369" s="6" t="e">
        <f>IF('Entrada e Saida'!$H$12="REAL",AC369,0)</f>
        <v>#DIV/0!</v>
      </c>
      <c r="AM369" s="6" t="e">
        <f>IF('Entrada e Saida'!$H$12="REAL",AD369,0)</f>
        <v>#DIV/0!</v>
      </c>
      <c r="AN369" s="5" t="e">
        <f>IF('Entrada e Saida'!$H$13= "NÃO",AE369,0)</f>
        <v>#DIV/0!</v>
      </c>
      <c r="AO369" s="5" t="e">
        <f t="shared" si="162"/>
        <v>#DIV/0!</v>
      </c>
      <c r="AP369" s="4" t="e">
        <f t="shared" si="163"/>
        <v>#DIV/0!</v>
      </c>
      <c r="AQ369" s="3" t="e">
        <f>IF('Entrada e Saida'!$H$11="TRADING",AU369*'Custo Resumido'!D369,0)</f>
        <v>#DIV/0!</v>
      </c>
      <c r="AR369" s="3" t="e">
        <f>IF('Entrada e Saida'!$H$11="TRADING",AU369*'Entrada e Saida'!$G$63,0)</f>
        <v>#DIV/0!</v>
      </c>
      <c r="AS369" s="3" t="e">
        <f>IF('Entrada e Saida'!$H$11="TRADING",AU369*'Entrada e Saida'!$G$64,0)</f>
        <v>#DIV/0!</v>
      </c>
      <c r="AT369" s="3" t="e">
        <f>IF('Entrada e Saida'!$H$11="TRADING",AU369*'Entrada e Saida'!$G$65,0)</f>
        <v>#DIV/0!</v>
      </c>
      <c r="AU369" s="4" t="e">
        <f>IF('Entrada e Saida'!$H$11="TRADING",AP369/(1-(SUM('Entrada e Saida'!$G$63:$G$65)+'Custo Resumido'!D369)),0)</f>
        <v>#DIV/0!</v>
      </c>
      <c r="AV369" s="3" t="e">
        <f>IF('Entrada e Saida'!$H$13="NÃO",AU369*M369,0)</f>
        <v>#DIV/0!</v>
      </c>
      <c r="AW369" s="4" t="e">
        <f t="shared" si="164"/>
        <v>#DIV/0!</v>
      </c>
      <c r="AX369" s="3" t="e">
        <f>'Entrada e Saida'!$G$74*AU369</f>
        <v>#DIV/0!</v>
      </c>
      <c r="AY369" s="4" t="e">
        <f t="shared" si="165"/>
        <v>#DIV/0!</v>
      </c>
      <c r="AZ369" s="4" t="e">
        <f>AQ369+('Entrada e Saida'!$G$65-'Entrada e Saida'!$I$65)*AU369-AX369</f>
        <v>#DIV/0!</v>
      </c>
      <c r="BA369" s="3" t="e">
        <f>IF('Entrada e Saida'!$H$12="REAL",AZ369*'Entrada e Saida'!$G$81,AU369*'Entrada e Saida'!$G$81)</f>
        <v>#DIV/0!</v>
      </c>
      <c r="BB369" s="3" t="e">
        <f>IF('Entrada e Saida'!$H$12="REAL",AZ369*'Entrada e Saida'!$G$82,AU369*'Entrada e Saida'!$G$82)</f>
        <v>#DIV/0!</v>
      </c>
      <c r="BC369" s="4" t="e">
        <f t="shared" si="166"/>
        <v>#DIV/0!</v>
      </c>
      <c r="BD369" s="3" t="e">
        <f>IF('Entrada e Saida'!$H$11="TRADING",AW369/D369,AK369/D369)</f>
        <v>#DIV/0!</v>
      </c>
      <c r="BE369" s="3" t="e">
        <f t="shared" si="167"/>
        <v>#DIV/0!</v>
      </c>
      <c r="BF369" s="2" t="e">
        <f t="shared" si="168"/>
        <v>#DIV/0!</v>
      </c>
      <c r="BG369" s="3" t="e">
        <f>IF('Entrada e Saida'!$H$11="TRADING",AV369/D369,AN369/D369)</f>
        <v>#DIV/0!</v>
      </c>
      <c r="BH369" s="3" t="e">
        <f>IF('Entrada e Saida'!$H$11="TRADING",IF('Entrada e Saida'!$H$12="REAL",AR369/D369,0),AL369/D369)</f>
        <v>#DIV/0!</v>
      </c>
      <c r="BI369" s="3" t="e">
        <f>IF('Entrada e Saida'!$H$11="TRADING",IF('Entrada e Saida'!$H$12="REAL",AS369/D369,0),AM369/D369)</f>
        <v>#DIV/0!</v>
      </c>
      <c r="BJ369" s="3" t="e">
        <f>IF('Entrada e Saida'!$H$11="TRADING",AT369/D369,AO369/D369)</f>
        <v>#DIV/0!</v>
      </c>
      <c r="BK369" s="2" t="e">
        <f t="shared" si="169"/>
        <v>#DIV/0!</v>
      </c>
      <c r="BL369" s="2">
        <f>IF(O369&gt;0,IFERROR(IF('Entrada e Saida'!$H$11="DIRETA",0,(IF('Entrada e Saida'!$H$14="P.JURIDICA",(BD369*(1+O369)*N369)-((BD369/(1+M369))*'Entrada e Saida'!$G$65),((Produtos!N369-'Entrada e Saida'!$G$65)*Produtos!BD369)))),0),0)</f>
        <v>0</v>
      </c>
      <c r="BM369" s="2" t="e">
        <f t="shared" si="170"/>
        <v>#DIV/0!</v>
      </c>
    </row>
    <row r="370" spans="1:65" s="1" customFormat="1">
      <c r="A370" s="127"/>
      <c r="B370" s="114">
        <f>IFERROR(VLOOKUP(A370,'Master Modelo'!A:I,7,FALSE),0)</f>
        <v>0</v>
      </c>
      <c r="C370" s="116">
        <f>IFERROR(VLOOKUP(A370,'Master Modelo'!A:I,2,FALSE),0)</f>
        <v>0</v>
      </c>
      <c r="D370" s="146"/>
      <c r="E370" s="115">
        <f>IFERROR(VLOOKUP(A370,'Master Modelo'!A:I,9,FALSE),0)</f>
        <v>0</v>
      </c>
      <c r="F370" s="189">
        <f>IFERROR(VLOOKUP(A370,'Master Modelo'!A:I,8,FALSE),0)</f>
        <v>0</v>
      </c>
      <c r="G370" s="189">
        <f>IFERROR(VLOOKUP(A370,'Master Modelo'!A:K,11,FALSE),0)</f>
        <v>0</v>
      </c>
      <c r="H370" s="114" t="e">
        <f t="shared" si="153"/>
        <v>#DIV/0!</v>
      </c>
      <c r="I370" s="150">
        <f>IFERROR(VLOOKUP(A370,'Master Modelo'!A:I,3,FALSE),0)</f>
        <v>0</v>
      </c>
      <c r="J370" s="151">
        <f>IFERROR(VLOOKUP(A370,'Master Modelo'!A:I,5,FALSE),0)</f>
        <v>0</v>
      </c>
      <c r="K370" s="151">
        <f>IFERROR(VLOOKUP(A370,'Master Modelo'!A:I,6,FALSE),0)</f>
        <v>0</v>
      </c>
      <c r="L370" s="152" t="e">
        <f>VLOOKUP(A370,'Master Modelo'!A:J,10,FALSE)</f>
        <v>#N/A</v>
      </c>
      <c r="M370" s="150">
        <f>IFERROR(VLOOKUP(A370,'Master Modelo'!A:I,4,FALSE),0)</f>
        <v>0</v>
      </c>
      <c r="N370" s="128"/>
      <c r="O370" s="129"/>
      <c r="P370" s="9">
        <f t="shared" si="154"/>
        <v>0</v>
      </c>
      <c r="Q370" s="177">
        <f t="shared" si="152"/>
        <v>0</v>
      </c>
      <c r="R370" s="3">
        <f>D370*E370*'Entrada e Saida'!$K$8</f>
        <v>0</v>
      </c>
      <c r="S370" s="179" t="e">
        <f>'Entrada e Saida'!$H$21*'Entrada e Saida'!$K$8*(P370/(SUM(P:P)))</f>
        <v>#DIV/0!</v>
      </c>
      <c r="T370" s="179" t="e">
        <f>'Entrada e Saida'!$H$21*'Entrada e Saida'!$K$8*(Q370/(SUM(Q:Q)))</f>
        <v>#DIV/0!</v>
      </c>
      <c r="U370" s="179" t="e">
        <f>'Entrada e Saida'!$H$22*(P370/(SUM(P:P)))</f>
        <v>#DIV/0!</v>
      </c>
      <c r="V370" s="179" t="e">
        <f>'Entrada e Saida'!$H$22*(Q370/(SUM(Q:Q)))</f>
        <v>#DIV/0!</v>
      </c>
      <c r="W370" s="8" t="e">
        <f t="shared" si="155"/>
        <v>#DIV/0!</v>
      </c>
      <c r="X370" s="179" t="e">
        <f>'Entrada e Saida'!$H$26*(IF('Entrada e Saida'!$H$15="PESO",(P370/(SUM(P:P))),(Q370/(SUM(Q:Q)))))</f>
        <v>#DIV/0!</v>
      </c>
      <c r="Y370" s="179" t="e">
        <f>'Entrada e Saida'!$H$27*(IF('Entrada e Saida'!$H$15="PESO",(P370/(SUM(P:P))),(Q370/(SUM(Q:Q)))))</f>
        <v>#DIV/0!</v>
      </c>
      <c r="Z370" s="179" t="e">
        <f>'Entrada e Saida'!$H$28*(IF('Entrada e Saida'!$H$15="PESO",(P370/(SUM(P:P))),(Q370/(SUM(Q:Q)))))</f>
        <v>#DIV/0!</v>
      </c>
      <c r="AA370" s="10" t="e">
        <f t="shared" si="156"/>
        <v>#DIV/0!</v>
      </c>
      <c r="AB370" s="3" t="e">
        <f t="shared" si="157"/>
        <v>#DIV/0!</v>
      </c>
      <c r="AC370" s="3" t="e">
        <f t="shared" si="158"/>
        <v>#DIV/0!</v>
      </c>
      <c r="AD370" s="3" t="e">
        <f t="shared" si="159"/>
        <v>#DIV/0!</v>
      </c>
      <c r="AE370" s="9" t="e">
        <f t="shared" si="160"/>
        <v>#DIV/0!</v>
      </c>
      <c r="AF370" s="126">
        <f>IFERROR(D370*F370*L370*'Entrada e Saida'!$K$8,0)</f>
        <v>0</v>
      </c>
      <c r="AG370" s="3" t="e">
        <f>((W370+AA370+AB370+AC370+AD370+AE370+AF370)/(1-'Entrada e Saida'!$G$65))*'Entrada e Saida'!$I$66</f>
        <v>#DIV/0!</v>
      </c>
      <c r="AH370" s="8" t="e">
        <f t="shared" si="161"/>
        <v>#DIV/0!</v>
      </c>
      <c r="AI370" s="183" t="e">
        <f>'Entrada e Saida'!$K$51*(IF('Entrada e Saida'!$H$15="PESO",(P370/(SUM(P:P))),(Q370/(SUM(Q:Q)))))</f>
        <v>#DIV/0!</v>
      </c>
      <c r="AJ370" s="7">
        <f>(('Entrada e Saida'!$K$10-'Entrada e Saida'!$K$8)*E370*D370)</f>
        <v>0</v>
      </c>
      <c r="AK370" s="184" t="e">
        <f>IF('Entrada e Saida'!$H$15="PESO",W370+AA370+AH370+AI370+AJ370,W370+AA370+AH370+AI370+AJ370-S370+T370-U370+V370)</f>
        <v>#DIV/0!</v>
      </c>
      <c r="AL370" s="6" t="e">
        <f>IF('Entrada e Saida'!$H$12="REAL",AC370,0)</f>
        <v>#DIV/0!</v>
      </c>
      <c r="AM370" s="6" t="e">
        <f>IF('Entrada e Saida'!$H$12="REAL",AD370,0)</f>
        <v>#DIV/0!</v>
      </c>
      <c r="AN370" s="5" t="e">
        <f>IF('Entrada e Saida'!$H$13= "NÃO",AE370,0)</f>
        <v>#DIV/0!</v>
      </c>
      <c r="AO370" s="5" t="e">
        <f t="shared" si="162"/>
        <v>#DIV/0!</v>
      </c>
      <c r="AP370" s="4" t="e">
        <f t="shared" si="163"/>
        <v>#DIV/0!</v>
      </c>
      <c r="AQ370" s="3" t="e">
        <f>IF('Entrada e Saida'!$H$11="TRADING",AU370*'Custo Resumido'!D370,0)</f>
        <v>#DIV/0!</v>
      </c>
      <c r="AR370" s="3" t="e">
        <f>IF('Entrada e Saida'!$H$11="TRADING",AU370*'Entrada e Saida'!$G$63,0)</f>
        <v>#DIV/0!</v>
      </c>
      <c r="AS370" s="3" t="e">
        <f>IF('Entrada e Saida'!$H$11="TRADING",AU370*'Entrada e Saida'!$G$64,0)</f>
        <v>#DIV/0!</v>
      </c>
      <c r="AT370" s="3" t="e">
        <f>IF('Entrada e Saida'!$H$11="TRADING",AU370*'Entrada e Saida'!$G$65,0)</f>
        <v>#DIV/0!</v>
      </c>
      <c r="AU370" s="4" t="e">
        <f>IF('Entrada e Saida'!$H$11="TRADING",AP370/(1-(SUM('Entrada e Saida'!$G$63:$G$65)+'Custo Resumido'!D370)),0)</f>
        <v>#DIV/0!</v>
      </c>
      <c r="AV370" s="3" t="e">
        <f>IF('Entrada e Saida'!$H$13="NÃO",AU370*M370,0)</f>
        <v>#DIV/0!</v>
      </c>
      <c r="AW370" s="4" t="e">
        <f t="shared" si="164"/>
        <v>#DIV/0!</v>
      </c>
      <c r="AX370" s="3" t="e">
        <f>'Entrada e Saida'!$G$74*AU370</f>
        <v>#DIV/0!</v>
      </c>
      <c r="AY370" s="4" t="e">
        <f t="shared" si="165"/>
        <v>#DIV/0!</v>
      </c>
      <c r="AZ370" s="4" t="e">
        <f>AQ370+('Entrada e Saida'!$G$65-'Entrada e Saida'!$I$65)*AU370-AX370</f>
        <v>#DIV/0!</v>
      </c>
      <c r="BA370" s="3" t="e">
        <f>IF('Entrada e Saida'!$H$12="REAL",AZ370*'Entrada e Saida'!$G$81,AU370*'Entrada e Saida'!$G$81)</f>
        <v>#DIV/0!</v>
      </c>
      <c r="BB370" s="3" t="e">
        <f>IF('Entrada e Saida'!$H$12="REAL",AZ370*'Entrada e Saida'!$G$82,AU370*'Entrada e Saida'!$G$82)</f>
        <v>#DIV/0!</v>
      </c>
      <c r="BC370" s="4" t="e">
        <f t="shared" si="166"/>
        <v>#DIV/0!</v>
      </c>
      <c r="BD370" s="3" t="e">
        <f>IF('Entrada e Saida'!$H$11="TRADING",AW370/D370,AK370/D370)</f>
        <v>#DIV/0!</v>
      </c>
      <c r="BE370" s="3" t="e">
        <f t="shared" si="167"/>
        <v>#DIV/0!</v>
      </c>
      <c r="BF370" s="2" t="e">
        <f t="shared" si="168"/>
        <v>#DIV/0!</v>
      </c>
      <c r="BG370" s="3" t="e">
        <f>IF('Entrada e Saida'!$H$11="TRADING",AV370/D370,AN370/D370)</f>
        <v>#DIV/0!</v>
      </c>
      <c r="BH370" s="3" t="e">
        <f>IF('Entrada e Saida'!$H$11="TRADING",IF('Entrada e Saida'!$H$12="REAL",AR370/D370,0),AL370/D370)</f>
        <v>#DIV/0!</v>
      </c>
      <c r="BI370" s="3" t="e">
        <f>IF('Entrada e Saida'!$H$11="TRADING",IF('Entrada e Saida'!$H$12="REAL",AS370/D370,0),AM370/D370)</f>
        <v>#DIV/0!</v>
      </c>
      <c r="BJ370" s="3" t="e">
        <f>IF('Entrada e Saida'!$H$11="TRADING",AT370/D370,AO370/D370)</f>
        <v>#DIV/0!</v>
      </c>
      <c r="BK370" s="2" t="e">
        <f t="shared" si="169"/>
        <v>#DIV/0!</v>
      </c>
      <c r="BL370" s="2">
        <f>IF(O370&gt;0,IFERROR(IF('Entrada e Saida'!$H$11="DIRETA",0,(IF('Entrada e Saida'!$H$14="P.JURIDICA",(BD370*(1+O370)*N370)-((BD370/(1+M370))*'Entrada e Saida'!$G$65),((Produtos!N370-'Entrada e Saida'!$G$65)*Produtos!BD370)))),0),0)</f>
        <v>0</v>
      </c>
      <c r="BM370" s="2" t="e">
        <f t="shared" si="170"/>
        <v>#DIV/0!</v>
      </c>
    </row>
    <row r="371" spans="1:65" s="1" customFormat="1">
      <c r="A371" s="127"/>
      <c r="B371" s="114">
        <f>IFERROR(VLOOKUP(A371,'Master Modelo'!A:I,7,FALSE),0)</f>
        <v>0</v>
      </c>
      <c r="C371" s="116">
        <f>IFERROR(VLOOKUP(A371,'Master Modelo'!A:I,2,FALSE),0)</f>
        <v>0</v>
      </c>
      <c r="D371" s="146"/>
      <c r="E371" s="115">
        <f>IFERROR(VLOOKUP(A371,'Master Modelo'!A:I,9,FALSE),0)</f>
        <v>0</v>
      </c>
      <c r="F371" s="189">
        <f>IFERROR(VLOOKUP(A371,'Master Modelo'!A:I,8,FALSE),0)</f>
        <v>0</v>
      </c>
      <c r="G371" s="189">
        <f>IFERROR(VLOOKUP(A371,'Master Modelo'!A:K,11,FALSE),0)</f>
        <v>0</v>
      </c>
      <c r="H371" s="114" t="e">
        <f t="shared" si="153"/>
        <v>#DIV/0!</v>
      </c>
      <c r="I371" s="150">
        <f>IFERROR(VLOOKUP(A371,'Master Modelo'!A:I,3,FALSE),0)</f>
        <v>0</v>
      </c>
      <c r="J371" s="151">
        <f>IFERROR(VLOOKUP(A371,'Master Modelo'!A:I,5,FALSE),0)</f>
        <v>0</v>
      </c>
      <c r="K371" s="151">
        <f>IFERROR(VLOOKUP(A371,'Master Modelo'!A:I,6,FALSE),0)</f>
        <v>0</v>
      </c>
      <c r="L371" s="152" t="e">
        <f>VLOOKUP(A371,'Master Modelo'!A:J,10,FALSE)</f>
        <v>#N/A</v>
      </c>
      <c r="M371" s="150">
        <f>IFERROR(VLOOKUP(A371,'Master Modelo'!A:I,4,FALSE),0)</f>
        <v>0</v>
      </c>
      <c r="N371" s="128"/>
      <c r="O371" s="129"/>
      <c r="P371" s="9">
        <f t="shared" si="154"/>
        <v>0</v>
      </c>
      <c r="Q371" s="177">
        <f t="shared" si="152"/>
        <v>0</v>
      </c>
      <c r="R371" s="3">
        <f>D371*E371*'Entrada e Saida'!$K$8</f>
        <v>0</v>
      </c>
      <c r="S371" s="179" t="e">
        <f>'Entrada e Saida'!$H$21*'Entrada e Saida'!$K$8*(P371/(SUM(P:P)))</f>
        <v>#DIV/0!</v>
      </c>
      <c r="T371" s="179" t="e">
        <f>'Entrada e Saida'!$H$21*'Entrada e Saida'!$K$8*(Q371/(SUM(Q:Q)))</f>
        <v>#DIV/0!</v>
      </c>
      <c r="U371" s="179" t="e">
        <f>'Entrada e Saida'!$H$22*(P371/(SUM(P:P)))</f>
        <v>#DIV/0!</v>
      </c>
      <c r="V371" s="179" t="e">
        <f>'Entrada e Saida'!$H$22*(Q371/(SUM(Q:Q)))</f>
        <v>#DIV/0!</v>
      </c>
      <c r="W371" s="8" t="e">
        <f t="shared" si="155"/>
        <v>#DIV/0!</v>
      </c>
      <c r="X371" s="179" t="e">
        <f>'Entrada e Saida'!$H$26*(IF('Entrada e Saida'!$H$15="PESO",(P371/(SUM(P:P))),(Q371/(SUM(Q:Q)))))</f>
        <v>#DIV/0!</v>
      </c>
      <c r="Y371" s="179" t="e">
        <f>'Entrada e Saida'!$H$27*(IF('Entrada e Saida'!$H$15="PESO",(P371/(SUM(P:P))),(Q371/(SUM(Q:Q)))))</f>
        <v>#DIV/0!</v>
      </c>
      <c r="Z371" s="179" t="e">
        <f>'Entrada e Saida'!$H$28*(IF('Entrada e Saida'!$H$15="PESO",(P371/(SUM(P:P))),(Q371/(SUM(Q:Q)))))</f>
        <v>#DIV/0!</v>
      </c>
      <c r="AA371" s="10" t="e">
        <f t="shared" si="156"/>
        <v>#DIV/0!</v>
      </c>
      <c r="AB371" s="3" t="e">
        <f t="shared" si="157"/>
        <v>#DIV/0!</v>
      </c>
      <c r="AC371" s="3" t="e">
        <f t="shared" si="158"/>
        <v>#DIV/0!</v>
      </c>
      <c r="AD371" s="3" t="e">
        <f t="shared" si="159"/>
        <v>#DIV/0!</v>
      </c>
      <c r="AE371" s="9" t="e">
        <f t="shared" si="160"/>
        <v>#DIV/0!</v>
      </c>
      <c r="AF371" s="126">
        <f>IFERROR(D371*F371*L371*'Entrada e Saida'!$K$8,0)</f>
        <v>0</v>
      </c>
      <c r="AG371" s="3" t="e">
        <f>((W371+AA371+AB371+AC371+AD371+AE371+AF371)/(1-'Entrada e Saida'!$G$65))*'Entrada e Saida'!$I$66</f>
        <v>#DIV/0!</v>
      </c>
      <c r="AH371" s="8" t="e">
        <f t="shared" si="161"/>
        <v>#DIV/0!</v>
      </c>
      <c r="AI371" s="183" t="e">
        <f>'Entrada e Saida'!$K$51*(IF('Entrada e Saida'!$H$15="PESO",(P371/(SUM(P:P))),(Q371/(SUM(Q:Q)))))</f>
        <v>#DIV/0!</v>
      </c>
      <c r="AJ371" s="7">
        <f>(('Entrada e Saida'!$K$10-'Entrada e Saida'!$K$8)*E371*D371)</f>
        <v>0</v>
      </c>
      <c r="AK371" s="184" t="e">
        <f>IF('Entrada e Saida'!$H$15="PESO",W371+AA371+AH371+AI371+AJ371,W371+AA371+AH371+AI371+AJ371-S371+T371-U371+V371)</f>
        <v>#DIV/0!</v>
      </c>
      <c r="AL371" s="6" t="e">
        <f>IF('Entrada e Saida'!$H$12="REAL",AC371,0)</f>
        <v>#DIV/0!</v>
      </c>
      <c r="AM371" s="6" t="e">
        <f>IF('Entrada e Saida'!$H$12="REAL",AD371,0)</f>
        <v>#DIV/0!</v>
      </c>
      <c r="AN371" s="5" t="e">
        <f>IF('Entrada e Saida'!$H$13= "NÃO",AE371,0)</f>
        <v>#DIV/0!</v>
      </c>
      <c r="AO371" s="5" t="e">
        <f t="shared" si="162"/>
        <v>#DIV/0!</v>
      </c>
      <c r="AP371" s="4" t="e">
        <f t="shared" si="163"/>
        <v>#DIV/0!</v>
      </c>
      <c r="AQ371" s="3" t="e">
        <f>IF('Entrada e Saida'!$H$11="TRADING",AU371*'Custo Resumido'!D371,0)</f>
        <v>#DIV/0!</v>
      </c>
      <c r="AR371" s="3" t="e">
        <f>IF('Entrada e Saida'!$H$11="TRADING",AU371*'Entrada e Saida'!$G$63,0)</f>
        <v>#DIV/0!</v>
      </c>
      <c r="AS371" s="3" t="e">
        <f>IF('Entrada e Saida'!$H$11="TRADING",AU371*'Entrada e Saida'!$G$64,0)</f>
        <v>#DIV/0!</v>
      </c>
      <c r="AT371" s="3" t="e">
        <f>IF('Entrada e Saida'!$H$11="TRADING",AU371*'Entrada e Saida'!$G$65,0)</f>
        <v>#DIV/0!</v>
      </c>
      <c r="AU371" s="4" t="e">
        <f>IF('Entrada e Saida'!$H$11="TRADING",AP371/(1-(SUM('Entrada e Saida'!$G$63:$G$65)+'Custo Resumido'!D371)),0)</f>
        <v>#DIV/0!</v>
      </c>
      <c r="AV371" s="3" t="e">
        <f>IF('Entrada e Saida'!$H$13="NÃO",AU371*M371,0)</f>
        <v>#DIV/0!</v>
      </c>
      <c r="AW371" s="4" t="e">
        <f t="shared" si="164"/>
        <v>#DIV/0!</v>
      </c>
      <c r="AX371" s="3" t="e">
        <f>'Entrada e Saida'!$G$74*AU371</f>
        <v>#DIV/0!</v>
      </c>
      <c r="AY371" s="4" t="e">
        <f t="shared" si="165"/>
        <v>#DIV/0!</v>
      </c>
      <c r="AZ371" s="4" t="e">
        <f>AQ371+('Entrada e Saida'!$G$65-'Entrada e Saida'!$I$65)*AU371-AX371</f>
        <v>#DIV/0!</v>
      </c>
      <c r="BA371" s="3" t="e">
        <f>IF('Entrada e Saida'!$H$12="REAL",AZ371*'Entrada e Saida'!$G$81,AU371*'Entrada e Saida'!$G$81)</f>
        <v>#DIV/0!</v>
      </c>
      <c r="BB371" s="3" t="e">
        <f>IF('Entrada e Saida'!$H$12="REAL",AZ371*'Entrada e Saida'!$G$82,AU371*'Entrada e Saida'!$G$82)</f>
        <v>#DIV/0!</v>
      </c>
      <c r="BC371" s="4" t="e">
        <f t="shared" si="166"/>
        <v>#DIV/0!</v>
      </c>
      <c r="BD371" s="3" t="e">
        <f>IF('Entrada e Saida'!$H$11="TRADING",AW371/D371,AK371/D371)</f>
        <v>#DIV/0!</v>
      </c>
      <c r="BE371" s="3" t="e">
        <f t="shared" si="167"/>
        <v>#DIV/0!</v>
      </c>
      <c r="BF371" s="2" t="e">
        <f t="shared" si="168"/>
        <v>#DIV/0!</v>
      </c>
      <c r="BG371" s="3" t="e">
        <f>IF('Entrada e Saida'!$H$11="TRADING",AV371/D371,AN371/D371)</f>
        <v>#DIV/0!</v>
      </c>
      <c r="BH371" s="3" t="e">
        <f>IF('Entrada e Saida'!$H$11="TRADING",IF('Entrada e Saida'!$H$12="REAL",AR371/D371,0),AL371/D371)</f>
        <v>#DIV/0!</v>
      </c>
      <c r="BI371" s="3" t="e">
        <f>IF('Entrada e Saida'!$H$11="TRADING",IF('Entrada e Saida'!$H$12="REAL",AS371/D371,0),AM371/D371)</f>
        <v>#DIV/0!</v>
      </c>
      <c r="BJ371" s="3" t="e">
        <f>IF('Entrada e Saida'!$H$11="TRADING",AT371/D371,AO371/D371)</f>
        <v>#DIV/0!</v>
      </c>
      <c r="BK371" s="2" t="e">
        <f t="shared" si="169"/>
        <v>#DIV/0!</v>
      </c>
      <c r="BL371" s="2">
        <f>IF(O371&gt;0,IFERROR(IF('Entrada e Saida'!$H$11="DIRETA",0,(IF('Entrada e Saida'!$H$14="P.JURIDICA",(BD371*(1+O371)*N371)-((BD371/(1+M371))*'Entrada e Saida'!$G$65),((Produtos!N371-'Entrada e Saida'!$G$65)*Produtos!BD371)))),0),0)</f>
        <v>0</v>
      </c>
      <c r="BM371" s="2" t="e">
        <f t="shared" si="170"/>
        <v>#DIV/0!</v>
      </c>
    </row>
    <row r="372" spans="1:65" s="1" customFormat="1">
      <c r="A372" s="127"/>
      <c r="B372" s="114">
        <f>IFERROR(VLOOKUP(A372,'Master Modelo'!A:I,7,FALSE),0)</f>
        <v>0</v>
      </c>
      <c r="C372" s="116">
        <f>IFERROR(VLOOKUP(A372,'Master Modelo'!A:I,2,FALSE),0)</f>
        <v>0</v>
      </c>
      <c r="D372" s="146"/>
      <c r="E372" s="115">
        <f>IFERROR(VLOOKUP(A372,'Master Modelo'!A:I,9,FALSE),0)</f>
        <v>0</v>
      </c>
      <c r="F372" s="189">
        <f>IFERROR(VLOOKUP(A372,'Master Modelo'!A:I,8,FALSE),0)</f>
        <v>0</v>
      </c>
      <c r="G372" s="189">
        <f>IFERROR(VLOOKUP(A372,'Master Modelo'!A:K,11,FALSE),0)</f>
        <v>0</v>
      </c>
      <c r="H372" s="114" t="e">
        <f t="shared" si="153"/>
        <v>#DIV/0!</v>
      </c>
      <c r="I372" s="150">
        <f>IFERROR(VLOOKUP(A372,'Master Modelo'!A:I,3,FALSE),0)</f>
        <v>0</v>
      </c>
      <c r="J372" s="151">
        <f>IFERROR(VLOOKUP(A372,'Master Modelo'!A:I,5,FALSE),0)</f>
        <v>0</v>
      </c>
      <c r="K372" s="151">
        <f>IFERROR(VLOOKUP(A372,'Master Modelo'!A:I,6,FALSE),0)</f>
        <v>0</v>
      </c>
      <c r="L372" s="152" t="e">
        <f>VLOOKUP(A372,'Master Modelo'!A:J,10,FALSE)</f>
        <v>#N/A</v>
      </c>
      <c r="M372" s="150">
        <f>IFERROR(VLOOKUP(A372,'Master Modelo'!A:I,4,FALSE),0)</f>
        <v>0</v>
      </c>
      <c r="N372" s="128"/>
      <c r="O372" s="129"/>
      <c r="P372" s="9">
        <f t="shared" si="154"/>
        <v>0</v>
      </c>
      <c r="Q372" s="177">
        <f t="shared" si="152"/>
        <v>0</v>
      </c>
      <c r="R372" s="3">
        <f>D372*E372*'Entrada e Saida'!$K$8</f>
        <v>0</v>
      </c>
      <c r="S372" s="179" t="e">
        <f>'Entrada e Saida'!$H$21*'Entrada e Saida'!$K$8*(P372/(SUM(P:P)))</f>
        <v>#DIV/0!</v>
      </c>
      <c r="T372" s="179" t="e">
        <f>'Entrada e Saida'!$H$21*'Entrada e Saida'!$K$8*(Q372/(SUM(Q:Q)))</f>
        <v>#DIV/0!</v>
      </c>
      <c r="U372" s="179" t="e">
        <f>'Entrada e Saida'!$H$22*(P372/(SUM(P:P)))</f>
        <v>#DIV/0!</v>
      </c>
      <c r="V372" s="179" t="e">
        <f>'Entrada e Saida'!$H$22*(Q372/(SUM(Q:Q)))</f>
        <v>#DIV/0!</v>
      </c>
      <c r="W372" s="8" t="e">
        <f t="shared" si="155"/>
        <v>#DIV/0!</v>
      </c>
      <c r="X372" s="179" t="e">
        <f>'Entrada e Saida'!$H$26*(IF('Entrada e Saida'!$H$15="PESO",(P372/(SUM(P:P))),(Q372/(SUM(Q:Q)))))</f>
        <v>#DIV/0!</v>
      </c>
      <c r="Y372" s="179" t="e">
        <f>'Entrada e Saida'!$H$27*(IF('Entrada e Saida'!$H$15="PESO",(P372/(SUM(P:P))),(Q372/(SUM(Q:Q)))))</f>
        <v>#DIV/0!</v>
      </c>
      <c r="Z372" s="179" t="e">
        <f>'Entrada e Saida'!$H$28*(IF('Entrada e Saida'!$H$15="PESO",(P372/(SUM(P:P))),(Q372/(SUM(Q:Q)))))</f>
        <v>#DIV/0!</v>
      </c>
      <c r="AA372" s="10" t="e">
        <f t="shared" si="156"/>
        <v>#DIV/0!</v>
      </c>
      <c r="AB372" s="3" t="e">
        <f t="shared" si="157"/>
        <v>#DIV/0!</v>
      </c>
      <c r="AC372" s="3" t="e">
        <f t="shared" si="158"/>
        <v>#DIV/0!</v>
      </c>
      <c r="AD372" s="3" t="e">
        <f t="shared" si="159"/>
        <v>#DIV/0!</v>
      </c>
      <c r="AE372" s="9" t="e">
        <f t="shared" si="160"/>
        <v>#DIV/0!</v>
      </c>
      <c r="AF372" s="126">
        <f>IFERROR(D372*F372*L372*'Entrada e Saida'!$K$8,0)</f>
        <v>0</v>
      </c>
      <c r="AG372" s="3" t="e">
        <f>((W372+AA372+AB372+AC372+AD372+AE372+AF372)/(1-'Entrada e Saida'!$G$65))*'Entrada e Saida'!$I$66</f>
        <v>#DIV/0!</v>
      </c>
      <c r="AH372" s="8" t="e">
        <f t="shared" si="161"/>
        <v>#DIV/0!</v>
      </c>
      <c r="AI372" s="183" t="e">
        <f>'Entrada e Saida'!$K$51*(IF('Entrada e Saida'!$H$15="PESO",(P372/(SUM(P:P))),(Q372/(SUM(Q:Q)))))</f>
        <v>#DIV/0!</v>
      </c>
      <c r="AJ372" s="7">
        <f>(('Entrada e Saida'!$K$10-'Entrada e Saida'!$K$8)*E372*D372)</f>
        <v>0</v>
      </c>
      <c r="AK372" s="184" t="e">
        <f>IF('Entrada e Saida'!$H$15="PESO",W372+AA372+AH372+AI372+AJ372,W372+AA372+AH372+AI372+AJ372-S372+T372-U372+V372)</f>
        <v>#DIV/0!</v>
      </c>
      <c r="AL372" s="6" t="e">
        <f>IF('Entrada e Saida'!$H$12="REAL",AC372,0)</f>
        <v>#DIV/0!</v>
      </c>
      <c r="AM372" s="6" t="e">
        <f>IF('Entrada e Saida'!$H$12="REAL",AD372,0)</f>
        <v>#DIV/0!</v>
      </c>
      <c r="AN372" s="5" t="e">
        <f>IF('Entrada e Saida'!$H$13= "NÃO",AE372,0)</f>
        <v>#DIV/0!</v>
      </c>
      <c r="AO372" s="5" t="e">
        <f t="shared" si="162"/>
        <v>#DIV/0!</v>
      </c>
      <c r="AP372" s="4" t="e">
        <f t="shared" si="163"/>
        <v>#DIV/0!</v>
      </c>
      <c r="AQ372" s="3" t="e">
        <f>IF('Entrada e Saida'!$H$11="TRADING",AU372*'Custo Resumido'!D372,0)</f>
        <v>#DIV/0!</v>
      </c>
      <c r="AR372" s="3" t="e">
        <f>IF('Entrada e Saida'!$H$11="TRADING",AU372*'Entrada e Saida'!$G$63,0)</f>
        <v>#DIV/0!</v>
      </c>
      <c r="AS372" s="3" t="e">
        <f>IF('Entrada e Saida'!$H$11="TRADING",AU372*'Entrada e Saida'!$G$64,0)</f>
        <v>#DIV/0!</v>
      </c>
      <c r="AT372" s="3" t="e">
        <f>IF('Entrada e Saida'!$H$11="TRADING",AU372*'Entrada e Saida'!$G$65,0)</f>
        <v>#DIV/0!</v>
      </c>
      <c r="AU372" s="4" t="e">
        <f>IF('Entrada e Saida'!$H$11="TRADING",AP372/(1-(SUM('Entrada e Saida'!$G$63:$G$65)+'Custo Resumido'!D372)),0)</f>
        <v>#DIV/0!</v>
      </c>
      <c r="AV372" s="3" t="e">
        <f>IF('Entrada e Saida'!$H$13="NÃO",AU372*M372,0)</f>
        <v>#DIV/0!</v>
      </c>
      <c r="AW372" s="4" t="e">
        <f t="shared" si="164"/>
        <v>#DIV/0!</v>
      </c>
      <c r="AX372" s="3" t="e">
        <f>'Entrada e Saida'!$G$74*AU372</f>
        <v>#DIV/0!</v>
      </c>
      <c r="AY372" s="4" t="e">
        <f t="shared" si="165"/>
        <v>#DIV/0!</v>
      </c>
      <c r="AZ372" s="4" t="e">
        <f>AQ372+('Entrada e Saida'!$G$65-'Entrada e Saida'!$I$65)*AU372-AX372</f>
        <v>#DIV/0!</v>
      </c>
      <c r="BA372" s="3" t="e">
        <f>IF('Entrada e Saida'!$H$12="REAL",AZ372*'Entrada e Saida'!$G$81,AU372*'Entrada e Saida'!$G$81)</f>
        <v>#DIV/0!</v>
      </c>
      <c r="BB372" s="3" t="e">
        <f>IF('Entrada e Saida'!$H$12="REAL",AZ372*'Entrada e Saida'!$G$82,AU372*'Entrada e Saida'!$G$82)</f>
        <v>#DIV/0!</v>
      </c>
      <c r="BC372" s="4" t="e">
        <f t="shared" si="166"/>
        <v>#DIV/0!</v>
      </c>
      <c r="BD372" s="3" t="e">
        <f>IF('Entrada e Saida'!$H$11="TRADING",AW372/D372,AK372/D372)</f>
        <v>#DIV/0!</v>
      </c>
      <c r="BE372" s="3" t="e">
        <f t="shared" si="167"/>
        <v>#DIV/0!</v>
      </c>
      <c r="BF372" s="2" t="e">
        <f t="shared" si="168"/>
        <v>#DIV/0!</v>
      </c>
      <c r="BG372" s="3" t="e">
        <f>IF('Entrada e Saida'!$H$11="TRADING",AV372/D372,AN372/D372)</f>
        <v>#DIV/0!</v>
      </c>
      <c r="BH372" s="3" t="e">
        <f>IF('Entrada e Saida'!$H$11="TRADING",IF('Entrada e Saida'!$H$12="REAL",AR372/D372,0),AL372/D372)</f>
        <v>#DIV/0!</v>
      </c>
      <c r="BI372" s="3" t="e">
        <f>IF('Entrada e Saida'!$H$11="TRADING",IF('Entrada e Saida'!$H$12="REAL",AS372/D372,0),AM372/D372)</f>
        <v>#DIV/0!</v>
      </c>
      <c r="BJ372" s="3" t="e">
        <f>IF('Entrada e Saida'!$H$11="TRADING",AT372/D372,AO372/D372)</f>
        <v>#DIV/0!</v>
      </c>
      <c r="BK372" s="2" t="e">
        <f t="shared" si="169"/>
        <v>#DIV/0!</v>
      </c>
      <c r="BL372" s="2">
        <f>IF(O372&gt;0,IFERROR(IF('Entrada e Saida'!$H$11="DIRETA",0,(IF('Entrada e Saida'!$H$14="P.JURIDICA",(BD372*(1+O372)*N372)-((BD372/(1+M372))*'Entrada e Saida'!$G$65),((Produtos!N372-'Entrada e Saida'!$G$65)*Produtos!BD372)))),0),0)</f>
        <v>0</v>
      </c>
      <c r="BM372" s="2" t="e">
        <f t="shared" si="170"/>
        <v>#DIV/0!</v>
      </c>
    </row>
    <row r="373" spans="1:65" s="1" customFormat="1">
      <c r="A373" s="127"/>
      <c r="B373" s="114">
        <f>IFERROR(VLOOKUP(A373,'Master Modelo'!A:I,7,FALSE),0)</f>
        <v>0</v>
      </c>
      <c r="C373" s="116">
        <f>IFERROR(VLOOKUP(A373,'Master Modelo'!A:I,2,FALSE),0)</f>
        <v>0</v>
      </c>
      <c r="D373" s="146"/>
      <c r="E373" s="115">
        <f>IFERROR(VLOOKUP(A373,'Master Modelo'!A:I,9,FALSE),0)</f>
        <v>0</v>
      </c>
      <c r="F373" s="189">
        <f>IFERROR(VLOOKUP(A373,'Master Modelo'!A:I,8,FALSE),0)</f>
        <v>0</v>
      </c>
      <c r="G373" s="189">
        <f>IFERROR(VLOOKUP(A373,'Master Modelo'!A:K,11,FALSE),0)</f>
        <v>0</v>
      </c>
      <c r="H373" s="114" t="e">
        <f t="shared" si="153"/>
        <v>#DIV/0!</v>
      </c>
      <c r="I373" s="150">
        <f>IFERROR(VLOOKUP(A373,'Master Modelo'!A:I,3,FALSE),0)</f>
        <v>0</v>
      </c>
      <c r="J373" s="151">
        <f>IFERROR(VLOOKUP(A373,'Master Modelo'!A:I,5,FALSE),0)</f>
        <v>0</v>
      </c>
      <c r="K373" s="151">
        <f>IFERROR(VLOOKUP(A373,'Master Modelo'!A:I,6,FALSE),0)</f>
        <v>0</v>
      </c>
      <c r="L373" s="152" t="e">
        <f>VLOOKUP(A373,'Master Modelo'!A:J,10,FALSE)</f>
        <v>#N/A</v>
      </c>
      <c r="M373" s="150">
        <f>IFERROR(VLOOKUP(A373,'Master Modelo'!A:I,4,FALSE),0)</f>
        <v>0</v>
      </c>
      <c r="N373" s="128"/>
      <c r="O373" s="129"/>
      <c r="P373" s="9">
        <f t="shared" si="154"/>
        <v>0</v>
      </c>
      <c r="Q373" s="177">
        <f t="shared" si="152"/>
        <v>0</v>
      </c>
      <c r="R373" s="3">
        <f>D373*E373*'Entrada e Saida'!$K$8</f>
        <v>0</v>
      </c>
      <c r="S373" s="179" t="e">
        <f>'Entrada e Saida'!$H$21*'Entrada e Saida'!$K$8*(P373/(SUM(P:P)))</f>
        <v>#DIV/0!</v>
      </c>
      <c r="T373" s="179" t="e">
        <f>'Entrada e Saida'!$H$21*'Entrada e Saida'!$K$8*(Q373/(SUM(Q:Q)))</f>
        <v>#DIV/0!</v>
      </c>
      <c r="U373" s="179" t="e">
        <f>'Entrada e Saida'!$H$22*(P373/(SUM(P:P)))</f>
        <v>#DIV/0!</v>
      </c>
      <c r="V373" s="179" t="e">
        <f>'Entrada e Saida'!$H$22*(Q373/(SUM(Q:Q)))</f>
        <v>#DIV/0!</v>
      </c>
      <c r="W373" s="8" t="e">
        <f t="shared" si="155"/>
        <v>#DIV/0!</v>
      </c>
      <c r="X373" s="179" t="e">
        <f>'Entrada e Saida'!$H$26*(IF('Entrada e Saida'!$H$15="PESO",(P373/(SUM(P:P))),(Q373/(SUM(Q:Q)))))</f>
        <v>#DIV/0!</v>
      </c>
      <c r="Y373" s="179" t="e">
        <f>'Entrada e Saida'!$H$27*(IF('Entrada e Saida'!$H$15="PESO",(P373/(SUM(P:P))),(Q373/(SUM(Q:Q)))))</f>
        <v>#DIV/0!</v>
      </c>
      <c r="Z373" s="179" t="e">
        <f>'Entrada e Saida'!$H$28*(IF('Entrada e Saida'!$H$15="PESO",(P373/(SUM(P:P))),(Q373/(SUM(Q:Q)))))</f>
        <v>#DIV/0!</v>
      </c>
      <c r="AA373" s="10" t="e">
        <f t="shared" si="156"/>
        <v>#DIV/0!</v>
      </c>
      <c r="AB373" s="3" t="e">
        <f t="shared" si="157"/>
        <v>#DIV/0!</v>
      </c>
      <c r="AC373" s="3" t="e">
        <f t="shared" si="158"/>
        <v>#DIV/0!</v>
      </c>
      <c r="AD373" s="3" t="e">
        <f t="shared" si="159"/>
        <v>#DIV/0!</v>
      </c>
      <c r="AE373" s="9" t="e">
        <f t="shared" si="160"/>
        <v>#DIV/0!</v>
      </c>
      <c r="AF373" s="126">
        <f>IFERROR(D373*F373*L373*'Entrada e Saida'!$K$8,0)</f>
        <v>0</v>
      </c>
      <c r="AG373" s="3" t="e">
        <f>((W373+AA373+AB373+AC373+AD373+AE373+AF373)/(1-'Entrada e Saida'!$G$65))*'Entrada e Saida'!$I$66</f>
        <v>#DIV/0!</v>
      </c>
      <c r="AH373" s="8" t="e">
        <f t="shared" si="161"/>
        <v>#DIV/0!</v>
      </c>
      <c r="AI373" s="183" t="e">
        <f>'Entrada e Saida'!$K$51*(IF('Entrada e Saida'!$H$15="PESO",(P373/(SUM(P:P))),(Q373/(SUM(Q:Q)))))</f>
        <v>#DIV/0!</v>
      </c>
      <c r="AJ373" s="7">
        <f>(('Entrada e Saida'!$K$10-'Entrada e Saida'!$K$8)*E373*D373)</f>
        <v>0</v>
      </c>
      <c r="AK373" s="184" t="e">
        <f>IF('Entrada e Saida'!$H$15="PESO",W373+AA373+AH373+AI373+AJ373,W373+AA373+AH373+AI373+AJ373-S373+T373-U373+V373)</f>
        <v>#DIV/0!</v>
      </c>
      <c r="AL373" s="6" t="e">
        <f>IF('Entrada e Saida'!$H$12="REAL",AC373,0)</f>
        <v>#DIV/0!</v>
      </c>
      <c r="AM373" s="6" t="e">
        <f>IF('Entrada e Saida'!$H$12="REAL",AD373,0)</f>
        <v>#DIV/0!</v>
      </c>
      <c r="AN373" s="5" t="e">
        <f>IF('Entrada e Saida'!$H$13= "NÃO",AE373,0)</f>
        <v>#DIV/0!</v>
      </c>
      <c r="AO373" s="5" t="e">
        <f t="shared" si="162"/>
        <v>#DIV/0!</v>
      </c>
      <c r="AP373" s="4" t="e">
        <f t="shared" si="163"/>
        <v>#DIV/0!</v>
      </c>
      <c r="AQ373" s="3" t="e">
        <f>IF('Entrada e Saida'!$H$11="TRADING",AU373*'Custo Resumido'!D373,0)</f>
        <v>#DIV/0!</v>
      </c>
      <c r="AR373" s="3" t="e">
        <f>IF('Entrada e Saida'!$H$11="TRADING",AU373*'Entrada e Saida'!$G$63,0)</f>
        <v>#DIV/0!</v>
      </c>
      <c r="AS373" s="3" t="e">
        <f>IF('Entrada e Saida'!$H$11="TRADING",AU373*'Entrada e Saida'!$G$64,0)</f>
        <v>#DIV/0!</v>
      </c>
      <c r="AT373" s="3" t="e">
        <f>IF('Entrada e Saida'!$H$11="TRADING",AU373*'Entrada e Saida'!$G$65,0)</f>
        <v>#DIV/0!</v>
      </c>
      <c r="AU373" s="4" t="e">
        <f>IF('Entrada e Saida'!$H$11="TRADING",AP373/(1-(SUM('Entrada e Saida'!$G$63:$G$65)+'Custo Resumido'!D373)),0)</f>
        <v>#DIV/0!</v>
      </c>
      <c r="AV373" s="3" t="e">
        <f>IF('Entrada e Saida'!$H$13="NÃO",AU373*M373,0)</f>
        <v>#DIV/0!</v>
      </c>
      <c r="AW373" s="4" t="e">
        <f t="shared" si="164"/>
        <v>#DIV/0!</v>
      </c>
      <c r="AX373" s="3" t="e">
        <f>'Entrada e Saida'!$G$74*AU373</f>
        <v>#DIV/0!</v>
      </c>
      <c r="AY373" s="4" t="e">
        <f t="shared" si="165"/>
        <v>#DIV/0!</v>
      </c>
      <c r="AZ373" s="4" t="e">
        <f>AQ373+('Entrada e Saida'!$G$65-'Entrada e Saida'!$I$65)*AU373-AX373</f>
        <v>#DIV/0!</v>
      </c>
      <c r="BA373" s="3" t="e">
        <f>IF('Entrada e Saida'!$H$12="REAL",AZ373*'Entrada e Saida'!$G$81,AU373*'Entrada e Saida'!$G$81)</f>
        <v>#DIV/0!</v>
      </c>
      <c r="BB373" s="3" t="e">
        <f>IF('Entrada e Saida'!$H$12="REAL",AZ373*'Entrada e Saida'!$G$82,AU373*'Entrada e Saida'!$G$82)</f>
        <v>#DIV/0!</v>
      </c>
      <c r="BC373" s="4" t="e">
        <f t="shared" si="166"/>
        <v>#DIV/0!</v>
      </c>
      <c r="BD373" s="3" t="e">
        <f>IF('Entrada e Saida'!$H$11="TRADING",AW373/D373,AK373/D373)</f>
        <v>#DIV/0!</v>
      </c>
      <c r="BE373" s="3" t="e">
        <f t="shared" si="167"/>
        <v>#DIV/0!</v>
      </c>
      <c r="BF373" s="2" t="e">
        <f t="shared" si="168"/>
        <v>#DIV/0!</v>
      </c>
      <c r="BG373" s="3" t="e">
        <f>IF('Entrada e Saida'!$H$11="TRADING",AV373/D373,AN373/D373)</f>
        <v>#DIV/0!</v>
      </c>
      <c r="BH373" s="3" t="e">
        <f>IF('Entrada e Saida'!$H$11="TRADING",IF('Entrada e Saida'!$H$12="REAL",AR373/D373,0),AL373/D373)</f>
        <v>#DIV/0!</v>
      </c>
      <c r="BI373" s="3" t="e">
        <f>IF('Entrada e Saida'!$H$11="TRADING",IF('Entrada e Saida'!$H$12="REAL",AS373/D373,0),AM373/D373)</f>
        <v>#DIV/0!</v>
      </c>
      <c r="BJ373" s="3" t="e">
        <f>IF('Entrada e Saida'!$H$11="TRADING",AT373/D373,AO373/D373)</f>
        <v>#DIV/0!</v>
      </c>
      <c r="BK373" s="2" t="e">
        <f t="shared" si="169"/>
        <v>#DIV/0!</v>
      </c>
      <c r="BL373" s="2">
        <f>IF(O373&gt;0,IFERROR(IF('Entrada e Saida'!$H$11="DIRETA",0,(IF('Entrada e Saida'!$H$14="P.JURIDICA",(BD373*(1+O373)*N373)-((BD373/(1+M373))*'Entrada e Saida'!$G$65),((Produtos!N373-'Entrada e Saida'!$G$65)*Produtos!BD373)))),0),0)</f>
        <v>0</v>
      </c>
      <c r="BM373" s="2" t="e">
        <f t="shared" si="170"/>
        <v>#DIV/0!</v>
      </c>
    </row>
    <row r="374" spans="1:65" s="1" customFormat="1">
      <c r="A374" s="127"/>
      <c r="B374" s="114">
        <f>IFERROR(VLOOKUP(A374,'Master Modelo'!A:I,7,FALSE),0)</f>
        <v>0</v>
      </c>
      <c r="C374" s="116">
        <f>IFERROR(VLOOKUP(A374,'Master Modelo'!A:I,2,FALSE),0)</f>
        <v>0</v>
      </c>
      <c r="D374" s="146"/>
      <c r="E374" s="115">
        <f>IFERROR(VLOOKUP(A374,'Master Modelo'!A:I,9,FALSE),0)</f>
        <v>0</v>
      </c>
      <c r="F374" s="189">
        <f>IFERROR(VLOOKUP(A374,'Master Modelo'!A:I,8,FALSE),0)</f>
        <v>0</v>
      </c>
      <c r="G374" s="189">
        <f>IFERROR(VLOOKUP(A374,'Master Modelo'!A:K,11,FALSE),0)</f>
        <v>0</v>
      </c>
      <c r="H374" s="114" t="e">
        <f t="shared" si="153"/>
        <v>#DIV/0!</v>
      </c>
      <c r="I374" s="150">
        <f>IFERROR(VLOOKUP(A374,'Master Modelo'!A:I,3,FALSE),0)</f>
        <v>0</v>
      </c>
      <c r="J374" s="151">
        <f>IFERROR(VLOOKUP(A374,'Master Modelo'!A:I,5,FALSE),0)</f>
        <v>0</v>
      </c>
      <c r="K374" s="151">
        <f>IFERROR(VLOOKUP(A374,'Master Modelo'!A:I,6,FALSE),0)</f>
        <v>0</v>
      </c>
      <c r="L374" s="152" t="e">
        <f>VLOOKUP(A374,'Master Modelo'!A:J,10,FALSE)</f>
        <v>#N/A</v>
      </c>
      <c r="M374" s="150">
        <f>IFERROR(VLOOKUP(A374,'Master Modelo'!A:I,4,FALSE),0)</f>
        <v>0</v>
      </c>
      <c r="N374" s="128"/>
      <c r="O374" s="129"/>
      <c r="P374" s="9">
        <f t="shared" si="154"/>
        <v>0</v>
      </c>
      <c r="Q374" s="177">
        <f t="shared" si="152"/>
        <v>0</v>
      </c>
      <c r="R374" s="3">
        <f>D374*E374*'Entrada e Saida'!$K$8</f>
        <v>0</v>
      </c>
      <c r="S374" s="179" t="e">
        <f>'Entrada e Saida'!$H$21*'Entrada e Saida'!$K$8*(P374/(SUM(P:P)))</f>
        <v>#DIV/0!</v>
      </c>
      <c r="T374" s="179" t="e">
        <f>'Entrada e Saida'!$H$21*'Entrada e Saida'!$K$8*(Q374/(SUM(Q:Q)))</f>
        <v>#DIV/0!</v>
      </c>
      <c r="U374" s="179" t="e">
        <f>'Entrada e Saida'!$H$22*(P374/(SUM(P:P)))</f>
        <v>#DIV/0!</v>
      </c>
      <c r="V374" s="179" t="e">
        <f>'Entrada e Saida'!$H$22*(Q374/(SUM(Q:Q)))</f>
        <v>#DIV/0!</v>
      </c>
      <c r="W374" s="8" t="e">
        <f t="shared" si="155"/>
        <v>#DIV/0!</v>
      </c>
      <c r="X374" s="179" t="e">
        <f>'Entrada e Saida'!$H$26*(IF('Entrada e Saida'!$H$15="PESO",(P374/(SUM(P:P))),(Q374/(SUM(Q:Q)))))</f>
        <v>#DIV/0!</v>
      </c>
      <c r="Y374" s="179" t="e">
        <f>'Entrada e Saida'!$H$27*(IF('Entrada e Saida'!$H$15="PESO",(P374/(SUM(P:P))),(Q374/(SUM(Q:Q)))))</f>
        <v>#DIV/0!</v>
      </c>
      <c r="Z374" s="179" t="e">
        <f>'Entrada e Saida'!$H$28*(IF('Entrada e Saida'!$H$15="PESO",(P374/(SUM(P:P))),(Q374/(SUM(Q:Q)))))</f>
        <v>#DIV/0!</v>
      </c>
      <c r="AA374" s="10" t="e">
        <f t="shared" si="156"/>
        <v>#DIV/0!</v>
      </c>
      <c r="AB374" s="3" t="e">
        <f t="shared" si="157"/>
        <v>#DIV/0!</v>
      </c>
      <c r="AC374" s="3" t="e">
        <f t="shared" si="158"/>
        <v>#DIV/0!</v>
      </c>
      <c r="AD374" s="3" t="e">
        <f t="shared" si="159"/>
        <v>#DIV/0!</v>
      </c>
      <c r="AE374" s="9" t="e">
        <f t="shared" si="160"/>
        <v>#DIV/0!</v>
      </c>
      <c r="AF374" s="126">
        <f>IFERROR(D374*F374*L374*'Entrada e Saida'!$K$8,0)</f>
        <v>0</v>
      </c>
      <c r="AG374" s="3" t="e">
        <f>((W374+AA374+AB374+AC374+AD374+AE374+AF374)/(1-'Entrada e Saida'!$G$65))*'Entrada e Saida'!$I$66</f>
        <v>#DIV/0!</v>
      </c>
      <c r="AH374" s="8" t="e">
        <f t="shared" si="161"/>
        <v>#DIV/0!</v>
      </c>
      <c r="AI374" s="183" t="e">
        <f>'Entrada e Saida'!$K$51*(IF('Entrada e Saida'!$H$15="PESO",(P374/(SUM(P:P))),(Q374/(SUM(Q:Q)))))</f>
        <v>#DIV/0!</v>
      </c>
      <c r="AJ374" s="7">
        <f>(('Entrada e Saida'!$K$10-'Entrada e Saida'!$K$8)*E374*D374)</f>
        <v>0</v>
      </c>
      <c r="AK374" s="184" t="e">
        <f>IF('Entrada e Saida'!$H$15="PESO",W374+AA374+AH374+AI374+AJ374,W374+AA374+AH374+AI374+AJ374-S374+T374-U374+V374)</f>
        <v>#DIV/0!</v>
      </c>
      <c r="AL374" s="6" t="e">
        <f>IF('Entrada e Saida'!$H$12="REAL",AC374,0)</f>
        <v>#DIV/0!</v>
      </c>
      <c r="AM374" s="6" t="e">
        <f>IF('Entrada e Saida'!$H$12="REAL",AD374,0)</f>
        <v>#DIV/0!</v>
      </c>
      <c r="AN374" s="5" t="e">
        <f>IF('Entrada e Saida'!$H$13= "NÃO",AE374,0)</f>
        <v>#DIV/0!</v>
      </c>
      <c r="AO374" s="5" t="e">
        <f t="shared" si="162"/>
        <v>#DIV/0!</v>
      </c>
      <c r="AP374" s="4" t="e">
        <f t="shared" si="163"/>
        <v>#DIV/0!</v>
      </c>
      <c r="AQ374" s="3" t="e">
        <f>IF('Entrada e Saida'!$H$11="TRADING",AU374*'Custo Resumido'!D374,0)</f>
        <v>#DIV/0!</v>
      </c>
      <c r="AR374" s="3" t="e">
        <f>IF('Entrada e Saida'!$H$11="TRADING",AU374*'Entrada e Saida'!$G$63,0)</f>
        <v>#DIV/0!</v>
      </c>
      <c r="AS374" s="3" t="e">
        <f>IF('Entrada e Saida'!$H$11="TRADING",AU374*'Entrada e Saida'!$G$64,0)</f>
        <v>#DIV/0!</v>
      </c>
      <c r="AT374" s="3" t="e">
        <f>IF('Entrada e Saida'!$H$11="TRADING",AU374*'Entrada e Saida'!$G$65,0)</f>
        <v>#DIV/0!</v>
      </c>
      <c r="AU374" s="4" t="e">
        <f>IF('Entrada e Saida'!$H$11="TRADING",AP374/(1-(SUM('Entrada e Saida'!$G$63:$G$65)+'Custo Resumido'!D374)),0)</f>
        <v>#DIV/0!</v>
      </c>
      <c r="AV374" s="3" t="e">
        <f>IF('Entrada e Saida'!$H$13="NÃO",AU374*M374,0)</f>
        <v>#DIV/0!</v>
      </c>
      <c r="AW374" s="4" t="e">
        <f t="shared" si="164"/>
        <v>#DIV/0!</v>
      </c>
      <c r="AX374" s="3" t="e">
        <f>'Entrada e Saida'!$G$74*AU374</f>
        <v>#DIV/0!</v>
      </c>
      <c r="AY374" s="4" t="e">
        <f t="shared" si="165"/>
        <v>#DIV/0!</v>
      </c>
      <c r="AZ374" s="4" t="e">
        <f>AQ374+('Entrada e Saida'!$G$65-'Entrada e Saida'!$I$65)*AU374-AX374</f>
        <v>#DIV/0!</v>
      </c>
      <c r="BA374" s="3" t="e">
        <f>IF('Entrada e Saida'!$H$12="REAL",AZ374*'Entrada e Saida'!$G$81,AU374*'Entrada e Saida'!$G$81)</f>
        <v>#DIV/0!</v>
      </c>
      <c r="BB374" s="3" t="e">
        <f>IF('Entrada e Saida'!$H$12="REAL",AZ374*'Entrada e Saida'!$G$82,AU374*'Entrada e Saida'!$G$82)</f>
        <v>#DIV/0!</v>
      </c>
      <c r="BC374" s="4" t="e">
        <f t="shared" si="166"/>
        <v>#DIV/0!</v>
      </c>
      <c r="BD374" s="3" t="e">
        <f>IF('Entrada e Saida'!$H$11="TRADING",AW374/D374,AK374/D374)</f>
        <v>#DIV/0!</v>
      </c>
      <c r="BE374" s="3" t="e">
        <f t="shared" si="167"/>
        <v>#DIV/0!</v>
      </c>
      <c r="BF374" s="2" t="e">
        <f t="shared" si="168"/>
        <v>#DIV/0!</v>
      </c>
      <c r="BG374" s="3" t="e">
        <f>IF('Entrada e Saida'!$H$11="TRADING",AV374/D374,AN374/D374)</f>
        <v>#DIV/0!</v>
      </c>
      <c r="BH374" s="3" t="e">
        <f>IF('Entrada e Saida'!$H$11="TRADING",IF('Entrada e Saida'!$H$12="REAL",AR374/D374,0),AL374/D374)</f>
        <v>#DIV/0!</v>
      </c>
      <c r="BI374" s="3" t="e">
        <f>IF('Entrada e Saida'!$H$11="TRADING",IF('Entrada e Saida'!$H$12="REAL",AS374/D374,0),AM374/D374)</f>
        <v>#DIV/0!</v>
      </c>
      <c r="BJ374" s="3" t="e">
        <f>IF('Entrada e Saida'!$H$11="TRADING",AT374/D374,AO374/D374)</f>
        <v>#DIV/0!</v>
      </c>
      <c r="BK374" s="2" t="e">
        <f t="shared" si="169"/>
        <v>#DIV/0!</v>
      </c>
      <c r="BL374" s="2">
        <f>IF(O374&gt;0,IFERROR(IF('Entrada e Saida'!$H$11="DIRETA",0,(IF('Entrada e Saida'!$H$14="P.JURIDICA",(BD374*(1+O374)*N374)-((BD374/(1+M374))*'Entrada e Saida'!$G$65),((Produtos!N374-'Entrada e Saida'!$G$65)*Produtos!BD374)))),0),0)</f>
        <v>0</v>
      </c>
      <c r="BM374" s="2" t="e">
        <f t="shared" si="170"/>
        <v>#DIV/0!</v>
      </c>
    </row>
    <row r="375" spans="1:65" s="1" customFormat="1">
      <c r="A375" s="127"/>
      <c r="B375" s="114">
        <f>IFERROR(VLOOKUP(A375,'Master Modelo'!A:I,7,FALSE),0)</f>
        <v>0</v>
      </c>
      <c r="C375" s="116">
        <f>IFERROR(VLOOKUP(A375,'Master Modelo'!A:I,2,FALSE),0)</f>
        <v>0</v>
      </c>
      <c r="D375" s="146"/>
      <c r="E375" s="115">
        <f>IFERROR(VLOOKUP(A375,'Master Modelo'!A:I,9,FALSE),0)</f>
        <v>0</v>
      </c>
      <c r="F375" s="189">
        <f>IFERROR(VLOOKUP(A375,'Master Modelo'!A:I,8,FALSE),0)</f>
        <v>0</v>
      </c>
      <c r="G375" s="189">
        <f>IFERROR(VLOOKUP(A375,'Master Modelo'!A:K,11,FALSE),0)</f>
        <v>0</v>
      </c>
      <c r="H375" s="114" t="e">
        <f t="shared" si="153"/>
        <v>#DIV/0!</v>
      </c>
      <c r="I375" s="150">
        <f>IFERROR(VLOOKUP(A375,'Master Modelo'!A:I,3,FALSE),0)</f>
        <v>0</v>
      </c>
      <c r="J375" s="151">
        <f>IFERROR(VLOOKUP(A375,'Master Modelo'!A:I,5,FALSE),0)</f>
        <v>0</v>
      </c>
      <c r="K375" s="151">
        <f>IFERROR(VLOOKUP(A375,'Master Modelo'!A:I,6,FALSE),0)</f>
        <v>0</v>
      </c>
      <c r="L375" s="152" t="e">
        <f>VLOOKUP(A375,'Master Modelo'!A:J,10,FALSE)</f>
        <v>#N/A</v>
      </c>
      <c r="M375" s="150">
        <f>IFERROR(VLOOKUP(A375,'Master Modelo'!A:I,4,FALSE),0)</f>
        <v>0</v>
      </c>
      <c r="N375" s="128"/>
      <c r="O375" s="129"/>
      <c r="P375" s="9">
        <f t="shared" si="154"/>
        <v>0</v>
      </c>
      <c r="Q375" s="177">
        <f t="shared" si="152"/>
        <v>0</v>
      </c>
      <c r="R375" s="3">
        <f>D375*E375*'Entrada e Saida'!$K$8</f>
        <v>0</v>
      </c>
      <c r="S375" s="179" t="e">
        <f>'Entrada e Saida'!$H$21*'Entrada e Saida'!$K$8*(P375/(SUM(P:P)))</f>
        <v>#DIV/0!</v>
      </c>
      <c r="T375" s="179" t="e">
        <f>'Entrada e Saida'!$H$21*'Entrada e Saida'!$K$8*(Q375/(SUM(Q:Q)))</f>
        <v>#DIV/0!</v>
      </c>
      <c r="U375" s="179" t="e">
        <f>'Entrada e Saida'!$H$22*(P375/(SUM(P:P)))</f>
        <v>#DIV/0!</v>
      </c>
      <c r="V375" s="179" t="e">
        <f>'Entrada e Saida'!$H$22*(Q375/(SUM(Q:Q)))</f>
        <v>#DIV/0!</v>
      </c>
      <c r="W375" s="8" t="e">
        <f t="shared" si="155"/>
        <v>#DIV/0!</v>
      </c>
      <c r="X375" s="179" t="e">
        <f>'Entrada e Saida'!$H$26*(IF('Entrada e Saida'!$H$15="PESO",(P375/(SUM(P:P))),(Q375/(SUM(Q:Q)))))</f>
        <v>#DIV/0!</v>
      </c>
      <c r="Y375" s="179" t="e">
        <f>'Entrada e Saida'!$H$27*(IF('Entrada e Saida'!$H$15="PESO",(P375/(SUM(P:P))),(Q375/(SUM(Q:Q)))))</f>
        <v>#DIV/0!</v>
      </c>
      <c r="Z375" s="179" t="e">
        <f>'Entrada e Saida'!$H$28*(IF('Entrada e Saida'!$H$15="PESO",(P375/(SUM(P:P))),(Q375/(SUM(Q:Q)))))</f>
        <v>#DIV/0!</v>
      </c>
      <c r="AA375" s="10" t="e">
        <f t="shared" si="156"/>
        <v>#DIV/0!</v>
      </c>
      <c r="AB375" s="3" t="e">
        <f t="shared" si="157"/>
        <v>#DIV/0!</v>
      </c>
      <c r="AC375" s="3" t="e">
        <f t="shared" si="158"/>
        <v>#DIV/0!</v>
      </c>
      <c r="AD375" s="3" t="e">
        <f t="shared" si="159"/>
        <v>#DIV/0!</v>
      </c>
      <c r="AE375" s="9" t="e">
        <f t="shared" si="160"/>
        <v>#DIV/0!</v>
      </c>
      <c r="AF375" s="126">
        <f>IFERROR(D375*F375*L375*'Entrada e Saida'!$K$8,0)</f>
        <v>0</v>
      </c>
      <c r="AG375" s="3" t="e">
        <f>((W375+AA375+AB375+AC375+AD375+AE375+AF375)/(1-'Entrada e Saida'!$G$65))*'Entrada e Saida'!$I$66</f>
        <v>#DIV/0!</v>
      </c>
      <c r="AH375" s="8" t="e">
        <f t="shared" si="161"/>
        <v>#DIV/0!</v>
      </c>
      <c r="AI375" s="183" t="e">
        <f>'Entrada e Saida'!$K$51*(IF('Entrada e Saida'!$H$15="PESO",(P375/(SUM(P:P))),(Q375/(SUM(Q:Q)))))</f>
        <v>#DIV/0!</v>
      </c>
      <c r="AJ375" s="7">
        <f>(('Entrada e Saida'!$K$10-'Entrada e Saida'!$K$8)*E375*D375)</f>
        <v>0</v>
      </c>
      <c r="AK375" s="184" t="e">
        <f>IF('Entrada e Saida'!$H$15="PESO",W375+AA375+AH375+AI375+AJ375,W375+AA375+AH375+AI375+AJ375-S375+T375-U375+V375)</f>
        <v>#DIV/0!</v>
      </c>
      <c r="AL375" s="6" t="e">
        <f>IF('Entrada e Saida'!$H$12="REAL",AC375,0)</f>
        <v>#DIV/0!</v>
      </c>
      <c r="AM375" s="6" t="e">
        <f>IF('Entrada e Saida'!$H$12="REAL",AD375,0)</f>
        <v>#DIV/0!</v>
      </c>
      <c r="AN375" s="5" t="e">
        <f>IF('Entrada e Saida'!$H$13= "NÃO",AE375,0)</f>
        <v>#DIV/0!</v>
      </c>
      <c r="AO375" s="5" t="e">
        <f t="shared" si="162"/>
        <v>#DIV/0!</v>
      </c>
      <c r="AP375" s="4" t="e">
        <f t="shared" si="163"/>
        <v>#DIV/0!</v>
      </c>
      <c r="AQ375" s="3" t="e">
        <f>IF('Entrada e Saida'!$H$11="TRADING",AU375*'Custo Resumido'!D375,0)</f>
        <v>#DIV/0!</v>
      </c>
      <c r="AR375" s="3" t="e">
        <f>IF('Entrada e Saida'!$H$11="TRADING",AU375*'Entrada e Saida'!$G$63,0)</f>
        <v>#DIV/0!</v>
      </c>
      <c r="AS375" s="3" t="e">
        <f>IF('Entrada e Saida'!$H$11="TRADING",AU375*'Entrada e Saida'!$G$64,0)</f>
        <v>#DIV/0!</v>
      </c>
      <c r="AT375" s="3" t="e">
        <f>IF('Entrada e Saida'!$H$11="TRADING",AU375*'Entrada e Saida'!$G$65,0)</f>
        <v>#DIV/0!</v>
      </c>
      <c r="AU375" s="4" t="e">
        <f>IF('Entrada e Saida'!$H$11="TRADING",AP375/(1-(SUM('Entrada e Saida'!$G$63:$G$65)+'Custo Resumido'!D375)),0)</f>
        <v>#DIV/0!</v>
      </c>
      <c r="AV375" s="3" t="e">
        <f>IF('Entrada e Saida'!$H$13="NÃO",AU375*M375,0)</f>
        <v>#DIV/0!</v>
      </c>
      <c r="AW375" s="4" t="e">
        <f t="shared" si="164"/>
        <v>#DIV/0!</v>
      </c>
      <c r="AX375" s="3" t="e">
        <f>'Entrada e Saida'!$G$74*AU375</f>
        <v>#DIV/0!</v>
      </c>
      <c r="AY375" s="4" t="e">
        <f t="shared" si="165"/>
        <v>#DIV/0!</v>
      </c>
      <c r="AZ375" s="4" t="e">
        <f>AQ375+('Entrada e Saida'!$G$65-'Entrada e Saida'!$I$65)*AU375-AX375</f>
        <v>#DIV/0!</v>
      </c>
      <c r="BA375" s="3" t="e">
        <f>IF('Entrada e Saida'!$H$12="REAL",AZ375*'Entrada e Saida'!$G$81,AU375*'Entrada e Saida'!$G$81)</f>
        <v>#DIV/0!</v>
      </c>
      <c r="BB375" s="3" t="e">
        <f>IF('Entrada e Saida'!$H$12="REAL",AZ375*'Entrada e Saida'!$G$82,AU375*'Entrada e Saida'!$G$82)</f>
        <v>#DIV/0!</v>
      </c>
      <c r="BC375" s="4" t="e">
        <f t="shared" si="166"/>
        <v>#DIV/0!</v>
      </c>
      <c r="BD375" s="3" t="e">
        <f>IF('Entrada e Saida'!$H$11="TRADING",AW375/D375,AK375/D375)</f>
        <v>#DIV/0!</v>
      </c>
      <c r="BE375" s="3" t="e">
        <f t="shared" si="167"/>
        <v>#DIV/0!</v>
      </c>
      <c r="BF375" s="2" t="e">
        <f t="shared" si="168"/>
        <v>#DIV/0!</v>
      </c>
      <c r="BG375" s="3" t="e">
        <f>IF('Entrada e Saida'!$H$11="TRADING",AV375/D375,AN375/D375)</f>
        <v>#DIV/0!</v>
      </c>
      <c r="BH375" s="3" t="e">
        <f>IF('Entrada e Saida'!$H$11="TRADING",IF('Entrada e Saida'!$H$12="REAL",AR375/D375,0),AL375/D375)</f>
        <v>#DIV/0!</v>
      </c>
      <c r="BI375" s="3" t="e">
        <f>IF('Entrada e Saida'!$H$11="TRADING",IF('Entrada e Saida'!$H$12="REAL",AS375/D375,0),AM375/D375)</f>
        <v>#DIV/0!</v>
      </c>
      <c r="BJ375" s="3" t="e">
        <f>IF('Entrada e Saida'!$H$11="TRADING",AT375/D375,AO375/D375)</f>
        <v>#DIV/0!</v>
      </c>
      <c r="BK375" s="2" t="e">
        <f t="shared" si="169"/>
        <v>#DIV/0!</v>
      </c>
      <c r="BL375" s="2">
        <f>IF(O375&gt;0,IFERROR(IF('Entrada e Saida'!$H$11="DIRETA",0,(IF('Entrada e Saida'!$H$14="P.JURIDICA",(BD375*(1+O375)*N375)-((BD375/(1+M375))*'Entrada e Saida'!$G$65),((Produtos!N375-'Entrada e Saida'!$G$65)*Produtos!BD375)))),0),0)</f>
        <v>0</v>
      </c>
      <c r="BM375" s="2" t="e">
        <f t="shared" si="170"/>
        <v>#DIV/0!</v>
      </c>
    </row>
    <row r="376" spans="1:65" s="1" customFormat="1">
      <c r="A376" s="127"/>
      <c r="B376" s="114">
        <f>IFERROR(VLOOKUP(A376,'Master Modelo'!A:I,7,FALSE),0)</f>
        <v>0</v>
      </c>
      <c r="C376" s="116">
        <f>IFERROR(VLOOKUP(A376,'Master Modelo'!A:I,2,FALSE),0)</f>
        <v>0</v>
      </c>
      <c r="D376" s="146"/>
      <c r="E376" s="115">
        <f>IFERROR(VLOOKUP(A376,'Master Modelo'!A:I,9,FALSE),0)</f>
        <v>0</v>
      </c>
      <c r="F376" s="189">
        <f>IFERROR(VLOOKUP(A376,'Master Modelo'!A:I,8,FALSE),0)</f>
        <v>0</v>
      </c>
      <c r="G376" s="189">
        <f>IFERROR(VLOOKUP(A376,'Master Modelo'!A:K,11,FALSE),0)</f>
        <v>0</v>
      </c>
      <c r="H376" s="114" t="e">
        <f t="shared" si="153"/>
        <v>#DIV/0!</v>
      </c>
      <c r="I376" s="150">
        <f>IFERROR(VLOOKUP(A376,'Master Modelo'!A:I,3,FALSE),0)</f>
        <v>0</v>
      </c>
      <c r="J376" s="151">
        <f>IFERROR(VLOOKUP(A376,'Master Modelo'!A:I,5,FALSE),0)</f>
        <v>0</v>
      </c>
      <c r="K376" s="151">
        <f>IFERROR(VLOOKUP(A376,'Master Modelo'!A:I,6,FALSE),0)</f>
        <v>0</v>
      </c>
      <c r="L376" s="152" t="e">
        <f>VLOOKUP(A376,'Master Modelo'!A:J,10,FALSE)</f>
        <v>#N/A</v>
      </c>
      <c r="M376" s="150">
        <f>IFERROR(VLOOKUP(A376,'Master Modelo'!A:I,4,FALSE),0)</f>
        <v>0</v>
      </c>
      <c r="N376" s="128"/>
      <c r="O376" s="129"/>
      <c r="P376" s="9">
        <f t="shared" si="154"/>
        <v>0</v>
      </c>
      <c r="Q376" s="177">
        <f t="shared" si="152"/>
        <v>0</v>
      </c>
      <c r="R376" s="3">
        <f>D376*E376*'Entrada e Saida'!$K$8</f>
        <v>0</v>
      </c>
      <c r="S376" s="179" t="e">
        <f>'Entrada e Saida'!$H$21*'Entrada e Saida'!$K$8*(P376/(SUM(P:P)))</f>
        <v>#DIV/0!</v>
      </c>
      <c r="T376" s="179" t="e">
        <f>'Entrada e Saida'!$H$21*'Entrada e Saida'!$K$8*(Q376/(SUM(Q:Q)))</f>
        <v>#DIV/0!</v>
      </c>
      <c r="U376" s="179" t="e">
        <f>'Entrada e Saida'!$H$22*(P376/(SUM(P:P)))</f>
        <v>#DIV/0!</v>
      </c>
      <c r="V376" s="179" t="e">
        <f>'Entrada e Saida'!$H$22*(Q376/(SUM(Q:Q)))</f>
        <v>#DIV/0!</v>
      </c>
      <c r="W376" s="8" t="e">
        <f t="shared" si="155"/>
        <v>#DIV/0!</v>
      </c>
      <c r="X376" s="179" t="e">
        <f>'Entrada e Saida'!$H$26*(IF('Entrada e Saida'!$H$15="PESO",(P376/(SUM(P:P))),(Q376/(SUM(Q:Q)))))</f>
        <v>#DIV/0!</v>
      </c>
      <c r="Y376" s="179" t="e">
        <f>'Entrada e Saida'!$H$27*(IF('Entrada e Saida'!$H$15="PESO",(P376/(SUM(P:P))),(Q376/(SUM(Q:Q)))))</f>
        <v>#DIV/0!</v>
      </c>
      <c r="Z376" s="179" t="e">
        <f>'Entrada e Saida'!$H$28*(IF('Entrada e Saida'!$H$15="PESO",(P376/(SUM(P:P))),(Q376/(SUM(Q:Q)))))</f>
        <v>#DIV/0!</v>
      </c>
      <c r="AA376" s="10" t="e">
        <f t="shared" si="156"/>
        <v>#DIV/0!</v>
      </c>
      <c r="AB376" s="3" t="e">
        <f t="shared" si="157"/>
        <v>#DIV/0!</v>
      </c>
      <c r="AC376" s="3" t="e">
        <f t="shared" si="158"/>
        <v>#DIV/0!</v>
      </c>
      <c r="AD376" s="3" t="e">
        <f t="shared" si="159"/>
        <v>#DIV/0!</v>
      </c>
      <c r="AE376" s="9" t="e">
        <f t="shared" si="160"/>
        <v>#DIV/0!</v>
      </c>
      <c r="AF376" s="126">
        <f>IFERROR(D376*F376*L376*'Entrada e Saida'!$K$8,0)</f>
        <v>0</v>
      </c>
      <c r="AG376" s="3" t="e">
        <f>((W376+AA376+AB376+AC376+AD376+AE376+AF376)/(1-'Entrada e Saida'!$G$65))*'Entrada e Saida'!$I$66</f>
        <v>#DIV/0!</v>
      </c>
      <c r="AH376" s="8" t="e">
        <f t="shared" si="161"/>
        <v>#DIV/0!</v>
      </c>
      <c r="AI376" s="183" t="e">
        <f>'Entrada e Saida'!$K$51*(IF('Entrada e Saida'!$H$15="PESO",(P376/(SUM(P:P))),(Q376/(SUM(Q:Q)))))</f>
        <v>#DIV/0!</v>
      </c>
      <c r="AJ376" s="7">
        <f>(('Entrada e Saida'!$K$10-'Entrada e Saida'!$K$8)*E376*D376)</f>
        <v>0</v>
      </c>
      <c r="AK376" s="184" t="e">
        <f>IF('Entrada e Saida'!$H$15="PESO",W376+AA376+AH376+AI376+AJ376,W376+AA376+AH376+AI376+AJ376-S376+T376-U376+V376)</f>
        <v>#DIV/0!</v>
      </c>
      <c r="AL376" s="6" t="e">
        <f>IF('Entrada e Saida'!$H$12="REAL",AC376,0)</f>
        <v>#DIV/0!</v>
      </c>
      <c r="AM376" s="6" t="e">
        <f>IF('Entrada e Saida'!$H$12="REAL",AD376,0)</f>
        <v>#DIV/0!</v>
      </c>
      <c r="AN376" s="5" t="e">
        <f>IF('Entrada e Saida'!$H$13= "NÃO",AE376,0)</f>
        <v>#DIV/0!</v>
      </c>
      <c r="AO376" s="5" t="e">
        <f t="shared" si="162"/>
        <v>#DIV/0!</v>
      </c>
      <c r="AP376" s="4" t="e">
        <f t="shared" si="163"/>
        <v>#DIV/0!</v>
      </c>
      <c r="AQ376" s="3" t="e">
        <f>IF('Entrada e Saida'!$H$11="TRADING",AU376*'Custo Resumido'!D376,0)</f>
        <v>#DIV/0!</v>
      </c>
      <c r="AR376" s="3" t="e">
        <f>IF('Entrada e Saida'!$H$11="TRADING",AU376*'Entrada e Saida'!$G$63,0)</f>
        <v>#DIV/0!</v>
      </c>
      <c r="AS376" s="3" t="e">
        <f>IF('Entrada e Saida'!$H$11="TRADING",AU376*'Entrada e Saida'!$G$64,0)</f>
        <v>#DIV/0!</v>
      </c>
      <c r="AT376" s="3" t="e">
        <f>IF('Entrada e Saida'!$H$11="TRADING",AU376*'Entrada e Saida'!$G$65,0)</f>
        <v>#DIV/0!</v>
      </c>
      <c r="AU376" s="4" t="e">
        <f>IF('Entrada e Saida'!$H$11="TRADING",AP376/(1-(SUM('Entrada e Saida'!$G$63:$G$65)+'Custo Resumido'!D376)),0)</f>
        <v>#DIV/0!</v>
      </c>
      <c r="AV376" s="3" t="e">
        <f>IF('Entrada e Saida'!$H$13="NÃO",AU376*M376,0)</f>
        <v>#DIV/0!</v>
      </c>
      <c r="AW376" s="4" t="e">
        <f t="shared" si="164"/>
        <v>#DIV/0!</v>
      </c>
      <c r="AX376" s="3" t="e">
        <f>'Entrada e Saida'!$G$74*AU376</f>
        <v>#DIV/0!</v>
      </c>
      <c r="AY376" s="4" t="e">
        <f t="shared" si="165"/>
        <v>#DIV/0!</v>
      </c>
      <c r="AZ376" s="4" t="e">
        <f>AQ376+('Entrada e Saida'!$G$65-'Entrada e Saida'!$I$65)*AU376-AX376</f>
        <v>#DIV/0!</v>
      </c>
      <c r="BA376" s="3" t="e">
        <f>IF('Entrada e Saida'!$H$12="REAL",AZ376*'Entrada e Saida'!$G$81,AU376*'Entrada e Saida'!$G$81)</f>
        <v>#DIV/0!</v>
      </c>
      <c r="BB376" s="3" t="e">
        <f>IF('Entrada e Saida'!$H$12="REAL",AZ376*'Entrada e Saida'!$G$82,AU376*'Entrada e Saida'!$G$82)</f>
        <v>#DIV/0!</v>
      </c>
      <c r="BC376" s="4" t="e">
        <f t="shared" si="166"/>
        <v>#DIV/0!</v>
      </c>
      <c r="BD376" s="3" t="e">
        <f>IF('Entrada e Saida'!$H$11="TRADING",AW376/D376,AK376/D376)</f>
        <v>#DIV/0!</v>
      </c>
      <c r="BE376" s="3" t="e">
        <f t="shared" si="167"/>
        <v>#DIV/0!</v>
      </c>
      <c r="BF376" s="2" t="e">
        <f t="shared" si="168"/>
        <v>#DIV/0!</v>
      </c>
      <c r="BG376" s="3" t="e">
        <f>IF('Entrada e Saida'!$H$11="TRADING",AV376/D376,AN376/D376)</f>
        <v>#DIV/0!</v>
      </c>
      <c r="BH376" s="3" t="e">
        <f>IF('Entrada e Saida'!$H$11="TRADING",IF('Entrada e Saida'!$H$12="REAL",AR376/D376,0),AL376/D376)</f>
        <v>#DIV/0!</v>
      </c>
      <c r="BI376" s="3" t="e">
        <f>IF('Entrada e Saida'!$H$11="TRADING",IF('Entrada e Saida'!$H$12="REAL",AS376/D376,0),AM376/D376)</f>
        <v>#DIV/0!</v>
      </c>
      <c r="BJ376" s="3" t="e">
        <f>IF('Entrada e Saida'!$H$11="TRADING",AT376/D376,AO376/D376)</f>
        <v>#DIV/0!</v>
      </c>
      <c r="BK376" s="2" t="e">
        <f t="shared" si="169"/>
        <v>#DIV/0!</v>
      </c>
      <c r="BL376" s="2">
        <f>IF(O376&gt;0,IFERROR(IF('Entrada e Saida'!$H$11="DIRETA",0,(IF('Entrada e Saida'!$H$14="P.JURIDICA",(BD376*(1+O376)*N376)-((BD376/(1+M376))*'Entrada e Saida'!$G$65),((Produtos!N376-'Entrada e Saida'!$G$65)*Produtos!BD376)))),0),0)</f>
        <v>0</v>
      </c>
      <c r="BM376" s="2" t="e">
        <f t="shared" si="170"/>
        <v>#DIV/0!</v>
      </c>
    </row>
    <row r="377" spans="1:65" s="1" customFormat="1">
      <c r="A377" s="127"/>
      <c r="B377" s="114">
        <f>IFERROR(VLOOKUP(A377,'Master Modelo'!A:I,7,FALSE),0)</f>
        <v>0</v>
      </c>
      <c r="C377" s="116">
        <f>IFERROR(VLOOKUP(A377,'Master Modelo'!A:I,2,FALSE),0)</f>
        <v>0</v>
      </c>
      <c r="D377" s="146"/>
      <c r="E377" s="115">
        <f>IFERROR(VLOOKUP(A377,'Master Modelo'!A:I,9,FALSE),0)</f>
        <v>0</v>
      </c>
      <c r="F377" s="189">
        <f>IFERROR(VLOOKUP(A377,'Master Modelo'!A:I,8,FALSE),0)</f>
        <v>0</v>
      </c>
      <c r="G377" s="189">
        <f>IFERROR(VLOOKUP(A377,'Master Modelo'!A:K,11,FALSE),0)</f>
        <v>0</v>
      </c>
      <c r="H377" s="114" t="e">
        <f t="shared" si="153"/>
        <v>#DIV/0!</v>
      </c>
      <c r="I377" s="150">
        <f>IFERROR(VLOOKUP(A377,'Master Modelo'!A:I,3,FALSE),0)</f>
        <v>0</v>
      </c>
      <c r="J377" s="151">
        <f>IFERROR(VLOOKUP(A377,'Master Modelo'!A:I,5,FALSE),0)</f>
        <v>0</v>
      </c>
      <c r="K377" s="151">
        <f>IFERROR(VLOOKUP(A377,'Master Modelo'!A:I,6,FALSE),0)</f>
        <v>0</v>
      </c>
      <c r="L377" s="152" t="e">
        <f>VLOOKUP(A377,'Master Modelo'!A:J,10,FALSE)</f>
        <v>#N/A</v>
      </c>
      <c r="M377" s="150">
        <f>IFERROR(VLOOKUP(A377,'Master Modelo'!A:I,4,FALSE),0)</f>
        <v>0</v>
      </c>
      <c r="N377" s="128"/>
      <c r="O377" s="129"/>
      <c r="P377" s="9">
        <f t="shared" si="154"/>
        <v>0</v>
      </c>
      <c r="Q377" s="177">
        <f t="shared" si="152"/>
        <v>0</v>
      </c>
      <c r="R377" s="3">
        <f>D377*E377*'Entrada e Saida'!$K$8</f>
        <v>0</v>
      </c>
      <c r="S377" s="179" t="e">
        <f>'Entrada e Saida'!$H$21*'Entrada e Saida'!$K$8*(P377/(SUM(P:P)))</f>
        <v>#DIV/0!</v>
      </c>
      <c r="T377" s="179" t="e">
        <f>'Entrada e Saida'!$H$21*'Entrada e Saida'!$K$8*(Q377/(SUM(Q:Q)))</f>
        <v>#DIV/0!</v>
      </c>
      <c r="U377" s="179" t="e">
        <f>'Entrada e Saida'!$H$22*(P377/(SUM(P:P)))</f>
        <v>#DIV/0!</v>
      </c>
      <c r="V377" s="179" t="e">
        <f>'Entrada e Saida'!$H$22*(Q377/(SUM(Q:Q)))</f>
        <v>#DIV/0!</v>
      </c>
      <c r="W377" s="8" t="e">
        <f t="shared" si="155"/>
        <v>#DIV/0!</v>
      </c>
      <c r="X377" s="179" t="e">
        <f>'Entrada e Saida'!$H$26*(IF('Entrada e Saida'!$H$15="PESO",(P377/(SUM(P:P))),(Q377/(SUM(Q:Q)))))</f>
        <v>#DIV/0!</v>
      </c>
      <c r="Y377" s="179" t="e">
        <f>'Entrada e Saida'!$H$27*(IF('Entrada e Saida'!$H$15="PESO",(P377/(SUM(P:P))),(Q377/(SUM(Q:Q)))))</f>
        <v>#DIV/0!</v>
      </c>
      <c r="Z377" s="179" t="e">
        <f>'Entrada e Saida'!$H$28*(IF('Entrada e Saida'!$H$15="PESO",(P377/(SUM(P:P))),(Q377/(SUM(Q:Q)))))</f>
        <v>#DIV/0!</v>
      </c>
      <c r="AA377" s="10" t="e">
        <f t="shared" si="156"/>
        <v>#DIV/0!</v>
      </c>
      <c r="AB377" s="3" t="e">
        <f t="shared" si="157"/>
        <v>#DIV/0!</v>
      </c>
      <c r="AC377" s="3" t="e">
        <f t="shared" si="158"/>
        <v>#DIV/0!</v>
      </c>
      <c r="AD377" s="3" t="e">
        <f t="shared" si="159"/>
        <v>#DIV/0!</v>
      </c>
      <c r="AE377" s="9" t="e">
        <f t="shared" si="160"/>
        <v>#DIV/0!</v>
      </c>
      <c r="AF377" s="126">
        <f>IFERROR(D377*F377*L377*'Entrada e Saida'!$K$8,0)</f>
        <v>0</v>
      </c>
      <c r="AG377" s="3" t="e">
        <f>((W377+AA377+AB377+AC377+AD377+AE377+AF377)/(1-'Entrada e Saida'!$G$65))*'Entrada e Saida'!$I$66</f>
        <v>#DIV/0!</v>
      </c>
      <c r="AH377" s="8" t="e">
        <f t="shared" si="161"/>
        <v>#DIV/0!</v>
      </c>
      <c r="AI377" s="183" t="e">
        <f>'Entrada e Saida'!$K$51*(IF('Entrada e Saida'!$H$15="PESO",(P377/(SUM(P:P))),(Q377/(SUM(Q:Q)))))</f>
        <v>#DIV/0!</v>
      </c>
      <c r="AJ377" s="7">
        <f>(('Entrada e Saida'!$K$10-'Entrada e Saida'!$K$8)*E377*D377)</f>
        <v>0</v>
      </c>
      <c r="AK377" s="184" t="e">
        <f>IF('Entrada e Saida'!$H$15="PESO",W377+AA377+AH377+AI377+AJ377,W377+AA377+AH377+AI377+AJ377-S377+T377-U377+V377)</f>
        <v>#DIV/0!</v>
      </c>
      <c r="AL377" s="6" t="e">
        <f>IF('Entrada e Saida'!$H$12="REAL",AC377,0)</f>
        <v>#DIV/0!</v>
      </c>
      <c r="AM377" s="6" t="e">
        <f>IF('Entrada e Saida'!$H$12="REAL",AD377,0)</f>
        <v>#DIV/0!</v>
      </c>
      <c r="AN377" s="5" t="e">
        <f>IF('Entrada e Saida'!$H$13= "NÃO",AE377,0)</f>
        <v>#DIV/0!</v>
      </c>
      <c r="AO377" s="5" t="e">
        <f t="shared" si="162"/>
        <v>#DIV/0!</v>
      </c>
      <c r="AP377" s="4" t="e">
        <f t="shared" si="163"/>
        <v>#DIV/0!</v>
      </c>
      <c r="AQ377" s="3" t="e">
        <f>IF('Entrada e Saida'!$H$11="TRADING",AU377*'Custo Resumido'!D377,0)</f>
        <v>#DIV/0!</v>
      </c>
      <c r="AR377" s="3" t="e">
        <f>IF('Entrada e Saida'!$H$11="TRADING",AU377*'Entrada e Saida'!$G$63,0)</f>
        <v>#DIV/0!</v>
      </c>
      <c r="AS377" s="3" t="e">
        <f>IF('Entrada e Saida'!$H$11="TRADING",AU377*'Entrada e Saida'!$G$64,0)</f>
        <v>#DIV/0!</v>
      </c>
      <c r="AT377" s="3" t="e">
        <f>IF('Entrada e Saida'!$H$11="TRADING",AU377*'Entrada e Saida'!$G$65,0)</f>
        <v>#DIV/0!</v>
      </c>
      <c r="AU377" s="4" t="e">
        <f>IF('Entrada e Saida'!$H$11="TRADING",AP377/(1-(SUM('Entrada e Saida'!$G$63:$G$65)+'Custo Resumido'!D377)),0)</f>
        <v>#DIV/0!</v>
      </c>
      <c r="AV377" s="3" t="e">
        <f>IF('Entrada e Saida'!$H$13="NÃO",AU377*M377,0)</f>
        <v>#DIV/0!</v>
      </c>
      <c r="AW377" s="4" t="e">
        <f t="shared" si="164"/>
        <v>#DIV/0!</v>
      </c>
      <c r="AX377" s="3" t="e">
        <f>'Entrada e Saida'!$G$74*AU377</f>
        <v>#DIV/0!</v>
      </c>
      <c r="AY377" s="4" t="e">
        <f t="shared" si="165"/>
        <v>#DIV/0!</v>
      </c>
      <c r="AZ377" s="4" t="e">
        <f>AQ377+('Entrada e Saida'!$G$65-'Entrada e Saida'!$I$65)*AU377-AX377</f>
        <v>#DIV/0!</v>
      </c>
      <c r="BA377" s="3" t="e">
        <f>IF('Entrada e Saida'!$H$12="REAL",AZ377*'Entrada e Saida'!$G$81,AU377*'Entrada e Saida'!$G$81)</f>
        <v>#DIV/0!</v>
      </c>
      <c r="BB377" s="3" t="e">
        <f>IF('Entrada e Saida'!$H$12="REAL",AZ377*'Entrada e Saida'!$G$82,AU377*'Entrada e Saida'!$G$82)</f>
        <v>#DIV/0!</v>
      </c>
      <c r="BC377" s="4" t="e">
        <f t="shared" si="166"/>
        <v>#DIV/0!</v>
      </c>
      <c r="BD377" s="3" t="e">
        <f>IF('Entrada e Saida'!$H$11="TRADING",AW377/D377,AK377/D377)</f>
        <v>#DIV/0!</v>
      </c>
      <c r="BE377" s="3" t="e">
        <f t="shared" si="167"/>
        <v>#DIV/0!</v>
      </c>
      <c r="BF377" s="2" t="e">
        <f t="shared" si="168"/>
        <v>#DIV/0!</v>
      </c>
      <c r="BG377" s="3" t="e">
        <f>IF('Entrada e Saida'!$H$11="TRADING",AV377/D377,AN377/D377)</f>
        <v>#DIV/0!</v>
      </c>
      <c r="BH377" s="3" t="e">
        <f>IF('Entrada e Saida'!$H$11="TRADING",IF('Entrada e Saida'!$H$12="REAL",AR377/D377,0),AL377/D377)</f>
        <v>#DIV/0!</v>
      </c>
      <c r="BI377" s="3" t="e">
        <f>IF('Entrada e Saida'!$H$11="TRADING",IF('Entrada e Saida'!$H$12="REAL",AS377/D377,0),AM377/D377)</f>
        <v>#DIV/0!</v>
      </c>
      <c r="BJ377" s="3" t="e">
        <f>IF('Entrada e Saida'!$H$11="TRADING",AT377/D377,AO377/D377)</f>
        <v>#DIV/0!</v>
      </c>
      <c r="BK377" s="2" t="e">
        <f t="shared" si="169"/>
        <v>#DIV/0!</v>
      </c>
      <c r="BL377" s="2">
        <f>IF(O377&gt;0,IFERROR(IF('Entrada e Saida'!$H$11="DIRETA",0,(IF('Entrada e Saida'!$H$14="P.JURIDICA",(BD377*(1+O377)*N377)-((BD377/(1+M377))*'Entrada e Saida'!$G$65),((Produtos!N377-'Entrada e Saida'!$G$65)*Produtos!BD377)))),0),0)</f>
        <v>0</v>
      </c>
      <c r="BM377" s="2" t="e">
        <f t="shared" si="170"/>
        <v>#DIV/0!</v>
      </c>
    </row>
    <row r="378" spans="1:65" s="1" customFormat="1">
      <c r="A378" s="127"/>
      <c r="B378" s="114">
        <f>IFERROR(VLOOKUP(A378,'Master Modelo'!A:I,7,FALSE),0)</f>
        <v>0</v>
      </c>
      <c r="C378" s="116">
        <f>IFERROR(VLOOKUP(A378,'Master Modelo'!A:I,2,FALSE),0)</f>
        <v>0</v>
      </c>
      <c r="D378" s="146"/>
      <c r="E378" s="115">
        <f>IFERROR(VLOOKUP(A378,'Master Modelo'!A:I,9,FALSE),0)</f>
        <v>0</v>
      </c>
      <c r="F378" s="189">
        <f>IFERROR(VLOOKUP(A378,'Master Modelo'!A:I,8,FALSE),0)</f>
        <v>0</v>
      </c>
      <c r="G378" s="189">
        <f>IFERROR(VLOOKUP(A378,'Master Modelo'!A:K,11,FALSE),0)</f>
        <v>0</v>
      </c>
      <c r="H378" s="114" t="e">
        <f t="shared" si="153"/>
        <v>#DIV/0!</v>
      </c>
      <c r="I378" s="150">
        <f>IFERROR(VLOOKUP(A378,'Master Modelo'!A:I,3,FALSE),0)</f>
        <v>0</v>
      </c>
      <c r="J378" s="151">
        <f>IFERROR(VLOOKUP(A378,'Master Modelo'!A:I,5,FALSE),0)</f>
        <v>0</v>
      </c>
      <c r="K378" s="151">
        <f>IFERROR(VLOOKUP(A378,'Master Modelo'!A:I,6,FALSE),0)</f>
        <v>0</v>
      </c>
      <c r="L378" s="152" t="e">
        <f>VLOOKUP(A378,'Master Modelo'!A:J,10,FALSE)</f>
        <v>#N/A</v>
      </c>
      <c r="M378" s="150">
        <f>IFERROR(VLOOKUP(A378,'Master Modelo'!A:I,4,FALSE),0)</f>
        <v>0</v>
      </c>
      <c r="N378" s="128"/>
      <c r="O378" s="129"/>
      <c r="P378" s="9">
        <f t="shared" si="154"/>
        <v>0</v>
      </c>
      <c r="Q378" s="177">
        <f t="shared" si="152"/>
        <v>0</v>
      </c>
      <c r="R378" s="3">
        <f>D378*E378*'Entrada e Saida'!$K$8</f>
        <v>0</v>
      </c>
      <c r="S378" s="179" t="e">
        <f>'Entrada e Saida'!$H$21*'Entrada e Saida'!$K$8*(P378/(SUM(P:P)))</f>
        <v>#DIV/0!</v>
      </c>
      <c r="T378" s="179" t="e">
        <f>'Entrada e Saida'!$H$21*'Entrada e Saida'!$K$8*(Q378/(SUM(Q:Q)))</f>
        <v>#DIV/0!</v>
      </c>
      <c r="U378" s="179" t="e">
        <f>'Entrada e Saida'!$H$22*(P378/(SUM(P:P)))</f>
        <v>#DIV/0!</v>
      </c>
      <c r="V378" s="179" t="e">
        <f>'Entrada e Saida'!$H$22*(Q378/(SUM(Q:Q)))</f>
        <v>#DIV/0!</v>
      </c>
      <c r="W378" s="8" t="e">
        <f t="shared" si="155"/>
        <v>#DIV/0!</v>
      </c>
      <c r="X378" s="179" t="e">
        <f>'Entrada e Saida'!$H$26*(IF('Entrada e Saida'!$H$15="PESO",(P378/(SUM(P:P))),(Q378/(SUM(Q:Q)))))</f>
        <v>#DIV/0!</v>
      </c>
      <c r="Y378" s="179" t="e">
        <f>'Entrada e Saida'!$H$27*(IF('Entrada e Saida'!$H$15="PESO",(P378/(SUM(P:P))),(Q378/(SUM(Q:Q)))))</f>
        <v>#DIV/0!</v>
      </c>
      <c r="Z378" s="179" t="e">
        <f>'Entrada e Saida'!$H$28*(IF('Entrada e Saida'!$H$15="PESO",(P378/(SUM(P:P))),(Q378/(SUM(Q:Q)))))</f>
        <v>#DIV/0!</v>
      </c>
      <c r="AA378" s="10" t="e">
        <f t="shared" si="156"/>
        <v>#DIV/0!</v>
      </c>
      <c r="AB378" s="3" t="e">
        <f t="shared" si="157"/>
        <v>#DIV/0!</v>
      </c>
      <c r="AC378" s="3" t="e">
        <f t="shared" si="158"/>
        <v>#DIV/0!</v>
      </c>
      <c r="AD378" s="3" t="e">
        <f t="shared" si="159"/>
        <v>#DIV/0!</v>
      </c>
      <c r="AE378" s="9" t="e">
        <f t="shared" si="160"/>
        <v>#DIV/0!</v>
      </c>
      <c r="AF378" s="126">
        <f>IFERROR(D378*F378*L378*'Entrada e Saida'!$K$8,0)</f>
        <v>0</v>
      </c>
      <c r="AG378" s="3" t="e">
        <f>((W378+AA378+AB378+AC378+AD378+AE378+AF378)/(1-'Entrada e Saida'!$G$65))*'Entrada e Saida'!$I$66</f>
        <v>#DIV/0!</v>
      </c>
      <c r="AH378" s="8" t="e">
        <f t="shared" si="161"/>
        <v>#DIV/0!</v>
      </c>
      <c r="AI378" s="183" t="e">
        <f>'Entrada e Saida'!$K$51*(IF('Entrada e Saida'!$H$15="PESO",(P378/(SUM(P:P))),(Q378/(SUM(Q:Q)))))</f>
        <v>#DIV/0!</v>
      </c>
      <c r="AJ378" s="7">
        <f>(('Entrada e Saida'!$K$10-'Entrada e Saida'!$K$8)*E378*D378)</f>
        <v>0</v>
      </c>
      <c r="AK378" s="184" t="e">
        <f>IF('Entrada e Saida'!$H$15="PESO",W378+AA378+AH378+AI378+AJ378,W378+AA378+AH378+AI378+AJ378-S378+T378-U378+V378)</f>
        <v>#DIV/0!</v>
      </c>
      <c r="AL378" s="6" t="e">
        <f>IF('Entrada e Saida'!$H$12="REAL",AC378,0)</f>
        <v>#DIV/0!</v>
      </c>
      <c r="AM378" s="6" t="e">
        <f>IF('Entrada e Saida'!$H$12="REAL",AD378,0)</f>
        <v>#DIV/0!</v>
      </c>
      <c r="AN378" s="5" t="e">
        <f>IF('Entrada e Saida'!$H$13= "NÃO",AE378,0)</f>
        <v>#DIV/0!</v>
      </c>
      <c r="AO378" s="5" t="e">
        <f t="shared" si="162"/>
        <v>#DIV/0!</v>
      </c>
      <c r="AP378" s="4" t="e">
        <f t="shared" si="163"/>
        <v>#DIV/0!</v>
      </c>
      <c r="AQ378" s="3" t="e">
        <f>IF('Entrada e Saida'!$H$11="TRADING",AU378*'Custo Resumido'!D378,0)</f>
        <v>#DIV/0!</v>
      </c>
      <c r="AR378" s="3" t="e">
        <f>IF('Entrada e Saida'!$H$11="TRADING",AU378*'Entrada e Saida'!$G$63,0)</f>
        <v>#DIV/0!</v>
      </c>
      <c r="AS378" s="3" t="e">
        <f>IF('Entrada e Saida'!$H$11="TRADING",AU378*'Entrada e Saida'!$G$64,0)</f>
        <v>#DIV/0!</v>
      </c>
      <c r="AT378" s="3" t="e">
        <f>IF('Entrada e Saida'!$H$11="TRADING",AU378*'Entrada e Saida'!$G$65,0)</f>
        <v>#DIV/0!</v>
      </c>
      <c r="AU378" s="4" t="e">
        <f>IF('Entrada e Saida'!$H$11="TRADING",AP378/(1-(SUM('Entrada e Saida'!$G$63:$G$65)+'Custo Resumido'!D378)),0)</f>
        <v>#DIV/0!</v>
      </c>
      <c r="AV378" s="3" t="e">
        <f>IF('Entrada e Saida'!$H$13="NÃO",AU378*M378,0)</f>
        <v>#DIV/0!</v>
      </c>
      <c r="AW378" s="4" t="e">
        <f t="shared" si="164"/>
        <v>#DIV/0!</v>
      </c>
      <c r="AX378" s="3" t="e">
        <f>'Entrada e Saida'!$G$74*AU378</f>
        <v>#DIV/0!</v>
      </c>
      <c r="AY378" s="4" t="e">
        <f t="shared" si="165"/>
        <v>#DIV/0!</v>
      </c>
      <c r="AZ378" s="4" t="e">
        <f>AQ378+('Entrada e Saida'!$G$65-'Entrada e Saida'!$I$65)*AU378-AX378</f>
        <v>#DIV/0!</v>
      </c>
      <c r="BA378" s="3" t="e">
        <f>IF('Entrada e Saida'!$H$12="REAL",AZ378*'Entrada e Saida'!$G$81,AU378*'Entrada e Saida'!$G$81)</f>
        <v>#DIV/0!</v>
      </c>
      <c r="BB378" s="3" t="e">
        <f>IF('Entrada e Saida'!$H$12="REAL",AZ378*'Entrada e Saida'!$G$82,AU378*'Entrada e Saida'!$G$82)</f>
        <v>#DIV/0!</v>
      </c>
      <c r="BC378" s="4" t="e">
        <f t="shared" si="166"/>
        <v>#DIV/0!</v>
      </c>
      <c r="BD378" s="3" t="e">
        <f>IF('Entrada e Saida'!$H$11="TRADING",AW378/D378,AK378/D378)</f>
        <v>#DIV/0!</v>
      </c>
      <c r="BE378" s="3" t="e">
        <f t="shared" si="167"/>
        <v>#DIV/0!</v>
      </c>
      <c r="BF378" s="2" t="e">
        <f t="shared" si="168"/>
        <v>#DIV/0!</v>
      </c>
      <c r="BG378" s="3" t="e">
        <f>IF('Entrada e Saida'!$H$11="TRADING",AV378/D378,AN378/D378)</f>
        <v>#DIV/0!</v>
      </c>
      <c r="BH378" s="3" t="e">
        <f>IF('Entrada e Saida'!$H$11="TRADING",IF('Entrada e Saida'!$H$12="REAL",AR378/D378,0),AL378/D378)</f>
        <v>#DIV/0!</v>
      </c>
      <c r="BI378" s="3" t="e">
        <f>IF('Entrada e Saida'!$H$11="TRADING",IF('Entrada e Saida'!$H$12="REAL",AS378/D378,0),AM378/D378)</f>
        <v>#DIV/0!</v>
      </c>
      <c r="BJ378" s="3" t="e">
        <f>IF('Entrada e Saida'!$H$11="TRADING",AT378/D378,AO378/D378)</f>
        <v>#DIV/0!</v>
      </c>
      <c r="BK378" s="2" t="e">
        <f t="shared" si="169"/>
        <v>#DIV/0!</v>
      </c>
      <c r="BL378" s="2">
        <f>IF(O378&gt;0,IFERROR(IF('Entrada e Saida'!$H$11="DIRETA",0,(IF('Entrada e Saida'!$H$14="P.JURIDICA",(BD378*(1+O378)*N378)-((BD378/(1+M378))*'Entrada e Saida'!$G$65),((Produtos!N378-'Entrada e Saida'!$G$65)*Produtos!BD378)))),0),0)</f>
        <v>0</v>
      </c>
      <c r="BM378" s="2" t="e">
        <f t="shared" si="170"/>
        <v>#DIV/0!</v>
      </c>
    </row>
    <row r="379" spans="1:65" s="1" customFormat="1">
      <c r="A379" s="127"/>
      <c r="B379" s="114">
        <f>IFERROR(VLOOKUP(A379,'Master Modelo'!A:I,7,FALSE),0)</f>
        <v>0</v>
      </c>
      <c r="C379" s="116">
        <f>IFERROR(VLOOKUP(A379,'Master Modelo'!A:I,2,FALSE),0)</f>
        <v>0</v>
      </c>
      <c r="D379" s="146"/>
      <c r="E379" s="115">
        <f>IFERROR(VLOOKUP(A379,'Master Modelo'!A:I,9,FALSE),0)</f>
        <v>0</v>
      </c>
      <c r="F379" s="189">
        <f>IFERROR(VLOOKUP(A379,'Master Modelo'!A:I,8,FALSE),0)</f>
        <v>0</v>
      </c>
      <c r="G379" s="189">
        <f>IFERROR(VLOOKUP(A379,'Master Modelo'!A:K,11,FALSE),0)</f>
        <v>0</v>
      </c>
      <c r="H379" s="114" t="e">
        <f t="shared" si="153"/>
        <v>#DIV/0!</v>
      </c>
      <c r="I379" s="150">
        <f>IFERROR(VLOOKUP(A379,'Master Modelo'!A:I,3,FALSE),0)</f>
        <v>0</v>
      </c>
      <c r="J379" s="151">
        <f>IFERROR(VLOOKUP(A379,'Master Modelo'!A:I,5,FALSE),0)</f>
        <v>0</v>
      </c>
      <c r="K379" s="151">
        <f>IFERROR(VLOOKUP(A379,'Master Modelo'!A:I,6,FALSE),0)</f>
        <v>0</v>
      </c>
      <c r="L379" s="152" t="e">
        <f>VLOOKUP(A379,'Master Modelo'!A:J,10,FALSE)</f>
        <v>#N/A</v>
      </c>
      <c r="M379" s="150">
        <f>IFERROR(VLOOKUP(A379,'Master Modelo'!A:I,4,FALSE),0)</f>
        <v>0</v>
      </c>
      <c r="N379" s="128"/>
      <c r="O379" s="129"/>
      <c r="P379" s="9">
        <f t="shared" si="154"/>
        <v>0</v>
      </c>
      <c r="Q379" s="177">
        <f t="shared" si="152"/>
        <v>0</v>
      </c>
      <c r="R379" s="3">
        <f>D379*E379*'Entrada e Saida'!$K$8</f>
        <v>0</v>
      </c>
      <c r="S379" s="179" t="e">
        <f>'Entrada e Saida'!$H$21*'Entrada e Saida'!$K$8*(P379/(SUM(P:P)))</f>
        <v>#DIV/0!</v>
      </c>
      <c r="T379" s="179" t="e">
        <f>'Entrada e Saida'!$H$21*'Entrada e Saida'!$K$8*(Q379/(SUM(Q:Q)))</f>
        <v>#DIV/0!</v>
      </c>
      <c r="U379" s="179" t="e">
        <f>'Entrada e Saida'!$H$22*(P379/(SUM(P:P)))</f>
        <v>#DIV/0!</v>
      </c>
      <c r="V379" s="179" t="e">
        <f>'Entrada e Saida'!$H$22*(Q379/(SUM(Q:Q)))</f>
        <v>#DIV/0!</v>
      </c>
      <c r="W379" s="8" t="e">
        <f t="shared" si="155"/>
        <v>#DIV/0!</v>
      </c>
      <c r="X379" s="179" t="e">
        <f>'Entrada e Saida'!$H$26*(IF('Entrada e Saida'!$H$15="PESO",(P379/(SUM(P:P))),(Q379/(SUM(Q:Q)))))</f>
        <v>#DIV/0!</v>
      </c>
      <c r="Y379" s="179" t="e">
        <f>'Entrada e Saida'!$H$27*(IF('Entrada e Saida'!$H$15="PESO",(P379/(SUM(P:P))),(Q379/(SUM(Q:Q)))))</f>
        <v>#DIV/0!</v>
      </c>
      <c r="Z379" s="179" t="e">
        <f>'Entrada e Saida'!$H$28*(IF('Entrada e Saida'!$H$15="PESO",(P379/(SUM(P:P))),(Q379/(SUM(Q:Q)))))</f>
        <v>#DIV/0!</v>
      </c>
      <c r="AA379" s="10" t="e">
        <f t="shared" si="156"/>
        <v>#DIV/0!</v>
      </c>
      <c r="AB379" s="3" t="e">
        <f t="shared" si="157"/>
        <v>#DIV/0!</v>
      </c>
      <c r="AC379" s="3" t="e">
        <f t="shared" si="158"/>
        <v>#DIV/0!</v>
      </c>
      <c r="AD379" s="3" t="e">
        <f t="shared" si="159"/>
        <v>#DIV/0!</v>
      </c>
      <c r="AE379" s="9" t="e">
        <f t="shared" si="160"/>
        <v>#DIV/0!</v>
      </c>
      <c r="AF379" s="126">
        <f>IFERROR(D379*F379*L379*'Entrada e Saida'!$K$8,0)</f>
        <v>0</v>
      </c>
      <c r="AG379" s="3" t="e">
        <f>((W379+AA379+AB379+AC379+AD379+AE379+AF379)/(1-'Entrada e Saida'!$G$65))*'Entrada e Saida'!$I$66</f>
        <v>#DIV/0!</v>
      </c>
      <c r="AH379" s="8" t="e">
        <f t="shared" si="161"/>
        <v>#DIV/0!</v>
      </c>
      <c r="AI379" s="183" t="e">
        <f>'Entrada e Saida'!$K$51*(IF('Entrada e Saida'!$H$15="PESO",(P379/(SUM(P:P))),(Q379/(SUM(Q:Q)))))</f>
        <v>#DIV/0!</v>
      </c>
      <c r="AJ379" s="7">
        <f>(('Entrada e Saida'!$K$10-'Entrada e Saida'!$K$8)*E379*D379)</f>
        <v>0</v>
      </c>
      <c r="AK379" s="184" t="e">
        <f>IF('Entrada e Saida'!$H$15="PESO",W379+AA379+AH379+AI379+AJ379,W379+AA379+AH379+AI379+AJ379-S379+T379-U379+V379)</f>
        <v>#DIV/0!</v>
      </c>
      <c r="AL379" s="6" t="e">
        <f>IF('Entrada e Saida'!$H$12="REAL",AC379,0)</f>
        <v>#DIV/0!</v>
      </c>
      <c r="AM379" s="6" t="e">
        <f>IF('Entrada e Saida'!$H$12="REAL",AD379,0)</f>
        <v>#DIV/0!</v>
      </c>
      <c r="AN379" s="5" t="e">
        <f>IF('Entrada e Saida'!$H$13= "NÃO",AE379,0)</f>
        <v>#DIV/0!</v>
      </c>
      <c r="AO379" s="5" t="e">
        <f t="shared" si="162"/>
        <v>#DIV/0!</v>
      </c>
      <c r="AP379" s="4" t="e">
        <f t="shared" si="163"/>
        <v>#DIV/0!</v>
      </c>
      <c r="AQ379" s="3" t="e">
        <f>IF('Entrada e Saida'!$H$11="TRADING",AU379*'Custo Resumido'!D379,0)</f>
        <v>#DIV/0!</v>
      </c>
      <c r="AR379" s="3" t="e">
        <f>IF('Entrada e Saida'!$H$11="TRADING",AU379*'Entrada e Saida'!$G$63,0)</f>
        <v>#DIV/0!</v>
      </c>
      <c r="AS379" s="3" t="e">
        <f>IF('Entrada e Saida'!$H$11="TRADING",AU379*'Entrada e Saida'!$G$64,0)</f>
        <v>#DIV/0!</v>
      </c>
      <c r="AT379" s="3" t="e">
        <f>IF('Entrada e Saida'!$H$11="TRADING",AU379*'Entrada e Saida'!$G$65,0)</f>
        <v>#DIV/0!</v>
      </c>
      <c r="AU379" s="4" t="e">
        <f>IF('Entrada e Saida'!$H$11="TRADING",AP379/(1-(SUM('Entrada e Saida'!$G$63:$G$65)+'Custo Resumido'!D379)),0)</f>
        <v>#DIV/0!</v>
      </c>
      <c r="AV379" s="3" t="e">
        <f>IF('Entrada e Saida'!$H$13="NÃO",AU379*M379,0)</f>
        <v>#DIV/0!</v>
      </c>
      <c r="AW379" s="4" t="e">
        <f t="shared" si="164"/>
        <v>#DIV/0!</v>
      </c>
      <c r="AX379" s="3" t="e">
        <f>'Entrada e Saida'!$G$74*AU379</f>
        <v>#DIV/0!</v>
      </c>
      <c r="AY379" s="4" t="e">
        <f t="shared" si="165"/>
        <v>#DIV/0!</v>
      </c>
      <c r="AZ379" s="4" t="e">
        <f>AQ379+('Entrada e Saida'!$G$65-'Entrada e Saida'!$I$65)*AU379-AX379</f>
        <v>#DIV/0!</v>
      </c>
      <c r="BA379" s="3" t="e">
        <f>IF('Entrada e Saida'!$H$12="REAL",AZ379*'Entrada e Saida'!$G$81,AU379*'Entrada e Saida'!$G$81)</f>
        <v>#DIV/0!</v>
      </c>
      <c r="BB379" s="3" t="e">
        <f>IF('Entrada e Saida'!$H$12="REAL",AZ379*'Entrada e Saida'!$G$82,AU379*'Entrada e Saida'!$G$82)</f>
        <v>#DIV/0!</v>
      </c>
      <c r="BC379" s="4" t="e">
        <f t="shared" si="166"/>
        <v>#DIV/0!</v>
      </c>
      <c r="BD379" s="3" t="e">
        <f>IF('Entrada e Saida'!$H$11="TRADING",AW379/D379,AK379/D379)</f>
        <v>#DIV/0!</v>
      </c>
      <c r="BE379" s="3" t="e">
        <f t="shared" si="167"/>
        <v>#DIV/0!</v>
      </c>
      <c r="BF379" s="2" t="e">
        <f t="shared" si="168"/>
        <v>#DIV/0!</v>
      </c>
      <c r="BG379" s="3" t="e">
        <f>IF('Entrada e Saida'!$H$11="TRADING",AV379/D379,AN379/D379)</f>
        <v>#DIV/0!</v>
      </c>
      <c r="BH379" s="3" t="e">
        <f>IF('Entrada e Saida'!$H$11="TRADING",IF('Entrada e Saida'!$H$12="REAL",AR379/D379,0),AL379/D379)</f>
        <v>#DIV/0!</v>
      </c>
      <c r="BI379" s="3" t="e">
        <f>IF('Entrada e Saida'!$H$11="TRADING",IF('Entrada e Saida'!$H$12="REAL",AS379/D379,0),AM379/D379)</f>
        <v>#DIV/0!</v>
      </c>
      <c r="BJ379" s="3" t="e">
        <f>IF('Entrada e Saida'!$H$11="TRADING",AT379/D379,AO379/D379)</f>
        <v>#DIV/0!</v>
      </c>
      <c r="BK379" s="2" t="e">
        <f t="shared" si="169"/>
        <v>#DIV/0!</v>
      </c>
      <c r="BL379" s="2">
        <f>IF(O379&gt;0,IFERROR(IF('Entrada e Saida'!$H$11="DIRETA",0,(IF('Entrada e Saida'!$H$14="P.JURIDICA",(BD379*(1+O379)*N379)-((BD379/(1+M379))*'Entrada e Saida'!$G$65),((Produtos!N379-'Entrada e Saida'!$G$65)*Produtos!BD379)))),0),0)</f>
        <v>0</v>
      </c>
      <c r="BM379" s="2" t="e">
        <f t="shared" si="170"/>
        <v>#DIV/0!</v>
      </c>
    </row>
    <row r="380" spans="1:65" s="1" customFormat="1">
      <c r="A380" s="127"/>
      <c r="B380" s="114">
        <f>IFERROR(VLOOKUP(A380,'Master Modelo'!A:I,7,FALSE),0)</f>
        <v>0</v>
      </c>
      <c r="C380" s="116">
        <f>IFERROR(VLOOKUP(A380,'Master Modelo'!A:I,2,FALSE),0)</f>
        <v>0</v>
      </c>
      <c r="D380" s="146"/>
      <c r="E380" s="115">
        <f>IFERROR(VLOOKUP(A380,'Master Modelo'!A:I,9,FALSE),0)</f>
        <v>0</v>
      </c>
      <c r="F380" s="189">
        <f>IFERROR(VLOOKUP(A380,'Master Modelo'!A:I,8,FALSE),0)</f>
        <v>0</v>
      </c>
      <c r="G380" s="189">
        <f>IFERROR(VLOOKUP(A380,'Master Modelo'!A:K,11,FALSE),0)</f>
        <v>0</v>
      </c>
      <c r="H380" s="114" t="e">
        <f t="shared" si="153"/>
        <v>#DIV/0!</v>
      </c>
      <c r="I380" s="150">
        <f>IFERROR(VLOOKUP(A380,'Master Modelo'!A:I,3,FALSE),0)</f>
        <v>0</v>
      </c>
      <c r="J380" s="151">
        <f>IFERROR(VLOOKUP(A380,'Master Modelo'!A:I,5,FALSE),0)</f>
        <v>0</v>
      </c>
      <c r="K380" s="151">
        <f>IFERROR(VLOOKUP(A380,'Master Modelo'!A:I,6,FALSE),0)</f>
        <v>0</v>
      </c>
      <c r="L380" s="152" t="e">
        <f>VLOOKUP(A380,'Master Modelo'!A:J,10,FALSE)</f>
        <v>#N/A</v>
      </c>
      <c r="M380" s="150">
        <f>IFERROR(VLOOKUP(A380,'Master Modelo'!A:I,4,FALSE),0)</f>
        <v>0</v>
      </c>
      <c r="N380" s="128"/>
      <c r="O380" s="129"/>
      <c r="P380" s="9">
        <f t="shared" si="154"/>
        <v>0</v>
      </c>
      <c r="Q380" s="177">
        <f t="shared" si="152"/>
        <v>0</v>
      </c>
      <c r="R380" s="3">
        <f>D380*E380*'Entrada e Saida'!$K$8</f>
        <v>0</v>
      </c>
      <c r="S380" s="179" t="e">
        <f>'Entrada e Saida'!$H$21*'Entrada e Saida'!$K$8*(P380/(SUM(P:P)))</f>
        <v>#DIV/0!</v>
      </c>
      <c r="T380" s="179" t="e">
        <f>'Entrada e Saida'!$H$21*'Entrada e Saida'!$K$8*(Q380/(SUM(Q:Q)))</f>
        <v>#DIV/0!</v>
      </c>
      <c r="U380" s="179" t="e">
        <f>'Entrada e Saida'!$H$22*(P380/(SUM(P:P)))</f>
        <v>#DIV/0!</v>
      </c>
      <c r="V380" s="179" t="e">
        <f>'Entrada e Saida'!$H$22*(Q380/(SUM(Q:Q)))</f>
        <v>#DIV/0!</v>
      </c>
      <c r="W380" s="8" t="e">
        <f t="shared" si="155"/>
        <v>#DIV/0!</v>
      </c>
      <c r="X380" s="179" t="e">
        <f>'Entrada e Saida'!$H$26*(IF('Entrada e Saida'!$H$15="PESO",(P380/(SUM(P:P))),(Q380/(SUM(Q:Q)))))</f>
        <v>#DIV/0!</v>
      </c>
      <c r="Y380" s="179" t="e">
        <f>'Entrada e Saida'!$H$27*(IF('Entrada e Saida'!$H$15="PESO",(P380/(SUM(P:P))),(Q380/(SUM(Q:Q)))))</f>
        <v>#DIV/0!</v>
      </c>
      <c r="Z380" s="179" t="e">
        <f>'Entrada e Saida'!$H$28*(IF('Entrada e Saida'!$H$15="PESO",(P380/(SUM(P:P))),(Q380/(SUM(Q:Q)))))</f>
        <v>#DIV/0!</v>
      </c>
      <c r="AA380" s="10" t="e">
        <f t="shared" si="156"/>
        <v>#DIV/0!</v>
      </c>
      <c r="AB380" s="3" t="e">
        <f t="shared" si="157"/>
        <v>#DIV/0!</v>
      </c>
      <c r="AC380" s="3" t="e">
        <f t="shared" si="158"/>
        <v>#DIV/0!</v>
      </c>
      <c r="AD380" s="3" t="e">
        <f t="shared" si="159"/>
        <v>#DIV/0!</v>
      </c>
      <c r="AE380" s="9" t="e">
        <f t="shared" si="160"/>
        <v>#DIV/0!</v>
      </c>
      <c r="AF380" s="126">
        <f>IFERROR(D380*F380*L380*'Entrada e Saida'!$K$8,0)</f>
        <v>0</v>
      </c>
      <c r="AG380" s="3" t="e">
        <f>((W380+AA380+AB380+AC380+AD380+AE380+AF380)/(1-'Entrada e Saida'!$G$65))*'Entrada e Saida'!$I$66</f>
        <v>#DIV/0!</v>
      </c>
      <c r="AH380" s="8" t="e">
        <f t="shared" si="161"/>
        <v>#DIV/0!</v>
      </c>
      <c r="AI380" s="183" t="e">
        <f>'Entrada e Saida'!$K$51*(IF('Entrada e Saida'!$H$15="PESO",(P380/(SUM(P:P))),(Q380/(SUM(Q:Q)))))</f>
        <v>#DIV/0!</v>
      </c>
      <c r="AJ380" s="7">
        <f>(('Entrada e Saida'!$K$10-'Entrada e Saida'!$K$8)*E380*D380)</f>
        <v>0</v>
      </c>
      <c r="AK380" s="184" t="e">
        <f>IF('Entrada e Saida'!$H$15="PESO",W380+AA380+AH380+AI380+AJ380,W380+AA380+AH380+AI380+AJ380-S380+T380-U380+V380)</f>
        <v>#DIV/0!</v>
      </c>
      <c r="AL380" s="6" t="e">
        <f>IF('Entrada e Saida'!$H$12="REAL",AC380,0)</f>
        <v>#DIV/0!</v>
      </c>
      <c r="AM380" s="6" t="e">
        <f>IF('Entrada e Saida'!$H$12="REAL",AD380,0)</f>
        <v>#DIV/0!</v>
      </c>
      <c r="AN380" s="5" t="e">
        <f>IF('Entrada e Saida'!$H$13= "NÃO",AE380,0)</f>
        <v>#DIV/0!</v>
      </c>
      <c r="AO380" s="5" t="e">
        <f t="shared" si="162"/>
        <v>#DIV/0!</v>
      </c>
      <c r="AP380" s="4" t="e">
        <f t="shared" si="163"/>
        <v>#DIV/0!</v>
      </c>
      <c r="AQ380" s="3" t="e">
        <f>IF('Entrada e Saida'!$H$11="TRADING",AU380*'Custo Resumido'!D380,0)</f>
        <v>#DIV/0!</v>
      </c>
      <c r="AR380" s="3" t="e">
        <f>IF('Entrada e Saida'!$H$11="TRADING",AU380*'Entrada e Saida'!$G$63,0)</f>
        <v>#DIV/0!</v>
      </c>
      <c r="AS380" s="3" t="e">
        <f>IF('Entrada e Saida'!$H$11="TRADING",AU380*'Entrada e Saida'!$G$64,0)</f>
        <v>#DIV/0!</v>
      </c>
      <c r="AT380" s="3" t="e">
        <f>IF('Entrada e Saida'!$H$11="TRADING",AU380*'Entrada e Saida'!$G$65,0)</f>
        <v>#DIV/0!</v>
      </c>
      <c r="AU380" s="4" t="e">
        <f>IF('Entrada e Saida'!$H$11="TRADING",AP380/(1-(SUM('Entrada e Saida'!$G$63:$G$65)+'Custo Resumido'!D380)),0)</f>
        <v>#DIV/0!</v>
      </c>
      <c r="AV380" s="3" t="e">
        <f>IF('Entrada e Saida'!$H$13="NÃO",AU380*M380,0)</f>
        <v>#DIV/0!</v>
      </c>
      <c r="AW380" s="4" t="e">
        <f t="shared" si="164"/>
        <v>#DIV/0!</v>
      </c>
      <c r="AX380" s="3" t="e">
        <f>'Entrada e Saida'!$G$74*AU380</f>
        <v>#DIV/0!</v>
      </c>
      <c r="AY380" s="4" t="e">
        <f t="shared" si="165"/>
        <v>#DIV/0!</v>
      </c>
      <c r="AZ380" s="4" t="e">
        <f>AQ380+('Entrada e Saida'!$G$65-'Entrada e Saida'!$I$65)*AU380-AX380</f>
        <v>#DIV/0!</v>
      </c>
      <c r="BA380" s="3" t="e">
        <f>IF('Entrada e Saida'!$H$12="REAL",AZ380*'Entrada e Saida'!$G$81,AU380*'Entrada e Saida'!$G$81)</f>
        <v>#DIV/0!</v>
      </c>
      <c r="BB380" s="3" t="e">
        <f>IF('Entrada e Saida'!$H$12="REAL",AZ380*'Entrada e Saida'!$G$82,AU380*'Entrada e Saida'!$G$82)</f>
        <v>#DIV/0!</v>
      </c>
      <c r="BC380" s="4" t="e">
        <f t="shared" si="166"/>
        <v>#DIV/0!</v>
      </c>
      <c r="BD380" s="3" t="e">
        <f>IF('Entrada e Saida'!$H$11="TRADING",AW380/D380,AK380/D380)</f>
        <v>#DIV/0!</v>
      </c>
      <c r="BE380" s="3" t="e">
        <f t="shared" si="167"/>
        <v>#DIV/0!</v>
      </c>
      <c r="BF380" s="2" t="e">
        <f t="shared" si="168"/>
        <v>#DIV/0!</v>
      </c>
      <c r="BG380" s="3" t="e">
        <f>IF('Entrada e Saida'!$H$11="TRADING",AV380/D380,AN380/D380)</f>
        <v>#DIV/0!</v>
      </c>
      <c r="BH380" s="3" t="e">
        <f>IF('Entrada e Saida'!$H$11="TRADING",IF('Entrada e Saida'!$H$12="REAL",AR380/D380,0),AL380/D380)</f>
        <v>#DIV/0!</v>
      </c>
      <c r="BI380" s="3" t="e">
        <f>IF('Entrada e Saida'!$H$11="TRADING",IF('Entrada e Saida'!$H$12="REAL",AS380/D380,0),AM380/D380)</f>
        <v>#DIV/0!</v>
      </c>
      <c r="BJ380" s="3" t="e">
        <f>IF('Entrada e Saida'!$H$11="TRADING",AT380/D380,AO380/D380)</f>
        <v>#DIV/0!</v>
      </c>
      <c r="BK380" s="2" t="e">
        <f t="shared" si="169"/>
        <v>#DIV/0!</v>
      </c>
      <c r="BL380" s="2">
        <f>IF(O380&gt;0,IFERROR(IF('Entrada e Saida'!$H$11="DIRETA",0,(IF('Entrada e Saida'!$H$14="P.JURIDICA",(BD380*(1+O380)*N380)-((BD380/(1+M380))*'Entrada e Saida'!$G$65),((Produtos!N380-'Entrada e Saida'!$G$65)*Produtos!BD380)))),0),0)</f>
        <v>0</v>
      </c>
      <c r="BM380" s="2" t="e">
        <f t="shared" si="170"/>
        <v>#DIV/0!</v>
      </c>
    </row>
    <row r="381" spans="1:65" s="1" customFormat="1">
      <c r="A381" s="127"/>
      <c r="B381" s="114">
        <f>IFERROR(VLOOKUP(A381,'Master Modelo'!A:I,7,FALSE),0)</f>
        <v>0</v>
      </c>
      <c r="C381" s="116">
        <f>IFERROR(VLOOKUP(A381,'Master Modelo'!A:I,2,FALSE),0)</f>
        <v>0</v>
      </c>
      <c r="D381" s="146"/>
      <c r="E381" s="115">
        <f>IFERROR(VLOOKUP(A381,'Master Modelo'!A:I,9,FALSE),0)</f>
        <v>0</v>
      </c>
      <c r="F381" s="189">
        <f>IFERROR(VLOOKUP(A381,'Master Modelo'!A:I,8,FALSE),0)</f>
        <v>0</v>
      </c>
      <c r="G381" s="189">
        <f>IFERROR(VLOOKUP(A381,'Master Modelo'!A:K,11,FALSE),0)</f>
        <v>0</v>
      </c>
      <c r="H381" s="114" t="e">
        <f t="shared" si="153"/>
        <v>#DIV/0!</v>
      </c>
      <c r="I381" s="150">
        <f>IFERROR(VLOOKUP(A381,'Master Modelo'!A:I,3,FALSE),0)</f>
        <v>0</v>
      </c>
      <c r="J381" s="151">
        <f>IFERROR(VLOOKUP(A381,'Master Modelo'!A:I,5,FALSE),0)</f>
        <v>0</v>
      </c>
      <c r="K381" s="151">
        <f>IFERROR(VLOOKUP(A381,'Master Modelo'!A:I,6,FALSE),0)</f>
        <v>0</v>
      </c>
      <c r="L381" s="152" t="e">
        <f>VLOOKUP(A381,'Master Modelo'!A:J,10,FALSE)</f>
        <v>#N/A</v>
      </c>
      <c r="M381" s="150">
        <f>IFERROR(VLOOKUP(A381,'Master Modelo'!A:I,4,FALSE),0)</f>
        <v>0</v>
      </c>
      <c r="N381" s="128"/>
      <c r="O381" s="129"/>
      <c r="P381" s="9">
        <f t="shared" si="154"/>
        <v>0</v>
      </c>
      <c r="Q381" s="177">
        <f t="shared" si="152"/>
        <v>0</v>
      </c>
      <c r="R381" s="3">
        <f>D381*E381*'Entrada e Saida'!$K$8</f>
        <v>0</v>
      </c>
      <c r="S381" s="179" t="e">
        <f>'Entrada e Saida'!$H$21*'Entrada e Saida'!$K$8*(P381/(SUM(P:P)))</f>
        <v>#DIV/0!</v>
      </c>
      <c r="T381" s="179" t="e">
        <f>'Entrada e Saida'!$H$21*'Entrada e Saida'!$K$8*(Q381/(SUM(Q:Q)))</f>
        <v>#DIV/0!</v>
      </c>
      <c r="U381" s="179" t="e">
        <f>'Entrada e Saida'!$H$22*(P381/(SUM(P:P)))</f>
        <v>#DIV/0!</v>
      </c>
      <c r="V381" s="179" t="e">
        <f>'Entrada e Saida'!$H$22*(Q381/(SUM(Q:Q)))</f>
        <v>#DIV/0!</v>
      </c>
      <c r="W381" s="8" t="e">
        <f t="shared" si="155"/>
        <v>#DIV/0!</v>
      </c>
      <c r="X381" s="179" t="e">
        <f>'Entrada e Saida'!$H$26*(IF('Entrada e Saida'!$H$15="PESO",(P381/(SUM(P:P))),(Q381/(SUM(Q:Q)))))</f>
        <v>#DIV/0!</v>
      </c>
      <c r="Y381" s="179" t="e">
        <f>'Entrada e Saida'!$H$27*(IF('Entrada e Saida'!$H$15="PESO",(P381/(SUM(P:P))),(Q381/(SUM(Q:Q)))))</f>
        <v>#DIV/0!</v>
      </c>
      <c r="Z381" s="179" t="e">
        <f>'Entrada e Saida'!$H$28*(IF('Entrada e Saida'!$H$15="PESO",(P381/(SUM(P:P))),(Q381/(SUM(Q:Q)))))</f>
        <v>#DIV/0!</v>
      </c>
      <c r="AA381" s="10" t="e">
        <f t="shared" si="156"/>
        <v>#DIV/0!</v>
      </c>
      <c r="AB381" s="3" t="e">
        <f t="shared" si="157"/>
        <v>#DIV/0!</v>
      </c>
      <c r="AC381" s="3" t="e">
        <f t="shared" si="158"/>
        <v>#DIV/0!</v>
      </c>
      <c r="AD381" s="3" t="e">
        <f t="shared" si="159"/>
        <v>#DIV/0!</v>
      </c>
      <c r="AE381" s="9" t="e">
        <f t="shared" si="160"/>
        <v>#DIV/0!</v>
      </c>
      <c r="AF381" s="126">
        <f>IFERROR(D381*F381*L381*'Entrada e Saida'!$K$8,0)</f>
        <v>0</v>
      </c>
      <c r="AG381" s="3" t="e">
        <f>((W381+AA381+AB381+AC381+AD381+AE381+AF381)/(1-'Entrada e Saida'!$G$65))*'Entrada e Saida'!$I$66</f>
        <v>#DIV/0!</v>
      </c>
      <c r="AH381" s="8" t="e">
        <f t="shared" si="161"/>
        <v>#DIV/0!</v>
      </c>
      <c r="AI381" s="183" t="e">
        <f>'Entrada e Saida'!$K$51*(IF('Entrada e Saida'!$H$15="PESO",(P381/(SUM(P:P))),(Q381/(SUM(Q:Q)))))</f>
        <v>#DIV/0!</v>
      </c>
      <c r="AJ381" s="7">
        <f>(('Entrada e Saida'!$K$10-'Entrada e Saida'!$K$8)*E381*D381)</f>
        <v>0</v>
      </c>
      <c r="AK381" s="184" t="e">
        <f>IF('Entrada e Saida'!$H$15="PESO",W381+AA381+AH381+AI381+AJ381,W381+AA381+AH381+AI381+AJ381-S381+T381-U381+V381)</f>
        <v>#DIV/0!</v>
      </c>
      <c r="AL381" s="6" t="e">
        <f>IF('Entrada e Saida'!$H$12="REAL",AC381,0)</f>
        <v>#DIV/0!</v>
      </c>
      <c r="AM381" s="6" t="e">
        <f>IF('Entrada e Saida'!$H$12="REAL",AD381,0)</f>
        <v>#DIV/0!</v>
      </c>
      <c r="AN381" s="5" t="e">
        <f>IF('Entrada e Saida'!$H$13= "NÃO",AE381,0)</f>
        <v>#DIV/0!</v>
      </c>
      <c r="AO381" s="5" t="e">
        <f t="shared" si="162"/>
        <v>#DIV/0!</v>
      </c>
      <c r="AP381" s="4" t="e">
        <f t="shared" si="163"/>
        <v>#DIV/0!</v>
      </c>
      <c r="AQ381" s="3" t="e">
        <f>IF('Entrada e Saida'!$H$11="TRADING",AU381*'Custo Resumido'!D381,0)</f>
        <v>#DIV/0!</v>
      </c>
      <c r="AR381" s="3" t="e">
        <f>IF('Entrada e Saida'!$H$11="TRADING",AU381*'Entrada e Saida'!$G$63,0)</f>
        <v>#DIV/0!</v>
      </c>
      <c r="AS381" s="3" t="e">
        <f>IF('Entrada e Saida'!$H$11="TRADING",AU381*'Entrada e Saida'!$G$64,0)</f>
        <v>#DIV/0!</v>
      </c>
      <c r="AT381" s="3" t="e">
        <f>IF('Entrada e Saida'!$H$11="TRADING",AU381*'Entrada e Saida'!$G$65,0)</f>
        <v>#DIV/0!</v>
      </c>
      <c r="AU381" s="4" t="e">
        <f>IF('Entrada e Saida'!$H$11="TRADING",AP381/(1-(SUM('Entrada e Saida'!$G$63:$G$65)+'Custo Resumido'!D381)),0)</f>
        <v>#DIV/0!</v>
      </c>
      <c r="AV381" s="3" t="e">
        <f>IF('Entrada e Saida'!$H$13="NÃO",AU381*M381,0)</f>
        <v>#DIV/0!</v>
      </c>
      <c r="AW381" s="4" t="e">
        <f t="shared" si="164"/>
        <v>#DIV/0!</v>
      </c>
      <c r="AX381" s="3" t="e">
        <f>'Entrada e Saida'!$G$74*AU381</f>
        <v>#DIV/0!</v>
      </c>
      <c r="AY381" s="4" t="e">
        <f t="shared" si="165"/>
        <v>#DIV/0!</v>
      </c>
      <c r="AZ381" s="4" t="e">
        <f>AQ381+('Entrada e Saida'!$G$65-'Entrada e Saida'!$I$65)*AU381-AX381</f>
        <v>#DIV/0!</v>
      </c>
      <c r="BA381" s="3" t="e">
        <f>IF('Entrada e Saida'!$H$12="REAL",AZ381*'Entrada e Saida'!$G$81,AU381*'Entrada e Saida'!$G$81)</f>
        <v>#DIV/0!</v>
      </c>
      <c r="BB381" s="3" t="e">
        <f>IF('Entrada e Saida'!$H$12="REAL",AZ381*'Entrada e Saida'!$G$82,AU381*'Entrada e Saida'!$G$82)</f>
        <v>#DIV/0!</v>
      </c>
      <c r="BC381" s="4" t="e">
        <f t="shared" si="166"/>
        <v>#DIV/0!</v>
      </c>
      <c r="BD381" s="3" t="e">
        <f>IF('Entrada e Saida'!$H$11="TRADING",AW381/D381,AK381/D381)</f>
        <v>#DIV/0!</v>
      </c>
      <c r="BE381" s="3" t="e">
        <f t="shared" si="167"/>
        <v>#DIV/0!</v>
      </c>
      <c r="BF381" s="2" t="e">
        <f t="shared" si="168"/>
        <v>#DIV/0!</v>
      </c>
      <c r="BG381" s="3" t="e">
        <f>IF('Entrada e Saida'!$H$11="TRADING",AV381/D381,AN381/D381)</f>
        <v>#DIV/0!</v>
      </c>
      <c r="BH381" s="3" t="e">
        <f>IF('Entrada e Saida'!$H$11="TRADING",IF('Entrada e Saida'!$H$12="REAL",AR381/D381,0),AL381/D381)</f>
        <v>#DIV/0!</v>
      </c>
      <c r="BI381" s="3" t="e">
        <f>IF('Entrada e Saida'!$H$11="TRADING",IF('Entrada e Saida'!$H$12="REAL",AS381/D381,0),AM381/D381)</f>
        <v>#DIV/0!</v>
      </c>
      <c r="BJ381" s="3" t="e">
        <f>IF('Entrada e Saida'!$H$11="TRADING",AT381/D381,AO381/D381)</f>
        <v>#DIV/0!</v>
      </c>
      <c r="BK381" s="2" t="e">
        <f t="shared" si="169"/>
        <v>#DIV/0!</v>
      </c>
      <c r="BL381" s="2">
        <f>IF(O381&gt;0,IFERROR(IF('Entrada e Saida'!$H$11="DIRETA",0,(IF('Entrada e Saida'!$H$14="P.JURIDICA",(BD381*(1+O381)*N381)-((BD381/(1+M381))*'Entrada e Saida'!$G$65),((Produtos!N381-'Entrada e Saida'!$G$65)*Produtos!BD381)))),0),0)</f>
        <v>0</v>
      </c>
      <c r="BM381" s="2" t="e">
        <f t="shared" si="170"/>
        <v>#DIV/0!</v>
      </c>
    </row>
    <row r="382" spans="1:65" s="1" customFormat="1">
      <c r="A382" s="127"/>
      <c r="B382" s="114">
        <f>IFERROR(VLOOKUP(A382,'Master Modelo'!A:I,7,FALSE),0)</f>
        <v>0</v>
      </c>
      <c r="C382" s="116">
        <f>IFERROR(VLOOKUP(A382,'Master Modelo'!A:I,2,FALSE),0)</f>
        <v>0</v>
      </c>
      <c r="D382" s="146"/>
      <c r="E382" s="115">
        <f>IFERROR(VLOOKUP(A382,'Master Modelo'!A:I,9,FALSE),0)</f>
        <v>0</v>
      </c>
      <c r="F382" s="189">
        <f>IFERROR(VLOOKUP(A382,'Master Modelo'!A:I,8,FALSE),0)</f>
        <v>0</v>
      </c>
      <c r="G382" s="189">
        <f>IFERROR(VLOOKUP(A382,'Master Modelo'!A:K,11,FALSE),0)</f>
        <v>0</v>
      </c>
      <c r="H382" s="114" t="e">
        <f t="shared" si="153"/>
        <v>#DIV/0!</v>
      </c>
      <c r="I382" s="150">
        <f>IFERROR(VLOOKUP(A382,'Master Modelo'!A:I,3,FALSE),0)</f>
        <v>0</v>
      </c>
      <c r="J382" s="151">
        <f>IFERROR(VLOOKUP(A382,'Master Modelo'!A:I,5,FALSE),0)</f>
        <v>0</v>
      </c>
      <c r="K382" s="151">
        <f>IFERROR(VLOOKUP(A382,'Master Modelo'!A:I,6,FALSE),0)</f>
        <v>0</v>
      </c>
      <c r="L382" s="152" t="e">
        <f>VLOOKUP(A382,'Master Modelo'!A:J,10,FALSE)</f>
        <v>#N/A</v>
      </c>
      <c r="M382" s="150">
        <f>IFERROR(VLOOKUP(A382,'Master Modelo'!A:I,4,FALSE),0)</f>
        <v>0</v>
      </c>
      <c r="N382" s="128"/>
      <c r="O382" s="129"/>
      <c r="P382" s="9">
        <f t="shared" si="154"/>
        <v>0</v>
      </c>
      <c r="Q382" s="177">
        <f t="shared" si="152"/>
        <v>0</v>
      </c>
      <c r="R382" s="3">
        <f>D382*E382*'Entrada e Saida'!$K$8</f>
        <v>0</v>
      </c>
      <c r="S382" s="179" t="e">
        <f>'Entrada e Saida'!$H$21*'Entrada e Saida'!$K$8*(P382/(SUM(P:P)))</f>
        <v>#DIV/0!</v>
      </c>
      <c r="T382" s="179" t="e">
        <f>'Entrada e Saida'!$H$21*'Entrada e Saida'!$K$8*(Q382/(SUM(Q:Q)))</f>
        <v>#DIV/0!</v>
      </c>
      <c r="U382" s="179" t="e">
        <f>'Entrada e Saida'!$H$22*(P382/(SUM(P:P)))</f>
        <v>#DIV/0!</v>
      </c>
      <c r="V382" s="179" t="e">
        <f>'Entrada e Saida'!$H$22*(Q382/(SUM(Q:Q)))</f>
        <v>#DIV/0!</v>
      </c>
      <c r="W382" s="8" t="e">
        <f t="shared" si="155"/>
        <v>#DIV/0!</v>
      </c>
      <c r="X382" s="179" t="e">
        <f>'Entrada e Saida'!$H$26*(IF('Entrada e Saida'!$H$15="PESO",(P382/(SUM(P:P))),(Q382/(SUM(Q:Q)))))</f>
        <v>#DIV/0!</v>
      </c>
      <c r="Y382" s="179" t="e">
        <f>'Entrada e Saida'!$H$27*(IF('Entrada e Saida'!$H$15="PESO",(P382/(SUM(P:P))),(Q382/(SUM(Q:Q)))))</f>
        <v>#DIV/0!</v>
      </c>
      <c r="Z382" s="179" t="e">
        <f>'Entrada e Saida'!$H$28*(IF('Entrada e Saida'!$H$15="PESO",(P382/(SUM(P:P))),(Q382/(SUM(Q:Q)))))</f>
        <v>#DIV/0!</v>
      </c>
      <c r="AA382" s="10" t="e">
        <f t="shared" si="156"/>
        <v>#DIV/0!</v>
      </c>
      <c r="AB382" s="3" t="e">
        <f t="shared" si="157"/>
        <v>#DIV/0!</v>
      </c>
      <c r="AC382" s="3" t="e">
        <f t="shared" si="158"/>
        <v>#DIV/0!</v>
      </c>
      <c r="AD382" s="3" t="e">
        <f t="shared" si="159"/>
        <v>#DIV/0!</v>
      </c>
      <c r="AE382" s="9" t="e">
        <f t="shared" si="160"/>
        <v>#DIV/0!</v>
      </c>
      <c r="AF382" s="126">
        <f>IFERROR(D382*F382*L382*'Entrada e Saida'!$K$8,0)</f>
        <v>0</v>
      </c>
      <c r="AG382" s="3" t="e">
        <f>((W382+AA382+AB382+AC382+AD382+AE382+AF382)/(1-'Entrada e Saida'!$G$65))*'Entrada e Saida'!$I$66</f>
        <v>#DIV/0!</v>
      </c>
      <c r="AH382" s="8" t="e">
        <f t="shared" si="161"/>
        <v>#DIV/0!</v>
      </c>
      <c r="AI382" s="183" t="e">
        <f>'Entrada e Saida'!$K$51*(IF('Entrada e Saida'!$H$15="PESO",(P382/(SUM(P:P))),(Q382/(SUM(Q:Q)))))</f>
        <v>#DIV/0!</v>
      </c>
      <c r="AJ382" s="7">
        <f>(('Entrada e Saida'!$K$10-'Entrada e Saida'!$K$8)*E382*D382)</f>
        <v>0</v>
      </c>
      <c r="AK382" s="184" t="e">
        <f>IF('Entrada e Saida'!$H$15="PESO",W382+AA382+AH382+AI382+AJ382,W382+AA382+AH382+AI382+AJ382-S382+T382-U382+V382)</f>
        <v>#DIV/0!</v>
      </c>
      <c r="AL382" s="6" t="e">
        <f>IF('Entrada e Saida'!$H$12="REAL",AC382,0)</f>
        <v>#DIV/0!</v>
      </c>
      <c r="AM382" s="6" t="e">
        <f>IF('Entrada e Saida'!$H$12="REAL",AD382,0)</f>
        <v>#DIV/0!</v>
      </c>
      <c r="AN382" s="5" t="e">
        <f>IF('Entrada e Saida'!$H$13= "NÃO",AE382,0)</f>
        <v>#DIV/0!</v>
      </c>
      <c r="AO382" s="5" t="e">
        <f t="shared" si="162"/>
        <v>#DIV/0!</v>
      </c>
      <c r="AP382" s="4" t="e">
        <f t="shared" si="163"/>
        <v>#DIV/0!</v>
      </c>
      <c r="AQ382" s="3" t="e">
        <f>IF('Entrada e Saida'!$H$11="TRADING",AU382*'Custo Resumido'!D382,0)</f>
        <v>#DIV/0!</v>
      </c>
      <c r="AR382" s="3" t="e">
        <f>IF('Entrada e Saida'!$H$11="TRADING",AU382*'Entrada e Saida'!$G$63,0)</f>
        <v>#DIV/0!</v>
      </c>
      <c r="AS382" s="3" t="e">
        <f>IF('Entrada e Saida'!$H$11="TRADING",AU382*'Entrada e Saida'!$G$64,0)</f>
        <v>#DIV/0!</v>
      </c>
      <c r="AT382" s="3" t="e">
        <f>IF('Entrada e Saida'!$H$11="TRADING",AU382*'Entrada e Saida'!$G$65,0)</f>
        <v>#DIV/0!</v>
      </c>
      <c r="AU382" s="4" t="e">
        <f>IF('Entrada e Saida'!$H$11="TRADING",AP382/(1-(SUM('Entrada e Saida'!$G$63:$G$65)+'Custo Resumido'!D382)),0)</f>
        <v>#DIV/0!</v>
      </c>
      <c r="AV382" s="3" t="e">
        <f>IF('Entrada e Saida'!$H$13="NÃO",AU382*M382,0)</f>
        <v>#DIV/0!</v>
      </c>
      <c r="AW382" s="4" t="e">
        <f t="shared" si="164"/>
        <v>#DIV/0!</v>
      </c>
      <c r="AX382" s="3" t="e">
        <f>'Entrada e Saida'!$G$74*AU382</f>
        <v>#DIV/0!</v>
      </c>
      <c r="AY382" s="4" t="e">
        <f t="shared" si="165"/>
        <v>#DIV/0!</v>
      </c>
      <c r="AZ382" s="4" t="e">
        <f>AQ382+('Entrada e Saida'!$G$65-'Entrada e Saida'!$I$65)*AU382-AX382</f>
        <v>#DIV/0!</v>
      </c>
      <c r="BA382" s="3" t="e">
        <f>IF('Entrada e Saida'!$H$12="REAL",AZ382*'Entrada e Saida'!$G$81,AU382*'Entrada e Saida'!$G$81)</f>
        <v>#DIV/0!</v>
      </c>
      <c r="BB382" s="3" t="e">
        <f>IF('Entrada e Saida'!$H$12="REAL",AZ382*'Entrada e Saida'!$G$82,AU382*'Entrada e Saida'!$G$82)</f>
        <v>#DIV/0!</v>
      </c>
      <c r="BC382" s="4" t="e">
        <f t="shared" si="166"/>
        <v>#DIV/0!</v>
      </c>
      <c r="BD382" s="3" t="e">
        <f>IF('Entrada e Saida'!$H$11="TRADING",AW382/D382,AK382/D382)</f>
        <v>#DIV/0!</v>
      </c>
      <c r="BE382" s="3" t="e">
        <f t="shared" si="167"/>
        <v>#DIV/0!</v>
      </c>
      <c r="BF382" s="2" t="e">
        <f t="shared" si="168"/>
        <v>#DIV/0!</v>
      </c>
      <c r="BG382" s="3" t="e">
        <f>IF('Entrada e Saida'!$H$11="TRADING",AV382/D382,AN382/D382)</f>
        <v>#DIV/0!</v>
      </c>
      <c r="BH382" s="3" t="e">
        <f>IF('Entrada e Saida'!$H$11="TRADING",IF('Entrada e Saida'!$H$12="REAL",AR382/D382,0),AL382/D382)</f>
        <v>#DIV/0!</v>
      </c>
      <c r="BI382" s="3" t="e">
        <f>IF('Entrada e Saida'!$H$11="TRADING",IF('Entrada e Saida'!$H$12="REAL",AS382/D382,0),AM382/D382)</f>
        <v>#DIV/0!</v>
      </c>
      <c r="BJ382" s="3" t="e">
        <f>IF('Entrada e Saida'!$H$11="TRADING",AT382/D382,AO382/D382)</f>
        <v>#DIV/0!</v>
      </c>
      <c r="BK382" s="2" t="e">
        <f t="shared" si="169"/>
        <v>#DIV/0!</v>
      </c>
      <c r="BL382" s="2">
        <f>IF(O382&gt;0,IFERROR(IF('Entrada e Saida'!$H$11="DIRETA",0,(IF('Entrada e Saida'!$H$14="P.JURIDICA",(BD382*(1+O382)*N382)-((BD382/(1+M382))*'Entrada e Saida'!$G$65),((Produtos!N382-'Entrada e Saida'!$G$65)*Produtos!BD382)))),0),0)</f>
        <v>0</v>
      </c>
      <c r="BM382" s="2" t="e">
        <f t="shared" si="170"/>
        <v>#DIV/0!</v>
      </c>
    </row>
    <row r="383" spans="1:65" s="1" customFormat="1">
      <c r="A383" s="127"/>
      <c r="B383" s="114">
        <f>IFERROR(VLOOKUP(A383,'Master Modelo'!A:I,7,FALSE),0)</f>
        <v>0</v>
      </c>
      <c r="C383" s="116">
        <f>IFERROR(VLOOKUP(A383,'Master Modelo'!A:I,2,FALSE),0)</f>
        <v>0</v>
      </c>
      <c r="D383" s="146"/>
      <c r="E383" s="115">
        <f>IFERROR(VLOOKUP(A383,'Master Modelo'!A:I,9,FALSE),0)</f>
        <v>0</v>
      </c>
      <c r="F383" s="189">
        <f>IFERROR(VLOOKUP(A383,'Master Modelo'!A:I,8,FALSE),0)</f>
        <v>0</v>
      </c>
      <c r="G383" s="189">
        <f>IFERROR(VLOOKUP(A383,'Master Modelo'!A:K,11,FALSE),0)</f>
        <v>0</v>
      </c>
      <c r="H383" s="114" t="e">
        <f t="shared" si="153"/>
        <v>#DIV/0!</v>
      </c>
      <c r="I383" s="150">
        <f>IFERROR(VLOOKUP(A383,'Master Modelo'!A:I,3,FALSE),0)</f>
        <v>0</v>
      </c>
      <c r="J383" s="151">
        <f>IFERROR(VLOOKUP(A383,'Master Modelo'!A:I,5,FALSE),0)</f>
        <v>0</v>
      </c>
      <c r="K383" s="151">
        <f>IFERROR(VLOOKUP(A383,'Master Modelo'!A:I,6,FALSE),0)</f>
        <v>0</v>
      </c>
      <c r="L383" s="152" t="e">
        <f>VLOOKUP(A383,'Master Modelo'!A:J,10,FALSE)</f>
        <v>#N/A</v>
      </c>
      <c r="M383" s="150">
        <f>IFERROR(VLOOKUP(A383,'Master Modelo'!A:I,4,FALSE),0)</f>
        <v>0</v>
      </c>
      <c r="N383" s="128"/>
      <c r="O383" s="129"/>
      <c r="P383" s="9">
        <f t="shared" si="154"/>
        <v>0</v>
      </c>
      <c r="Q383" s="177">
        <f t="shared" si="152"/>
        <v>0</v>
      </c>
      <c r="R383" s="3">
        <f>D383*E383*'Entrada e Saida'!$K$8</f>
        <v>0</v>
      </c>
      <c r="S383" s="179" t="e">
        <f>'Entrada e Saida'!$H$21*'Entrada e Saida'!$K$8*(P383/(SUM(P:P)))</f>
        <v>#DIV/0!</v>
      </c>
      <c r="T383" s="179" t="e">
        <f>'Entrada e Saida'!$H$21*'Entrada e Saida'!$K$8*(Q383/(SUM(Q:Q)))</f>
        <v>#DIV/0!</v>
      </c>
      <c r="U383" s="179" t="e">
        <f>'Entrada e Saida'!$H$22*(P383/(SUM(P:P)))</f>
        <v>#DIV/0!</v>
      </c>
      <c r="V383" s="179" t="e">
        <f>'Entrada e Saida'!$H$22*(Q383/(SUM(Q:Q)))</f>
        <v>#DIV/0!</v>
      </c>
      <c r="W383" s="8" t="e">
        <f t="shared" si="155"/>
        <v>#DIV/0!</v>
      </c>
      <c r="X383" s="179" t="e">
        <f>'Entrada e Saida'!$H$26*(IF('Entrada e Saida'!$H$15="PESO",(P383/(SUM(P:P))),(Q383/(SUM(Q:Q)))))</f>
        <v>#DIV/0!</v>
      </c>
      <c r="Y383" s="179" t="e">
        <f>'Entrada e Saida'!$H$27*(IF('Entrada e Saida'!$H$15="PESO",(P383/(SUM(P:P))),(Q383/(SUM(Q:Q)))))</f>
        <v>#DIV/0!</v>
      </c>
      <c r="Z383" s="179" t="e">
        <f>'Entrada e Saida'!$H$28*(IF('Entrada e Saida'!$H$15="PESO",(P383/(SUM(P:P))),(Q383/(SUM(Q:Q)))))</f>
        <v>#DIV/0!</v>
      </c>
      <c r="AA383" s="10" t="e">
        <f t="shared" si="156"/>
        <v>#DIV/0!</v>
      </c>
      <c r="AB383" s="3" t="e">
        <f t="shared" si="157"/>
        <v>#DIV/0!</v>
      </c>
      <c r="AC383" s="3" t="e">
        <f t="shared" si="158"/>
        <v>#DIV/0!</v>
      </c>
      <c r="AD383" s="3" t="e">
        <f t="shared" si="159"/>
        <v>#DIV/0!</v>
      </c>
      <c r="AE383" s="9" t="e">
        <f t="shared" si="160"/>
        <v>#DIV/0!</v>
      </c>
      <c r="AF383" s="126">
        <f>IFERROR(D383*F383*L383*'Entrada e Saida'!$K$8,0)</f>
        <v>0</v>
      </c>
      <c r="AG383" s="3" t="e">
        <f>((W383+AA383+AB383+AC383+AD383+AE383+AF383)/(1-'Entrada e Saida'!$G$65))*'Entrada e Saida'!$I$66</f>
        <v>#DIV/0!</v>
      </c>
      <c r="AH383" s="8" t="e">
        <f t="shared" si="161"/>
        <v>#DIV/0!</v>
      </c>
      <c r="AI383" s="183" t="e">
        <f>'Entrada e Saida'!$K$51*(IF('Entrada e Saida'!$H$15="PESO",(P383/(SUM(P:P))),(Q383/(SUM(Q:Q)))))</f>
        <v>#DIV/0!</v>
      </c>
      <c r="AJ383" s="7">
        <f>(('Entrada e Saida'!$K$10-'Entrada e Saida'!$K$8)*E383*D383)</f>
        <v>0</v>
      </c>
      <c r="AK383" s="184" t="e">
        <f>IF('Entrada e Saida'!$H$15="PESO",W383+AA383+AH383+AI383+AJ383,W383+AA383+AH383+AI383+AJ383-S383+T383-U383+V383)</f>
        <v>#DIV/0!</v>
      </c>
      <c r="AL383" s="6" t="e">
        <f>IF('Entrada e Saida'!$H$12="REAL",AC383,0)</f>
        <v>#DIV/0!</v>
      </c>
      <c r="AM383" s="6" t="e">
        <f>IF('Entrada e Saida'!$H$12="REAL",AD383,0)</f>
        <v>#DIV/0!</v>
      </c>
      <c r="AN383" s="5" t="e">
        <f>IF('Entrada e Saida'!$H$13= "NÃO",AE383,0)</f>
        <v>#DIV/0!</v>
      </c>
      <c r="AO383" s="5" t="e">
        <f t="shared" si="162"/>
        <v>#DIV/0!</v>
      </c>
      <c r="AP383" s="4" t="e">
        <f t="shared" si="163"/>
        <v>#DIV/0!</v>
      </c>
      <c r="AQ383" s="3" t="e">
        <f>IF('Entrada e Saida'!$H$11="TRADING",AU383*'Custo Resumido'!D383,0)</f>
        <v>#DIV/0!</v>
      </c>
      <c r="AR383" s="3" t="e">
        <f>IF('Entrada e Saida'!$H$11="TRADING",AU383*'Entrada e Saida'!$G$63,0)</f>
        <v>#DIV/0!</v>
      </c>
      <c r="AS383" s="3" t="e">
        <f>IF('Entrada e Saida'!$H$11="TRADING",AU383*'Entrada e Saida'!$G$64,0)</f>
        <v>#DIV/0!</v>
      </c>
      <c r="AT383" s="3" t="e">
        <f>IF('Entrada e Saida'!$H$11="TRADING",AU383*'Entrada e Saida'!$G$65,0)</f>
        <v>#DIV/0!</v>
      </c>
      <c r="AU383" s="4" t="e">
        <f>IF('Entrada e Saida'!$H$11="TRADING",AP383/(1-(SUM('Entrada e Saida'!$G$63:$G$65)+'Custo Resumido'!D383)),0)</f>
        <v>#DIV/0!</v>
      </c>
      <c r="AV383" s="3" t="e">
        <f>IF('Entrada e Saida'!$H$13="NÃO",AU383*M383,0)</f>
        <v>#DIV/0!</v>
      </c>
      <c r="AW383" s="4" t="e">
        <f t="shared" si="164"/>
        <v>#DIV/0!</v>
      </c>
      <c r="AX383" s="3" t="e">
        <f>'Entrada e Saida'!$G$74*AU383</f>
        <v>#DIV/0!</v>
      </c>
      <c r="AY383" s="4" t="e">
        <f t="shared" si="165"/>
        <v>#DIV/0!</v>
      </c>
      <c r="AZ383" s="4" t="e">
        <f>AQ383+('Entrada e Saida'!$G$65-'Entrada e Saida'!$I$65)*AU383-AX383</f>
        <v>#DIV/0!</v>
      </c>
      <c r="BA383" s="3" t="e">
        <f>IF('Entrada e Saida'!$H$12="REAL",AZ383*'Entrada e Saida'!$G$81,AU383*'Entrada e Saida'!$G$81)</f>
        <v>#DIV/0!</v>
      </c>
      <c r="BB383" s="3" t="e">
        <f>IF('Entrada e Saida'!$H$12="REAL",AZ383*'Entrada e Saida'!$G$82,AU383*'Entrada e Saida'!$G$82)</f>
        <v>#DIV/0!</v>
      </c>
      <c r="BC383" s="4" t="e">
        <f t="shared" si="166"/>
        <v>#DIV/0!</v>
      </c>
      <c r="BD383" s="3" t="e">
        <f>IF('Entrada e Saida'!$H$11="TRADING",AW383/D383,AK383/D383)</f>
        <v>#DIV/0!</v>
      </c>
      <c r="BE383" s="3" t="e">
        <f t="shared" si="167"/>
        <v>#DIV/0!</v>
      </c>
      <c r="BF383" s="2" t="e">
        <f t="shared" si="168"/>
        <v>#DIV/0!</v>
      </c>
      <c r="BG383" s="3" t="e">
        <f>IF('Entrada e Saida'!$H$11="TRADING",AV383/D383,AN383/D383)</f>
        <v>#DIV/0!</v>
      </c>
      <c r="BH383" s="3" t="e">
        <f>IF('Entrada e Saida'!$H$11="TRADING",IF('Entrada e Saida'!$H$12="REAL",AR383/D383,0),AL383/D383)</f>
        <v>#DIV/0!</v>
      </c>
      <c r="BI383" s="3" t="e">
        <f>IF('Entrada e Saida'!$H$11="TRADING",IF('Entrada e Saida'!$H$12="REAL",AS383/D383,0),AM383/D383)</f>
        <v>#DIV/0!</v>
      </c>
      <c r="BJ383" s="3" t="e">
        <f>IF('Entrada e Saida'!$H$11="TRADING",AT383/D383,AO383/D383)</f>
        <v>#DIV/0!</v>
      </c>
      <c r="BK383" s="2" t="e">
        <f t="shared" si="169"/>
        <v>#DIV/0!</v>
      </c>
      <c r="BL383" s="2">
        <f>IF(O383&gt;0,IFERROR(IF('Entrada e Saida'!$H$11="DIRETA",0,(IF('Entrada e Saida'!$H$14="P.JURIDICA",(BD383*(1+O383)*N383)-((BD383/(1+M383))*'Entrada e Saida'!$G$65),((Produtos!N383-'Entrada e Saida'!$G$65)*Produtos!BD383)))),0),0)</f>
        <v>0</v>
      </c>
      <c r="BM383" s="2" t="e">
        <f t="shared" si="170"/>
        <v>#DIV/0!</v>
      </c>
    </row>
    <row r="384" spans="1:65" s="1" customFormat="1">
      <c r="A384" s="127"/>
      <c r="B384" s="114">
        <f>IFERROR(VLOOKUP(A384,'Master Modelo'!A:I,7,FALSE),0)</f>
        <v>0</v>
      </c>
      <c r="C384" s="116">
        <f>IFERROR(VLOOKUP(A384,'Master Modelo'!A:I,2,FALSE),0)</f>
        <v>0</v>
      </c>
      <c r="D384" s="146"/>
      <c r="E384" s="115">
        <f>IFERROR(VLOOKUP(A384,'Master Modelo'!A:I,9,FALSE),0)</f>
        <v>0</v>
      </c>
      <c r="F384" s="189">
        <f>IFERROR(VLOOKUP(A384,'Master Modelo'!A:I,8,FALSE),0)</f>
        <v>0</v>
      </c>
      <c r="G384" s="189">
        <f>IFERROR(VLOOKUP(A384,'Master Modelo'!A:K,11,FALSE),0)</f>
        <v>0</v>
      </c>
      <c r="H384" s="114" t="e">
        <f t="shared" si="153"/>
        <v>#DIV/0!</v>
      </c>
      <c r="I384" s="150">
        <f>IFERROR(VLOOKUP(A384,'Master Modelo'!A:I,3,FALSE),0)</f>
        <v>0</v>
      </c>
      <c r="J384" s="151">
        <f>IFERROR(VLOOKUP(A384,'Master Modelo'!A:I,5,FALSE),0)</f>
        <v>0</v>
      </c>
      <c r="K384" s="151">
        <f>IFERROR(VLOOKUP(A384,'Master Modelo'!A:I,6,FALSE),0)</f>
        <v>0</v>
      </c>
      <c r="L384" s="152" t="e">
        <f>VLOOKUP(A384,'Master Modelo'!A:J,10,FALSE)</f>
        <v>#N/A</v>
      </c>
      <c r="M384" s="150">
        <f>IFERROR(VLOOKUP(A384,'Master Modelo'!A:I,4,FALSE),0)</f>
        <v>0</v>
      </c>
      <c r="N384" s="128"/>
      <c r="O384" s="129"/>
      <c r="P384" s="9">
        <f t="shared" si="154"/>
        <v>0</v>
      </c>
      <c r="Q384" s="177">
        <f t="shared" si="152"/>
        <v>0</v>
      </c>
      <c r="R384" s="3">
        <f>D384*E384*'Entrada e Saida'!$K$8</f>
        <v>0</v>
      </c>
      <c r="S384" s="179" t="e">
        <f>'Entrada e Saida'!$H$21*'Entrada e Saida'!$K$8*(P384/(SUM(P:P)))</f>
        <v>#DIV/0!</v>
      </c>
      <c r="T384" s="179" t="e">
        <f>'Entrada e Saida'!$H$21*'Entrada e Saida'!$K$8*(Q384/(SUM(Q:Q)))</f>
        <v>#DIV/0!</v>
      </c>
      <c r="U384" s="179" t="e">
        <f>'Entrada e Saida'!$H$22*(P384/(SUM(P:P)))</f>
        <v>#DIV/0!</v>
      </c>
      <c r="V384" s="179" t="e">
        <f>'Entrada e Saida'!$H$22*(Q384/(SUM(Q:Q)))</f>
        <v>#DIV/0!</v>
      </c>
      <c r="W384" s="8" t="e">
        <f t="shared" si="155"/>
        <v>#DIV/0!</v>
      </c>
      <c r="X384" s="179" t="e">
        <f>'Entrada e Saida'!$H$26*(IF('Entrada e Saida'!$H$15="PESO",(P384/(SUM(P:P))),(Q384/(SUM(Q:Q)))))</f>
        <v>#DIV/0!</v>
      </c>
      <c r="Y384" s="179" t="e">
        <f>'Entrada e Saida'!$H$27*(IF('Entrada e Saida'!$H$15="PESO",(P384/(SUM(P:P))),(Q384/(SUM(Q:Q)))))</f>
        <v>#DIV/0!</v>
      </c>
      <c r="Z384" s="179" t="e">
        <f>'Entrada e Saida'!$H$28*(IF('Entrada e Saida'!$H$15="PESO",(P384/(SUM(P:P))),(Q384/(SUM(Q:Q)))))</f>
        <v>#DIV/0!</v>
      </c>
      <c r="AA384" s="10" t="e">
        <f t="shared" si="156"/>
        <v>#DIV/0!</v>
      </c>
      <c r="AB384" s="3" t="e">
        <f t="shared" si="157"/>
        <v>#DIV/0!</v>
      </c>
      <c r="AC384" s="3" t="e">
        <f t="shared" si="158"/>
        <v>#DIV/0!</v>
      </c>
      <c r="AD384" s="3" t="e">
        <f t="shared" si="159"/>
        <v>#DIV/0!</v>
      </c>
      <c r="AE384" s="9" t="e">
        <f t="shared" si="160"/>
        <v>#DIV/0!</v>
      </c>
      <c r="AF384" s="126">
        <f>IFERROR(D384*F384*L384*'Entrada e Saida'!$K$8,0)</f>
        <v>0</v>
      </c>
      <c r="AG384" s="3" t="e">
        <f>((W384+AA384+AB384+AC384+AD384+AE384+AF384)/(1-'Entrada e Saida'!$G$65))*'Entrada e Saida'!$I$66</f>
        <v>#DIV/0!</v>
      </c>
      <c r="AH384" s="8" t="e">
        <f t="shared" si="161"/>
        <v>#DIV/0!</v>
      </c>
      <c r="AI384" s="183" t="e">
        <f>'Entrada e Saida'!$K$51*(IF('Entrada e Saida'!$H$15="PESO",(P384/(SUM(P:P))),(Q384/(SUM(Q:Q)))))</f>
        <v>#DIV/0!</v>
      </c>
      <c r="AJ384" s="7">
        <f>(('Entrada e Saida'!$K$10-'Entrada e Saida'!$K$8)*E384*D384)</f>
        <v>0</v>
      </c>
      <c r="AK384" s="184" t="e">
        <f>IF('Entrada e Saida'!$H$15="PESO",W384+AA384+AH384+AI384+AJ384,W384+AA384+AH384+AI384+AJ384-S384+T384-U384+V384)</f>
        <v>#DIV/0!</v>
      </c>
      <c r="AL384" s="6" t="e">
        <f>IF('Entrada e Saida'!$H$12="REAL",AC384,0)</f>
        <v>#DIV/0!</v>
      </c>
      <c r="AM384" s="6" t="e">
        <f>IF('Entrada e Saida'!$H$12="REAL",AD384,0)</f>
        <v>#DIV/0!</v>
      </c>
      <c r="AN384" s="5" t="e">
        <f>IF('Entrada e Saida'!$H$13= "NÃO",AE384,0)</f>
        <v>#DIV/0!</v>
      </c>
      <c r="AO384" s="5" t="e">
        <f t="shared" si="162"/>
        <v>#DIV/0!</v>
      </c>
      <c r="AP384" s="4" t="e">
        <f t="shared" si="163"/>
        <v>#DIV/0!</v>
      </c>
      <c r="AQ384" s="3" t="e">
        <f>IF('Entrada e Saida'!$H$11="TRADING",AU384*'Custo Resumido'!D384,0)</f>
        <v>#DIV/0!</v>
      </c>
      <c r="AR384" s="3" t="e">
        <f>IF('Entrada e Saida'!$H$11="TRADING",AU384*'Entrada e Saida'!$G$63,0)</f>
        <v>#DIV/0!</v>
      </c>
      <c r="AS384" s="3" t="e">
        <f>IF('Entrada e Saida'!$H$11="TRADING",AU384*'Entrada e Saida'!$G$64,0)</f>
        <v>#DIV/0!</v>
      </c>
      <c r="AT384" s="3" t="e">
        <f>IF('Entrada e Saida'!$H$11="TRADING",AU384*'Entrada e Saida'!$G$65,0)</f>
        <v>#DIV/0!</v>
      </c>
      <c r="AU384" s="4" t="e">
        <f>IF('Entrada e Saida'!$H$11="TRADING",AP384/(1-(SUM('Entrada e Saida'!$G$63:$G$65)+'Custo Resumido'!D384)),0)</f>
        <v>#DIV/0!</v>
      </c>
      <c r="AV384" s="3" t="e">
        <f>IF('Entrada e Saida'!$H$13="NÃO",AU384*M384,0)</f>
        <v>#DIV/0!</v>
      </c>
      <c r="AW384" s="4" t="e">
        <f t="shared" si="164"/>
        <v>#DIV/0!</v>
      </c>
      <c r="AX384" s="3" t="e">
        <f>'Entrada e Saida'!$G$74*AU384</f>
        <v>#DIV/0!</v>
      </c>
      <c r="AY384" s="4" t="e">
        <f t="shared" si="165"/>
        <v>#DIV/0!</v>
      </c>
      <c r="AZ384" s="4" t="e">
        <f>AQ384+('Entrada e Saida'!$G$65-'Entrada e Saida'!$I$65)*AU384-AX384</f>
        <v>#DIV/0!</v>
      </c>
      <c r="BA384" s="3" t="e">
        <f>IF('Entrada e Saida'!$H$12="REAL",AZ384*'Entrada e Saida'!$G$81,AU384*'Entrada e Saida'!$G$81)</f>
        <v>#DIV/0!</v>
      </c>
      <c r="BB384" s="3" t="e">
        <f>IF('Entrada e Saida'!$H$12="REAL",AZ384*'Entrada e Saida'!$G$82,AU384*'Entrada e Saida'!$G$82)</f>
        <v>#DIV/0!</v>
      </c>
      <c r="BC384" s="4" t="e">
        <f t="shared" si="166"/>
        <v>#DIV/0!</v>
      </c>
      <c r="BD384" s="3" t="e">
        <f>IF('Entrada e Saida'!$H$11="TRADING",AW384/D384,AK384/D384)</f>
        <v>#DIV/0!</v>
      </c>
      <c r="BE384" s="3" t="e">
        <f t="shared" si="167"/>
        <v>#DIV/0!</v>
      </c>
      <c r="BF384" s="2" t="e">
        <f t="shared" si="168"/>
        <v>#DIV/0!</v>
      </c>
      <c r="BG384" s="3" t="e">
        <f>IF('Entrada e Saida'!$H$11="TRADING",AV384/D384,AN384/D384)</f>
        <v>#DIV/0!</v>
      </c>
      <c r="BH384" s="3" t="e">
        <f>IF('Entrada e Saida'!$H$11="TRADING",IF('Entrada e Saida'!$H$12="REAL",AR384/D384,0),AL384/D384)</f>
        <v>#DIV/0!</v>
      </c>
      <c r="BI384" s="3" t="e">
        <f>IF('Entrada e Saida'!$H$11="TRADING",IF('Entrada e Saida'!$H$12="REAL",AS384/D384,0),AM384/D384)</f>
        <v>#DIV/0!</v>
      </c>
      <c r="BJ384" s="3" t="e">
        <f>IF('Entrada e Saida'!$H$11="TRADING",AT384/D384,AO384/D384)</f>
        <v>#DIV/0!</v>
      </c>
      <c r="BK384" s="2" t="e">
        <f t="shared" si="169"/>
        <v>#DIV/0!</v>
      </c>
      <c r="BL384" s="2">
        <f>IF(O384&gt;0,IFERROR(IF('Entrada e Saida'!$H$11="DIRETA",0,(IF('Entrada e Saida'!$H$14="P.JURIDICA",(BD384*(1+O384)*N384)-((BD384/(1+M384))*'Entrada e Saida'!$G$65),((Produtos!N384-'Entrada e Saida'!$G$65)*Produtos!BD384)))),0),0)</f>
        <v>0</v>
      </c>
      <c r="BM384" s="2" t="e">
        <f t="shared" si="170"/>
        <v>#DIV/0!</v>
      </c>
    </row>
    <row r="385" spans="1:65" s="1" customFormat="1">
      <c r="A385" s="127"/>
      <c r="B385" s="114">
        <f>IFERROR(VLOOKUP(A385,'Master Modelo'!A:I,7,FALSE),0)</f>
        <v>0</v>
      </c>
      <c r="C385" s="116">
        <f>IFERROR(VLOOKUP(A385,'Master Modelo'!A:I,2,FALSE),0)</f>
        <v>0</v>
      </c>
      <c r="D385" s="146"/>
      <c r="E385" s="115">
        <f>IFERROR(VLOOKUP(A385,'Master Modelo'!A:I,9,FALSE),0)</f>
        <v>0</v>
      </c>
      <c r="F385" s="189">
        <f>IFERROR(VLOOKUP(A385,'Master Modelo'!A:I,8,FALSE),0)</f>
        <v>0</v>
      </c>
      <c r="G385" s="189">
        <f>IFERROR(VLOOKUP(A385,'Master Modelo'!A:K,11,FALSE),0)</f>
        <v>0</v>
      </c>
      <c r="H385" s="114" t="e">
        <f t="shared" si="153"/>
        <v>#DIV/0!</v>
      </c>
      <c r="I385" s="150">
        <f>IFERROR(VLOOKUP(A385,'Master Modelo'!A:I,3,FALSE),0)</f>
        <v>0</v>
      </c>
      <c r="J385" s="151">
        <f>IFERROR(VLOOKUP(A385,'Master Modelo'!A:I,5,FALSE),0)</f>
        <v>0</v>
      </c>
      <c r="K385" s="151">
        <f>IFERROR(VLOOKUP(A385,'Master Modelo'!A:I,6,FALSE),0)</f>
        <v>0</v>
      </c>
      <c r="L385" s="152" t="e">
        <f>VLOOKUP(A385,'Master Modelo'!A:J,10,FALSE)</f>
        <v>#N/A</v>
      </c>
      <c r="M385" s="150">
        <f>IFERROR(VLOOKUP(A385,'Master Modelo'!A:I,4,FALSE),0)</f>
        <v>0</v>
      </c>
      <c r="N385" s="128"/>
      <c r="O385" s="129"/>
      <c r="P385" s="9">
        <f t="shared" si="154"/>
        <v>0</v>
      </c>
      <c r="Q385" s="177">
        <f t="shared" ref="Q385:Q448" si="171">D385*G385</f>
        <v>0</v>
      </c>
      <c r="R385" s="3">
        <f>D385*E385*'Entrada e Saida'!$K$8</f>
        <v>0</v>
      </c>
      <c r="S385" s="179" t="e">
        <f>'Entrada e Saida'!$H$21*'Entrada e Saida'!$K$8*(P385/(SUM(P:P)))</f>
        <v>#DIV/0!</v>
      </c>
      <c r="T385" s="179" t="e">
        <f>'Entrada e Saida'!$H$21*'Entrada e Saida'!$K$8*(Q385/(SUM(Q:Q)))</f>
        <v>#DIV/0!</v>
      </c>
      <c r="U385" s="179" t="e">
        <f>'Entrada e Saida'!$H$22*(P385/(SUM(P:P)))</f>
        <v>#DIV/0!</v>
      </c>
      <c r="V385" s="179" t="e">
        <f>'Entrada e Saida'!$H$22*(Q385/(SUM(Q:Q)))</f>
        <v>#DIV/0!</v>
      </c>
      <c r="W385" s="8" t="e">
        <f t="shared" si="155"/>
        <v>#DIV/0!</v>
      </c>
      <c r="X385" s="179" t="e">
        <f>'Entrada e Saida'!$H$26*(IF('Entrada e Saida'!$H$15="PESO",(P385/(SUM(P:P))),(Q385/(SUM(Q:Q)))))</f>
        <v>#DIV/0!</v>
      </c>
      <c r="Y385" s="179" t="e">
        <f>'Entrada e Saida'!$H$27*(IF('Entrada e Saida'!$H$15="PESO",(P385/(SUM(P:P))),(Q385/(SUM(Q:Q)))))</f>
        <v>#DIV/0!</v>
      </c>
      <c r="Z385" s="179" t="e">
        <f>'Entrada e Saida'!$H$28*(IF('Entrada e Saida'!$H$15="PESO",(P385/(SUM(P:P))),(Q385/(SUM(Q:Q)))))</f>
        <v>#DIV/0!</v>
      </c>
      <c r="AA385" s="10" t="e">
        <f t="shared" si="156"/>
        <v>#DIV/0!</v>
      </c>
      <c r="AB385" s="3" t="e">
        <f t="shared" si="157"/>
        <v>#DIV/0!</v>
      </c>
      <c r="AC385" s="3" t="e">
        <f t="shared" si="158"/>
        <v>#DIV/0!</v>
      </c>
      <c r="AD385" s="3" t="e">
        <f t="shared" si="159"/>
        <v>#DIV/0!</v>
      </c>
      <c r="AE385" s="9" t="e">
        <f t="shared" si="160"/>
        <v>#DIV/0!</v>
      </c>
      <c r="AF385" s="126">
        <f>IFERROR(D385*F385*L385*'Entrada e Saida'!$K$8,0)</f>
        <v>0</v>
      </c>
      <c r="AG385" s="3" t="e">
        <f>((W385+AA385+AB385+AC385+AD385+AE385+AF385)/(1-'Entrada e Saida'!$G$65))*'Entrada e Saida'!$I$66</f>
        <v>#DIV/0!</v>
      </c>
      <c r="AH385" s="8" t="e">
        <f t="shared" si="161"/>
        <v>#DIV/0!</v>
      </c>
      <c r="AI385" s="183" t="e">
        <f>'Entrada e Saida'!$K$51*(IF('Entrada e Saida'!$H$15="PESO",(P385/(SUM(P:P))),(Q385/(SUM(Q:Q)))))</f>
        <v>#DIV/0!</v>
      </c>
      <c r="AJ385" s="7">
        <f>(('Entrada e Saida'!$K$10-'Entrada e Saida'!$K$8)*E385*D385)</f>
        <v>0</v>
      </c>
      <c r="AK385" s="184" t="e">
        <f>IF('Entrada e Saida'!$H$15="PESO",W385+AA385+AH385+AI385+AJ385,W385+AA385+AH385+AI385+AJ385-S385+T385-U385+V385)</f>
        <v>#DIV/0!</v>
      </c>
      <c r="AL385" s="6" t="e">
        <f>IF('Entrada e Saida'!$H$12="REAL",AC385,0)</f>
        <v>#DIV/0!</v>
      </c>
      <c r="AM385" s="6" t="e">
        <f>IF('Entrada e Saida'!$H$12="REAL",AD385,0)</f>
        <v>#DIV/0!</v>
      </c>
      <c r="AN385" s="5" t="e">
        <f>IF('Entrada e Saida'!$H$13= "NÃO",AE385,0)</f>
        <v>#DIV/0!</v>
      </c>
      <c r="AO385" s="5" t="e">
        <f t="shared" si="162"/>
        <v>#DIV/0!</v>
      </c>
      <c r="AP385" s="4" t="e">
        <f t="shared" si="163"/>
        <v>#DIV/0!</v>
      </c>
      <c r="AQ385" s="3" t="e">
        <f>IF('Entrada e Saida'!$H$11="TRADING",AU385*'Custo Resumido'!D385,0)</f>
        <v>#DIV/0!</v>
      </c>
      <c r="AR385" s="3" t="e">
        <f>IF('Entrada e Saida'!$H$11="TRADING",AU385*'Entrada e Saida'!$G$63,0)</f>
        <v>#DIV/0!</v>
      </c>
      <c r="AS385" s="3" t="e">
        <f>IF('Entrada e Saida'!$H$11="TRADING",AU385*'Entrada e Saida'!$G$64,0)</f>
        <v>#DIV/0!</v>
      </c>
      <c r="AT385" s="3" t="e">
        <f>IF('Entrada e Saida'!$H$11="TRADING",AU385*'Entrada e Saida'!$G$65,0)</f>
        <v>#DIV/0!</v>
      </c>
      <c r="AU385" s="4" t="e">
        <f>IF('Entrada e Saida'!$H$11="TRADING",AP385/(1-(SUM('Entrada e Saida'!$G$63:$G$65)+'Custo Resumido'!D385)),0)</f>
        <v>#DIV/0!</v>
      </c>
      <c r="AV385" s="3" t="e">
        <f>IF('Entrada e Saida'!$H$13="NÃO",AU385*M385,0)</f>
        <v>#DIV/0!</v>
      </c>
      <c r="AW385" s="4" t="e">
        <f t="shared" si="164"/>
        <v>#DIV/0!</v>
      </c>
      <c r="AX385" s="3" t="e">
        <f>'Entrada e Saida'!$G$74*AU385</f>
        <v>#DIV/0!</v>
      </c>
      <c r="AY385" s="4" t="e">
        <f t="shared" si="165"/>
        <v>#DIV/0!</v>
      </c>
      <c r="AZ385" s="4" t="e">
        <f>AQ385+('Entrada e Saida'!$G$65-'Entrada e Saida'!$I$65)*AU385-AX385</f>
        <v>#DIV/0!</v>
      </c>
      <c r="BA385" s="3" t="e">
        <f>IF('Entrada e Saida'!$H$12="REAL",AZ385*'Entrada e Saida'!$G$81,AU385*'Entrada e Saida'!$G$81)</f>
        <v>#DIV/0!</v>
      </c>
      <c r="BB385" s="3" t="e">
        <f>IF('Entrada e Saida'!$H$12="REAL",AZ385*'Entrada e Saida'!$G$82,AU385*'Entrada e Saida'!$G$82)</f>
        <v>#DIV/0!</v>
      </c>
      <c r="BC385" s="4" t="e">
        <f t="shared" si="166"/>
        <v>#DIV/0!</v>
      </c>
      <c r="BD385" s="3" t="e">
        <f>IF('Entrada e Saida'!$H$11="TRADING",AW385/D385,AK385/D385)</f>
        <v>#DIV/0!</v>
      </c>
      <c r="BE385" s="3" t="e">
        <f t="shared" si="167"/>
        <v>#DIV/0!</v>
      </c>
      <c r="BF385" s="2" t="e">
        <f t="shared" si="168"/>
        <v>#DIV/0!</v>
      </c>
      <c r="BG385" s="3" t="e">
        <f>IF('Entrada e Saida'!$H$11="TRADING",AV385/D385,AN385/D385)</f>
        <v>#DIV/0!</v>
      </c>
      <c r="BH385" s="3" t="e">
        <f>IF('Entrada e Saida'!$H$11="TRADING",IF('Entrada e Saida'!$H$12="REAL",AR385/D385,0),AL385/D385)</f>
        <v>#DIV/0!</v>
      </c>
      <c r="BI385" s="3" t="e">
        <f>IF('Entrada e Saida'!$H$11="TRADING",IF('Entrada e Saida'!$H$12="REAL",AS385/D385,0),AM385/D385)</f>
        <v>#DIV/0!</v>
      </c>
      <c r="BJ385" s="3" t="e">
        <f>IF('Entrada e Saida'!$H$11="TRADING",AT385/D385,AO385/D385)</f>
        <v>#DIV/0!</v>
      </c>
      <c r="BK385" s="2" t="e">
        <f t="shared" si="169"/>
        <v>#DIV/0!</v>
      </c>
      <c r="BL385" s="2">
        <f>IF(O385&gt;0,IFERROR(IF('Entrada e Saida'!$H$11="DIRETA",0,(IF('Entrada e Saida'!$H$14="P.JURIDICA",(BD385*(1+O385)*N385)-((BD385/(1+M385))*'Entrada e Saida'!$G$65),((Produtos!N385-'Entrada e Saida'!$G$65)*Produtos!BD385)))),0),0)</f>
        <v>0</v>
      </c>
      <c r="BM385" s="2" t="e">
        <f t="shared" si="170"/>
        <v>#DIV/0!</v>
      </c>
    </row>
    <row r="386" spans="1:65" s="1" customFormat="1">
      <c r="A386" s="127"/>
      <c r="B386" s="114">
        <f>IFERROR(VLOOKUP(A386,'Master Modelo'!A:I,7,FALSE),0)</f>
        <v>0</v>
      </c>
      <c r="C386" s="116">
        <f>IFERROR(VLOOKUP(A386,'Master Modelo'!A:I,2,FALSE),0)</f>
        <v>0</v>
      </c>
      <c r="D386" s="146"/>
      <c r="E386" s="115">
        <f>IFERROR(VLOOKUP(A386,'Master Modelo'!A:I,9,FALSE),0)</f>
        <v>0</v>
      </c>
      <c r="F386" s="189">
        <f>IFERROR(VLOOKUP(A386,'Master Modelo'!A:I,8,FALSE),0)</f>
        <v>0</v>
      </c>
      <c r="G386" s="189">
        <f>IFERROR(VLOOKUP(A386,'Master Modelo'!A:K,11,FALSE),0)</f>
        <v>0</v>
      </c>
      <c r="H386" s="114" t="e">
        <f t="shared" si="153"/>
        <v>#DIV/0!</v>
      </c>
      <c r="I386" s="150">
        <f>IFERROR(VLOOKUP(A386,'Master Modelo'!A:I,3,FALSE),0)</f>
        <v>0</v>
      </c>
      <c r="J386" s="151">
        <f>IFERROR(VLOOKUP(A386,'Master Modelo'!A:I,5,FALSE),0)</f>
        <v>0</v>
      </c>
      <c r="K386" s="151">
        <f>IFERROR(VLOOKUP(A386,'Master Modelo'!A:I,6,FALSE),0)</f>
        <v>0</v>
      </c>
      <c r="L386" s="152" t="e">
        <f>VLOOKUP(A386,'Master Modelo'!A:J,10,FALSE)</f>
        <v>#N/A</v>
      </c>
      <c r="M386" s="150">
        <f>IFERROR(VLOOKUP(A386,'Master Modelo'!A:I,4,FALSE),0)</f>
        <v>0</v>
      </c>
      <c r="N386" s="128"/>
      <c r="O386" s="129"/>
      <c r="P386" s="9">
        <f t="shared" si="154"/>
        <v>0</v>
      </c>
      <c r="Q386" s="177">
        <f t="shared" si="171"/>
        <v>0</v>
      </c>
      <c r="R386" s="3">
        <f>D386*E386*'Entrada e Saida'!$K$8</f>
        <v>0</v>
      </c>
      <c r="S386" s="179" t="e">
        <f>'Entrada e Saida'!$H$21*'Entrada e Saida'!$K$8*(P386/(SUM(P:P)))</f>
        <v>#DIV/0!</v>
      </c>
      <c r="T386" s="179" t="e">
        <f>'Entrada e Saida'!$H$21*'Entrada e Saida'!$K$8*(Q386/(SUM(Q:Q)))</f>
        <v>#DIV/0!</v>
      </c>
      <c r="U386" s="179" t="e">
        <f>'Entrada e Saida'!$H$22*(P386/(SUM(P:P)))</f>
        <v>#DIV/0!</v>
      </c>
      <c r="V386" s="179" t="e">
        <f>'Entrada e Saida'!$H$22*(Q386/(SUM(Q:Q)))</f>
        <v>#DIV/0!</v>
      </c>
      <c r="W386" s="8" t="e">
        <f t="shared" si="155"/>
        <v>#DIV/0!</v>
      </c>
      <c r="X386" s="179" t="e">
        <f>'Entrada e Saida'!$H$26*(IF('Entrada e Saida'!$H$15="PESO",(P386/(SUM(P:P))),(Q386/(SUM(Q:Q)))))</f>
        <v>#DIV/0!</v>
      </c>
      <c r="Y386" s="179" t="e">
        <f>'Entrada e Saida'!$H$27*(IF('Entrada e Saida'!$H$15="PESO",(P386/(SUM(P:P))),(Q386/(SUM(Q:Q)))))</f>
        <v>#DIV/0!</v>
      </c>
      <c r="Z386" s="179" t="e">
        <f>'Entrada e Saida'!$H$28*(IF('Entrada e Saida'!$H$15="PESO",(P386/(SUM(P:P))),(Q386/(SUM(Q:Q)))))</f>
        <v>#DIV/0!</v>
      </c>
      <c r="AA386" s="10" t="e">
        <f t="shared" si="156"/>
        <v>#DIV/0!</v>
      </c>
      <c r="AB386" s="3" t="e">
        <f t="shared" si="157"/>
        <v>#DIV/0!</v>
      </c>
      <c r="AC386" s="3" t="e">
        <f t="shared" si="158"/>
        <v>#DIV/0!</v>
      </c>
      <c r="AD386" s="3" t="e">
        <f t="shared" si="159"/>
        <v>#DIV/0!</v>
      </c>
      <c r="AE386" s="9" t="e">
        <f t="shared" si="160"/>
        <v>#DIV/0!</v>
      </c>
      <c r="AF386" s="126">
        <f>IFERROR(D386*F386*L386*'Entrada e Saida'!$K$8,0)</f>
        <v>0</v>
      </c>
      <c r="AG386" s="3" t="e">
        <f>((W386+AA386+AB386+AC386+AD386+AE386+AF386)/(1-'Entrada e Saida'!$G$65))*'Entrada e Saida'!$I$66</f>
        <v>#DIV/0!</v>
      </c>
      <c r="AH386" s="8" t="e">
        <f t="shared" si="161"/>
        <v>#DIV/0!</v>
      </c>
      <c r="AI386" s="183" t="e">
        <f>'Entrada e Saida'!$K$51*(IF('Entrada e Saida'!$H$15="PESO",(P386/(SUM(P:P))),(Q386/(SUM(Q:Q)))))</f>
        <v>#DIV/0!</v>
      </c>
      <c r="AJ386" s="7">
        <f>(('Entrada e Saida'!$K$10-'Entrada e Saida'!$K$8)*E386*D386)</f>
        <v>0</v>
      </c>
      <c r="AK386" s="184" t="e">
        <f>IF('Entrada e Saida'!$H$15="PESO",W386+AA386+AH386+AI386+AJ386,W386+AA386+AH386+AI386+AJ386-S386+T386-U386+V386)</f>
        <v>#DIV/0!</v>
      </c>
      <c r="AL386" s="6" t="e">
        <f>IF('Entrada e Saida'!$H$12="REAL",AC386,0)</f>
        <v>#DIV/0!</v>
      </c>
      <c r="AM386" s="6" t="e">
        <f>IF('Entrada e Saida'!$H$12="REAL",AD386,0)</f>
        <v>#DIV/0!</v>
      </c>
      <c r="AN386" s="5" t="e">
        <f>IF('Entrada e Saida'!$H$13= "NÃO",AE386,0)</f>
        <v>#DIV/0!</v>
      </c>
      <c r="AO386" s="5" t="e">
        <f t="shared" si="162"/>
        <v>#DIV/0!</v>
      </c>
      <c r="AP386" s="4" t="e">
        <f t="shared" si="163"/>
        <v>#DIV/0!</v>
      </c>
      <c r="AQ386" s="3" t="e">
        <f>IF('Entrada e Saida'!$H$11="TRADING",AU386*'Custo Resumido'!D386,0)</f>
        <v>#DIV/0!</v>
      </c>
      <c r="AR386" s="3" t="e">
        <f>IF('Entrada e Saida'!$H$11="TRADING",AU386*'Entrada e Saida'!$G$63,0)</f>
        <v>#DIV/0!</v>
      </c>
      <c r="AS386" s="3" t="e">
        <f>IF('Entrada e Saida'!$H$11="TRADING",AU386*'Entrada e Saida'!$G$64,0)</f>
        <v>#DIV/0!</v>
      </c>
      <c r="AT386" s="3" t="e">
        <f>IF('Entrada e Saida'!$H$11="TRADING",AU386*'Entrada e Saida'!$G$65,0)</f>
        <v>#DIV/0!</v>
      </c>
      <c r="AU386" s="4" t="e">
        <f>IF('Entrada e Saida'!$H$11="TRADING",AP386/(1-(SUM('Entrada e Saida'!$G$63:$G$65)+'Custo Resumido'!D386)),0)</f>
        <v>#DIV/0!</v>
      </c>
      <c r="AV386" s="3" t="e">
        <f>IF('Entrada e Saida'!$H$13="NÃO",AU386*M386,0)</f>
        <v>#DIV/0!</v>
      </c>
      <c r="AW386" s="4" t="e">
        <f t="shared" si="164"/>
        <v>#DIV/0!</v>
      </c>
      <c r="AX386" s="3" t="e">
        <f>'Entrada e Saida'!$G$74*AU386</f>
        <v>#DIV/0!</v>
      </c>
      <c r="AY386" s="4" t="e">
        <f t="shared" si="165"/>
        <v>#DIV/0!</v>
      </c>
      <c r="AZ386" s="4" t="e">
        <f>AQ386+('Entrada e Saida'!$G$65-'Entrada e Saida'!$I$65)*AU386-AX386</f>
        <v>#DIV/0!</v>
      </c>
      <c r="BA386" s="3" t="e">
        <f>IF('Entrada e Saida'!$H$12="REAL",AZ386*'Entrada e Saida'!$G$81,AU386*'Entrada e Saida'!$G$81)</f>
        <v>#DIV/0!</v>
      </c>
      <c r="BB386" s="3" t="e">
        <f>IF('Entrada e Saida'!$H$12="REAL",AZ386*'Entrada e Saida'!$G$82,AU386*'Entrada e Saida'!$G$82)</f>
        <v>#DIV/0!</v>
      </c>
      <c r="BC386" s="4" t="e">
        <f t="shared" si="166"/>
        <v>#DIV/0!</v>
      </c>
      <c r="BD386" s="3" t="e">
        <f>IF('Entrada e Saida'!$H$11="TRADING",AW386/D386,AK386/D386)</f>
        <v>#DIV/0!</v>
      </c>
      <c r="BE386" s="3" t="e">
        <f t="shared" si="167"/>
        <v>#DIV/0!</v>
      </c>
      <c r="BF386" s="2" t="e">
        <f t="shared" si="168"/>
        <v>#DIV/0!</v>
      </c>
      <c r="BG386" s="3" t="e">
        <f>IF('Entrada e Saida'!$H$11="TRADING",AV386/D386,AN386/D386)</f>
        <v>#DIV/0!</v>
      </c>
      <c r="BH386" s="3" t="e">
        <f>IF('Entrada e Saida'!$H$11="TRADING",IF('Entrada e Saida'!$H$12="REAL",AR386/D386,0),AL386/D386)</f>
        <v>#DIV/0!</v>
      </c>
      <c r="BI386" s="3" t="e">
        <f>IF('Entrada e Saida'!$H$11="TRADING",IF('Entrada e Saida'!$H$12="REAL",AS386/D386,0),AM386/D386)</f>
        <v>#DIV/0!</v>
      </c>
      <c r="BJ386" s="3" t="e">
        <f>IF('Entrada e Saida'!$H$11="TRADING",AT386/D386,AO386/D386)</f>
        <v>#DIV/0!</v>
      </c>
      <c r="BK386" s="2" t="e">
        <f t="shared" si="169"/>
        <v>#DIV/0!</v>
      </c>
      <c r="BL386" s="2">
        <f>IF(O386&gt;0,IFERROR(IF('Entrada e Saida'!$H$11="DIRETA",0,(IF('Entrada e Saida'!$H$14="P.JURIDICA",(BD386*(1+O386)*N386)-((BD386/(1+M386))*'Entrada e Saida'!$G$65),((Produtos!N386-'Entrada e Saida'!$G$65)*Produtos!BD386)))),0),0)</f>
        <v>0</v>
      </c>
      <c r="BM386" s="2" t="e">
        <f t="shared" si="170"/>
        <v>#DIV/0!</v>
      </c>
    </row>
    <row r="387" spans="1:65" s="1" customFormat="1">
      <c r="A387" s="127"/>
      <c r="B387" s="114">
        <f>IFERROR(VLOOKUP(A387,'Master Modelo'!A:I,7,FALSE),0)</f>
        <v>0</v>
      </c>
      <c r="C387" s="116">
        <f>IFERROR(VLOOKUP(A387,'Master Modelo'!A:I,2,FALSE),0)</f>
        <v>0</v>
      </c>
      <c r="D387" s="146"/>
      <c r="E387" s="115">
        <f>IFERROR(VLOOKUP(A387,'Master Modelo'!A:I,9,FALSE),0)</f>
        <v>0</v>
      </c>
      <c r="F387" s="189">
        <f>IFERROR(VLOOKUP(A387,'Master Modelo'!A:I,8,FALSE),0)</f>
        <v>0</v>
      </c>
      <c r="G387" s="189">
        <f>IFERROR(VLOOKUP(A387,'Master Modelo'!A:K,11,FALSE),0)</f>
        <v>0</v>
      </c>
      <c r="H387" s="114" t="e">
        <f t="shared" si="153"/>
        <v>#DIV/0!</v>
      </c>
      <c r="I387" s="150">
        <f>IFERROR(VLOOKUP(A387,'Master Modelo'!A:I,3,FALSE),0)</f>
        <v>0</v>
      </c>
      <c r="J387" s="151">
        <f>IFERROR(VLOOKUP(A387,'Master Modelo'!A:I,5,FALSE),0)</f>
        <v>0</v>
      </c>
      <c r="K387" s="151">
        <f>IFERROR(VLOOKUP(A387,'Master Modelo'!A:I,6,FALSE),0)</f>
        <v>0</v>
      </c>
      <c r="L387" s="152" t="e">
        <f>VLOOKUP(A387,'Master Modelo'!A:J,10,FALSE)</f>
        <v>#N/A</v>
      </c>
      <c r="M387" s="150">
        <f>IFERROR(VLOOKUP(A387,'Master Modelo'!A:I,4,FALSE),0)</f>
        <v>0</v>
      </c>
      <c r="N387" s="128"/>
      <c r="O387" s="129"/>
      <c r="P387" s="9">
        <f t="shared" si="154"/>
        <v>0</v>
      </c>
      <c r="Q387" s="177">
        <f t="shared" si="171"/>
        <v>0</v>
      </c>
      <c r="R387" s="3">
        <f>D387*E387*'Entrada e Saida'!$K$8</f>
        <v>0</v>
      </c>
      <c r="S387" s="179" t="e">
        <f>'Entrada e Saida'!$H$21*'Entrada e Saida'!$K$8*(P387/(SUM(P:P)))</f>
        <v>#DIV/0!</v>
      </c>
      <c r="T387" s="179" t="e">
        <f>'Entrada e Saida'!$H$21*'Entrada e Saida'!$K$8*(Q387/(SUM(Q:Q)))</f>
        <v>#DIV/0!</v>
      </c>
      <c r="U387" s="179" t="e">
        <f>'Entrada e Saida'!$H$22*(P387/(SUM(P:P)))</f>
        <v>#DIV/0!</v>
      </c>
      <c r="V387" s="179" t="e">
        <f>'Entrada e Saida'!$H$22*(Q387/(SUM(Q:Q)))</f>
        <v>#DIV/0!</v>
      </c>
      <c r="W387" s="8" t="e">
        <f t="shared" si="155"/>
        <v>#DIV/0!</v>
      </c>
      <c r="X387" s="179" t="e">
        <f>'Entrada e Saida'!$H$26*(IF('Entrada e Saida'!$H$15="PESO",(P387/(SUM(P:P))),(Q387/(SUM(Q:Q)))))</f>
        <v>#DIV/0!</v>
      </c>
      <c r="Y387" s="179" t="e">
        <f>'Entrada e Saida'!$H$27*(IF('Entrada e Saida'!$H$15="PESO",(P387/(SUM(P:P))),(Q387/(SUM(Q:Q)))))</f>
        <v>#DIV/0!</v>
      </c>
      <c r="Z387" s="179" t="e">
        <f>'Entrada e Saida'!$H$28*(IF('Entrada e Saida'!$H$15="PESO",(P387/(SUM(P:P))),(Q387/(SUM(Q:Q)))))</f>
        <v>#DIV/0!</v>
      </c>
      <c r="AA387" s="10" t="e">
        <f t="shared" si="156"/>
        <v>#DIV/0!</v>
      </c>
      <c r="AB387" s="3" t="e">
        <f t="shared" si="157"/>
        <v>#DIV/0!</v>
      </c>
      <c r="AC387" s="3" t="e">
        <f t="shared" si="158"/>
        <v>#DIV/0!</v>
      </c>
      <c r="AD387" s="3" t="e">
        <f t="shared" si="159"/>
        <v>#DIV/0!</v>
      </c>
      <c r="AE387" s="9" t="e">
        <f t="shared" si="160"/>
        <v>#DIV/0!</v>
      </c>
      <c r="AF387" s="126">
        <f>IFERROR(D387*F387*L387*'Entrada e Saida'!$K$8,0)</f>
        <v>0</v>
      </c>
      <c r="AG387" s="3" t="e">
        <f>((W387+AA387+AB387+AC387+AD387+AE387+AF387)/(1-'Entrada e Saida'!$G$65))*'Entrada e Saida'!$I$66</f>
        <v>#DIV/0!</v>
      </c>
      <c r="AH387" s="8" t="e">
        <f t="shared" si="161"/>
        <v>#DIV/0!</v>
      </c>
      <c r="AI387" s="183" t="e">
        <f>'Entrada e Saida'!$K$51*(IF('Entrada e Saida'!$H$15="PESO",(P387/(SUM(P:P))),(Q387/(SUM(Q:Q)))))</f>
        <v>#DIV/0!</v>
      </c>
      <c r="AJ387" s="7">
        <f>(('Entrada e Saida'!$K$10-'Entrada e Saida'!$K$8)*E387*D387)</f>
        <v>0</v>
      </c>
      <c r="AK387" s="184" t="e">
        <f>IF('Entrada e Saida'!$H$15="PESO",W387+AA387+AH387+AI387+AJ387,W387+AA387+AH387+AI387+AJ387-S387+T387-U387+V387)</f>
        <v>#DIV/0!</v>
      </c>
      <c r="AL387" s="6" t="e">
        <f>IF('Entrada e Saida'!$H$12="REAL",AC387,0)</f>
        <v>#DIV/0!</v>
      </c>
      <c r="AM387" s="6" t="e">
        <f>IF('Entrada e Saida'!$H$12="REAL",AD387,0)</f>
        <v>#DIV/0!</v>
      </c>
      <c r="AN387" s="5" t="e">
        <f>IF('Entrada e Saida'!$H$13= "NÃO",AE387,0)</f>
        <v>#DIV/0!</v>
      </c>
      <c r="AO387" s="5" t="e">
        <f t="shared" si="162"/>
        <v>#DIV/0!</v>
      </c>
      <c r="AP387" s="4" t="e">
        <f t="shared" si="163"/>
        <v>#DIV/0!</v>
      </c>
      <c r="AQ387" s="3" t="e">
        <f>IF('Entrada e Saida'!$H$11="TRADING",AU387*'Custo Resumido'!D387,0)</f>
        <v>#DIV/0!</v>
      </c>
      <c r="AR387" s="3" t="e">
        <f>IF('Entrada e Saida'!$H$11="TRADING",AU387*'Entrada e Saida'!$G$63,0)</f>
        <v>#DIV/0!</v>
      </c>
      <c r="AS387" s="3" t="e">
        <f>IF('Entrada e Saida'!$H$11="TRADING",AU387*'Entrada e Saida'!$G$64,0)</f>
        <v>#DIV/0!</v>
      </c>
      <c r="AT387" s="3" t="e">
        <f>IF('Entrada e Saida'!$H$11="TRADING",AU387*'Entrada e Saida'!$G$65,0)</f>
        <v>#DIV/0!</v>
      </c>
      <c r="AU387" s="4" t="e">
        <f>IF('Entrada e Saida'!$H$11="TRADING",AP387/(1-(SUM('Entrada e Saida'!$G$63:$G$65)+'Custo Resumido'!D387)),0)</f>
        <v>#DIV/0!</v>
      </c>
      <c r="AV387" s="3" t="e">
        <f>IF('Entrada e Saida'!$H$13="NÃO",AU387*M387,0)</f>
        <v>#DIV/0!</v>
      </c>
      <c r="AW387" s="4" t="e">
        <f t="shared" si="164"/>
        <v>#DIV/0!</v>
      </c>
      <c r="AX387" s="3" t="e">
        <f>'Entrada e Saida'!$G$74*AU387</f>
        <v>#DIV/0!</v>
      </c>
      <c r="AY387" s="4" t="e">
        <f t="shared" si="165"/>
        <v>#DIV/0!</v>
      </c>
      <c r="AZ387" s="4" t="e">
        <f>AQ387+('Entrada e Saida'!$G$65-'Entrada e Saida'!$I$65)*AU387-AX387</f>
        <v>#DIV/0!</v>
      </c>
      <c r="BA387" s="3" t="e">
        <f>IF('Entrada e Saida'!$H$12="REAL",AZ387*'Entrada e Saida'!$G$81,AU387*'Entrada e Saida'!$G$81)</f>
        <v>#DIV/0!</v>
      </c>
      <c r="BB387" s="3" t="e">
        <f>IF('Entrada e Saida'!$H$12="REAL",AZ387*'Entrada e Saida'!$G$82,AU387*'Entrada e Saida'!$G$82)</f>
        <v>#DIV/0!</v>
      </c>
      <c r="BC387" s="4" t="e">
        <f t="shared" si="166"/>
        <v>#DIV/0!</v>
      </c>
      <c r="BD387" s="3" t="e">
        <f>IF('Entrada e Saida'!$H$11="TRADING",AW387/D387,AK387/D387)</f>
        <v>#DIV/0!</v>
      </c>
      <c r="BE387" s="3" t="e">
        <f t="shared" si="167"/>
        <v>#DIV/0!</v>
      </c>
      <c r="BF387" s="2" t="e">
        <f t="shared" si="168"/>
        <v>#DIV/0!</v>
      </c>
      <c r="BG387" s="3" t="e">
        <f>IF('Entrada e Saida'!$H$11="TRADING",AV387/D387,AN387/D387)</f>
        <v>#DIV/0!</v>
      </c>
      <c r="BH387" s="3" t="e">
        <f>IF('Entrada e Saida'!$H$11="TRADING",IF('Entrada e Saida'!$H$12="REAL",AR387/D387,0),AL387/D387)</f>
        <v>#DIV/0!</v>
      </c>
      <c r="BI387" s="3" t="e">
        <f>IF('Entrada e Saida'!$H$11="TRADING",IF('Entrada e Saida'!$H$12="REAL",AS387/D387,0),AM387/D387)</f>
        <v>#DIV/0!</v>
      </c>
      <c r="BJ387" s="3" t="e">
        <f>IF('Entrada e Saida'!$H$11="TRADING",AT387/D387,AO387/D387)</f>
        <v>#DIV/0!</v>
      </c>
      <c r="BK387" s="2" t="e">
        <f t="shared" si="169"/>
        <v>#DIV/0!</v>
      </c>
      <c r="BL387" s="2">
        <f>IF(O387&gt;0,IFERROR(IF('Entrada e Saida'!$H$11="DIRETA",0,(IF('Entrada e Saida'!$H$14="P.JURIDICA",(BD387*(1+O387)*N387)-((BD387/(1+M387))*'Entrada e Saida'!$G$65),((Produtos!N387-'Entrada e Saida'!$G$65)*Produtos!BD387)))),0),0)</f>
        <v>0</v>
      </c>
      <c r="BM387" s="2" t="e">
        <f t="shared" si="170"/>
        <v>#DIV/0!</v>
      </c>
    </row>
    <row r="388" spans="1:65" s="1" customFormat="1">
      <c r="A388" s="127"/>
      <c r="B388" s="114">
        <f>IFERROR(VLOOKUP(A388,'Master Modelo'!A:I,7,FALSE),0)</f>
        <v>0</v>
      </c>
      <c r="C388" s="116">
        <f>IFERROR(VLOOKUP(A388,'Master Modelo'!A:I,2,FALSE),0)</f>
        <v>0</v>
      </c>
      <c r="D388" s="146"/>
      <c r="E388" s="115">
        <f>IFERROR(VLOOKUP(A388,'Master Modelo'!A:I,9,FALSE),0)</f>
        <v>0</v>
      </c>
      <c r="F388" s="189">
        <f>IFERROR(VLOOKUP(A388,'Master Modelo'!A:I,8,FALSE),0)</f>
        <v>0</v>
      </c>
      <c r="G388" s="189">
        <f>IFERROR(VLOOKUP(A388,'Master Modelo'!A:K,11,FALSE),0)</f>
        <v>0</v>
      </c>
      <c r="H388" s="114" t="e">
        <f t="shared" si="153"/>
        <v>#DIV/0!</v>
      </c>
      <c r="I388" s="150">
        <f>IFERROR(VLOOKUP(A388,'Master Modelo'!A:I,3,FALSE),0)</f>
        <v>0</v>
      </c>
      <c r="J388" s="151">
        <f>IFERROR(VLOOKUP(A388,'Master Modelo'!A:I,5,FALSE),0)</f>
        <v>0</v>
      </c>
      <c r="K388" s="151">
        <f>IFERROR(VLOOKUP(A388,'Master Modelo'!A:I,6,FALSE),0)</f>
        <v>0</v>
      </c>
      <c r="L388" s="152" t="e">
        <f>VLOOKUP(A388,'Master Modelo'!A:J,10,FALSE)</f>
        <v>#N/A</v>
      </c>
      <c r="M388" s="150">
        <f>IFERROR(VLOOKUP(A388,'Master Modelo'!A:I,4,FALSE),0)</f>
        <v>0</v>
      </c>
      <c r="N388" s="128"/>
      <c r="O388" s="129"/>
      <c r="P388" s="9">
        <f t="shared" si="154"/>
        <v>0</v>
      </c>
      <c r="Q388" s="177">
        <f t="shared" si="171"/>
        <v>0</v>
      </c>
      <c r="R388" s="3">
        <f>D388*E388*'Entrada e Saida'!$K$8</f>
        <v>0</v>
      </c>
      <c r="S388" s="179" t="e">
        <f>'Entrada e Saida'!$H$21*'Entrada e Saida'!$K$8*(P388/(SUM(P:P)))</f>
        <v>#DIV/0!</v>
      </c>
      <c r="T388" s="179" t="e">
        <f>'Entrada e Saida'!$H$21*'Entrada e Saida'!$K$8*(Q388/(SUM(Q:Q)))</f>
        <v>#DIV/0!</v>
      </c>
      <c r="U388" s="179" t="e">
        <f>'Entrada e Saida'!$H$22*(P388/(SUM(P:P)))</f>
        <v>#DIV/0!</v>
      </c>
      <c r="V388" s="179" t="e">
        <f>'Entrada e Saida'!$H$22*(Q388/(SUM(Q:Q)))</f>
        <v>#DIV/0!</v>
      </c>
      <c r="W388" s="8" t="e">
        <f t="shared" si="155"/>
        <v>#DIV/0!</v>
      </c>
      <c r="X388" s="179" t="e">
        <f>'Entrada e Saida'!$H$26*(IF('Entrada e Saida'!$H$15="PESO",(P388/(SUM(P:P))),(Q388/(SUM(Q:Q)))))</f>
        <v>#DIV/0!</v>
      </c>
      <c r="Y388" s="179" t="e">
        <f>'Entrada e Saida'!$H$27*(IF('Entrada e Saida'!$H$15="PESO",(P388/(SUM(P:P))),(Q388/(SUM(Q:Q)))))</f>
        <v>#DIV/0!</v>
      </c>
      <c r="Z388" s="179" t="e">
        <f>'Entrada e Saida'!$H$28*(IF('Entrada e Saida'!$H$15="PESO",(P388/(SUM(P:P))),(Q388/(SUM(Q:Q)))))</f>
        <v>#DIV/0!</v>
      </c>
      <c r="AA388" s="10" t="e">
        <f t="shared" si="156"/>
        <v>#DIV/0!</v>
      </c>
      <c r="AB388" s="3" t="e">
        <f t="shared" si="157"/>
        <v>#DIV/0!</v>
      </c>
      <c r="AC388" s="3" t="e">
        <f t="shared" si="158"/>
        <v>#DIV/0!</v>
      </c>
      <c r="AD388" s="3" t="e">
        <f t="shared" si="159"/>
        <v>#DIV/0!</v>
      </c>
      <c r="AE388" s="9" t="e">
        <f t="shared" si="160"/>
        <v>#DIV/0!</v>
      </c>
      <c r="AF388" s="126">
        <f>IFERROR(D388*F388*L388*'Entrada e Saida'!$K$8,0)</f>
        <v>0</v>
      </c>
      <c r="AG388" s="3" t="e">
        <f>((W388+AA388+AB388+AC388+AD388+AE388+AF388)/(1-'Entrada e Saida'!$G$65))*'Entrada e Saida'!$I$66</f>
        <v>#DIV/0!</v>
      </c>
      <c r="AH388" s="8" t="e">
        <f t="shared" si="161"/>
        <v>#DIV/0!</v>
      </c>
      <c r="AI388" s="183" t="e">
        <f>'Entrada e Saida'!$K$51*(IF('Entrada e Saida'!$H$15="PESO",(P388/(SUM(P:P))),(Q388/(SUM(Q:Q)))))</f>
        <v>#DIV/0!</v>
      </c>
      <c r="AJ388" s="7">
        <f>(('Entrada e Saida'!$K$10-'Entrada e Saida'!$K$8)*E388*D388)</f>
        <v>0</v>
      </c>
      <c r="AK388" s="184" t="e">
        <f>IF('Entrada e Saida'!$H$15="PESO",W388+AA388+AH388+AI388+AJ388,W388+AA388+AH388+AI388+AJ388-S388+T388-U388+V388)</f>
        <v>#DIV/0!</v>
      </c>
      <c r="AL388" s="6" t="e">
        <f>IF('Entrada e Saida'!$H$12="REAL",AC388,0)</f>
        <v>#DIV/0!</v>
      </c>
      <c r="AM388" s="6" t="e">
        <f>IF('Entrada e Saida'!$H$12="REAL",AD388,0)</f>
        <v>#DIV/0!</v>
      </c>
      <c r="AN388" s="5" t="e">
        <f>IF('Entrada e Saida'!$H$13= "NÃO",AE388,0)</f>
        <v>#DIV/0!</v>
      </c>
      <c r="AO388" s="5" t="e">
        <f t="shared" si="162"/>
        <v>#DIV/0!</v>
      </c>
      <c r="AP388" s="4" t="e">
        <f t="shared" si="163"/>
        <v>#DIV/0!</v>
      </c>
      <c r="AQ388" s="3" t="e">
        <f>IF('Entrada e Saida'!$H$11="TRADING",AU388*'Custo Resumido'!D388,0)</f>
        <v>#DIV/0!</v>
      </c>
      <c r="AR388" s="3" t="e">
        <f>IF('Entrada e Saida'!$H$11="TRADING",AU388*'Entrada e Saida'!$G$63,0)</f>
        <v>#DIV/0!</v>
      </c>
      <c r="AS388" s="3" t="e">
        <f>IF('Entrada e Saida'!$H$11="TRADING",AU388*'Entrada e Saida'!$G$64,0)</f>
        <v>#DIV/0!</v>
      </c>
      <c r="AT388" s="3" t="e">
        <f>IF('Entrada e Saida'!$H$11="TRADING",AU388*'Entrada e Saida'!$G$65,0)</f>
        <v>#DIV/0!</v>
      </c>
      <c r="AU388" s="4" t="e">
        <f>IF('Entrada e Saida'!$H$11="TRADING",AP388/(1-(SUM('Entrada e Saida'!$G$63:$G$65)+'Custo Resumido'!D388)),0)</f>
        <v>#DIV/0!</v>
      </c>
      <c r="AV388" s="3" t="e">
        <f>IF('Entrada e Saida'!$H$13="NÃO",AU388*M388,0)</f>
        <v>#DIV/0!</v>
      </c>
      <c r="AW388" s="4" t="e">
        <f t="shared" si="164"/>
        <v>#DIV/0!</v>
      </c>
      <c r="AX388" s="3" t="e">
        <f>'Entrada e Saida'!$G$74*AU388</f>
        <v>#DIV/0!</v>
      </c>
      <c r="AY388" s="4" t="e">
        <f t="shared" si="165"/>
        <v>#DIV/0!</v>
      </c>
      <c r="AZ388" s="4" t="e">
        <f>AQ388+('Entrada e Saida'!$G$65-'Entrada e Saida'!$I$65)*AU388-AX388</f>
        <v>#DIV/0!</v>
      </c>
      <c r="BA388" s="3" t="e">
        <f>IF('Entrada e Saida'!$H$12="REAL",AZ388*'Entrada e Saida'!$G$81,AU388*'Entrada e Saida'!$G$81)</f>
        <v>#DIV/0!</v>
      </c>
      <c r="BB388" s="3" t="e">
        <f>IF('Entrada e Saida'!$H$12="REAL",AZ388*'Entrada e Saida'!$G$82,AU388*'Entrada e Saida'!$G$82)</f>
        <v>#DIV/0!</v>
      </c>
      <c r="BC388" s="4" t="e">
        <f t="shared" si="166"/>
        <v>#DIV/0!</v>
      </c>
      <c r="BD388" s="3" t="e">
        <f>IF('Entrada e Saida'!$H$11="TRADING",AW388/D388,AK388/D388)</f>
        <v>#DIV/0!</v>
      </c>
      <c r="BE388" s="3" t="e">
        <f t="shared" si="167"/>
        <v>#DIV/0!</v>
      </c>
      <c r="BF388" s="2" t="e">
        <f t="shared" si="168"/>
        <v>#DIV/0!</v>
      </c>
      <c r="BG388" s="3" t="e">
        <f>IF('Entrada e Saida'!$H$11="TRADING",AV388/D388,AN388/D388)</f>
        <v>#DIV/0!</v>
      </c>
      <c r="BH388" s="3" t="e">
        <f>IF('Entrada e Saida'!$H$11="TRADING",IF('Entrada e Saida'!$H$12="REAL",AR388/D388,0),AL388/D388)</f>
        <v>#DIV/0!</v>
      </c>
      <c r="BI388" s="3" t="e">
        <f>IF('Entrada e Saida'!$H$11="TRADING",IF('Entrada e Saida'!$H$12="REAL",AS388/D388,0),AM388/D388)</f>
        <v>#DIV/0!</v>
      </c>
      <c r="BJ388" s="3" t="e">
        <f>IF('Entrada e Saida'!$H$11="TRADING",AT388/D388,AO388/D388)</f>
        <v>#DIV/0!</v>
      </c>
      <c r="BK388" s="2" t="e">
        <f t="shared" si="169"/>
        <v>#DIV/0!</v>
      </c>
      <c r="BL388" s="2">
        <f>IF(O388&gt;0,IFERROR(IF('Entrada e Saida'!$H$11="DIRETA",0,(IF('Entrada e Saida'!$H$14="P.JURIDICA",(BD388*(1+O388)*N388)-((BD388/(1+M388))*'Entrada e Saida'!$G$65),((Produtos!N388-'Entrada e Saida'!$G$65)*Produtos!BD388)))),0),0)</f>
        <v>0</v>
      </c>
      <c r="BM388" s="2" t="e">
        <f t="shared" si="170"/>
        <v>#DIV/0!</v>
      </c>
    </row>
    <row r="389" spans="1:65" s="1" customFormat="1">
      <c r="A389" s="127"/>
      <c r="B389" s="114">
        <f>IFERROR(VLOOKUP(A389,'Master Modelo'!A:I,7,FALSE),0)</f>
        <v>0</v>
      </c>
      <c r="C389" s="116">
        <f>IFERROR(VLOOKUP(A389,'Master Modelo'!A:I,2,FALSE),0)</f>
        <v>0</v>
      </c>
      <c r="D389" s="146"/>
      <c r="E389" s="115">
        <f>IFERROR(VLOOKUP(A389,'Master Modelo'!A:I,9,FALSE),0)</f>
        <v>0</v>
      </c>
      <c r="F389" s="189">
        <f>IFERROR(VLOOKUP(A389,'Master Modelo'!A:I,8,FALSE),0)</f>
        <v>0</v>
      </c>
      <c r="G389" s="189">
        <f>IFERROR(VLOOKUP(A389,'Master Modelo'!A:K,11,FALSE),0)</f>
        <v>0</v>
      </c>
      <c r="H389" s="114" t="e">
        <f t="shared" si="153"/>
        <v>#DIV/0!</v>
      </c>
      <c r="I389" s="150">
        <f>IFERROR(VLOOKUP(A389,'Master Modelo'!A:I,3,FALSE),0)</f>
        <v>0</v>
      </c>
      <c r="J389" s="151">
        <f>IFERROR(VLOOKUP(A389,'Master Modelo'!A:I,5,FALSE),0)</f>
        <v>0</v>
      </c>
      <c r="K389" s="151">
        <f>IFERROR(VLOOKUP(A389,'Master Modelo'!A:I,6,FALSE),0)</f>
        <v>0</v>
      </c>
      <c r="L389" s="152" t="e">
        <f>VLOOKUP(A389,'Master Modelo'!A:J,10,FALSE)</f>
        <v>#N/A</v>
      </c>
      <c r="M389" s="150">
        <f>IFERROR(VLOOKUP(A389,'Master Modelo'!A:I,4,FALSE),0)</f>
        <v>0</v>
      </c>
      <c r="N389" s="128"/>
      <c r="O389" s="129"/>
      <c r="P389" s="9">
        <f t="shared" si="154"/>
        <v>0</v>
      </c>
      <c r="Q389" s="177">
        <f t="shared" si="171"/>
        <v>0</v>
      </c>
      <c r="R389" s="3">
        <f>D389*E389*'Entrada e Saida'!$K$8</f>
        <v>0</v>
      </c>
      <c r="S389" s="179" t="e">
        <f>'Entrada e Saida'!$H$21*'Entrada e Saida'!$K$8*(P389/(SUM(P:P)))</f>
        <v>#DIV/0!</v>
      </c>
      <c r="T389" s="179" t="e">
        <f>'Entrada e Saida'!$H$21*'Entrada e Saida'!$K$8*(Q389/(SUM(Q:Q)))</f>
        <v>#DIV/0!</v>
      </c>
      <c r="U389" s="179" t="e">
        <f>'Entrada e Saida'!$H$22*(P389/(SUM(P:P)))</f>
        <v>#DIV/0!</v>
      </c>
      <c r="V389" s="179" t="e">
        <f>'Entrada e Saida'!$H$22*(Q389/(SUM(Q:Q)))</f>
        <v>#DIV/0!</v>
      </c>
      <c r="W389" s="8" t="e">
        <f t="shared" si="155"/>
        <v>#DIV/0!</v>
      </c>
      <c r="X389" s="179" t="e">
        <f>'Entrada e Saida'!$H$26*(IF('Entrada e Saida'!$H$15="PESO",(P389/(SUM(P:P))),(Q389/(SUM(Q:Q)))))</f>
        <v>#DIV/0!</v>
      </c>
      <c r="Y389" s="179" t="e">
        <f>'Entrada e Saida'!$H$27*(IF('Entrada e Saida'!$H$15="PESO",(P389/(SUM(P:P))),(Q389/(SUM(Q:Q)))))</f>
        <v>#DIV/0!</v>
      </c>
      <c r="Z389" s="179" t="e">
        <f>'Entrada e Saida'!$H$28*(IF('Entrada e Saida'!$H$15="PESO",(P389/(SUM(P:P))),(Q389/(SUM(Q:Q)))))</f>
        <v>#DIV/0!</v>
      </c>
      <c r="AA389" s="10" t="e">
        <f t="shared" si="156"/>
        <v>#DIV/0!</v>
      </c>
      <c r="AB389" s="3" t="e">
        <f t="shared" si="157"/>
        <v>#DIV/0!</v>
      </c>
      <c r="AC389" s="3" t="e">
        <f t="shared" si="158"/>
        <v>#DIV/0!</v>
      </c>
      <c r="AD389" s="3" t="e">
        <f t="shared" si="159"/>
        <v>#DIV/0!</v>
      </c>
      <c r="AE389" s="9" t="e">
        <f t="shared" si="160"/>
        <v>#DIV/0!</v>
      </c>
      <c r="AF389" s="126">
        <f>IFERROR(D389*F389*L389*'Entrada e Saida'!$K$8,0)</f>
        <v>0</v>
      </c>
      <c r="AG389" s="3" t="e">
        <f>((W389+AA389+AB389+AC389+AD389+AE389+AF389)/(1-'Entrada e Saida'!$G$65))*'Entrada e Saida'!$I$66</f>
        <v>#DIV/0!</v>
      </c>
      <c r="AH389" s="8" t="e">
        <f t="shared" si="161"/>
        <v>#DIV/0!</v>
      </c>
      <c r="AI389" s="183" t="e">
        <f>'Entrada e Saida'!$K$51*(IF('Entrada e Saida'!$H$15="PESO",(P389/(SUM(P:P))),(Q389/(SUM(Q:Q)))))</f>
        <v>#DIV/0!</v>
      </c>
      <c r="AJ389" s="7">
        <f>(('Entrada e Saida'!$K$10-'Entrada e Saida'!$K$8)*E389*D389)</f>
        <v>0</v>
      </c>
      <c r="AK389" s="184" t="e">
        <f>IF('Entrada e Saida'!$H$15="PESO",W389+AA389+AH389+AI389+AJ389,W389+AA389+AH389+AI389+AJ389-S389+T389-U389+V389)</f>
        <v>#DIV/0!</v>
      </c>
      <c r="AL389" s="6" t="e">
        <f>IF('Entrada e Saida'!$H$12="REAL",AC389,0)</f>
        <v>#DIV/0!</v>
      </c>
      <c r="AM389" s="6" t="e">
        <f>IF('Entrada e Saida'!$H$12="REAL",AD389,0)</f>
        <v>#DIV/0!</v>
      </c>
      <c r="AN389" s="5" t="e">
        <f>IF('Entrada e Saida'!$H$13= "NÃO",AE389,0)</f>
        <v>#DIV/0!</v>
      </c>
      <c r="AO389" s="5" t="e">
        <f t="shared" si="162"/>
        <v>#DIV/0!</v>
      </c>
      <c r="AP389" s="4" t="e">
        <f t="shared" si="163"/>
        <v>#DIV/0!</v>
      </c>
      <c r="AQ389" s="3" t="e">
        <f>IF('Entrada e Saida'!$H$11="TRADING",AU389*'Custo Resumido'!D389,0)</f>
        <v>#DIV/0!</v>
      </c>
      <c r="AR389" s="3" t="e">
        <f>IF('Entrada e Saida'!$H$11="TRADING",AU389*'Entrada e Saida'!$G$63,0)</f>
        <v>#DIV/0!</v>
      </c>
      <c r="AS389" s="3" t="e">
        <f>IF('Entrada e Saida'!$H$11="TRADING",AU389*'Entrada e Saida'!$G$64,0)</f>
        <v>#DIV/0!</v>
      </c>
      <c r="AT389" s="3" t="e">
        <f>IF('Entrada e Saida'!$H$11="TRADING",AU389*'Entrada e Saida'!$G$65,0)</f>
        <v>#DIV/0!</v>
      </c>
      <c r="AU389" s="4" t="e">
        <f>IF('Entrada e Saida'!$H$11="TRADING",AP389/(1-(SUM('Entrada e Saida'!$G$63:$G$65)+'Custo Resumido'!D389)),0)</f>
        <v>#DIV/0!</v>
      </c>
      <c r="AV389" s="3" t="e">
        <f>IF('Entrada e Saida'!$H$13="NÃO",AU389*M389,0)</f>
        <v>#DIV/0!</v>
      </c>
      <c r="AW389" s="4" t="e">
        <f t="shared" si="164"/>
        <v>#DIV/0!</v>
      </c>
      <c r="AX389" s="3" t="e">
        <f>'Entrada e Saida'!$G$74*AU389</f>
        <v>#DIV/0!</v>
      </c>
      <c r="AY389" s="4" t="e">
        <f t="shared" si="165"/>
        <v>#DIV/0!</v>
      </c>
      <c r="AZ389" s="4" t="e">
        <f>AQ389+('Entrada e Saida'!$G$65-'Entrada e Saida'!$I$65)*AU389-AX389</f>
        <v>#DIV/0!</v>
      </c>
      <c r="BA389" s="3" t="e">
        <f>IF('Entrada e Saida'!$H$12="REAL",AZ389*'Entrada e Saida'!$G$81,AU389*'Entrada e Saida'!$G$81)</f>
        <v>#DIV/0!</v>
      </c>
      <c r="BB389" s="3" t="e">
        <f>IF('Entrada e Saida'!$H$12="REAL",AZ389*'Entrada e Saida'!$G$82,AU389*'Entrada e Saida'!$G$82)</f>
        <v>#DIV/0!</v>
      </c>
      <c r="BC389" s="4" t="e">
        <f t="shared" si="166"/>
        <v>#DIV/0!</v>
      </c>
      <c r="BD389" s="3" t="e">
        <f>IF('Entrada e Saida'!$H$11="TRADING",AW389/D389,AK389/D389)</f>
        <v>#DIV/0!</v>
      </c>
      <c r="BE389" s="3" t="e">
        <f t="shared" si="167"/>
        <v>#DIV/0!</v>
      </c>
      <c r="BF389" s="2" t="e">
        <f t="shared" si="168"/>
        <v>#DIV/0!</v>
      </c>
      <c r="BG389" s="3" t="e">
        <f>IF('Entrada e Saida'!$H$11="TRADING",AV389/D389,AN389/D389)</f>
        <v>#DIV/0!</v>
      </c>
      <c r="BH389" s="3" t="e">
        <f>IF('Entrada e Saida'!$H$11="TRADING",IF('Entrada e Saida'!$H$12="REAL",AR389/D389,0),AL389/D389)</f>
        <v>#DIV/0!</v>
      </c>
      <c r="BI389" s="3" t="e">
        <f>IF('Entrada e Saida'!$H$11="TRADING",IF('Entrada e Saida'!$H$12="REAL",AS389/D389,0),AM389/D389)</f>
        <v>#DIV/0!</v>
      </c>
      <c r="BJ389" s="3" t="e">
        <f>IF('Entrada e Saida'!$H$11="TRADING",AT389/D389,AO389/D389)</f>
        <v>#DIV/0!</v>
      </c>
      <c r="BK389" s="2" t="e">
        <f t="shared" si="169"/>
        <v>#DIV/0!</v>
      </c>
      <c r="BL389" s="2">
        <f>IF(O389&gt;0,IFERROR(IF('Entrada e Saida'!$H$11="DIRETA",0,(IF('Entrada e Saida'!$H$14="P.JURIDICA",(BD389*(1+O389)*N389)-((BD389/(1+M389))*'Entrada e Saida'!$G$65),((Produtos!N389-'Entrada e Saida'!$G$65)*Produtos!BD389)))),0),0)</f>
        <v>0</v>
      </c>
      <c r="BM389" s="2" t="e">
        <f t="shared" si="170"/>
        <v>#DIV/0!</v>
      </c>
    </row>
    <row r="390" spans="1:65" s="1" customFormat="1">
      <c r="A390" s="127"/>
      <c r="B390" s="114">
        <f>IFERROR(VLOOKUP(A390,'Master Modelo'!A:I,7,FALSE),0)</f>
        <v>0</v>
      </c>
      <c r="C390" s="116">
        <f>IFERROR(VLOOKUP(A390,'Master Modelo'!A:I,2,FALSE),0)</f>
        <v>0</v>
      </c>
      <c r="D390" s="146"/>
      <c r="E390" s="115">
        <f>IFERROR(VLOOKUP(A390,'Master Modelo'!A:I,9,FALSE),0)</f>
        <v>0</v>
      </c>
      <c r="F390" s="189">
        <f>IFERROR(VLOOKUP(A390,'Master Modelo'!A:I,8,FALSE),0)</f>
        <v>0</v>
      </c>
      <c r="G390" s="189">
        <f>IFERROR(VLOOKUP(A390,'Master Modelo'!A:K,11,FALSE),0)</f>
        <v>0</v>
      </c>
      <c r="H390" s="114" t="e">
        <f t="shared" si="153"/>
        <v>#DIV/0!</v>
      </c>
      <c r="I390" s="150">
        <f>IFERROR(VLOOKUP(A390,'Master Modelo'!A:I,3,FALSE),0)</f>
        <v>0</v>
      </c>
      <c r="J390" s="151">
        <f>IFERROR(VLOOKUP(A390,'Master Modelo'!A:I,5,FALSE),0)</f>
        <v>0</v>
      </c>
      <c r="K390" s="151">
        <f>IFERROR(VLOOKUP(A390,'Master Modelo'!A:I,6,FALSE),0)</f>
        <v>0</v>
      </c>
      <c r="L390" s="152" t="e">
        <f>VLOOKUP(A390,'Master Modelo'!A:J,10,FALSE)</f>
        <v>#N/A</v>
      </c>
      <c r="M390" s="150">
        <f>IFERROR(VLOOKUP(A390,'Master Modelo'!A:I,4,FALSE),0)</f>
        <v>0</v>
      </c>
      <c r="N390" s="128"/>
      <c r="O390" s="129"/>
      <c r="P390" s="9">
        <f t="shared" si="154"/>
        <v>0</v>
      </c>
      <c r="Q390" s="177">
        <f t="shared" si="171"/>
        <v>0</v>
      </c>
      <c r="R390" s="3">
        <f>D390*E390*'Entrada e Saida'!$K$8</f>
        <v>0</v>
      </c>
      <c r="S390" s="179" t="e">
        <f>'Entrada e Saida'!$H$21*'Entrada e Saida'!$K$8*(P390/(SUM(P:P)))</f>
        <v>#DIV/0!</v>
      </c>
      <c r="T390" s="179" t="e">
        <f>'Entrada e Saida'!$H$21*'Entrada e Saida'!$K$8*(Q390/(SUM(Q:Q)))</f>
        <v>#DIV/0!</v>
      </c>
      <c r="U390" s="179" t="e">
        <f>'Entrada e Saida'!$H$22*(P390/(SUM(P:P)))</f>
        <v>#DIV/0!</v>
      </c>
      <c r="V390" s="179" t="e">
        <f>'Entrada e Saida'!$H$22*(Q390/(SUM(Q:Q)))</f>
        <v>#DIV/0!</v>
      </c>
      <c r="W390" s="8" t="e">
        <f t="shared" si="155"/>
        <v>#DIV/0!</v>
      </c>
      <c r="X390" s="179" t="e">
        <f>'Entrada e Saida'!$H$26*(IF('Entrada e Saida'!$H$15="PESO",(P390/(SUM(P:P))),(Q390/(SUM(Q:Q)))))</f>
        <v>#DIV/0!</v>
      </c>
      <c r="Y390" s="179" t="e">
        <f>'Entrada e Saida'!$H$27*(IF('Entrada e Saida'!$H$15="PESO",(P390/(SUM(P:P))),(Q390/(SUM(Q:Q)))))</f>
        <v>#DIV/0!</v>
      </c>
      <c r="Z390" s="179" t="e">
        <f>'Entrada e Saida'!$H$28*(IF('Entrada e Saida'!$H$15="PESO",(P390/(SUM(P:P))),(Q390/(SUM(Q:Q)))))</f>
        <v>#DIV/0!</v>
      </c>
      <c r="AA390" s="10" t="e">
        <f t="shared" si="156"/>
        <v>#DIV/0!</v>
      </c>
      <c r="AB390" s="3" t="e">
        <f t="shared" si="157"/>
        <v>#DIV/0!</v>
      </c>
      <c r="AC390" s="3" t="e">
        <f t="shared" si="158"/>
        <v>#DIV/0!</v>
      </c>
      <c r="AD390" s="3" t="e">
        <f t="shared" si="159"/>
        <v>#DIV/0!</v>
      </c>
      <c r="AE390" s="9" t="e">
        <f t="shared" si="160"/>
        <v>#DIV/0!</v>
      </c>
      <c r="AF390" s="126">
        <f>IFERROR(D390*F390*L390*'Entrada e Saida'!$K$8,0)</f>
        <v>0</v>
      </c>
      <c r="AG390" s="3" t="e">
        <f>((W390+AA390+AB390+AC390+AD390+AE390+AF390)/(1-'Entrada e Saida'!$G$65))*'Entrada e Saida'!$I$66</f>
        <v>#DIV/0!</v>
      </c>
      <c r="AH390" s="8" t="e">
        <f t="shared" si="161"/>
        <v>#DIV/0!</v>
      </c>
      <c r="AI390" s="183" t="e">
        <f>'Entrada e Saida'!$K$51*(IF('Entrada e Saida'!$H$15="PESO",(P390/(SUM(P:P))),(Q390/(SUM(Q:Q)))))</f>
        <v>#DIV/0!</v>
      </c>
      <c r="AJ390" s="7">
        <f>(('Entrada e Saida'!$K$10-'Entrada e Saida'!$K$8)*E390*D390)</f>
        <v>0</v>
      </c>
      <c r="AK390" s="184" t="e">
        <f>IF('Entrada e Saida'!$H$15="PESO",W390+AA390+AH390+AI390+AJ390,W390+AA390+AH390+AI390+AJ390-S390+T390-U390+V390)</f>
        <v>#DIV/0!</v>
      </c>
      <c r="AL390" s="6" t="e">
        <f>IF('Entrada e Saida'!$H$12="REAL",AC390,0)</f>
        <v>#DIV/0!</v>
      </c>
      <c r="AM390" s="6" t="e">
        <f>IF('Entrada e Saida'!$H$12="REAL",AD390,0)</f>
        <v>#DIV/0!</v>
      </c>
      <c r="AN390" s="5" t="e">
        <f>IF('Entrada e Saida'!$H$13= "NÃO",AE390,0)</f>
        <v>#DIV/0!</v>
      </c>
      <c r="AO390" s="5" t="e">
        <f t="shared" si="162"/>
        <v>#DIV/0!</v>
      </c>
      <c r="AP390" s="4" t="e">
        <f t="shared" si="163"/>
        <v>#DIV/0!</v>
      </c>
      <c r="AQ390" s="3" t="e">
        <f>IF('Entrada e Saida'!$H$11="TRADING",AU390*'Custo Resumido'!D390,0)</f>
        <v>#DIV/0!</v>
      </c>
      <c r="AR390" s="3" t="e">
        <f>IF('Entrada e Saida'!$H$11="TRADING",AU390*'Entrada e Saida'!$G$63,0)</f>
        <v>#DIV/0!</v>
      </c>
      <c r="AS390" s="3" t="e">
        <f>IF('Entrada e Saida'!$H$11="TRADING",AU390*'Entrada e Saida'!$G$64,0)</f>
        <v>#DIV/0!</v>
      </c>
      <c r="AT390" s="3" t="e">
        <f>IF('Entrada e Saida'!$H$11="TRADING",AU390*'Entrada e Saida'!$G$65,0)</f>
        <v>#DIV/0!</v>
      </c>
      <c r="AU390" s="4" t="e">
        <f>IF('Entrada e Saida'!$H$11="TRADING",AP390/(1-(SUM('Entrada e Saida'!$G$63:$G$65)+'Custo Resumido'!D390)),0)</f>
        <v>#DIV/0!</v>
      </c>
      <c r="AV390" s="3" t="e">
        <f>IF('Entrada e Saida'!$H$13="NÃO",AU390*M390,0)</f>
        <v>#DIV/0!</v>
      </c>
      <c r="AW390" s="4" t="e">
        <f t="shared" si="164"/>
        <v>#DIV/0!</v>
      </c>
      <c r="AX390" s="3" t="e">
        <f>'Entrada e Saida'!$G$74*AU390</f>
        <v>#DIV/0!</v>
      </c>
      <c r="AY390" s="4" t="e">
        <f t="shared" si="165"/>
        <v>#DIV/0!</v>
      </c>
      <c r="AZ390" s="4" t="e">
        <f>AQ390+('Entrada e Saida'!$G$65-'Entrada e Saida'!$I$65)*AU390-AX390</f>
        <v>#DIV/0!</v>
      </c>
      <c r="BA390" s="3" t="e">
        <f>IF('Entrada e Saida'!$H$12="REAL",AZ390*'Entrada e Saida'!$G$81,AU390*'Entrada e Saida'!$G$81)</f>
        <v>#DIV/0!</v>
      </c>
      <c r="BB390" s="3" t="e">
        <f>IF('Entrada e Saida'!$H$12="REAL",AZ390*'Entrada e Saida'!$G$82,AU390*'Entrada e Saida'!$G$82)</f>
        <v>#DIV/0!</v>
      </c>
      <c r="BC390" s="4" t="e">
        <f t="shared" si="166"/>
        <v>#DIV/0!</v>
      </c>
      <c r="BD390" s="3" t="e">
        <f>IF('Entrada e Saida'!$H$11="TRADING",AW390/D390,AK390/D390)</f>
        <v>#DIV/0!</v>
      </c>
      <c r="BE390" s="3" t="e">
        <f t="shared" si="167"/>
        <v>#DIV/0!</v>
      </c>
      <c r="BF390" s="2" t="e">
        <f t="shared" si="168"/>
        <v>#DIV/0!</v>
      </c>
      <c r="BG390" s="3" t="e">
        <f>IF('Entrada e Saida'!$H$11="TRADING",AV390/D390,AN390/D390)</f>
        <v>#DIV/0!</v>
      </c>
      <c r="BH390" s="3" t="e">
        <f>IF('Entrada e Saida'!$H$11="TRADING",IF('Entrada e Saida'!$H$12="REAL",AR390/D390,0),AL390/D390)</f>
        <v>#DIV/0!</v>
      </c>
      <c r="BI390" s="3" t="e">
        <f>IF('Entrada e Saida'!$H$11="TRADING",IF('Entrada e Saida'!$H$12="REAL",AS390/D390,0),AM390/D390)</f>
        <v>#DIV/0!</v>
      </c>
      <c r="BJ390" s="3" t="e">
        <f>IF('Entrada e Saida'!$H$11="TRADING",AT390/D390,AO390/D390)</f>
        <v>#DIV/0!</v>
      </c>
      <c r="BK390" s="2" t="e">
        <f t="shared" si="169"/>
        <v>#DIV/0!</v>
      </c>
      <c r="BL390" s="2">
        <f>IF(O390&gt;0,IFERROR(IF('Entrada e Saida'!$H$11="DIRETA",0,(IF('Entrada e Saida'!$H$14="P.JURIDICA",(BD390*(1+O390)*N390)-((BD390/(1+M390))*'Entrada e Saida'!$G$65),((Produtos!N390-'Entrada e Saida'!$G$65)*Produtos!BD390)))),0),0)</f>
        <v>0</v>
      </c>
      <c r="BM390" s="2" t="e">
        <f t="shared" si="170"/>
        <v>#DIV/0!</v>
      </c>
    </row>
    <row r="391" spans="1:65" s="1" customFormat="1">
      <c r="A391" s="127"/>
      <c r="B391" s="114">
        <f>IFERROR(VLOOKUP(A391,'Master Modelo'!A:I,7,FALSE),0)</f>
        <v>0</v>
      </c>
      <c r="C391" s="116">
        <f>IFERROR(VLOOKUP(A391,'Master Modelo'!A:I,2,FALSE),0)</f>
        <v>0</v>
      </c>
      <c r="D391" s="146"/>
      <c r="E391" s="115">
        <f>IFERROR(VLOOKUP(A391,'Master Modelo'!A:I,9,FALSE),0)</f>
        <v>0</v>
      </c>
      <c r="F391" s="189">
        <f>IFERROR(VLOOKUP(A391,'Master Modelo'!A:I,8,FALSE),0)</f>
        <v>0</v>
      </c>
      <c r="G391" s="189">
        <f>IFERROR(VLOOKUP(A391,'Master Modelo'!A:K,11,FALSE),0)</f>
        <v>0</v>
      </c>
      <c r="H391" s="114" t="e">
        <f t="shared" si="153"/>
        <v>#DIV/0!</v>
      </c>
      <c r="I391" s="150">
        <f>IFERROR(VLOOKUP(A391,'Master Modelo'!A:I,3,FALSE),0)</f>
        <v>0</v>
      </c>
      <c r="J391" s="151">
        <f>IFERROR(VLOOKUP(A391,'Master Modelo'!A:I,5,FALSE),0)</f>
        <v>0</v>
      </c>
      <c r="K391" s="151">
        <f>IFERROR(VLOOKUP(A391,'Master Modelo'!A:I,6,FALSE),0)</f>
        <v>0</v>
      </c>
      <c r="L391" s="152" t="e">
        <f>VLOOKUP(A391,'Master Modelo'!A:J,10,FALSE)</f>
        <v>#N/A</v>
      </c>
      <c r="M391" s="150">
        <f>IFERROR(VLOOKUP(A391,'Master Modelo'!A:I,4,FALSE),0)</f>
        <v>0</v>
      </c>
      <c r="N391" s="128"/>
      <c r="O391" s="129"/>
      <c r="P391" s="9">
        <f t="shared" si="154"/>
        <v>0</v>
      </c>
      <c r="Q391" s="177">
        <f t="shared" si="171"/>
        <v>0</v>
      </c>
      <c r="R391" s="3">
        <f>D391*E391*'Entrada e Saida'!$K$8</f>
        <v>0</v>
      </c>
      <c r="S391" s="179" t="e">
        <f>'Entrada e Saida'!$H$21*'Entrada e Saida'!$K$8*(P391/(SUM(P:P)))</f>
        <v>#DIV/0!</v>
      </c>
      <c r="T391" s="179" t="e">
        <f>'Entrada e Saida'!$H$21*'Entrada e Saida'!$K$8*(Q391/(SUM(Q:Q)))</f>
        <v>#DIV/0!</v>
      </c>
      <c r="U391" s="179" t="e">
        <f>'Entrada e Saida'!$H$22*(P391/(SUM(P:P)))</f>
        <v>#DIV/0!</v>
      </c>
      <c r="V391" s="179" t="e">
        <f>'Entrada e Saida'!$H$22*(Q391/(SUM(Q:Q)))</f>
        <v>#DIV/0!</v>
      </c>
      <c r="W391" s="8" t="e">
        <f t="shared" si="155"/>
        <v>#DIV/0!</v>
      </c>
      <c r="X391" s="179" t="e">
        <f>'Entrada e Saida'!$H$26*(IF('Entrada e Saida'!$H$15="PESO",(P391/(SUM(P:P))),(Q391/(SUM(Q:Q)))))</f>
        <v>#DIV/0!</v>
      </c>
      <c r="Y391" s="179" t="e">
        <f>'Entrada e Saida'!$H$27*(IF('Entrada e Saida'!$H$15="PESO",(P391/(SUM(P:P))),(Q391/(SUM(Q:Q)))))</f>
        <v>#DIV/0!</v>
      </c>
      <c r="Z391" s="179" t="e">
        <f>'Entrada e Saida'!$H$28*(IF('Entrada e Saida'!$H$15="PESO",(P391/(SUM(P:P))),(Q391/(SUM(Q:Q)))))</f>
        <v>#DIV/0!</v>
      </c>
      <c r="AA391" s="10" t="e">
        <f t="shared" si="156"/>
        <v>#DIV/0!</v>
      </c>
      <c r="AB391" s="3" t="e">
        <f t="shared" si="157"/>
        <v>#DIV/0!</v>
      </c>
      <c r="AC391" s="3" t="e">
        <f t="shared" si="158"/>
        <v>#DIV/0!</v>
      </c>
      <c r="AD391" s="3" t="e">
        <f t="shared" si="159"/>
        <v>#DIV/0!</v>
      </c>
      <c r="AE391" s="9" t="e">
        <f t="shared" si="160"/>
        <v>#DIV/0!</v>
      </c>
      <c r="AF391" s="126">
        <f>IFERROR(D391*F391*L391*'Entrada e Saida'!$K$8,0)</f>
        <v>0</v>
      </c>
      <c r="AG391" s="3" t="e">
        <f>((W391+AA391+AB391+AC391+AD391+AE391+AF391)/(1-'Entrada e Saida'!$G$65))*'Entrada e Saida'!$I$66</f>
        <v>#DIV/0!</v>
      </c>
      <c r="AH391" s="8" t="e">
        <f t="shared" si="161"/>
        <v>#DIV/0!</v>
      </c>
      <c r="AI391" s="183" t="e">
        <f>'Entrada e Saida'!$K$51*(IF('Entrada e Saida'!$H$15="PESO",(P391/(SUM(P:P))),(Q391/(SUM(Q:Q)))))</f>
        <v>#DIV/0!</v>
      </c>
      <c r="AJ391" s="7">
        <f>(('Entrada e Saida'!$K$10-'Entrada e Saida'!$K$8)*E391*D391)</f>
        <v>0</v>
      </c>
      <c r="AK391" s="184" t="e">
        <f>IF('Entrada e Saida'!$H$15="PESO",W391+AA391+AH391+AI391+AJ391,W391+AA391+AH391+AI391+AJ391-S391+T391-U391+V391)</f>
        <v>#DIV/0!</v>
      </c>
      <c r="AL391" s="6" t="e">
        <f>IF('Entrada e Saida'!$H$12="REAL",AC391,0)</f>
        <v>#DIV/0!</v>
      </c>
      <c r="AM391" s="6" t="e">
        <f>IF('Entrada e Saida'!$H$12="REAL",AD391,0)</f>
        <v>#DIV/0!</v>
      </c>
      <c r="AN391" s="5" t="e">
        <f>IF('Entrada e Saida'!$H$13= "NÃO",AE391,0)</f>
        <v>#DIV/0!</v>
      </c>
      <c r="AO391" s="5" t="e">
        <f t="shared" si="162"/>
        <v>#DIV/0!</v>
      </c>
      <c r="AP391" s="4" t="e">
        <f t="shared" si="163"/>
        <v>#DIV/0!</v>
      </c>
      <c r="AQ391" s="3" t="e">
        <f>IF('Entrada e Saida'!$H$11="TRADING",AU391*'Custo Resumido'!D391,0)</f>
        <v>#DIV/0!</v>
      </c>
      <c r="AR391" s="3" t="e">
        <f>IF('Entrada e Saida'!$H$11="TRADING",AU391*'Entrada e Saida'!$G$63,0)</f>
        <v>#DIV/0!</v>
      </c>
      <c r="AS391" s="3" t="e">
        <f>IF('Entrada e Saida'!$H$11="TRADING",AU391*'Entrada e Saida'!$G$64,0)</f>
        <v>#DIV/0!</v>
      </c>
      <c r="AT391" s="3" t="e">
        <f>IF('Entrada e Saida'!$H$11="TRADING",AU391*'Entrada e Saida'!$G$65,0)</f>
        <v>#DIV/0!</v>
      </c>
      <c r="AU391" s="4" t="e">
        <f>IF('Entrada e Saida'!$H$11="TRADING",AP391/(1-(SUM('Entrada e Saida'!$G$63:$G$65)+'Custo Resumido'!D391)),0)</f>
        <v>#DIV/0!</v>
      </c>
      <c r="AV391" s="3" t="e">
        <f>IF('Entrada e Saida'!$H$13="NÃO",AU391*M391,0)</f>
        <v>#DIV/0!</v>
      </c>
      <c r="AW391" s="4" t="e">
        <f t="shared" si="164"/>
        <v>#DIV/0!</v>
      </c>
      <c r="AX391" s="3" t="e">
        <f>'Entrada e Saida'!$G$74*AU391</f>
        <v>#DIV/0!</v>
      </c>
      <c r="AY391" s="4" t="e">
        <f t="shared" si="165"/>
        <v>#DIV/0!</v>
      </c>
      <c r="AZ391" s="4" t="e">
        <f>AQ391+('Entrada e Saida'!$G$65-'Entrada e Saida'!$I$65)*AU391-AX391</f>
        <v>#DIV/0!</v>
      </c>
      <c r="BA391" s="3" t="e">
        <f>IF('Entrada e Saida'!$H$12="REAL",AZ391*'Entrada e Saida'!$G$81,AU391*'Entrada e Saida'!$G$81)</f>
        <v>#DIV/0!</v>
      </c>
      <c r="BB391" s="3" t="e">
        <f>IF('Entrada e Saida'!$H$12="REAL",AZ391*'Entrada e Saida'!$G$82,AU391*'Entrada e Saida'!$G$82)</f>
        <v>#DIV/0!</v>
      </c>
      <c r="BC391" s="4" t="e">
        <f t="shared" si="166"/>
        <v>#DIV/0!</v>
      </c>
      <c r="BD391" s="3" t="e">
        <f>IF('Entrada e Saida'!$H$11="TRADING",AW391/D391,AK391/D391)</f>
        <v>#DIV/0!</v>
      </c>
      <c r="BE391" s="3" t="e">
        <f t="shared" si="167"/>
        <v>#DIV/0!</v>
      </c>
      <c r="BF391" s="2" t="e">
        <f t="shared" si="168"/>
        <v>#DIV/0!</v>
      </c>
      <c r="BG391" s="3" t="e">
        <f>IF('Entrada e Saida'!$H$11="TRADING",AV391/D391,AN391/D391)</f>
        <v>#DIV/0!</v>
      </c>
      <c r="BH391" s="3" t="e">
        <f>IF('Entrada e Saida'!$H$11="TRADING",IF('Entrada e Saida'!$H$12="REAL",AR391/D391,0),AL391/D391)</f>
        <v>#DIV/0!</v>
      </c>
      <c r="BI391" s="3" t="e">
        <f>IF('Entrada e Saida'!$H$11="TRADING",IF('Entrada e Saida'!$H$12="REAL",AS391/D391,0),AM391/D391)</f>
        <v>#DIV/0!</v>
      </c>
      <c r="BJ391" s="3" t="e">
        <f>IF('Entrada e Saida'!$H$11="TRADING",AT391/D391,AO391/D391)</f>
        <v>#DIV/0!</v>
      </c>
      <c r="BK391" s="2" t="e">
        <f t="shared" si="169"/>
        <v>#DIV/0!</v>
      </c>
      <c r="BL391" s="2">
        <f>IF(O391&gt;0,IFERROR(IF('Entrada e Saida'!$H$11="DIRETA",0,(IF('Entrada e Saida'!$H$14="P.JURIDICA",(BD391*(1+O391)*N391)-((BD391/(1+M391))*'Entrada e Saida'!$G$65),((Produtos!N391-'Entrada e Saida'!$G$65)*Produtos!BD391)))),0),0)</f>
        <v>0</v>
      </c>
      <c r="BM391" s="2" t="e">
        <f t="shared" si="170"/>
        <v>#DIV/0!</v>
      </c>
    </row>
    <row r="392" spans="1:65" s="1" customFormat="1">
      <c r="A392" s="127"/>
      <c r="B392" s="114">
        <f>IFERROR(VLOOKUP(A392,'Master Modelo'!A:I,7,FALSE),0)</f>
        <v>0</v>
      </c>
      <c r="C392" s="116">
        <f>IFERROR(VLOOKUP(A392,'Master Modelo'!A:I,2,FALSE),0)</f>
        <v>0</v>
      </c>
      <c r="D392" s="146"/>
      <c r="E392" s="115">
        <f>IFERROR(VLOOKUP(A392,'Master Modelo'!A:I,9,FALSE),0)</f>
        <v>0</v>
      </c>
      <c r="F392" s="189">
        <f>IFERROR(VLOOKUP(A392,'Master Modelo'!A:I,8,FALSE),0)</f>
        <v>0</v>
      </c>
      <c r="G392" s="189">
        <f>IFERROR(VLOOKUP(A392,'Master Modelo'!A:K,11,FALSE),0)</f>
        <v>0</v>
      </c>
      <c r="H392" s="114" t="e">
        <f t="shared" si="153"/>
        <v>#DIV/0!</v>
      </c>
      <c r="I392" s="150">
        <f>IFERROR(VLOOKUP(A392,'Master Modelo'!A:I,3,FALSE),0)</f>
        <v>0</v>
      </c>
      <c r="J392" s="151">
        <f>IFERROR(VLOOKUP(A392,'Master Modelo'!A:I,5,FALSE),0)</f>
        <v>0</v>
      </c>
      <c r="K392" s="151">
        <f>IFERROR(VLOOKUP(A392,'Master Modelo'!A:I,6,FALSE),0)</f>
        <v>0</v>
      </c>
      <c r="L392" s="152" t="e">
        <f>VLOOKUP(A392,'Master Modelo'!A:J,10,FALSE)</f>
        <v>#N/A</v>
      </c>
      <c r="M392" s="150">
        <f>IFERROR(VLOOKUP(A392,'Master Modelo'!A:I,4,FALSE),0)</f>
        <v>0</v>
      </c>
      <c r="N392" s="128"/>
      <c r="O392" s="129"/>
      <c r="P392" s="9">
        <f t="shared" si="154"/>
        <v>0</v>
      </c>
      <c r="Q392" s="177">
        <f t="shared" si="171"/>
        <v>0</v>
      </c>
      <c r="R392" s="3">
        <f>D392*E392*'Entrada e Saida'!$K$8</f>
        <v>0</v>
      </c>
      <c r="S392" s="179" t="e">
        <f>'Entrada e Saida'!$H$21*'Entrada e Saida'!$K$8*(P392/(SUM(P:P)))</f>
        <v>#DIV/0!</v>
      </c>
      <c r="T392" s="179" t="e">
        <f>'Entrada e Saida'!$H$21*'Entrada e Saida'!$K$8*(Q392/(SUM(Q:Q)))</f>
        <v>#DIV/0!</v>
      </c>
      <c r="U392" s="179" t="e">
        <f>'Entrada e Saida'!$H$22*(P392/(SUM(P:P)))</f>
        <v>#DIV/0!</v>
      </c>
      <c r="V392" s="179" t="e">
        <f>'Entrada e Saida'!$H$22*(Q392/(SUM(Q:Q)))</f>
        <v>#DIV/0!</v>
      </c>
      <c r="W392" s="8" t="e">
        <f t="shared" si="155"/>
        <v>#DIV/0!</v>
      </c>
      <c r="X392" s="179" t="e">
        <f>'Entrada e Saida'!$H$26*(IF('Entrada e Saida'!$H$15="PESO",(P392/(SUM(P:P))),(Q392/(SUM(Q:Q)))))</f>
        <v>#DIV/0!</v>
      </c>
      <c r="Y392" s="179" t="e">
        <f>'Entrada e Saida'!$H$27*(IF('Entrada e Saida'!$H$15="PESO",(P392/(SUM(P:P))),(Q392/(SUM(Q:Q)))))</f>
        <v>#DIV/0!</v>
      </c>
      <c r="Z392" s="179" t="e">
        <f>'Entrada e Saida'!$H$28*(IF('Entrada e Saida'!$H$15="PESO",(P392/(SUM(P:P))),(Q392/(SUM(Q:Q)))))</f>
        <v>#DIV/0!</v>
      </c>
      <c r="AA392" s="10" t="e">
        <f t="shared" si="156"/>
        <v>#DIV/0!</v>
      </c>
      <c r="AB392" s="3" t="e">
        <f t="shared" si="157"/>
        <v>#DIV/0!</v>
      </c>
      <c r="AC392" s="3" t="e">
        <f t="shared" si="158"/>
        <v>#DIV/0!</v>
      </c>
      <c r="AD392" s="3" t="e">
        <f t="shared" si="159"/>
        <v>#DIV/0!</v>
      </c>
      <c r="AE392" s="9" t="e">
        <f t="shared" si="160"/>
        <v>#DIV/0!</v>
      </c>
      <c r="AF392" s="126">
        <f>IFERROR(D392*F392*L392*'Entrada e Saida'!$K$8,0)</f>
        <v>0</v>
      </c>
      <c r="AG392" s="3" t="e">
        <f>((W392+AA392+AB392+AC392+AD392+AE392+AF392)/(1-'Entrada e Saida'!$G$65))*'Entrada e Saida'!$I$66</f>
        <v>#DIV/0!</v>
      </c>
      <c r="AH392" s="8" t="e">
        <f t="shared" si="161"/>
        <v>#DIV/0!</v>
      </c>
      <c r="AI392" s="183" t="e">
        <f>'Entrada e Saida'!$K$51*(IF('Entrada e Saida'!$H$15="PESO",(P392/(SUM(P:P))),(Q392/(SUM(Q:Q)))))</f>
        <v>#DIV/0!</v>
      </c>
      <c r="AJ392" s="7">
        <f>(('Entrada e Saida'!$K$10-'Entrada e Saida'!$K$8)*E392*D392)</f>
        <v>0</v>
      </c>
      <c r="AK392" s="184" t="e">
        <f>IF('Entrada e Saida'!$H$15="PESO",W392+AA392+AH392+AI392+AJ392,W392+AA392+AH392+AI392+AJ392-S392+T392-U392+V392)</f>
        <v>#DIV/0!</v>
      </c>
      <c r="AL392" s="6" t="e">
        <f>IF('Entrada e Saida'!$H$12="REAL",AC392,0)</f>
        <v>#DIV/0!</v>
      </c>
      <c r="AM392" s="6" t="e">
        <f>IF('Entrada e Saida'!$H$12="REAL",AD392,0)</f>
        <v>#DIV/0!</v>
      </c>
      <c r="AN392" s="5" t="e">
        <f>IF('Entrada e Saida'!$H$13= "NÃO",AE392,0)</f>
        <v>#DIV/0!</v>
      </c>
      <c r="AO392" s="5" t="e">
        <f t="shared" si="162"/>
        <v>#DIV/0!</v>
      </c>
      <c r="AP392" s="4" t="e">
        <f t="shared" si="163"/>
        <v>#DIV/0!</v>
      </c>
      <c r="AQ392" s="3" t="e">
        <f>IF('Entrada e Saida'!$H$11="TRADING",AU392*'Custo Resumido'!D392,0)</f>
        <v>#DIV/0!</v>
      </c>
      <c r="AR392" s="3" t="e">
        <f>IF('Entrada e Saida'!$H$11="TRADING",AU392*'Entrada e Saida'!$G$63,0)</f>
        <v>#DIV/0!</v>
      </c>
      <c r="AS392" s="3" t="e">
        <f>IF('Entrada e Saida'!$H$11="TRADING",AU392*'Entrada e Saida'!$G$64,0)</f>
        <v>#DIV/0!</v>
      </c>
      <c r="AT392" s="3" t="e">
        <f>IF('Entrada e Saida'!$H$11="TRADING",AU392*'Entrada e Saida'!$G$65,0)</f>
        <v>#DIV/0!</v>
      </c>
      <c r="AU392" s="4" t="e">
        <f>IF('Entrada e Saida'!$H$11="TRADING",AP392/(1-(SUM('Entrada e Saida'!$G$63:$G$65)+'Custo Resumido'!D392)),0)</f>
        <v>#DIV/0!</v>
      </c>
      <c r="AV392" s="3" t="e">
        <f>IF('Entrada e Saida'!$H$13="NÃO",AU392*M392,0)</f>
        <v>#DIV/0!</v>
      </c>
      <c r="AW392" s="4" t="e">
        <f t="shared" si="164"/>
        <v>#DIV/0!</v>
      </c>
      <c r="AX392" s="3" t="e">
        <f>'Entrada e Saida'!$G$74*AU392</f>
        <v>#DIV/0!</v>
      </c>
      <c r="AY392" s="4" t="e">
        <f t="shared" si="165"/>
        <v>#DIV/0!</v>
      </c>
      <c r="AZ392" s="4" t="e">
        <f>AQ392+('Entrada e Saida'!$G$65-'Entrada e Saida'!$I$65)*AU392-AX392</f>
        <v>#DIV/0!</v>
      </c>
      <c r="BA392" s="3" t="e">
        <f>IF('Entrada e Saida'!$H$12="REAL",AZ392*'Entrada e Saida'!$G$81,AU392*'Entrada e Saida'!$G$81)</f>
        <v>#DIV/0!</v>
      </c>
      <c r="BB392" s="3" t="e">
        <f>IF('Entrada e Saida'!$H$12="REAL",AZ392*'Entrada e Saida'!$G$82,AU392*'Entrada e Saida'!$G$82)</f>
        <v>#DIV/0!</v>
      </c>
      <c r="BC392" s="4" t="e">
        <f t="shared" si="166"/>
        <v>#DIV/0!</v>
      </c>
      <c r="BD392" s="3" t="e">
        <f>IF('Entrada e Saida'!$H$11="TRADING",AW392/D392,AK392/D392)</f>
        <v>#DIV/0!</v>
      </c>
      <c r="BE392" s="3" t="e">
        <f t="shared" si="167"/>
        <v>#DIV/0!</v>
      </c>
      <c r="BF392" s="2" t="e">
        <f t="shared" si="168"/>
        <v>#DIV/0!</v>
      </c>
      <c r="BG392" s="3" t="e">
        <f>IF('Entrada e Saida'!$H$11="TRADING",AV392/D392,AN392/D392)</f>
        <v>#DIV/0!</v>
      </c>
      <c r="BH392" s="3" t="e">
        <f>IF('Entrada e Saida'!$H$11="TRADING",IF('Entrada e Saida'!$H$12="REAL",AR392/D392,0),AL392/D392)</f>
        <v>#DIV/0!</v>
      </c>
      <c r="BI392" s="3" t="e">
        <f>IF('Entrada e Saida'!$H$11="TRADING",IF('Entrada e Saida'!$H$12="REAL",AS392/D392,0),AM392/D392)</f>
        <v>#DIV/0!</v>
      </c>
      <c r="BJ392" s="3" t="e">
        <f>IF('Entrada e Saida'!$H$11="TRADING",AT392/D392,AO392/D392)</f>
        <v>#DIV/0!</v>
      </c>
      <c r="BK392" s="2" t="e">
        <f t="shared" si="169"/>
        <v>#DIV/0!</v>
      </c>
      <c r="BL392" s="2">
        <f>IF(O392&gt;0,IFERROR(IF('Entrada e Saida'!$H$11="DIRETA",0,(IF('Entrada e Saida'!$H$14="P.JURIDICA",(BD392*(1+O392)*N392)-((BD392/(1+M392))*'Entrada e Saida'!$G$65),((Produtos!N392-'Entrada e Saida'!$G$65)*Produtos!BD392)))),0),0)</f>
        <v>0</v>
      </c>
      <c r="BM392" s="2" t="e">
        <f t="shared" si="170"/>
        <v>#DIV/0!</v>
      </c>
    </row>
    <row r="393" spans="1:65" s="1" customFormat="1">
      <c r="A393" s="127"/>
      <c r="B393" s="114">
        <f>IFERROR(VLOOKUP(A393,'Master Modelo'!A:I,7,FALSE),0)</f>
        <v>0</v>
      </c>
      <c r="C393" s="116">
        <f>IFERROR(VLOOKUP(A393,'Master Modelo'!A:I,2,FALSE),0)</f>
        <v>0</v>
      </c>
      <c r="D393" s="146"/>
      <c r="E393" s="115">
        <f>IFERROR(VLOOKUP(A393,'Master Modelo'!A:I,9,FALSE),0)</f>
        <v>0</v>
      </c>
      <c r="F393" s="189">
        <f>IFERROR(VLOOKUP(A393,'Master Modelo'!A:I,8,FALSE),0)</f>
        <v>0</v>
      </c>
      <c r="G393" s="189">
        <f>IFERROR(VLOOKUP(A393,'Master Modelo'!A:K,11,FALSE),0)</f>
        <v>0</v>
      </c>
      <c r="H393" s="114" t="e">
        <f t="shared" si="153"/>
        <v>#DIV/0!</v>
      </c>
      <c r="I393" s="150">
        <f>IFERROR(VLOOKUP(A393,'Master Modelo'!A:I,3,FALSE),0)</f>
        <v>0</v>
      </c>
      <c r="J393" s="151">
        <f>IFERROR(VLOOKUP(A393,'Master Modelo'!A:I,5,FALSE),0)</f>
        <v>0</v>
      </c>
      <c r="K393" s="151">
        <f>IFERROR(VLOOKUP(A393,'Master Modelo'!A:I,6,FALSE),0)</f>
        <v>0</v>
      </c>
      <c r="L393" s="152" t="e">
        <f>VLOOKUP(A393,'Master Modelo'!A:J,10,FALSE)</f>
        <v>#N/A</v>
      </c>
      <c r="M393" s="150">
        <f>IFERROR(VLOOKUP(A393,'Master Modelo'!A:I,4,FALSE),0)</f>
        <v>0</v>
      </c>
      <c r="N393" s="128"/>
      <c r="O393" s="129"/>
      <c r="P393" s="9">
        <f t="shared" si="154"/>
        <v>0</v>
      </c>
      <c r="Q393" s="177">
        <f t="shared" si="171"/>
        <v>0</v>
      </c>
      <c r="R393" s="3">
        <f>D393*E393*'Entrada e Saida'!$K$8</f>
        <v>0</v>
      </c>
      <c r="S393" s="179" t="e">
        <f>'Entrada e Saida'!$H$21*'Entrada e Saida'!$K$8*(P393/(SUM(P:P)))</f>
        <v>#DIV/0!</v>
      </c>
      <c r="T393" s="179" t="e">
        <f>'Entrada e Saida'!$H$21*'Entrada e Saida'!$K$8*(Q393/(SUM(Q:Q)))</f>
        <v>#DIV/0!</v>
      </c>
      <c r="U393" s="179" t="e">
        <f>'Entrada e Saida'!$H$22*(P393/(SUM(P:P)))</f>
        <v>#DIV/0!</v>
      </c>
      <c r="V393" s="179" t="e">
        <f>'Entrada e Saida'!$H$22*(Q393/(SUM(Q:Q)))</f>
        <v>#DIV/0!</v>
      </c>
      <c r="W393" s="8" t="e">
        <f t="shared" si="155"/>
        <v>#DIV/0!</v>
      </c>
      <c r="X393" s="179" t="e">
        <f>'Entrada e Saida'!$H$26*(IF('Entrada e Saida'!$H$15="PESO",(P393/(SUM(P:P))),(Q393/(SUM(Q:Q)))))</f>
        <v>#DIV/0!</v>
      </c>
      <c r="Y393" s="179" t="e">
        <f>'Entrada e Saida'!$H$27*(IF('Entrada e Saida'!$H$15="PESO",(P393/(SUM(P:P))),(Q393/(SUM(Q:Q)))))</f>
        <v>#DIV/0!</v>
      </c>
      <c r="Z393" s="179" t="e">
        <f>'Entrada e Saida'!$H$28*(IF('Entrada e Saida'!$H$15="PESO",(P393/(SUM(P:P))),(Q393/(SUM(Q:Q)))))</f>
        <v>#DIV/0!</v>
      </c>
      <c r="AA393" s="10" t="e">
        <f t="shared" si="156"/>
        <v>#DIV/0!</v>
      </c>
      <c r="AB393" s="3" t="e">
        <f t="shared" si="157"/>
        <v>#DIV/0!</v>
      </c>
      <c r="AC393" s="3" t="e">
        <f t="shared" si="158"/>
        <v>#DIV/0!</v>
      </c>
      <c r="AD393" s="3" t="e">
        <f t="shared" si="159"/>
        <v>#DIV/0!</v>
      </c>
      <c r="AE393" s="9" t="e">
        <f t="shared" si="160"/>
        <v>#DIV/0!</v>
      </c>
      <c r="AF393" s="126">
        <f>IFERROR(D393*F393*L393*'Entrada e Saida'!$K$8,0)</f>
        <v>0</v>
      </c>
      <c r="AG393" s="3" t="e">
        <f>((W393+AA393+AB393+AC393+AD393+AE393+AF393)/(1-'Entrada e Saida'!$G$65))*'Entrada e Saida'!$I$66</f>
        <v>#DIV/0!</v>
      </c>
      <c r="AH393" s="8" t="e">
        <f t="shared" si="161"/>
        <v>#DIV/0!</v>
      </c>
      <c r="AI393" s="183" t="e">
        <f>'Entrada e Saida'!$K$51*(IF('Entrada e Saida'!$H$15="PESO",(P393/(SUM(P:P))),(Q393/(SUM(Q:Q)))))</f>
        <v>#DIV/0!</v>
      </c>
      <c r="AJ393" s="7">
        <f>(('Entrada e Saida'!$K$10-'Entrada e Saida'!$K$8)*E393*D393)</f>
        <v>0</v>
      </c>
      <c r="AK393" s="184" t="e">
        <f>IF('Entrada e Saida'!$H$15="PESO",W393+AA393+AH393+AI393+AJ393,W393+AA393+AH393+AI393+AJ393-S393+T393-U393+V393)</f>
        <v>#DIV/0!</v>
      </c>
      <c r="AL393" s="6" t="e">
        <f>IF('Entrada e Saida'!$H$12="REAL",AC393,0)</f>
        <v>#DIV/0!</v>
      </c>
      <c r="AM393" s="6" t="e">
        <f>IF('Entrada e Saida'!$H$12="REAL",AD393,0)</f>
        <v>#DIV/0!</v>
      </c>
      <c r="AN393" s="5" t="e">
        <f>IF('Entrada e Saida'!$H$13= "NÃO",AE393,0)</f>
        <v>#DIV/0!</v>
      </c>
      <c r="AO393" s="5" t="e">
        <f t="shared" si="162"/>
        <v>#DIV/0!</v>
      </c>
      <c r="AP393" s="4" t="e">
        <f t="shared" si="163"/>
        <v>#DIV/0!</v>
      </c>
      <c r="AQ393" s="3" t="e">
        <f>IF('Entrada e Saida'!$H$11="TRADING",AU393*'Custo Resumido'!D393,0)</f>
        <v>#DIV/0!</v>
      </c>
      <c r="AR393" s="3" t="e">
        <f>IF('Entrada e Saida'!$H$11="TRADING",AU393*'Entrada e Saida'!$G$63,0)</f>
        <v>#DIV/0!</v>
      </c>
      <c r="AS393" s="3" t="e">
        <f>IF('Entrada e Saida'!$H$11="TRADING",AU393*'Entrada e Saida'!$G$64,0)</f>
        <v>#DIV/0!</v>
      </c>
      <c r="AT393" s="3" t="e">
        <f>IF('Entrada e Saida'!$H$11="TRADING",AU393*'Entrada e Saida'!$G$65,0)</f>
        <v>#DIV/0!</v>
      </c>
      <c r="AU393" s="4" t="e">
        <f>IF('Entrada e Saida'!$H$11="TRADING",AP393/(1-(SUM('Entrada e Saida'!$G$63:$G$65)+'Custo Resumido'!D393)),0)</f>
        <v>#DIV/0!</v>
      </c>
      <c r="AV393" s="3" t="e">
        <f>IF('Entrada e Saida'!$H$13="NÃO",AU393*M393,0)</f>
        <v>#DIV/0!</v>
      </c>
      <c r="AW393" s="4" t="e">
        <f t="shared" si="164"/>
        <v>#DIV/0!</v>
      </c>
      <c r="AX393" s="3" t="e">
        <f>'Entrada e Saida'!$G$74*AU393</f>
        <v>#DIV/0!</v>
      </c>
      <c r="AY393" s="4" t="e">
        <f t="shared" si="165"/>
        <v>#DIV/0!</v>
      </c>
      <c r="AZ393" s="4" t="e">
        <f>AQ393+('Entrada e Saida'!$G$65-'Entrada e Saida'!$I$65)*AU393-AX393</f>
        <v>#DIV/0!</v>
      </c>
      <c r="BA393" s="3" t="e">
        <f>IF('Entrada e Saida'!$H$12="REAL",AZ393*'Entrada e Saida'!$G$81,AU393*'Entrada e Saida'!$G$81)</f>
        <v>#DIV/0!</v>
      </c>
      <c r="BB393" s="3" t="e">
        <f>IF('Entrada e Saida'!$H$12="REAL",AZ393*'Entrada e Saida'!$G$82,AU393*'Entrada e Saida'!$G$82)</f>
        <v>#DIV/0!</v>
      </c>
      <c r="BC393" s="4" t="e">
        <f t="shared" si="166"/>
        <v>#DIV/0!</v>
      </c>
      <c r="BD393" s="3" t="e">
        <f>IF('Entrada e Saida'!$H$11="TRADING",AW393/D393,AK393/D393)</f>
        <v>#DIV/0!</v>
      </c>
      <c r="BE393" s="3" t="e">
        <f t="shared" si="167"/>
        <v>#DIV/0!</v>
      </c>
      <c r="BF393" s="2" t="e">
        <f t="shared" si="168"/>
        <v>#DIV/0!</v>
      </c>
      <c r="BG393" s="3" t="e">
        <f>IF('Entrada e Saida'!$H$11="TRADING",AV393/D393,AN393/D393)</f>
        <v>#DIV/0!</v>
      </c>
      <c r="BH393" s="3" t="e">
        <f>IF('Entrada e Saida'!$H$11="TRADING",IF('Entrada e Saida'!$H$12="REAL",AR393/D393,0),AL393/D393)</f>
        <v>#DIV/0!</v>
      </c>
      <c r="BI393" s="3" t="e">
        <f>IF('Entrada e Saida'!$H$11="TRADING",IF('Entrada e Saida'!$H$12="REAL",AS393/D393,0),AM393/D393)</f>
        <v>#DIV/0!</v>
      </c>
      <c r="BJ393" s="3" t="e">
        <f>IF('Entrada e Saida'!$H$11="TRADING",AT393/D393,AO393/D393)</f>
        <v>#DIV/0!</v>
      </c>
      <c r="BK393" s="2" t="e">
        <f t="shared" si="169"/>
        <v>#DIV/0!</v>
      </c>
      <c r="BL393" s="2">
        <f>IF(O393&gt;0,IFERROR(IF('Entrada e Saida'!$H$11="DIRETA",0,(IF('Entrada e Saida'!$H$14="P.JURIDICA",(BD393*(1+O393)*N393)-((BD393/(1+M393))*'Entrada e Saida'!$G$65),((Produtos!N393-'Entrada e Saida'!$G$65)*Produtos!BD393)))),0),0)</f>
        <v>0</v>
      </c>
      <c r="BM393" s="2" t="e">
        <f t="shared" si="170"/>
        <v>#DIV/0!</v>
      </c>
    </row>
    <row r="394" spans="1:65" s="1" customFormat="1">
      <c r="A394" s="127"/>
      <c r="B394" s="114">
        <f>IFERROR(VLOOKUP(A394,'Master Modelo'!A:I,7,FALSE),0)</f>
        <v>0</v>
      </c>
      <c r="C394" s="116">
        <f>IFERROR(VLOOKUP(A394,'Master Modelo'!A:I,2,FALSE),0)</f>
        <v>0</v>
      </c>
      <c r="D394" s="146"/>
      <c r="E394" s="115">
        <f>IFERROR(VLOOKUP(A394,'Master Modelo'!A:I,9,FALSE),0)</f>
        <v>0</v>
      </c>
      <c r="F394" s="189">
        <f>IFERROR(VLOOKUP(A394,'Master Modelo'!A:I,8,FALSE),0)</f>
        <v>0</v>
      </c>
      <c r="G394" s="189">
        <f>IFERROR(VLOOKUP(A394,'Master Modelo'!A:K,11,FALSE),0)</f>
        <v>0</v>
      </c>
      <c r="H394" s="114" t="e">
        <f t="shared" si="153"/>
        <v>#DIV/0!</v>
      </c>
      <c r="I394" s="150">
        <f>IFERROR(VLOOKUP(A394,'Master Modelo'!A:I,3,FALSE),0)</f>
        <v>0</v>
      </c>
      <c r="J394" s="151">
        <f>IFERROR(VLOOKUP(A394,'Master Modelo'!A:I,5,FALSE),0)</f>
        <v>0</v>
      </c>
      <c r="K394" s="151">
        <f>IFERROR(VLOOKUP(A394,'Master Modelo'!A:I,6,FALSE),0)</f>
        <v>0</v>
      </c>
      <c r="L394" s="152" t="e">
        <f>VLOOKUP(A394,'Master Modelo'!A:J,10,FALSE)</f>
        <v>#N/A</v>
      </c>
      <c r="M394" s="150">
        <f>IFERROR(VLOOKUP(A394,'Master Modelo'!A:I,4,FALSE),0)</f>
        <v>0</v>
      </c>
      <c r="N394" s="128"/>
      <c r="O394" s="129"/>
      <c r="P394" s="9">
        <f t="shared" si="154"/>
        <v>0</v>
      </c>
      <c r="Q394" s="177">
        <f t="shared" si="171"/>
        <v>0</v>
      </c>
      <c r="R394" s="3">
        <f>D394*E394*'Entrada e Saida'!$K$8</f>
        <v>0</v>
      </c>
      <c r="S394" s="179" t="e">
        <f>'Entrada e Saida'!$H$21*'Entrada e Saida'!$K$8*(P394/(SUM(P:P)))</f>
        <v>#DIV/0!</v>
      </c>
      <c r="T394" s="179" t="e">
        <f>'Entrada e Saida'!$H$21*'Entrada e Saida'!$K$8*(Q394/(SUM(Q:Q)))</f>
        <v>#DIV/0!</v>
      </c>
      <c r="U394" s="179" t="e">
        <f>'Entrada e Saida'!$H$22*(P394/(SUM(P:P)))</f>
        <v>#DIV/0!</v>
      </c>
      <c r="V394" s="179" t="e">
        <f>'Entrada e Saida'!$H$22*(Q394/(SUM(Q:Q)))</f>
        <v>#DIV/0!</v>
      </c>
      <c r="W394" s="8" t="e">
        <f t="shared" si="155"/>
        <v>#DIV/0!</v>
      </c>
      <c r="X394" s="179" t="e">
        <f>'Entrada e Saida'!$H$26*(IF('Entrada e Saida'!$H$15="PESO",(P394/(SUM(P:P))),(Q394/(SUM(Q:Q)))))</f>
        <v>#DIV/0!</v>
      </c>
      <c r="Y394" s="179" t="e">
        <f>'Entrada e Saida'!$H$27*(IF('Entrada e Saida'!$H$15="PESO",(P394/(SUM(P:P))),(Q394/(SUM(Q:Q)))))</f>
        <v>#DIV/0!</v>
      </c>
      <c r="Z394" s="179" t="e">
        <f>'Entrada e Saida'!$H$28*(IF('Entrada e Saida'!$H$15="PESO",(P394/(SUM(P:P))),(Q394/(SUM(Q:Q)))))</f>
        <v>#DIV/0!</v>
      </c>
      <c r="AA394" s="10" t="e">
        <f t="shared" si="156"/>
        <v>#DIV/0!</v>
      </c>
      <c r="AB394" s="3" t="e">
        <f t="shared" si="157"/>
        <v>#DIV/0!</v>
      </c>
      <c r="AC394" s="3" t="e">
        <f t="shared" si="158"/>
        <v>#DIV/0!</v>
      </c>
      <c r="AD394" s="3" t="e">
        <f t="shared" si="159"/>
        <v>#DIV/0!</v>
      </c>
      <c r="AE394" s="9" t="e">
        <f t="shared" si="160"/>
        <v>#DIV/0!</v>
      </c>
      <c r="AF394" s="126">
        <f>IFERROR(D394*F394*L394*'Entrada e Saida'!$K$8,0)</f>
        <v>0</v>
      </c>
      <c r="AG394" s="3" t="e">
        <f>((W394+AA394+AB394+AC394+AD394+AE394+AF394)/(1-'Entrada e Saida'!$G$65))*'Entrada e Saida'!$I$66</f>
        <v>#DIV/0!</v>
      </c>
      <c r="AH394" s="8" t="e">
        <f t="shared" si="161"/>
        <v>#DIV/0!</v>
      </c>
      <c r="AI394" s="183" t="e">
        <f>'Entrada e Saida'!$K$51*(IF('Entrada e Saida'!$H$15="PESO",(P394/(SUM(P:P))),(Q394/(SUM(Q:Q)))))</f>
        <v>#DIV/0!</v>
      </c>
      <c r="AJ394" s="7">
        <f>(('Entrada e Saida'!$K$10-'Entrada e Saida'!$K$8)*E394*D394)</f>
        <v>0</v>
      </c>
      <c r="AK394" s="184" t="e">
        <f>IF('Entrada e Saida'!$H$15="PESO",W394+AA394+AH394+AI394+AJ394,W394+AA394+AH394+AI394+AJ394-S394+T394-U394+V394)</f>
        <v>#DIV/0!</v>
      </c>
      <c r="AL394" s="6" t="e">
        <f>IF('Entrada e Saida'!$H$12="REAL",AC394,0)</f>
        <v>#DIV/0!</v>
      </c>
      <c r="AM394" s="6" t="e">
        <f>IF('Entrada e Saida'!$H$12="REAL",AD394,0)</f>
        <v>#DIV/0!</v>
      </c>
      <c r="AN394" s="5" t="e">
        <f>IF('Entrada e Saida'!$H$13= "NÃO",AE394,0)</f>
        <v>#DIV/0!</v>
      </c>
      <c r="AO394" s="5" t="e">
        <f t="shared" si="162"/>
        <v>#DIV/0!</v>
      </c>
      <c r="AP394" s="4" t="e">
        <f t="shared" si="163"/>
        <v>#DIV/0!</v>
      </c>
      <c r="AQ394" s="3" t="e">
        <f>IF('Entrada e Saida'!$H$11="TRADING",AU394*'Custo Resumido'!D394,0)</f>
        <v>#DIV/0!</v>
      </c>
      <c r="AR394" s="3" t="e">
        <f>IF('Entrada e Saida'!$H$11="TRADING",AU394*'Entrada e Saida'!$G$63,0)</f>
        <v>#DIV/0!</v>
      </c>
      <c r="AS394" s="3" t="e">
        <f>IF('Entrada e Saida'!$H$11="TRADING",AU394*'Entrada e Saida'!$G$64,0)</f>
        <v>#DIV/0!</v>
      </c>
      <c r="AT394" s="3" t="e">
        <f>IF('Entrada e Saida'!$H$11="TRADING",AU394*'Entrada e Saida'!$G$65,0)</f>
        <v>#DIV/0!</v>
      </c>
      <c r="AU394" s="4" t="e">
        <f>IF('Entrada e Saida'!$H$11="TRADING",AP394/(1-(SUM('Entrada e Saida'!$G$63:$G$65)+'Custo Resumido'!D394)),0)</f>
        <v>#DIV/0!</v>
      </c>
      <c r="AV394" s="3" t="e">
        <f>IF('Entrada e Saida'!$H$13="NÃO",AU394*M394,0)</f>
        <v>#DIV/0!</v>
      </c>
      <c r="AW394" s="4" t="e">
        <f t="shared" si="164"/>
        <v>#DIV/0!</v>
      </c>
      <c r="AX394" s="3" t="e">
        <f>'Entrada e Saida'!$G$74*AU394</f>
        <v>#DIV/0!</v>
      </c>
      <c r="AY394" s="4" t="e">
        <f t="shared" si="165"/>
        <v>#DIV/0!</v>
      </c>
      <c r="AZ394" s="4" t="e">
        <f>AQ394+('Entrada e Saida'!$G$65-'Entrada e Saida'!$I$65)*AU394-AX394</f>
        <v>#DIV/0!</v>
      </c>
      <c r="BA394" s="3" t="e">
        <f>IF('Entrada e Saida'!$H$12="REAL",AZ394*'Entrada e Saida'!$G$81,AU394*'Entrada e Saida'!$G$81)</f>
        <v>#DIV/0!</v>
      </c>
      <c r="BB394" s="3" t="e">
        <f>IF('Entrada e Saida'!$H$12="REAL",AZ394*'Entrada e Saida'!$G$82,AU394*'Entrada e Saida'!$G$82)</f>
        <v>#DIV/0!</v>
      </c>
      <c r="BC394" s="4" t="e">
        <f t="shared" si="166"/>
        <v>#DIV/0!</v>
      </c>
      <c r="BD394" s="3" t="e">
        <f>IF('Entrada e Saida'!$H$11="TRADING",AW394/D394,AK394/D394)</f>
        <v>#DIV/0!</v>
      </c>
      <c r="BE394" s="3" t="e">
        <f t="shared" si="167"/>
        <v>#DIV/0!</v>
      </c>
      <c r="BF394" s="2" t="e">
        <f t="shared" si="168"/>
        <v>#DIV/0!</v>
      </c>
      <c r="BG394" s="3" t="e">
        <f>IF('Entrada e Saida'!$H$11="TRADING",AV394/D394,AN394/D394)</f>
        <v>#DIV/0!</v>
      </c>
      <c r="BH394" s="3" t="e">
        <f>IF('Entrada e Saida'!$H$11="TRADING",IF('Entrada e Saida'!$H$12="REAL",AR394/D394,0),AL394/D394)</f>
        <v>#DIV/0!</v>
      </c>
      <c r="BI394" s="3" t="e">
        <f>IF('Entrada e Saida'!$H$11="TRADING",IF('Entrada e Saida'!$H$12="REAL",AS394/D394,0),AM394/D394)</f>
        <v>#DIV/0!</v>
      </c>
      <c r="BJ394" s="3" t="e">
        <f>IF('Entrada e Saida'!$H$11="TRADING",AT394/D394,AO394/D394)</f>
        <v>#DIV/0!</v>
      </c>
      <c r="BK394" s="2" t="e">
        <f t="shared" si="169"/>
        <v>#DIV/0!</v>
      </c>
      <c r="BL394" s="2">
        <f>IF(O394&gt;0,IFERROR(IF('Entrada e Saida'!$H$11="DIRETA",0,(IF('Entrada e Saida'!$H$14="P.JURIDICA",(BD394*(1+O394)*N394)-((BD394/(1+M394))*'Entrada e Saida'!$G$65),((Produtos!N394-'Entrada e Saida'!$G$65)*Produtos!BD394)))),0),0)</f>
        <v>0</v>
      </c>
      <c r="BM394" s="2" t="e">
        <f t="shared" si="170"/>
        <v>#DIV/0!</v>
      </c>
    </row>
    <row r="395" spans="1:65" s="1" customFormat="1">
      <c r="A395" s="127"/>
      <c r="B395" s="114">
        <f>IFERROR(VLOOKUP(A395,'Master Modelo'!A:I,7,FALSE),0)</f>
        <v>0</v>
      </c>
      <c r="C395" s="116">
        <f>IFERROR(VLOOKUP(A395,'Master Modelo'!A:I,2,FALSE),0)</f>
        <v>0</v>
      </c>
      <c r="D395" s="146"/>
      <c r="E395" s="115">
        <f>IFERROR(VLOOKUP(A395,'Master Modelo'!A:I,9,FALSE),0)</f>
        <v>0</v>
      </c>
      <c r="F395" s="189">
        <f>IFERROR(VLOOKUP(A395,'Master Modelo'!A:I,8,FALSE),0)</f>
        <v>0</v>
      </c>
      <c r="G395" s="189">
        <f>IFERROR(VLOOKUP(A395,'Master Modelo'!A:K,11,FALSE),0)</f>
        <v>0</v>
      </c>
      <c r="H395" s="114" t="e">
        <f t="shared" si="153"/>
        <v>#DIV/0!</v>
      </c>
      <c r="I395" s="150">
        <f>IFERROR(VLOOKUP(A395,'Master Modelo'!A:I,3,FALSE),0)</f>
        <v>0</v>
      </c>
      <c r="J395" s="151">
        <f>IFERROR(VLOOKUP(A395,'Master Modelo'!A:I,5,FALSE),0)</f>
        <v>0</v>
      </c>
      <c r="K395" s="151">
        <f>IFERROR(VLOOKUP(A395,'Master Modelo'!A:I,6,FALSE),0)</f>
        <v>0</v>
      </c>
      <c r="L395" s="152" t="e">
        <f>VLOOKUP(A395,'Master Modelo'!A:J,10,FALSE)</f>
        <v>#N/A</v>
      </c>
      <c r="M395" s="150">
        <f>IFERROR(VLOOKUP(A395,'Master Modelo'!A:I,4,FALSE),0)</f>
        <v>0</v>
      </c>
      <c r="N395" s="128"/>
      <c r="O395" s="129"/>
      <c r="P395" s="9">
        <f t="shared" si="154"/>
        <v>0</v>
      </c>
      <c r="Q395" s="177">
        <f t="shared" si="171"/>
        <v>0</v>
      </c>
      <c r="R395" s="3">
        <f>D395*E395*'Entrada e Saida'!$K$8</f>
        <v>0</v>
      </c>
      <c r="S395" s="179" t="e">
        <f>'Entrada e Saida'!$H$21*'Entrada e Saida'!$K$8*(P395/(SUM(P:P)))</f>
        <v>#DIV/0!</v>
      </c>
      <c r="T395" s="179" t="e">
        <f>'Entrada e Saida'!$H$21*'Entrada e Saida'!$K$8*(Q395/(SUM(Q:Q)))</f>
        <v>#DIV/0!</v>
      </c>
      <c r="U395" s="179" t="e">
        <f>'Entrada e Saida'!$H$22*(P395/(SUM(P:P)))</f>
        <v>#DIV/0!</v>
      </c>
      <c r="V395" s="179" t="e">
        <f>'Entrada e Saida'!$H$22*(Q395/(SUM(Q:Q)))</f>
        <v>#DIV/0!</v>
      </c>
      <c r="W395" s="8" t="e">
        <f t="shared" si="155"/>
        <v>#DIV/0!</v>
      </c>
      <c r="X395" s="179" t="e">
        <f>'Entrada e Saida'!$H$26*(IF('Entrada e Saida'!$H$15="PESO",(P395/(SUM(P:P))),(Q395/(SUM(Q:Q)))))</f>
        <v>#DIV/0!</v>
      </c>
      <c r="Y395" s="179" t="e">
        <f>'Entrada e Saida'!$H$27*(IF('Entrada e Saida'!$H$15="PESO",(P395/(SUM(P:P))),(Q395/(SUM(Q:Q)))))</f>
        <v>#DIV/0!</v>
      </c>
      <c r="Z395" s="179" t="e">
        <f>'Entrada e Saida'!$H$28*(IF('Entrada e Saida'!$H$15="PESO",(P395/(SUM(P:P))),(Q395/(SUM(Q:Q)))))</f>
        <v>#DIV/0!</v>
      </c>
      <c r="AA395" s="10" t="e">
        <f t="shared" si="156"/>
        <v>#DIV/0!</v>
      </c>
      <c r="AB395" s="3" t="e">
        <f t="shared" si="157"/>
        <v>#DIV/0!</v>
      </c>
      <c r="AC395" s="3" t="e">
        <f t="shared" si="158"/>
        <v>#DIV/0!</v>
      </c>
      <c r="AD395" s="3" t="e">
        <f t="shared" si="159"/>
        <v>#DIV/0!</v>
      </c>
      <c r="AE395" s="9" t="e">
        <f t="shared" si="160"/>
        <v>#DIV/0!</v>
      </c>
      <c r="AF395" s="126">
        <f>IFERROR(D395*F395*L395*'Entrada e Saida'!$K$8,0)</f>
        <v>0</v>
      </c>
      <c r="AG395" s="3" t="e">
        <f>((W395+AA395+AB395+AC395+AD395+AE395+AF395)/(1-'Entrada e Saida'!$G$65))*'Entrada e Saida'!$I$66</f>
        <v>#DIV/0!</v>
      </c>
      <c r="AH395" s="8" t="e">
        <f t="shared" si="161"/>
        <v>#DIV/0!</v>
      </c>
      <c r="AI395" s="183" t="e">
        <f>'Entrada e Saida'!$K$51*(IF('Entrada e Saida'!$H$15="PESO",(P395/(SUM(P:P))),(Q395/(SUM(Q:Q)))))</f>
        <v>#DIV/0!</v>
      </c>
      <c r="AJ395" s="7">
        <f>(('Entrada e Saida'!$K$10-'Entrada e Saida'!$K$8)*E395*D395)</f>
        <v>0</v>
      </c>
      <c r="AK395" s="184" t="e">
        <f>IF('Entrada e Saida'!$H$15="PESO",W395+AA395+AH395+AI395+AJ395,W395+AA395+AH395+AI395+AJ395-S395+T395-U395+V395)</f>
        <v>#DIV/0!</v>
      </c>
      <c r="AL395" s="6" t="e">
        <f>IF('Entrada e Saida'!$H$12="REAL",AC395,0)</f>
        <v>#DIV/0!</v>
      </c>
      <c r="AM395" s="6" t="e">
        <f>IF('Entrada e Saida'!$H$12="REAL",AD395,0)</f>
        <v>#DIV/0!</v>
      </c>
      <c r="AN395" s="5" t="e">
        <f>IF('Entrada e Saida'!$H$13= "NÃO",AE395,0)</f>
        <v>#DIV/0!</v>
      </c>
      <c r="AO395" s="5" t="e">
        <f t="shared" si="162"/>
        <v>#DIV/0!</v>
      </c>
      <c r="AP395" s="4" t="e">
        <f t="shared" si="163"/>
        <v>#DIV/0!</v>
      </c>
      <c r="AQ395" s="3" t="e">
        <f>IF('Entrada e Saida'!$H$11="TRADING",AU395*'Custo Resumido'!D395,0)</f>
        <v>#DIV/0!</v>
      </c>
      <c r="AR395" s="3" t="e">
        <f>IF('Entrada e Saida'!$H$11="TRADING",AU395*'Entrada e Saida'!$G$63,0)</f>
        <v>#DIV/0!</v>
      </c>
      <c r="AS395" s="3" t="e">
        <f>IF('Entrada e Saida'!$H$11="TRADING",AU395*'Entrada e Saida'!$G$64,0)</f>
        <v>#DIV/0!</v>
      </c>
      <c r="AT395" s="3" t="e">
        <f>IF('Entrada e Saida'!$H$11="TRADING",AU395*'Entrada e Saida'!$G$65,0)</f>
        <v>#DIV/0!</v>
      </c>
      <c r="AU395" s="4" t="e">
        <f>IF('Entrada e Saida'!$H$11="TRADING",AP395/(1-(SUM('Entrada e Saida'!$G$63:$G$65)+'Custo Resumido'!D395)),0)</f>
        <v>#DIV/0!</v>
      </c>
      <c r="AV395" s="3" t="e">
        <f>IF('Entrada e Saida'!$H$13="NÃO",AU395*M395,0)</f>
        <v>#DIV/0!</v>
      </c>
      <c r="AW395" s="4" t="e">
        <f t="shared" si="164"/>
        <v>#DIV/0!</v>
      </c>
      <c r="AX395" s="3" t="e">
        <f>'Entrada e Saida'!$G$74*AU395</f>
        <v>#DIV/0!</v>
      </c>
      <c r="AY395" s="4" t="e">
        <f t="shared" si="165"/>
        <v>#DIV/0!</v>
      </c>
      <c r="AZ395" s="4" t="e">
        <f>AQ395+('Entrada e Saida'!$G$65-'Entrada e Saida'!$I$65)*AU395-AX395</f>
        <v>#DIV/0!</v>
      </c>
      <c r="BA395" s="3" t="e">
        <f>IF('Entrada e Saida'!$H$12="REAL",AZ395*'Entrada e Saida'!$G$81,AU395*'Entrada e Saida'!$G$81)</f>
        <v>#DIV/0!</v>
      </c>
      <c r="BB395" s="3" t="e">
        <f>IF('Entrada e Saida'!$H$12="REAL",AZ395*'Entrada e Saida'!$G$82,AU395*'Entrada e Saida'!$G$82)</f>
        <v>#DIV/0!</v>
      </c>
      <c r="BC395" s="4" t="e">
        <f t="shared" si="166"/>
        <v>#DIV/0!</v>
      </c>
      <c r="BD395" s="3" t="e">
        <f>IF('Entrada e Saida'!$H$11="TRADING",AW395/D395,AK395/D395)</f>
        <v>#DIV/0!</v>
      </c>
      <c r="BE395" s="3" t="e">
        <f t="shared" si="167"/>
        <v>#DIV/0!</v>
      </c>
      <c r="BF395" s="2" t="e">
        <f t="shared" si="168"/>
        <v>#DIV/0!</v>
      </c>
      <c r="BG395" s="3" t="e">
        <f>IF('Entrada e Saida'!$H$11="TRADING",AV395/D395,AN395/D395)</f>
        <v>#DIV/0!</v>
      </c>
      <c r="BH395" s="3" t="e">
        <f>IF('Entrada e Saida'!$H$11="TRADING",IF('Entrada e Saida'!$H$12="REAL",AR395/D395,0),AL395/D395)</f>
        <v>#DIV/0!</v>
      </c>
      <c r="BI395" s="3" t="e">
        <f>IF('Entrada e Saida'!$H$11="TRADING",IF('Entrada e Saida'!$H$12="REAL",AS395/D395,0),AM395/D395)</f>
        <v>#DIV/0!</v>
      </c>
      <c r="BJ395" s="3" t="e">
        <f>IF('Entrada e Saida'!$H$11="TRADING",AT395/D395,AO395/D395)</f>
        <v>#DIV/0!</v>
      </c>
      <c r="BK395" s="2" t="e">
        <f t="shared" si="169"/>
        <v>#DIV/0!</v>
      </c>
      <c r="BL395" s="2">
        <f>IF(O395&gt;0,IFERROR(IF('Entrada e Saida'!$H$11="DIRETA",0,(IF('Entrada e Saida'!$H$14="P.JURIDICA",(BD395*(1+O395)*N395)-((BD395/(1+M395))*'Entrada e Saida'!$G$65),((Produtos!N395-'Entrada e Saida'!$G$65)*Produtos!BD395)))),0),0)</f>
        <v>0</v>
      </c>
      <c r="BM395" s="2" t="e">
        <f t="shared" si="170"/>
        <v>#DIV/0!</v>
      </c>
    </row>
    <row r="396" spans="1:65" s="1" customFormat="1">
      <c r="A396" s="127"/>
      <c r="B396" s="114">
        <f>IFERROR(VLOOKUP(A396,'Master Modelo'!A:I,7,FALSE),0)</f>
        <v>0</v>
      </c>
      <c r="C396" s="116">
        <f>IFERROR(VLOOKUP(A396,'Master Modelo'!A:I,2,FALSE),0)</f>
        <v>0</v>
      </c>
      <c r="D396" s="146"/>
      <c r="E396" s="115">
        <f>IFERROR(VLOOKUP(A396,'Master Modelo'!A:I,9,FALSE),0)</f>
        <v>0</v>
      </c>
      <c r="F396" s="189">
        <f>IFERROR(VLOOKUP(A396,'Master Modelo'!A:I,8,FALSE),0)</f>
        <v>0</v>
      </c>
      <c r="G396" s="189">
        <f>IFERROR(VLOOKUP(A396,'Master Modelo'!A:K,11,FALSE),0)</f>
        <v>0</v>
      </c>
      <c r="H396" s="114" t="e">
        <f t="shared" si="153"/>
        <v>#DIV/0!</v>
      </c>
      <c r="I396" s="150">
        <f>IFERROR(VLOOKUP(A396,'Master Modelo'!A:I,3,FALSE),0)</f>
        <v>0</v>
      </c>
      <c r="J396" s="151">
        <f>IFERROR(VLOOKUP(A396,'Master Modelo'!A:I,5,FALSE),0)</f>
        <v>0</v>
      </c>
      <c r="K396" s="151">
        <f>IFERROR(VLOOKUP(A396,'Master Modelo'!A:I,6,FALSE),0)</f>
        <v>0</v>
      </c>
      <c r="L396" s="152" t="e">
        <f>VLOOKUP(A396,'Master Modelo'!A:J,10,FALSE)</f>
        <v>#N/A</v>
      </c>
      <c r="M396" s="150">
        <f>IFERROR(VLOOKUP(A396,'Master Modelo'!A:I,4,FALSE),0)</f>
        <v>0</v>
      </c>
      <c r="N396" s="128"/>
      <c r="O396" s="129"/>
      <c r="P396" s="9">
        <f t="shared" si="154"/>
        <v>0</v>
      </c>
      <c r="Q396" s="177">
        <f t="shared" si="171"/>
        <v>0</v>
      </c>
      <c r="R396" s="3">
        <f>D396*E396*'Entrada e Saida'!$K$8</f>
        <v>0</v>
      </c>
      <c r="S396" s="179" t="e">
        <f>'Entrada e Saida'!$H$21*'Entrada e Saida'!$K$8*(P396/(SUM(P:P)))</f>
        <v>#DIV/0!</v>
      </c>
      <c r="T396" s="179" t="e">
        <f>'Entrada e Saida'!$H$21*'Entrada e Saida'!$K$8*(Q396/(SUM(Q:Q)))</f>
        <v>#DIV/0!</v>
      </c>
      <c r="U396" s="179" t="e">
        <f>'Entrada e Saida'!$H$22*(P396/(SUM(P:P)))</f>
        <v>#DIV/0!</v>
      </c>
      <c r="V396" s="179" t="e">
        <f>'Entrada e Saida'!$H$22*(Q396/(SUM(Q:Q)))</f>
        <v>#DIV/0!</v>
      </c>
      <c r="W396" s="8" t="e">
        <f t="shared" si="155"/>
        <v>#DIV/0!</v>
      </c>
      <c r="X396" s="179" t="e">
        <f>'Entrada e Saida'!$H$26*(IF('Entrada e Saida'!$H$15="PESO",(P396/(SUM(P:P))),(Q396/(SUM(Q:Q)))))</f>
        <v>#DIV/0!</v>
      </c>
      <c r="Y396" s="179" t="e">
        <f>'Entrada e Saida'!$H$27*(IF('Entrada e Saida'!$H$15="PESO",(P396/(SUM(P:P))),(Q396/(SUM(Q:Q)))))</f>
        <v>#DIV/0!</v>
      </c>
      <c r="Z396" s="179" t="e">
        <f>'Entrada e Saida'!$H$28*(IF('Entrada e Saida'!$H$15="PESO",(P396/(SUM(P:P))),(Q396/(SUM(Q:Q)))))</f>
        <v>#DIV/0!</v>
      </c>
      <c r="AA396" s="10" t="e">
        <f t="shared" si="156"/>
        <v>#DIV/0!</v>
      </c>
      <c r="AB396" s="3" t="e">
        <f t="shared" si="157"/>
        <v>#DIV/0!</v>
      </c>
      <c r="AC396" s="3" t="e">
        <f t="shared" si="158"/>
        <v>#DIV/0!</v>
      </c>
      <c r="AD396" s="3" t="e">
        <f t="shared" si="159"/>
        <v>#DIV/0!</v>
      </c>
      <c r="AE396" s="9" t="e">
        <f t="shared" si="160"/>
        <v>#DIV/0!</v>
      </c>
      <c r="AF396" s="126">
        <f>IFERROR(D396*F396*L396*'Entrada e Saida'!$K$8,0)</f>
        <v>0</v>
      </c>
      <c r="AG396" s="3" t="e">
        <f>((W396+AA396+AB396+AC396+AD396+AE396+AF396)/(1-'Entrada e Saida'!$G$65))*'Entrada e Saida'!$I$66</f>
        <v>#DIV/0!</v>
      </c>
      <c r="AH396" s="8" t="e">
        <f t="shared" si="161"/>
        <v>#DIV/0!</v>
      </c>
      <c r="AI396" s="183" t="e">
        <f>'Entrada e Saida'!$K$51*(IF('Entrada e Saida'!$H$15="PESO",(P396/(SUM(P:P))),(Q396/(SUM(Q:Q)))))</f>
        <v>#DIV/0!</v>
      </c>
      <c r="AJ396" s="7">
        <f>(('Entrada e Saida'!$K$10-'Entrada e Saida'!$K$8)*E396*D396)</f>
        <v>0</v>
      </c>
      <c r="AK396" s="184" t="e">
        <f>IF('Entrada e Saida'!$H$15="PESO",W396+AA396+AH396+AI396+AJ396,W396+AA396+AH396+AI396+AJ396-S396+T396-U396+V396)</f>
        <v>#DIV/0!</v>
      </c>
      <c r="AL396" s="6" t="e">
        <f>IF('Entrada e Saida'!$H$12="REAL",AC396,0)</f>
        <v>#DIV/0!</v>
      </c>
      <c r="AM396" s="6" t="e">
        <f>IF('Entrada e Saida'!$H$12="REAL",AD396,0)</f>
        <v>#DIV/0!</v>
      </c>
      <c r="AN396" s="5" t="e">
        <f>IF('Entrada e Saida'!$H$13= "NÃO",AE396,0)</f>
        <v>#DIV/0!</v>
      </c>
      <c r="AO396" s="5" t="e">
        <f t="shared" si="162"/>
        <v>#DIV/0!</v>
      </c>
      <c r="AP396" s="4" t="e">
        <f t="shared" si="163"/>
        <v>#DIV/0!</v>
      </c>
      <c r="AQ396" s="3" t="e">
        <f>IF('Entrada e Saida'!$H$11="TRADING",AU396*'Custo Resumido'!D396,0)</f>
        <v>#DIV/0!</v>
      </c>
      <c r="AR396" s="3" t="e">
        <f>IF('Entrada e Saida'!$H$11="TRADING",AU396*'Entrada e Saida'!$G$63,0)</f>
        <v>#DIV/0!</v>
      </c>
      <c r="AS396" s="3" t="e">
        <f>IF('Entrada e Saida'!$H$11="TRADING",AU396*'Entrada e Saida'!$G$64,0)</f>
        <v>#DIV/0!</v>
      </c>
      <c r="AT396" s="3" t="e">
        <f>IF('Entrada e Saida'!$H$11="TRADING",AU396*'Entrada e Saida'!$G$65,0)</f>
        <v>#DIV/0!</v>
      </c>
      <c r="AU396" s="4" t="e">
        <f>IF('Entrada e Saida'!$H$11="TRADING",AP396/(1-(SUM('Entrada e Saida'!$G$63:$G$65)+'Custo Resumido'!D396)),0)</f>
        <v>#DIV/0!</v>
      </c>
      <c r="AV396" s="3" t="e">
        <f>IF('Entrada e Saida'!$H$13="NÃO",AU396*M396,0)</f>
        <v>#DIV/0!</v>
      </c>
      <c r="AW396" s="4" t="e">
        <f t="shared" si="164"/>
        <v>#DIV/0!</v>
      </c>
      <c r="AX396" s="3" t="e">
        <f>'Entrada e Saida'!$G$74*AU396</f>
        <v>#DIV/0!</v>
      </c>
      <c r="AY396" s="4" t="e">
        <f t="shared" si="165"/>
        <v>#DIV/0!</v>
      </c>
      <c r="AZ396" s="4" t="e">
        <f>AQ396+('Entrada e Saida'!$G$65-'Entrada e Saida'!$I$65)*AU396-AX396</f>
        <v>#DIV/0!</v>
      </c>
      <c r="BA396" s="3" t="e">
        <f>IF('Entrada e Saida'!$H$12="REAL",AZ396*'Entrada e Saida'!$G$81,AU396*'Entrada e Saida'!$G$81)</f>
        <v>#DIV/0!</v>
      </c>
      <c r="BB396" s="3" t="e">
        <f>IF('Entrada e Saida'!$H$12="REAL",AZ396*'Entrada e Saida'!$G$82,AU396*'Entrada e Saida'!$G$82)</f>
        <v>#DIV/0!</v>
      </c>
      <c r="BC396" s="4" t="e">
        <f t="shared" si="166"/>
        <v>#DIV/0!</v>
      </c>
      <c r="BD396" s="3" t="e">
        <f>IF('Entrada e Saida'!$H$11="TRADING",AW396/D396,AK396/D396)</f>
        <v>#DIV/0!</v>
      </c>
      <c r="BE396" s="3" t="e">
        <f t="shared" si="167"/>
        <v>#DIV/0!</v>
      </c>
      <c r="BF396" s="2" t="e">
        <f t="shared" si="168"/>
        <v>#DIV/0!</v>
      </c>
      <c r="BG396" s="3" t="e">
        <f>IF('Entrada e Saida'!$H$11="TRADING",AV396/D396,AN396/D396)</f>
        <v>#DIV/0!</v>
      </c>
      <c r="BH396" s="3" t="e">
        <f>IF('Entrada e Saida'!$H$11="TRADING",IF('Entrada e Saida'!$H$12="REAL",AR396/D396,0),AL396/D396)</f>
        <v>#DIV/0!</v>
      </c>
      <c r="BI396" s="3" t="e">
        <f>IF('Entrada e Saida'!$H$11="TRADING",IF('Entrada e Saida'!$H$12="REAL",AS396/D396,0),AM396/D396)</f>
        <v>#DIV/0!</v>
      </c>
      <c r="BJ396" s="3" t="e">
        <f>IF('Entrada e Saida'!$H$11="TRADING",AT396/D396,AO396/D396)</f>
        <v>#DIV/0!</v>
      </c>
      <c r="BK396" s="2" t="e">
        <f t="shared" si="169"/>
        <v>#DIV/0!</v>
      </c>
      <c r="BL396" s="2">
        <f>IF(O396&gt;0,IFERROR(IF('Entrada e Saida'!$H$11="DIRETA",0,(IF('Entrada e Saida'!$H$14="P.JURIDICA",(BD396*(1+O396)*N396)-((BD396/(1+M396))*'Entrada e Saida'!$G$65),((Produtos!N396-'Entrada e Saida'!$G$65)*Produtos!BD396)))),0),0)</f>
        <v>0</v>
      </c>
      <c r="BM396" s="2" t="e">
        <f t="shared" si="170"/>
        <v>#DIV/0!</v>
      </c>
    </row>
    <row r="397" spans="1:65" s="1" customFormat="1">
      <c r="A397" s="127"/>
      <c r="B397" s="114">
        <f>IFERROR(VLOOKUP(A397,'Master Modelo'!A:I,7,FALSE),0)</f>
        <v>0</v>
      </c>
      <c r="C397" s="116">
        <f>IFERROR(VLOOKUP(A397,'Master Modelo'!A:I,2,FALSE),0)</f>
        <v>0</v>
      </c>
      <c r="D397" s="146"/>
      <c r="E397" s="115">
        <f>IFERROR(VLOOKUP(A397,'Master Modelo'!A:I,9,FALSE),0)</f>
        <v>0</v>
      </c>
      <c r="F397" s="189">
        <f>IFERROR(VLOOKUP(A397,'Master Modelo'!A:I,8,FALSE),0)</f>
        <v>0</v>
      </c>
      <c r="G397" s="189">
        <f>IFERROR(VLOOKUP(A397,'Master Modelo'!A:K,11,FALSE),0)</f>
        <v>0</v>
      </c>
      <c r="H397" s="114" t="e">
        <f t="shared" ref="H397:H460" si="172">(D397*E397)/(D397*F397)</f>
        <v>#DIV/0!</v>
      </c>
      <c r="I397" s="150">
        <f>IFERROR(VLOOKUP(A397,'Master Modelo'!A:I,3,FALSE),0)</f>
        <v>0</v>
      </c>
      <c r="J397" s="151">
        <f>IFERROR(VLOOKUP(A397,'Master Modelo'!A:I,5,FALSE),0)</f>
        <v>0</v>
      </c>
      <c r="K397" s="151">
        <f>IFERROR(VLOOKUP(A397,'Master Modelo'!A:I,6,FALSE),0)</f>
        <v>0</v>
      </c>
      <c r="L397" s="152" t="e">
        <f>VLOOKUP(A397,'Master Modelo'!A:J,10,FALSE)</f>
        <v>#N/A</v>
      </c>
      <c r="M397" s="150">
        <f>IFERROR(VLOOKUP(A397,'Master Modelo'!A:I,4,FALSE),0)</f>
        <v>0</v>
      </c>
      <c r="N397" s="128"/>
      <c r="O397" s="129"/>
      <c r="P397" s="9">
        <f t="shared" ref="P397:P460" si="173">D397*F397</f>
        <v>0</v>
      </c>
      <c r="Q397" s="177">
        <f t="shared" si="171"/>
        <v>0</v>
      </c>
      <c r="R397" s="3">
        <f>D397*E397*'Entrada e Saida'!$K$8</f>
        <v>0</v>
      </c>
      <c r="S397" s="179" t="e">
        <f>'Entrada e Saida'!$H$21*'Entrada e Saida'!$K$8*(P397/(SUM(P:P)))</f>
        <v>#DIV/0!</v>
      </c>
      <c r="T397" s="179" t="e">
        <f>'Entrada e Saida'!$H$21*'Entrada e Saida'!$K$8*(Q397/(SUM(Q:Q)))</f>
        <v>#DIV/0!</v>
      </c>
      <c r="U397" s="179" t="e">
        <f>'Entrada e Saida'!$H$22*(P397/(SUM(P:P)))</f>
        <v>#DIV/0!</v>
      </c>
      <c r="V397" s="179" t="e">
        <f>'Entrada e Saida'!$H$22*(Q397/(SUM(Q:Q)))</f>
        <v>#DIV/0!</v>
      </c>
      <c r="W397" s="8" t="e">
        <f t="shared" ref="W397:W460" si="174">R397+S397+U397</f>
        <v>#DIV/0!</v>
      </c>
      <c r="X397" s="179" t="e">
        <f>'Entrada e Saida'!$H$26*(IF('Entrada e Saida'!$H$15="PESO",(P397/(SUM(P:P))),(Q397/(SUM(Q:Q)))))</f>
        <v>#DIV/0!</v>
      </c>
      <c r="Y397" s="179" t="e">
        <f>'Entrada e Saida'!$H$27*(IF('Entrada e Saida'!$H$15="PESO",(P397/(SUM(P:P))),(Q397/(SUM(Q:Q)))))</f>
        <v>#DIV/0!</v>
      </c>
      <c r="Z397" s="179" t="e">
        <f>'Entrada e Saida'!$H$28*(IF('Entrada e Saida'!$H$15="PESO",(P397/(SUM(P:P))),(Q397/(SUM(Q:Q)))))</f>
        <v>#DIV/0!</v>
      </c>
      <c r="AA397" s="10" t="e">
        <f t="shared" ref="AA397:AA460" si="175">X397+Y397+Z397</f>
        <v>#DIV/0!</v>
      </c>
      <c r="AB397" s="3" t="e">
        <f t="shared" ref="AB397:AB460" si="176">W397*I397</f>
        <v>#DIV/0!</v>
      </c>
      <c r="AC397" s="3" t="e">
        <f t="shared" ref="AC397:AC460" si="177">W397*J397</f>
        <v>#DIV/0!</v>
      </c>
      <c r="AD397" s="3" t="e">
        <f t="shared" ref="AD397:AD460" si="178">W397*K397</f>
        <v>#DIV/0!</v>
      </c>
      <c r="AE397" s="9" t="e">
        <f t="shared" ref="AE397:AE460" si="179">(W397+AB397)*M397</f>
        <v>#DIV/0!</v>
      </c>
      <c r="AF397" s="126">
        <f>IFERROR(D397*F397*L397*'Entrada e Saida'!$K$8,0)</f>
        <v>0</v>
      </c>
      <c r="AG397" s="3" t="e">
        <f>((W397+AA397+AB397+AC397+AD397+AE397+AF397)/(1-'Entrada e Saida'!$G$65))*'Entrada e Saida'!$I$66</f>
        <v>#DIV/0!</v>
      </c>
      <c r="AH397" s="8" t="e">
        <f t="shared" ref="AH397:AH460" si="180">SUM(AB397:AG397)</f>
        <v>#DIV/0!</v>
      </c>
      <c r="AI397" s="183" t="e">
        <f>'Entrada e Saida'!$K$51*(IF('Entrada e Saida'!$H$15="PESO",(P397/(SUM(P:P))),(Q397/(SUM(Q:Q)))))</f>
        <v>#DIV/0!</v>
      </c>
      <c r="AJ397" s="7">
        <f>(('Entrada e Saida'!$K$10-'Entrada e Saida'!$K$8)*E397*D397)</f>
        <v>0</v>
      </c>
      <c r="AK397" s="184" t="e">
        <f>IF('Entrada e Saida'!$H$15="PESO",W397+AA397+AH397+AI397+AJ397,W397+AA397+AH397+AI397+AJ397-S397+T397-U397+V397)</f>
        <v>#DIV/0!</v>
      </c>
      <c r="AL397" s="6" t="e">
        <f>IF('Entrada e Saida'!$H$12="REAL",AC397,0)</f>
        <v>#DIV/0!</v>
      </c>
      <c r="AM397" s="6" t="e">
        <f>IF('Entrada e Saida'!$H$12="REAL",AD397,0)</f>
        <v>#DIV/0!</v>
      </c>
      <c r="AN397" s="5" t="e">
        <f>IF('Entrada e Saida'!$H$13= "NÃO",AE397,0)</f>
        <v>#DIV/0!</v>
      </c>
      <c r="AO397" s="5" t="e">
        <f t="shared" ref="AO397:AO460" si="181">AG397</f>
        <v>#DIV/0!</v>
      </c>
      <c r="AP397" s="4" t="e">
        <f t="shared" ref="AP397:AP460" si="182">AK397-SUM(AL397:AO397)</f>
        <v>#DIV/0!</v>
      </c>
      <c r="AQ397" s="3" t="e">
        <f>IF('Entrada e Saida'!$H$11="TRADING",AU397*'Custo Resumido'!D397,0)</f>
        <v>#DIV/0!</v>
      </c>
      <c r="AR397" s="3" t="e">
        <f>IF('Entrada e Saida'!$H$11="TRADING",AU397*'Entrada e Saida'!$G$63,0)</f>
        <v>#DIV/0!</v>
      </c>
      <c r="AS397" s="3" t="e">
        <f>IF('Entrada e Saida'!$H$11="TRADING",AU397*'Entrada e Saida'!$G$64,0)</f>
        <v>#DIV/0!</v>
      </c>
      <c r="AT397" s="3" t="e">
        <f>IF('Entrada e Saida'!$H$11="TRADING",AU397*'Entrada e Saida'!$G$65,0)</f>
        <v>#DIV/0!</v>
      </c>
      <c r="AU397" s="4" t="e">
        <f>IF('Entrada e Saida'!$H$11="TRADING",AP397/(1-(SUM('Entrada e Saida'!$G$63:$G$65)+'Custo Resumido'!D397)),0)</f>
        <v>#DIV/0!</v>
      </c>
      <c r="AV397" s="3" t="e">
        <f>IF('Entrada e Saida'!$H$13="NÃO",AU397*M397,0)</f>
        <v>#DIV/0!</v>
      </c>
      <c r="AW397" s="4" t="e">
        <f t="shared" ref="AW397:AW460" si="183">AU397+AV397</f>
        <v>#DIV/0!</v>
      </c>
      <c r="AX397" s="3" t="e">
        <f>'Entrada e Saida'!$G$74*AU397</f>
        <v>#DIV/0!</v>
      </c>
      <c r="AY397" s="4" t="e">
        <f t="shared" ref="AY397:AY460" si="184">AW397-AX397</f>
        <v>#DIV/0!</v>
      </c>
      <c r="AZ397" s="4" t="e">
        <f>AQ397+('Entrada e Saida'!$G$65-'Entrada e Saida'!$I$65)*AU397-AX397</f>
        <v>#DIV/0!</v>
      </c>
      <c r="BA397" s="3" t="e">
        <f>IF('Entrada e Saida'!$H$12="REAL",AZ397*'Entrada e Saida'!$G$81,AU397*'Entrada e Saida'!$G$81)</f>
        <v>#DIV/0!</v>
      </c>
      <c r="BB397" s="3" t="e">
        <f>IF('Entrada e Saida'!$H$12="REAL",AZ397*'Entrada e Saida'!$G$82,AU397*'Entrada e Saida'!$G$82)</f>
        <v>#DIV/0!</v>
      </c>
      <c r="BC397" s="4" t="e">
        <f t="shared" ref="BC397:BC460" si="185">AZ397-BA397-BB397</f>
        <v>#DIV/0!</v>
      </c>
      <c r="BD397" s="3" t="e">
        <f>IF('Entrada e Saida'!$H$11="TRADING",AW397/D397,AK397/D397)</f>
        <v>#DIV/0!</v>
      </c>
      <c r="BE397" s="3" t="e">
        <f t="shared" ref="BE397:BE460" si="186">AX397/D397</f>
        <v>#DIV/0!</v>
      </c>
      <c r="BF397" s="2" t="e">
        <f t="shared" ref="BF397:BF460" si="187">BD397-BE397</f>
        <v>#DIV/0!</v>
      </c>
      <c r="BG397" s="3" t="e">
        <f>IF('Entrada e Saida'!$H$11="TRADING",AV397/D397,AN397/D397)</f>
        <v>#DIV/0!</v>
      </c>
      <c r="BH397" s="3" t="e">
        <f>IF('Entrada e Saida'!$H$11="TRADING",IF('Entrada e Saida'!$H$12="REAL",AR397/D397,0),AL397/D397)</f>
        <v>#DIV/0!</v>
      </c>
      <c r="BI397" s="3" t="e">
        <f>IF('Entrada e Saida'!$H$11="TRADING",IF('Entrada e Saida'!$H$12="REAL",AS397/D397,0),AM397/D397)</f>
        <v>#DIV/0!</v>
      </c>
      <c r="BJ397" s="3" t="e">
        <f>IF('Entrada e Saida'!$H$11="TRADING",AT397/D397,AO397/D397)</f>
        <v>#DIV/0!</v>
      </c>
      <c r="BK397" s="2" t="e">
        <f t="shared" ref="BK397:BK460" si="188">BF397-SUM(BG397:BJ397)</f>
        <v>#DIV/0!</v>
      </c>
      <c r="BL397" s="2">
        <f>IF(O397&gt;0,IFERROR(IF('Entrada e Saida'!$H$11="DIRETA",0,(IF('Entrada e Saida'!$H$14="P.JURIDICA",(BD397*(1+O397)*N397)-((BD397/(1+M397))*'Entrada e Saida'!$G$65),((Produtos!N397-'Entrada e Saida'!$G$65)*Produtos!BD397)))),0),0)</f>
        <v>0</v>
      </c>
      <c r="BM397" s="2" t="e">
        <f t="shared" ref="BM397:BM460" si="189">BF397+BL397</f>
        <v>#DIV/0!</v>
      </c>
    </row>
    <row r="398" spans="1:65" s="1" customFormat="1">
      <c r="A398" s="127"/>
      <c r="B398" s="114">
        <f>IFERROR(VLOOKUP(A398,'Master Modelo'!A:I,7,FALSE),0)</f>
        <v>0</v>
      </c>
      <c r="C398" s="116">
        <f>IFERROR(VLOOKUP(A398,'Master Modelo'!A:I,2,FALSE),0)</f>
        <v>0</v>
      </c>
      <c r="D398" s="146"/>
      <c r="E398" s="115">
        <f>IFERROR(VLOOKUP(A398,'Master Modelo'!A:I,9,FALSE),0)</f>
        <v>0</v>
      </c>
      <c r="F398" s="189">
        <f>IFERROR(VLOOKUP(A398,'Master Modelo'!A:I,8,FALSE),0)</f>
        <v>0</v>
      </c>
      <c r="G398" s="189">
        <f>IFERROR(VLOOKUP(A398,'Master Modelo'!A:K,11,FALSE),0)</f>
        <v>0</v>
      </c>
      <c r="H398" s="114" t="e">
        <f t="shared" si="172"/>
        <v>#DIV/0!</v>
      </c>
      <c r="I398" s="150">
        <f>IFERROR(VLOOKUP(A398,'Master Modelo'!A:I,3,FALSE),0)</f>
        <v>0</v>
      </c>
      <c r="J398" s="151">
        <f>IFERROR(VLOOKUP(A398,'Master Modelo'!A:I,5,FALSE),0)</f>
        <v>0</v>
      </c>
      <c r="K398" s="151">
        <f>IFERROR(VLOOKUP(A398,'Master Modelo'!A:I,6,FALSE),0)</f>
        <v>0</v>
      </c>
      <c r="L398" s="152" t="e">
        <f>VLOOKUP(A398,'Master Modelo'!A:J,10,FALSE)</f>
        <v>#N/A</v>
      </c>
      <c r="M398" s="150">
        <f>IFERROR(VLOOKUP(A398,'Master Modelo'!A:I,4,FALSE),0)</f>
        <v>0</v>
      </c>
      <c r="N398" s="128"/>
      <c r="O398" s="129"/>
      <c r="P398" s="9">
        <f t="shared" si="173"/>
        <v>0</v>
      </c>
      <c r="Q398" s="177">
        <f t="shared" si="171"/>
        <v>0</v>
      </c>
      <c r="R398" s="3">
        <f>D398*E398*'Entrada e Saida'!$K$8</f>
        <v>0</v>
      </c>
      <c r="S398" s="179" t="e">
        <f>'Entrada e Saida'!$H$21*'Entrada e Saida'!$K$8*(P398/(SUM(P:P)))</f>
        <v>#DIV/0!</v>
      </c>
      <c r="T398" s="179" t="e">
        <f>'Entrada e Saida'!$H$21*'Entrada e Saida'!$K$8*(Q398/(SUM(Q:Q)))</f>
        <v>#DIV/0!</v>
      </c>
      <c r="U398" s="179" t="e">
        <f>'Entrada e Saida'!$H$22*(P398/(SUM(P:P)))</f>
        <v>#DIV/0!</v>
      </c>
      <c r="V398" s="179" t="e">
        <f>'Entrada e Saida'!$H$22*(Q398/(SUM(Q:Q)))</f>
        <v>#DIV/0!</v>
      </c>
      <c r="W398" s="8" t="e">
        <f t="shared" si="174"/>
        <v>#DIV/0!</v>
      </c>
      <c r="X398" s="179" t="e">
        <f>'Entrada e Saida'!$H$26*(IF('Entrada e Saida'!$H$15="PESO",(P398/(SUM(P:P))),(Q398/(SUM(Q:Q)))))</f>
        <v>#DIV/0!</v>
      </c>
      <c r="Y398" s="179" t="e">
        <f>'Entrada e Saida'!$H$27*(IF('Entrada e Saida'!$H$15="PESO",(P398/(SUM(P:P))),(Q398/(SUM(Q:Q)))))</f>
        <v>#DIV/0!</v>
      </c>
      <c r="Z398" s="179" t="e">
        <f>'Entrada e Saida'!$H$28*(IF('Entrada e Saida'!$H$15="PESO",(P398/(SUM(P:P))),(Q398/(SUM(Q:Q)))))</f>
        <v>#DIV/0!</v>
      </c>
      <c r="AA398" s="10" t="e">
        <f t="shared" si="175"/>
        <v>#DIV/0!</v>
      </c>
      <c r="AB398" s="3" t="e">
        <f t="shared" si="176"/>
        <v>#DIV/0!</v>
      </c>
      <c r="AC398" s="3" t="e">
        <f t="shared" si="177"/>
        <v>#DIV/0!</v>
      </c>
      <c r="AD398" s="3" t="e">
        <f t="shared" si="178"/>
        <v>#DIV/0!</v>
      </c>
      <c r="AE398" s="9" t="e">
        <f t="shared" si="179"/>
        <v>#DIV/0!</v>
      </c>
      <c r="AF398" s="126">
        <f>IFERROR(D398*F398*L398*'Entrada e Saida'!$K$8,0)</f>
        <v>0</v>
      </c>
      <c r="AG398" s="3" t="e">
        <f>((W398+AA398+AB398+AC398+AD398+AE398+AF398)/(1-'Entrada e Saida'!$G$65))*'Entrada e Saida'!$I$66</f>
        <v>#DIV/0!</v>
      </c>
      <c r="AH398" s="8" t="e">
        <f t="shared" si="180"/>
        <v>#DIV/0!</v>
      </c>
      <c r="AI398" s="183" t="e">
        <f>'Entrada e Saida'!$K$51*(IF('Entrada e Saida'!$H$15="PESO",(P398/(SUM(P:P))),(Q398/(SUM(Q:Q)))))</f>
        <v>#DIV/0!</v>
      </c>
      <c r="AJ398" s="7">
        <f>(('Entrada e Saida'!$K$10-'Entrada e Saida'!$K$8)*E398*D398)</f>
        <v>0</v>
      </c>
      <c r="AK398" s="184" t="e">
        <f>IF('Entrada e Saida'!$H$15="PESO",W398+AA398+AH398+AI398+AJ398,W398+AA398+AH398+AI398+AJ398-S398+T398-U398+V398)</f>
        <v>#DIV/0!</v>
      </c>
      <c r="AL398" s="6" t="e">
        <f>IF('Entrada e Saida'!$H$12="REAL",AC398,0)</f>
        <v>#DIV/0!</v>
      </c>
      <c r="AM398" s="6" t="e">
        <f>IF('Entrada e Saida'!$H$12="REAL",AD398,0)</f>
        <v>#DIV/0!</v>
      </c>
      <c r="AN398" s="5" t="e">
        <f>IF('Entrada e Saida'!$H$13= "NÃO",AE398,0)</f>
        <v>#DIV/0!</v>
      </c>
      <c r="AO398" s="5" t="e">
        <f t="shared" si="181"/>
        <v>#DIV/0!</v>
      </c>
      <c r="AP398" s="4" t="e">
        <f t="shared" si="182"/>
        <v>#DIV/0!</v>
      </c>
      <c r="AQ398" s="3" t="e">
        <f>IF('Entrada e Saida'!$H$11="TRADING",AU398*'Custo Resumido'!D398,0)</f>
        <v>#DIV/0!</v>
      </c>
      <c r="AR398" s="3" t="e">
        <f>IF('Entrada e Saida'!$H$11="TRADING",AU398*'Entrada e Saida'!$G$63,0)</f>
        <v>#DIV/0!</v>
      </c>
      <c r="AS398" s="3" t="e">
        <f>IF('Entrada e Saida'!$H$11="TRADING",AU398*'Entrada e Saida'!$G$64,0)</f>
        <v>#DIV/0!</v>
      </c>
      <c r="AT398" s="3" t="e">
        <f>IF('Entrada e Saida'!$H$11="TRADING",AU398*'Entrada e Saida'!$G$65,0)</f>
        <v>#DIV/0!</v>
      </c>
      <c r="AU398" s="4" t="e">
        <f>IF('Entrada e Saida'!$H$11="TRADING",AP398/(1-(SUM('Entrada e Saida'!$G$63:$G$65)+'Custo Resumido'!D398)),0)</f>
        <v>#DIV/0!</v>
      </c>
      <c r="AV398" s="3" t="e">
        <f>IF('Entrada e Saida'!$H$13="NÃO",AU398*M398,0)</f>
        <v>#DIV/0!</v>
      </c>
      <c r="AW398" s="4" t="e">
        <f t="shared" si="183"/>
        <v>#DIV/0!</v>
      </c>
      <c r="AX398" s="3" t="e">
        <f>'Entrada e Saida'!$G$74*AU398</f>
        <v>#DIV/0!</v>
      </c>
      <c r="AY398" s="4" t="e">
        <f t="shared" si="184"/>
        <v>#DIV/0!</v>
      </c>
      <c r="AZ398" s="4" t="e">
        <f>AQ398+('Entrada e Saida'!$G$65-'Entrada e Saida'!$I$65)*AU398-AX398</f>
        <v>#DIV/0!</v>
      </c>
      <c r="BA398" s="3" t="e">
        <f>IF('Entrada e Saida'!$H$12="REAL",AZ398*'Entrada e Saida'!$G$81,AU398*'Entrada e Saida'!$G$81)</f>
        <v>#DIV/0!</v>
      </c>
      <c r="BB398" s="3" t="e">
        <f>IF('Entrada e Saida'!$H$12="REAL",AZ398*'Entrada e Saida'!$G$82,AU398*'Entrada e Saida'!$G$82)</f>
        <v>#DIV/0!</v>
      </c>
      <c r="BC398" s="4" t="e">
        <f t="shared" si="185"/>
        <v>#DIV/0!</v>
      </c>
      <c r="BD398" s="3" t="e">
        <f>IF('Entrada e Saida'!$H$11="TRADING",AW398/D398,AK398/D398)</f>
        <v>#DIV/0!</v>
      </c>
      <c r="BE398" s="3" t="e">
        <f t="shared" si="186"/>
        <v>#DIV/0!</v>
      </c>
      <c r="BF398" s="2" t="e">
        <f t="shared" si="187"/>
        <v>#DIV/0!</v>
      </c>
      <c r="BG398" s="3" t="e">
        <f>IF('Entrada e Saida'!$H$11="TRADING",AV398/D398,AN398/D398)</f>
        <v>#DIV/0!</v>
      </c>
      <c r="BH398" s="3" t="e">
        <f>IF('Entrada e Saida'!$H$11="TRADING",IF('Entrada e Saida'!$H$12="REAL",AR398/D398,0),AL398/D398)</f>
        <v>#DIV/0!</v>
      </c>
      <c r="BI398" s="3" t="e">
        <f>IF('Entrada e Saida'!$H$11="TRADING",IF('Entrada e Saida'!$H$12="REAL",AS398/D398,0),AM398/D398)</f>
        <v>#DIV/0!</v>
      </c>
      <c r="BJ398" s="3" t="e">
        <f>IF('Entrada e Saida'!$H$11="TRADING",AT398/D398,AO398/D398)</f>
        <v>#DIV/0!</v>
      </c>
      <c r="BK398" s="2" t="e">
        <f t="shared" si="188"/>
        <v>#DIV/0!</v>
      </c>
      <c r="BL398" s="2">
        <f>IF(O398&gt;0,IFERROR(IF('Entrada e Saida'!$H$11="DIRETA",0,(IF('Entrada e Saida'!$H$14="P.JURIDICA",(BD398*(1+O398)*N398)-((BD398/(1+M398))*'Entrada e Saida'!$G$65),((Produtos!N398-'Entrada e Saida'!$G$65)*Produtos!BD398)))),0),0)</f>
        <v>0</v>
      </c>
      <c r="BM398" s="2" t="e">
        <f t="shared" si="189"/>
        <v>#DIV/0!</v>
      </c>
    </row>
    <row r="399" spans="1:65" s="1" customFormat="1">
      <c r="A399" s="127"/>
      <c r="B399" s="114">
        <f>IFERROR(VLOOKUP(A399,'Master Modelo'!A:I,7,FALSE),0)</f>
        <v>0</v>
      </c>
      <c r="C399" s="116">
        <f>IFERROR(VLOOKUP(A399,'Master Modelo'!A:I,2,FALSE),0)</f>
        <v>0</v>
      </c>
      <c r="D399" s="146"/>
      <c r="E399" s="115">
        <f>IFERROR(VLOOKUP(A399,'Master Modelo'!A:I,9,FALSE),0)</f>
        <v>0</v>
      </c>
      <c r="F399" s="189">
        <f>IFERROR(VLOOKUP(A399,'Master Modelo'!A:I,8,FALSE),0)</f>
        <v>0</v>
      </c>
      <c r="G399" s="189">
        <f>IFERROR(VLOOKUP(A399,'Master Modelo'!A:K,11,FALSE),0)</f>
        <v>0</v>
      </c>
      <c r="H399" s="114" t="e">
        <f t="shared" si="172"/>
        <v>#DIV/0!</v>
      </c>
      <c r="I399" s="150">
        <f>IFERROR(VLOOKUP(A399,'Master Modelo'!A:I,3,FALSE),0)</f>
        <v>0</v>
      </c>
      <c r="J399" s="151">
        <f>IFERROR(VLOOKUP(A399,'Master Modelo'!A:I,5,FALSE),0)</f>
        <v>0</v>
      </c>
      <c r="K399" s="151">
        <f>IFERROR(VLOOKUP(A399,'Master Modelo'!A:I,6,FALSE),0)</f>
        <v>0</v>
      </c>
      <c r="L399" s="152" t="e">
        <f>VLOOKUP(A399,'Master Modelo'!A:J,10,FALSE)</f>
        <v>#N/A</v>
      </c>
      <c r="M399" s="150">
        <f>IFERROR(VLOOKUP(A399,'Master Modelo'!A:I,4,FALSE),0)</f>
        <v>0</v>
      </c>
      <c r="N399" s="128"/>
      <c r="O399" s="129"/>
      <c r="P399" s="9">
        <f t="shared" si="173"/>
        <v>0</v>
      </c>
      <c r="Q399" s="177">
        <f t="shared" si="171"/>
        <v>0</v>
      </c>
      <c r="R399" s="3">
        <f>D399*E399*'Entrada e Saida'!$K$8</f>
        <v>0</v>
      </c>
      <c r="S399" s="179" t="e">
        <f>'Entrada e Saida'!$H$21*'Entrada e Saida'!$K$8*(P399/(SUM(P:P)))</f>
        <v>#DIV/0!</v>
      </c>
      <c r="T399" s="179" t="e">
        <f>'Entrada e Saida'!$H$21*'Entrada e Saida'!$K$8*(Q399/(SUM(Q:Q)))</f>
        <v>#DIV/0!</v>
      </c>
      <c r="U399" s="179" t="e">
        <f>'Entrada e Saida'!$H$22*(P399/(SUM(P:P)))</f>
        <v>#DIV/0!</v>
      </c>
      <c r="V399" s="179" t="e">
        <f>'Entrada e Saida'!$H$22*(Q399/(SUM(Q:Q)))</f>
        <v>#DIV/0!</v>
      </c>
      <c r="W399" s="8" t="e">
        <f t="shared" si="174"/>
        <v>#DIV/0!</v>
      </c>
      <c r="X399" s="179" t="e">
        <f>'Entrada e Saida'!$H$26*(IF('Entrada e Saida'!$H$15="PESO",(P399/(SUM(P:P))),(Q399/(SUM(Q:Q)))))</f>
        <v>#DIV/0!</v>
      </c>
      <c r="Y399" s="179" t="e">
        <f>'Entrada e Saida'!$H$27*(IF('Entrada e Saida'!$H$15="PESO",(P399/(SUM(P:P))),(Q399/(SUM(Q:Q)))))</f>
        <v>#DIV/0!</v>
      </c>
      <c r="Z399" s="179" t="e">
        <f>'Entrada e Saida'!$H$28*(IF('Entrada e Saida'!$H$15="PESO",(P399/(SUM(P:P))),(Q399/(SUM(Q:Q)))))</f>
        <v>#DIV/0!</v>
      </c>
      <c r="AA399" s="10" t="e">
        <f t="shared" si="175"/>
        <v>#DIV/0!</v>
      </c>
      <c r="AB399" s="3" t="e">
        <f t="shared" si="176"/>
        <v>#DIV/0!</v>
      </c>
      <c r="AC399" s="3" t="e">
        <f t="shared" si="177"/>
        <v>#DIV/0!</v>
      </c>
      <c r="AD399" s="3" t="e">
        <f t="shared" si="178"/>
        <v>#DIV/0!</v>
      </c>
      <c r="AE399" s="9" t="e">
        <f t="shared" si="179"/>
        <v>#DIV/0!</v>
      </c>
      <c r="AF399" s="126">
        <f>IFERROR(D399*F399*L399*'Entrada e Saida'!$K$8,0)</f>
        <v>0</v>
      </c>
      <c r="AG399" s="3" t="e">
        <f>((W399+AA399+AB399+AC399+AD399+AE399+AF399)/(1-'Entrada e Saida'!$G$65))*'Entrada e Saida'!$I$66</f>
        <v>#DIV/0!</v>
      </c>
      <c r="AH399" s="8" t="e">
        <f t="shared" si="180"/>
        <v>#DIV/0!</v>
      </c>
      <c r="AI399" s="183" t="e">
        <f>'Entrada e Saida'!$K$51*(IF('Entrada e Saida'!$H$15="PESO",(P399/(SUM(P:P))),(Q399/(SUM(Q:Q)))))</f>
        <v>#DIV/0!</v>
      </c>
      <c r="AJ399" s="7">
        <f>(('Entrada e Saida'!$K$10-'Entrada e Saida'!$K$8)*E399*D399)</f>
        <v>0</v>
      </c>
      <c r="AK399" s="184" t="e">
        <f>IF('Entrada e Saida'!$H$15="PESO",W399+AA399+AH399+AI399+AJ399,W399+AA399+AH399+AI399+AJ399-S399+T399-U399+V399)</f>
        <v>#DIV/0!</v>
      </c>
      <c r="AL399" s="6" t="e">
        <f>IF('Entrada e Saida'!$H$12="REAL",AC399,0)</f>
        <v>#DIV/0!</v>
      </c>
      <c r="AM399" s="6" t="e">
        <f>IF('Entrada e Saida'!$H$12="REAL",AD399,0)</f>
        <v>#DIV/0!</v>
      </c>
      <c r="AN399" s="5" t="e">
        <f>IF('Entrada e Saida'!$H$13= "NÃO",AE399,0)</f>
        <v>#DIV/0!</v>
      </c>
      <c r="AO399" s="5" t="e">
        <f t="shared" si="181"/>
        <v>#DIV/0!</v>
      </c>
      <c r="AP399" s="4" t="e">
        <f t="shared" si="182"/>
        <v>#DIV/0!</v>
      </c>
      <c r="AQ399" s="3" t="e">
        <f>IF('Entrada e Saida'!$H$11="TRADING",AU399*'Custo Resumido'!D399,0)</f>
        <v>#DIV/0!</v>
      </c>
      <c r="AR399" s="3" t="e">
        <f>IF('Entrada e Saida'!$H$11="TRADING",AU399*'Entrada e Saida'!$G$63,0)</f>
        <v>#DIV/0!</v>
      </c>
      <c r="AS399" s="3" t="e">
        <f>IF('Entrada e Saida'!$H$11="TRADING",AU399*'Entrada e Saida'!$G$64,0)</f>
        <v>#DIV/0!</v>
      </c>
      <c r="AT399" s="3" t="e">
        <f>IF('Entrada e Saida'!$H$11="TRADING",AU399*'Entrada e Saida'!$G$65,0)</f>
        <v>#DIV/0!</v>
      </c>
      <c r="AU399" s="4" t="e">
        <f>IF('Entrada e Saida'!$H$11="TRADING",AP399/(1-(SUM('Entrada e Saida'!$G$63:$G$65)+'Custo Resumido'!D399)),0)</f>
        <v>#DIV/0!</v>
      </c>
      <c r="AV399" s="3" t="e">
        <f>IF('Entrada e Saida'!$H$13="NÃO",AU399*M399,0)</f>
        <v>#DIV/0!</v>
      </c>
      <c r="AW399" s="4" t="e">
        <f t="shared" si="183"/>
        <v>#DIV/0!</v>
      </c>
      <c r="AX399" s="3" t="e">
        <f>'Entrada e Saida'!$G$74*AU399</f>
        <v>#DIV/0!</v>
      </c>
      <c r="AY399" s="4" t="e">
        <f t="shared" si="184"/>
        <v>#DIV/0!</v>
      </c>
      <c r="AZ399" s="4" t="e">
        <f>AQ399+('Entrada e Saida'!$G$65-'Entrada e Saida'!$I$65)*AU399-AX399</f>
        <v>#DIV/0!</v>
      </c>
      <c r="BA399" s="3" t="e">
        <f>IF('Entrada e Saida'!$H$12="REAL",AZ399*'Entrada e Saida'!$G$81,AU399*'Entrada e Saida'!$G$81)</f>
        <v>#DIV/0!</v>
      </c>
      <c r="BB399" s="3" t="e">
        <f>IF('Entrada e Saida'!$H$12="REAL",AZ399*'Entrada e Saida'!$G$82,AU399*'Entrada e Saida'!$G$82)</f>
        <v>#DIV/0!</v>
      </c>
      <c r="BC399" s="4" t="e">
        <f t="shared" si="185"/>
        <v>#DIV/0!</v>
      </c>
      <c r="BD399" s="3" t="e">
        <f>IF('Entrada e Saida'!$H$11="TRADING",AW399/D399,AK399/D399)</f>
        <v>#DIV/0!</v>
      </c>
      <c r="BE399" s="3" t="e">
        <f t="shared" si="186"/>
        <v>#DIV/0!</v>
      </c>
      <c r="BF399" s="2" t="e">
        <f t="shared" si="187"/>
        <v>#DIV/0!</v>
      </c>
      <c r="BG399" s="3" t="e">
        <f>IF('Entrada e Saida'!$H$11="TRADING",AV399/D399,AN399/D399)</f>
        <v>#DIV/0!</v>
      </c>
      <c r="BH399" s="3" t="e">
        <f>IF('Entrada e Saida'!$H$11="TRADING",IF('Entrada e Saida'!$H$12="REAL",AR399/D399,0),AL399/D399)</f>
        <v>#DIV/0!</v>
      </c>
      <c r="BI399" s="3" t="e">
        <f>IF('Entrada e Saida'!$H$11="TRADING",IF('Entrada e Saida'!$H$12="REAL",AS399/D399,0),AM399/D399)</f>
        <v>#DIV/0!</v>
      </c>
      <c r="BJ399" s="3" t="e">
        <f>IF('Entrada e Saida'!$H$11="TRADING",AT399/D399,AO399/D399)</f>
        <v>#DIV/0!</v>
      </c>
      <c r="BK399" s="2" t="e">
        <f t="shared" si="188"/>
        <v>#DIV/0!</v>
      </c>
      <c r="BL399" s="2">
        <f>IF(O399&gt;0,IFERROR(IF('Entrada e Saida'!$H$11="DIRETA",0,(IF('Entrada e Saida'!$H$14="P.JURIDICA",(BD399*(1+O399)*N399)-((BD399/(1+M399))*'Entrada e Saida'!$G$65),((Produtos!N399-'Entrada e Saida'!$G$65)*Produtos!BD399)))),0),0)</f>
        <v>0</v>
      </c>
      <c r="BM399" s="2" t="e">
        <f t="shared" si="189"/>
        <v>#DIV/0!</v>
      </c>
    </row>
    <row r="400" spans="1:65" s="1" customFormat="1">
      <c r="A400" s="127"/>
      <c r="B400" s="114">
        <f>IFERROR(VLOOKUP(A400,'Master Modelo'!A:I,7,FALSE),0)</f>
        <v>0</v>
      </c>
      <c r="C400" s="116">
        <f>IFERROR(VLOOKUP(A400,'Master Modelo'!A:I,2,FALSE),0)</f>
        <v>0</v>
      </c>
      <c r="D400" s="146"/>
      <c r="E400" s="115">
        <f>IFERROR(VLOOKUP(A400,'Master Modelo'!A:I,9,FALSE),0)</f>
        <v>0</v>
      </c>
      <c r="F400" s="189">
        <f>IFERROR(VLOOKUP(A400,'Master Modelo'!A:I,8,FALSE),0)</f>
        <v>0</v>
      </c>
      <c r="G400" s="189">
        <f>IFERROR(VLOOKUP(A400,'Master Modelo'!A:K,11,FALSE),0)</f>
        <v>0</v>
      </c>
      <c r="H400" s="114" t="e">
        <f t="shared" si="172"/>
        <v>#DIV/0!</v>
      </c>
      <c r="I400" s="150">
        <f>IFERROR(VLOOKUP(A400,'Master Modelo'!A:I,3,FALSE),0)</f>
        <v>0</v>
      </c>
      <c r="J400" s="151">
        <f>IFERROR(VLOOKUP(A400,'Master Modelo'!A:I,5,FALSE),0)</f>
        <v>0</v>
      </c>
      <c r="K400" s="151">
        <f>IFERROR(VLOOKUP(A400,'Master Modelo'!A:I,6,FALSE),0)</f>
        <v>0</v>
      </c>
      <c r="L400" s="152" t="e">
        <f>VLOOKUP(A400,'Master Modelo'!A:J,10,FALSE)</f>
        <v>#N/A</v>
      </c>
      <c r="M400" s="150">
        <f>IFERROR(VLOOKUP(A400,'Master Modelo'!A:I,4,FALSE),0)</f>
        <v>0</v>
      </c>
      <c r="N400" s="128"/>
      <c r="O400" s="129"/>
      <c r="P400" s="9">
        <f t="shared" si="173"/>
        <v>0</v>
      </c>
      <c r="Q400" s="177">
        <f t="shared" si="171"/>
        <v>0</v>
      </c>
      <c r="R400" s="3">
        <f>D400*E400*'Entrada e Saida'!$K$8</f>
        <v>0</v>
      </c>
      <c r="S400" s="179" t="e">
        <f>'Entrada e Saida'!$H$21*'Entrada e Saida'!$K$8*(P400/(SUM(P:P)))</f>
        <v>#DIV/0!</v>
      </c>
      <c r="T400" s="179" t="e">
        <f>'Entrada e Saida'!$H$21*'Entrada e Saida'!$K$8*(Q400/(SUM(Q:Q)))</f>
        <v>#DIV/0!</v>
      </c>
      <c r="U400" s="179" t="e">
        <f>'Entrada e Saida'!$H$22*(P400/(SUM(P:P)))</f>
        <v>#DIV/0!</v>
      </c>
      <c r="V400" s="179" t="e">
        <f>'Entrada e Saida'!$H$22*(Q400/(SUM(Q:Q)))</f>
        <v>#DIV/0!</v>
      </c>
      <c r="W400" s="8" t="e">
        <f t="shared" si="174"/>
        <v>#DIV/0!</v>
      </c>
      <c r="X400" s="179" t="e">
        <f>'Entrada e Saida'!$H$26*(IF('Entrada e Saida'!$H$15="PESO",(P400/(SUM(P:P))),(Q400/(SUM(Q:Q)))))</f>
        <v>#DIV/0!</v>
      </c>
      <c r="Y400" s="179" t="e">
        <f>'Entrada e Saida'!$H$27*(IF('Entrada e Saida'!$H$15="PESO",(P400/(SUM(P:P))),(Q400/(SUM(Q:Q)))))</f>
        <v>#DIV/0!</v>
      </c>
      <c r="Z400" s="179" t="e">
        <f>'Entrada e Saida'!$H$28*(IF('Entrada e Saida'!$H$15="PESO",(P400/(SUM(P:P))),(Q400/(SUM(Q:Q)))))</f>
        <v>#DIV/0!</v>
      </c>
      <c r="AA400" s="10" t="e">
        <f t="shared" si="175"/>
        <v>#DIV/0!</v>
      </c>
      <c r="AB400" s="3" t="e">
        <f t="shared" si="176"/>
        <v>#DIV/0!</v>
      </c>
      <c r="AC400" s="3" t="e">
        <f t="shared" si="177"/>
        <v>#DIV/0!</v>
      </c>
      <c r="AD400" s="3" t="e">
        <f t="shared" si="178"/>
        <v>#DIV/0!</v>
      </c>
      <c r="AE400" s="9" t="e">
        <f t="shared" si="179"/>
        <v>#DIV/0!</v>
      </c>
      <c r="AF400" s="126">
        <f>IFERROR(D400*F400*L400*'Entrada e Saida'!$K$8,0)</f>
        <v>0</v>
      </c>
      <c r="AG400" s="3" t="e">
        <f>((W400+AA400+AB400+AC400+AD400+AE400+AF400)/(1-'Entrada e Saida'!$G$65))*'Entrada e Saida'!$I$66</f>
        <v>#DIV/0!</v>
      </c>
      <c r="AH400" s="8" t="e">
        <f t="shared" si="180"/>
        <v>#DIV/0!</v>
      </c>
      <c r="AI400" s="183" t="e">
        <f>'Entrada e Saida'!$K$51*(IF('Entrada e Saida'!$H$15="PESO",(P400/(SUM(P:P))),(Q400/(SUM(Q:Q)))))</f>
        <v>#DIV/0!</v>
      </c>
      <c r="AJ400" s="7">
        <f>(('Entrada e Saida'!$K$10-'Entrada e Saida'!$K$8)*E400*D400)</f>
        <v>0</v>
      </c>
      <c r="AK400" s="184" t="e">
        <f>IF('Entrada e Saida'!$H$15="PESO",W400+AA400+AH400+AI400+AJ400,W400+AA400+AH400+AI400+AJ400-S400+T400-U400+V400)</f>
        <v>#DIV/0!</v>
      </c>
      <c r="AL400" s="6" t="e">
        <f>IF('Entrada e Saida'!$H$12="REAL",AC400,0)</f>
        <v>#DIV/0!</v>
      </c>
      <c r="AM400" s="6" t="e">
        <f>IF('Entrada e Saida'!$H$12="REAL",AD400,0)</f>
        <v>#DIV/0!</v>
      </c>
      <c r="AN400" s="5" t="e">
        <f>IF('Entrada e Saida'!$H$13= "NÃO",AE400,0)</f>
        <v>#DIV/0!</v>
      </c>
      <c r="AO400" s="5" t="e">
        <f t="shared" si="181"/>
        <v>#DIV/0!</v>
      </c>
      <c r="AP400" s="4" t="e">
        <f t="shared" si="182"/>
        <v>#DIV/0!</v>
      </c>
      <c r="AQ400" s="3" t="e">
        <f>IF('Entrada e Saida'!$H$11="TRADING",AU400*'Custo Resumido'!D400,0)</f>
        <v>#DIV/0!</v>
      </c>
      <c r="AR400" s="3" t="e">
        <f>IF('Entrada e Saida'!$H$11="TRADING",AU400*'Entrada e Saida'!$G$63,0)</f>
        <v>#DIV/0!</v>
      </c>
      <c r="AS400" s="3" t="e">
        <f>IF('Entrada e Saida'!$H$11="TRADING",AU400*'Entrada e Saida'!$G$64,0)</f>
        <v>#DIV/0!</v>
      </c>
      <c r="AT400" s="3" t="e">
        <f>IF('Entrada e Saida'!$H$11="TRADING",AU400*'Entrada e Saida'!$G$65,0)</f>
        <v>#DIV/0!</v>
      </c>
      <c r="AU400" s="4" t="e">
        <f>IF('Entrada e Saida'!$H$11="TRADING",AP400/(1-(SUM('Entrada e Saida'!$G$63:$G$65)+'Custo Resumido'!D400)),0)</f>
        <v>#DIV/0!</v>
      </c>
      <c r="AV400" s="3" t="e">
        <f>IF('Entrada e Saida'!$H$13="NÃO",AU400*M400,0)</f>
        <v>#DIV/0!</v>
      </c>
      <c r="AW400" s="4" t="e">
        <f t="shared" si="183"/>
        <v>#DIV/0!</v>
      </c>
      <c r="AX400" s="3" t="e">
        <f>'Entrada e Saida'!$G$74*AU400</f>
        <v>#DIV/0!</v>
      </c>
      <c r="AY400" s="4" t="e">
        <f t="shared" si="184"/>
        <v>#DIV/0!</v>
      </c>
      <c r="AZ400" s="4" t="e">
        <f>AQ400+('Entrada e Saida'!$G$65-'Entrada e Saida'!$I$65)*AU400-AX400</f>
        <v>#DIV/0!</v>
      </c>
      <c r="BA400" s="3" t="e">
        <f>IF('Entrada e Saida'!$H$12="REAL",AZ400*'Entrada e Saida'!$G$81,AU400*'Entrada e Saida'!$G$81)</f>
        <v>#DIV/0!</v>
      </c>
      <c r="BB400" s="3" t="e">
        <f>IF('Entrada e Saida'!$H$12="REAL",AZ400*'Entrada e Saida'!$G$82,AU400*'Entrada e Saida'!$G$82)</f>
        <v>#DIV/0!</v>
      </c>
      <c r="BC400" s="4" t="e">
        <f t="shared" si="185"/>
        <v>#DIV/0!</v>
      </c>
      <c r="BD400" s="3" t="e">
        <f>IF('Entrada e Saida'!$H$11="TRADING",AW400/D400,AK400/D400)</f>
        <v>#DIV/0!</v>
      </c>
      <c r="BE400" s="3" t="e">
        <f t="shared" si="186"/>
        <v>#DIV/0!</v>
      </c>
      <c r="BF400" s="2" t="e">
        <f t="shared" si="187"/>
        <v>#DIV/0!</v>
      </c>
      <c r="BG400" s="3" t="e">
        <f>IF('Entrada e Saida'!$H$11="TRADING",AV400/D400,AN400/D400)</f>
        <v>#DIV/0!</v>
      </c>
      <c r="BH400" s="3" t="e">
        <f>IF('Entrada e Saida'!$H$11="TRADING",IF('Entrada e Saida'!$H$12="REAL",AR400/D400,0),AL400/D400)</f>
        <v>#DIV/0!</v>
      </c>
      <c r="BI400" s="3" t="e">
        <f>IF('Entrada e Saida'!$H$11="TRADING",IF('Entrada e Saida'!$H$12="REAL",AS400/D400,0),AM400/D400)</f>
        <v>#DIV/0!</v>
      </c>
      <c r="BJ400" s="3" t="e">
        <f>IF('Entrada e Saida'!$H$11="TRADING",AT400/D400,AO400/D400)</f>
        <v>#DIV/0!</v>
      </c>
      <c r="BK400" s="2" t="e">
        <f t="shared" si="188"/>
        <v>#DIV/0!</v>
      </c>
      <c r="BL400" s="2">
        <f>IF(O400&gt;0,IFERROR(IF('Entrada e Saida'!$H$11="DIRETA",0,(IF('Entrada e Saida'!$H$14="P.JURIDICA",(BD400*(1+O400)*N400)-((BD400/(1+M400))*'Entrada e Saida'!$G$65),((Produtos!N400-'Entrada e Saida'!$G$65)*Produtos!BD400)))),0),0)</f>
        <v>0</v>
      </c>
      <c r="BM400" s="2" t="e">
        <f t="shared" si="189"/>
        <v>#DIV/0!</v>
      </c>
    </row>
    <row r="401" spans="1:65" s="1" customFormat="1">
      <c r="A401" s="127"/>
      <c r="B401" s="114">
        <f>IFERROR(VLOOKUP(A401,'Master Modelo'!A:I,7,FALSE),0)</f>
        <v>0</v>
      </c>
      <c r="C401" s="116">
        <f>IFERROR(VLOOKUP(A401,'Master Modelo'!A:I,2,FALSE),0)</f>
        <v>0</v>
      </c>
      <c r="D401" s="146"/>
      <c r="E401" s="115">
        <f>IFERROR(VLOOKUP(A401,'Master Modelo'!A:I,9,FALSE),0)</f>
        <v>0</v>
      </c>
      <c r="F401" s="189">
        <f>IFERROR(VLOOKUP(A401,'Master Modelo'!A:I,8,FALSE),0)</f>
        <v>0</v>
      </c>
      <c r="G401" s="189">
        <f>IFERROR(VLOOKUP(A401,'Master Modelo'!A:K,11,FALSE),0)</f>
        <v>0</v>
      </c>
      <c r="H401" s="114" t="e">
        <f t="shared" si="172"/>
        <v>#DIV/0!</v>
      </c>
      <c r="I401" s="150">
        <f>IFERROR(VLOOKUP(A401,'Master Modelo'!A:I,3,FALSE),0)</f>
        <v>0</v>
      </c>
      <c r="J401" s="151">
        <f>IFERROR(VLOOKUP(A401,'Master Modelo'!A:I,5,FALSE),0)</f>
        <v>0</v>
      </c>
      <c r="K401" s="151">
        <f>IFERROR(VLOOKUP(A401,'Master Modelo'!A:I,6,FALSE),0)</f>
        <v>0</v>
      </c>
      <c r="L401" s="152" t="e">
        <f>VLOOKUP(A401,'Master Modelo'!A:J,10,FALSE)</f>
        <v>#N/A</v>
      </c>
      <c r="M401" s="150">
        <f>IFERROR(VLOOKUP(A401,'Master Modelo'!A:I,4,FALSE),0)</f>
        <v>0</v>
      </c>
      <c r="N401" s="128"/>
      <c r="O401" s="129"/>
      <c r="P401" s="9">
        <f t="shared" si="173"/>
        <v>0</v>
      </c>
      <c r="Q401" s="177">
        <f t="shared" si="171"/>
        <v>0</v>
      </c>
      <c r="R401" s="3">
        <f>D401*E401*'Entrada e Saida'!$K$8</f>
        <v>0</v>
      </c>
      <c r="S401" s="179" t="e">
        <f>'Entrada e Saida'!$H$21*'Entrada e Saida'!$K$8*(P401/(SUM(P:P)))</f>
        <v>#DIV/0!</v>
      </c>
      <c r="T401" s="179" t="e">
        <f>'Entrada e Saida'!$H$21*'Entrada e Saida'!$K$8*(Q401/(SUM(Q:Q)))</f>
        <v>#DIV/0!</v>
      </c>
      <c r="U401" s="179" t="e">
        <f>'Entrada e Saida'!$H$22*(P401/(SUM(P:P)))</f>
        <v>#DIV/0!</v>
      </c>
      <c r="V401" s="179" t="e">
        <f>'Entrada e Saida'!$H$22*(Q401/(SUM(Q:Q)))</f>
        <v>#DIV/0!</v>
      </c>
      <c r="W401" s="8" t="e">
        <f t="shared" si="174"/>
        <v>#DIV/0!</v>
      </c>
      <c r="X401" s="179" t="e">
        <f>'Entrada e Saida'!$H$26*(IF('Entrada e Saida'!$H$15="PESO",(P401/(SUM(P:P))),(Q401/(SUM(Q:Q)))))</f>
        <v>#DIV/0!</v>
      </c>
      <c r="Y401" s="179" t="e">
        <f>'Entrada e Saida'!$H$27*(IF('Entrada e Saida'!$H$15="PESO",(P401/(SUM(P:P))),(Q401/(SUM(Q:Q)))))</f>
        <v>#DIV/0!</v>
      </c>
      <c r="Z401" s="179" t="e">
        <f>'Entrada e Saida'!$H$28*(IF('Entrada e Saida'!$H$15="PESO",(P401/(SUM(P:P))),(Q401/(SUM(Q:Q)))))</f>
        <v>#DIV/0!</v>
      </c>
      <c r="AA401" s="10" t="e">
        <f t="shared" si="175"/>
        <v>#DIV/0!</v>
      </c>
      <c r="AB401" s="3" t="e">
        <f t="shared" si="176"/>
        <v>#DIV/0!</v>
      </c>
      <c r="AC401" s="3" t="e">
        <f t="shared" si="177"/>
        <v>#DIV/0!</v>
      </c>
      <c r="AD401" s="3" t="e">
        <f t="shared" si="178"/>
        <v>#DIV/0!</v>
      </c>
      <c r="AE401" s="9" t="e">
        <f t="shared" si="179"/>
        <v>#DIV/0!</v>
      </c>
      <c r="AF401" s="126">
        <f>IFERROR(D401*F401*L401*'Entrada e Saida'!$K$8,0)</f>
        <v>0</v>
      </c>
      <c r="AG401" s="3" t="e">
        <f>((W401+AA401+AB401+AC401+AD401+AE401+AF401)/(1-'Entrada e Saida'!$G$65))*'Entrada e Saida'!$I$66</f>
        <v>#DIV/0!</v>
      </c>
      <c r="AH401" s="8" t="e">
        <f t="shared" si="180"/>
        <v>#DIV/0!</v>
      </c>
      <c r="AI401" s="183" t="e">
        <f>'Entrada e Saida'!$K$51*(IF('Entrada e Saida'!$H$15="PESO",(P401/(SUM(P:P))),(Q401/(SUM(Q:Q)))))</f>
        <v>#DIV/0!</v>
      </c>
      <c r="AJ401" s="7">
        <f>(('Entrada e Saida'!$K$10-'Entrada e Saida'!$K$8)*E401*D401)</f>
        <v>0</v>
      </c>
      <c r="AK401" s="184" t="e">
        <f>IF('Entrada e Saida'!$H$15="PESO",W401+AA401+AH401+AI401+AJ401,W401+AA401+AH401+AI401+AJ401-S401+T401-U401+V401)</f>
        <v>#DIV/0!</v>
      </c>
      <c r="AL401" s="6" t="e">
        <f>IF('Entrada e Saida'!$H$12="REAL",AC401,0)</f>
        <v>#DIV/0!</v>
      </c>
      <c r="AM401" s="6" t="e">
        <f>IF('Entrada e Saida'!$H$12="REAL",AD401,0)</f>
        <v>#DIV/0!</v>
      </c>
      <c r="AN401" s="5" t="e">
        <f>IF('Entrada e Saida'!$H$13= "NÃO",AE401,0)</f>
        <v>#DIV/0!</v>
      </c>
      <c r="AO401" s="5" t="e">
        <f t="shared" si="181"/>
        <v>#DIV/0!</v>
      </c>
      <c r="AP401" s="4" t="e">
        <f t="shared" si="182"/>
        <v>#DIV/0!</v>
      </c>
      <c r="AQ401" s="3" t="e">
        <f>IF('Entrada e Saida'!$H$11="TRADING",AU401*'Custo Resumido'!D401,0)</f>
        <v>#DIV/0!</v>
      </c>
      <c r="AR401" s="3" t="e">
        <f>IF('Entrada e Saida'!$H$11="TRADING",AU401*'Entrada e Saida'!$G$63,0)</f>
        <v>#DIV/0!</v>
      </c>
      <c r="AS401" s="3" t="e">
        <f>IF('Entrada e Saida'!$H$11="TRADING",AU401*'Entrada e Saida'!$G$64,0)</f>
        <v>#DIV/0!</v>
      </c>
      <c r="AT401" s="3" t="e">
        <f>IF('Entrada e Saida'!$H$11="TRADING",AU401*'Entrada e Saida'!$G$65,0)</f>
        <v>#DIV/0!</v>
      </c>
      <c r="AU401" s="4" t="e">
        <f>IF('Entrada e Saida'!$H$11="TRADING",AP401/(1-(SUM('Entrada e Saida'!$G$63:$G$65)+'Custo Resumido'!D401)),0)</f>
        <v>#DIV/0!</v>
      </c>
      <c r="AV401" s="3" t="e">
        <f>IF('Entrada e Saida'!$H$13="NÃO",AU401*M401,0)</f>
        <v>#DIV/0!</v>
      </c>
      <c r="AW401" s="4" t="e">
        <f t="shared" si="183"/>
        <v>#DIV/0!</v>
      </c>
      <c r="AX401" s="3" t="e">
        <f>'Entrada e Saida'!$G$74*AU401</f>
        <v>#DIV/0!</v>
      </c>
      <c r="AY401" s="4" t="e">
        <f t="shared" si="184"/>
        <v>#DIV/0!</v>
      </c>
      <c r="AZ401" s="4" t="e">
        <f>AQ401+('Entrada e Saida'!$G$65-'Entrada e Saida'!$I$65)*AU401-AX401</f>
        <v>#DIV/0!</v>
      </c>
      <c r="BA401" s="3" t="e">
        <f>IF('Entrada e Saida'!$H$12="REAL",AZ401*'Entrada e Saida'!$G$81,AU401*'Entrada e Saida'!$G$81)</f>
        <v>#DIV/0!</v>
      </c>
      <c r="BB401" s="3" t="e">
        <f>IF('Entrada e Saida'!$H$12="REAL",AZ401*'Entrada e Saida'!$G$82,AU401*'Entrada e Saida'!$G$82)</f>
        <v>#DIV/0!</v>
      </c>
      <c r="BC401" s="4" t="e">
        <f t="shared" si="185"/>
        <v>#DIV/0!</v>
      </c>
      <c r="BD401" s="3" t="e">
        <f>IF('Entrada e Saida'!$H$11="TRADING",AW401/D401,AK401/D401)</f>
        <v>#DIV/0!</v>
      </c>
      <c r="BE401" s="3" t="e">
        <f t="shared" si="186"/>
        <v>#DIV/0!</v>
      </c>
      <c r="BF401" s="2" t="e">
        <f t="shared" si="187"/>
        <v>#DIV/0!</v>
      </c>
      <c r="BG401" s="3" t="e">
        <f>IF('Entrada e Saida'!$H$11="TRADING",AV401/D401,AN401/D401)</f>
        <v>#DIV/0!</v>
      </c>
      <c r="BH401" s="3" t="e">
        <f>IF('Entrada e Saida'!$H$11="TRADING",IF('Entrada e Saida'!$H$12="REAL",AR401/D401,0),AL401/D401)</f>
        <v>#DIV/0!</v>
      </c>
      <c r="BI401" s="3" t="e">
        <f>IF('Entrada e Saida'!$H$11="TRADING",IF('Entrada e Saida'!$H$12="REAL",AS401/D401,0),AM401/D401)</f>
        <v>#DIV/0!</v>
      </c>
      <c r="BJ401" s="3" t="e">
        <f>IF('Entrada e Saida'!$H$11="TRADING",AT401/D401,AO401/D401)</f>
        <v>#DIV/0!</v>
      </c>
      <c r="BK401" s="2" t="e">
        <f t="shared" si="188"/>
        <v>#DIV/0!</v>
      </c>
      <c r="BL401" s="2">
        <f>IF(O401&gt;0,IFERROR(IF('Entrada e Saida'!$H$11="DIRETA",0,(IF('Entrada e Saida'!$H$14="P.JURIDICA",(BD401*(1+O401)*N401)-((BD401/(1+M401))*'Entrada e Saida'!$G$65),((Produtos!N401-'Entrada e Saida'!$G$65)*Produtos!BD401)))),0),0)</f>
        <v>0</v>
      </c>
      <c r="BM401" s="2" t="e">
        <f t="shared" si="189"/>
        <v>#DIV/0!</v>
      </c>
    </row>
    <row r="402" spans="1:65" s="1" customFormat="1">
      <c r="A402" s="127"/>
      <c r="B402" s="114">
        <f>IFERROR(VLOOKUP(A402,'Master Modelo'!A:I,7,FALSE),0)</f>
        <v>0</v>
      </c>
      <c r="C402" s="116">
        <f>IFERROR(VLOOKUP(A402,'Master Modelo'!A:I,2,FALSE),0)</f>
        <v>0</v>
      </c>
      <c r="D402" s="146"/>
      <c r="E402" s="115">
        <f>IFERROR(VLOOKUP(A402,'Master Modelo'!A:I,9,FALSE),0)</f>
        <v>0</v>
      </c>
      <c r="F402" s="189">
        <f>IFERROR(VLOOKUP(A402,'Master Modelo'!A:I,8,FALSE),0)</f>
        <v>0</v>
      </c>
      <c r="G402" s="189">
        <f>IFERROR(VLOOKUP(A402,'Master Modelo'!A:K,11,FALSE),0)</f>
        <v>0</v>
      </c>
      <c r="H402" s="114" t="e">
        <f t="shared" si="172"/>
        <v>#DIV/0!</v>
      </c>
      <c r="I402" s="150">
        <f>IFERROR(VLOOKUP(A402,'Master Modelo'!A:I,3,FALSE),0)</f>
        <v>0</v>
      </c>
      <c r="J402" s="151">
        <f>IFERROR(VLOOKUP(A402,'Master Modelo'!A:I,5,FALSE),0)</f>
        <v>0</v>
      </c>
      <c r="K402" s="151">
        <f>IFERROR(VLOOKUP(A402,'Master Modelo'!A:I,6,FALSE),0)</f>
        <v>0</v>
      </c>
      <c r="L402" s="152" t="e">
        <f>VLOOKUP(A402,'Master Modelo'!A:J,10,FALSE)</f>
        <v>#N/A</v>
      </c>
      <c r="M402" s="150">
        <f>IFERROR(VLOOKUP(A402,'Master Modelo'!A:I,4,FALSE),0)</f>
        <v>0</v>
      </c>
      <c r="N402" s="128"/>
      <c r="O402" s="129"/>
      <c r="P402" s="9">
        <f t="shared" si="173"/>
        <v>0</v>
      </c>
      <c r="Q402" s="177">
        <f t="shared" si="171"/>
        <v>0</v>
      </c>
      <c r="R402" s="3">
        <f>D402*E402*'Entrada e Saida'!$K$8</f>
        <v>0</v>
      </c>
      <c r="S402" s="179" t="e">
        <f>'Entrada e Saida'!$H$21*'Entrada e Saida'!$K$8*(P402/(SUM(P:P)))</f>
        <v>#DIV/0!</v>
      </c>
      <c r="T402" s="179" t="e">
        <f>'Entrada e Saida'!$H$21*'Entrada e Saida'!$K$8*(Q402/(SUM(Q:Q)))</f>
        <v>#DIV/0!</v>
      </c>
      <c r="U402" s="179" t="e">
        <f>'Entrada e Saida'!$H$22*(P402/(SUM(P:P)))</f>
        <v>#DIV/0!</v>
      </c>
      <c r="V402" s="179" t="e">
        <f>'Entrada e Saida'!$H$22*(Q402/(SUM(Q:Q)))</f>
        <v>#DIV/0!</v>
      </c>
      <c r="W402" s="8" t="e">
        <f t="shared" si="174"/>
        <v>#DIV/0!</v>
      </c>
      <c r="X402" s="179" t="e">
        <f>'Entrada e Saida'!$H$26*(IF('Entrada e Saida'!$H$15="PESO",(P402/(SUM(P:P))),(Q402/(SUM(Q:Q)))))</f>
        <v>#DIV/0!</v>
      </c>
      <c r="Y402" s="179" t="e">
        <f>'Entrada e Saida'!$H$27*(IF('Entrada e Saida'!$H$15="PESO",(P402/(SUM(P:P))),(Q402/(SUM(Q:Q)))))</f>
        <v>#DIV/0!</v>
      </c>
      <c r="Z402" s="179" t="e">
        <f>'Entrada e Saida'!$H$28*(IF('Entrada e Saida'!$H$15="PESO",(P402/(SUM(P:P))),(Q402/(SUM(Q:Q)))))</f>
        <v>#DIV/0!</v>
      </c>
      <c r="AA402" s="10" t="e">
        <f t="shared" si="175"/>
        <v>#DIV/0!</v>
      </c>
      <c r="AB402" s="3" t="e">
        <f t="shared" si="176"/>
        <v>#DIV/0!</v>
      </c>
      <c r="AC402" s="3" t="e">
        <f t="shared" si="177"/>
        <v>#DIV/0!</v>
      </c>
      <c r="AD402" s="3" t="e">
        <f t="shared" si="178"/>
        <v>#DIV/0!</v>
      </c>
      <c r="AE402" s="9" t="e">
        <f t="shared" si="179"/>
        <v>#DIV/0!</v>
      </c>
      <c r="AF402" s="126">
        <f>IFERROR(D402*F402*L402*'Entrada e Saida'!$K$8,0)</f>
        <v>0</v>
      </c>
      <c r="AG402" s="3" t="e">
        <f>((W402+AA402+AB402+AC402+AD402+AE402+AF402)/(1-'Entrada e Saida'!$G$65))*'Entrada e Saida'!$I$66</f>
        <v>#DIV/0!</v>
      </c>
      <c r="AH402" s="8" t="e">
        <f t="shared" si="180"/>
        <v>#DIV/0!</v>
      </c>
      <c r="AI402" s="183" t="e">
        <f>'Entrada e Saida'!$K$51*(IF('Entrada e Saida'!$H$15="PESO",(P402/(SUM(P:P))),(Q402/(SUM(Q:Q)))))</f>
        <v>#DIV/0!</v>
      </c>
      <c r="AJ402" s="7">
        <f>(('Entrada e Saida'!$K$10-'Entrada e Saida'!$K$8)*E402*D402)</f>
        <v>0</v>
      </c>
      <c r="AK402" s="184" t="e">
        <f>IF('Entrada e Saida'!$H$15="PESO",W402+AA402+AH402+AI402+AJ402,W402+AA402+AH402+AI402+AJ402-S402+T402-U402+V402)</f>
        <v>#DIV/0!</v>
      </c>
      <c r="AL402" s="6" t="e">
        <f>IF('Entrada e Saida'!$H$12="REAL",AC402,0)</f>
        <v>#DIV/0!</v>
      </c>
      <c r="AM402" s="6" t="e">
        <f>IF('Entrada e Saida'!$H$12="REAL",AD402,0)</f>
        <v>#DIV/0!</v>
      </c>
      <c r="AN402" s="5" t="e">
        <f>IF('Entrada e Saida'!$H$13= "NÃO",AE402,0)</f>
        <v>#DIV/0!</v>
      </c>
      <c r="AO402" s="5" t="e">
        <f t="shared" si="181"/>
        <v>#DIV/0!</v>
      </c>
      <c r="AP402" s="4" t="e">
        <f t="shared" si="182"/>
        <v>#DIV/0!</v>
      </c>
      <c r="AQ402" s="3" t="e">
        <f>IF('Entrada e Saida'!$H$11="TRADING",AU402*'Custo Resumido'!D402,0)</f>
        <v>#DIV/0!</v>
      </c>
      <c r="AR402" s="3" t="e">
        <f>IF('Entrada e Saida'!$H$11="TRADING",AU402*'Entrada e Saida'!$G$63,0)</f>
        <v>#DIV/0!</v>
      </c>
      <c r="AS402" s="3" t="e">
        <f>IF('Entrada e Saida'!$H$11="TRADING",AU402*'Entrada e Saida'!$G$64,0)</f>
        <v>#DIV/0!</v>
      </c>
      <c r="AT402" s="3" t="e">
        <f>IF('Entrada e Saida'!$H$11="TRADING",AU402*'Entrada e Saida'!$G$65,0)</f>
        <v>#DIV/0!</v>
      </c>
      <c r="AU402" s="4" t="e">
        <f>IF('Entrada e Saida'!$H$11="TRADING",AP402/(1-(SUM('Entrada e Saida'!$G$63:$G$65)+'Custo Resumido'!D402)),0)</f>
        <v>#DIV/0!</v>
      </c>
      <c r="AV402" s="3" t="e">
        <f>IF('Entrada e Saida'!$H$13="NÃO",AU402*M402,0)</f>
        <v>#DIV/0!</v>
      </c>
      <c r="AW402" s="4" t="e">
        <f t="shared" si="183"/>
        <v>#DIV/0!</v>
      </c>
      <c r="AX402" s="3" t="e">
        <f>'Entrada e Saida'!$G$74*AU402</f>
        <v>#DIV/0!</v>
      </c>
      <c r="AY402" s="4" t="e">
        <f t="shared" si="184"/>
        <v>#DIV/0!</v>
      </c>
      <c r="AZ402" s="4" t="e">
        <f>AQ402+('Entrada e Saida'!$G$65-'Entrada e Saida'!$I$65)*AU402-AX402</f>
        <v>#DIV/0!</v>
      </c>
      <c r="BA402" s="3" t="e">
        <f>IF('Entrada e Saida'!$H$12="REAL",AZ402*'Entrada e Saida'!$G$81,AU402*'Entrada e Saida'!$G$81)</f>
        <v>#DIV/0!</v>
      </c>
      <c r="BB402" s="3" t="e">
        <f>IF('Entrada e Saida'!$H$12="REAL",AZ402*'Entrada e Saida'!$G$82,AU402*'Entrada e Saida'!$G$82)</f>
        <v>#DIV/0!</v>
      </c>
      <c r="BC402" s="4" t="e">
        <f t="shared" si="185"/>
        <v>#DIV/0!</v>
      </c>
      <c r="BD402" s="3" t="e">
        <f>IF('Entrada e Saida'!$H$11="TRADING",AW402/D402,AK402/D402)</f>
        <v>#DIV/0!</v>
      </c>
      <c r="BE402" s="3" t="e">
        <f t="shared" si="186"/>
        <v>#DIV/0!</v>
      </c>
      <c r="BF402" s="2" t="e">
        <f t="shared" si="187"/>
        <v>#DIV/0!</v>
      </c>
      <c r="BG402" s="3" t="e">
        <f>IF('Entrada e Saida'!$H$11="TRADING",AV402/D402,AN402/D402)</f>
        <v>#DIV/0!</v>
      </c>
      <c r="BH402" s="3" t="e">
        <f>IF('Entrada e Saida'!$H$11="TRADING",IF('Entrada e Saida'!$H$12="REAL",AR402/D402,0),AL402/D402)</f>
        <v>#DIV/0!</v>
      </c>
      <c r="BI402" s="3" t="e">
        <f>IF('Entrada e Saida'!$H$11="TRADING",IF('Entrada e Saida'!$H$12="REAL",AS402/D402,0),AM402/D402)</f>
        <v>#DIV/0!</v>
      </c>
      <c r="BJ402" s="3" t="e">
        <f>IF('Entrada e Saida'!$H$11="TRADING",AT402/D402,AO402/D402)</f>
        <v>#DIV/0!</v>
      </c>
      <c r="BK402" s="2" t="e">
        <f t="shared" si="188"/>
        <v>#DIV/0!</v>
      </c>
      <c r="BL402" s="2">
        <f>IF(O402&gt;0,IFERROR(IF('Entrada e Saida'!$H$11="DIRETA",0,(IF('Entrada e Saida'!$H$14="P.JURIDICA",(BD402*(1+O402)*N402)-((BD402/(1+M402))*'Entrada e Saida'!$G$65),((Produtos!N402-'Entrada e Saida'!$G$65)*Produtos!BD402)))),0),0)</f>
        <v>0</v>
      </c>
      <c r="BM402" s="2" t="e">
        <f t="shared" si="189"/>
        <v>#DIV/0!</v>
      </c>
    </row>
    <row r="403" spans="1:65" s="1" customFormat="1">
      <c r="A403" s="127"/>
      <c r="B403" s="114">
        <f>IFERROR(VLOOKUP(A403,'Master Modelo'!A:I,7,FALSE),0)</f>
        <v>0</v>
      </c>
      <c r="C403" s="116">
        <f>IFERROR(VLOOKUP(A403,'Master Modelo'!A:I,2,FALSE),0)</f>
        <v>0</v>
      </c>
      <c r="D403" s="146"/>
      <c r="E403" s="115">
        <f>IFERROR(VLOOKUP(A403,'Master Modelo'!A:I,9,FALSE),0)</f>
        <v>0</v>
      </c>
      <c r="F403" s="189">
        <f>IFERROR(VLOOKUP(A403,'Master Modelo'!A:I,8,FALSE),0)</f>
        <v>0</v>
      </c>
      <c r="G403" s="189">
        <f>IFERROR(VLOOKUP(A403,'Master Modelo'!A:K,11,FALSE),0)</f>
        <v>0</v>
      </c>
      <c r="H403" s="114" t="e">
        <f t="shared" si="172"/>
        <v>#DIV/0!</v>
      </c>
      <c r="I403" s="150">
        <f>IFERROR(VLOOKUP(A403,'Master Modelo'!A:I,3,FALSE),0)</f>
        <v>0</v>
      </c>
      <c r="J403" s="151">
        <f>IFERROR(VLOOKUP(A403,'Master Modelo'!A:I,5,FALSE),0)</f>
        <v>0</v>
      </c>
      <c r="K403" s="151">
        <f>IFERROR(VLOOKUP(A403,'Master Modelo'!A:I,6,FALSE),0)</f>
        <v>0</v>
      </c>
      <c r="L403" s="152" t="e">
        <f>VLOOKUP(A403,'Master Modelo'!A:J,10,FALSE)</f>
        <v>#N/A</v>
      </c>
      <c r="M403" s="150">
        <f>IFERROR(VLOOKUP(A403,'Master Modelo'!A:I,4,FALSE),0)</f>
        <v>0</v>
      </c>
      <c r="N403" s="128"/>
      <c r="O403" s="129"/>
      <c r="P403" s="9">
        <f t="shared" si="173"/>
        <v>0</v>
      </c>
      <c r="Q403" s="177">
        <f t="shared" si="171"/>
        <v>0</v>
      </c>
      <c r="R403" s="3">
        <f>D403*E403*'Entrada e Saida'!$K$8</f>
        <v>0</v>
      </c>
      <c r="S403" s="179" t="e">
        <f>'Entrada e Saida'!$H$21*'Entrada e Saida'!$K$8*(P403/(SUM(P:P)))</f>
        <v>#DIV/0!</v>
      </c>
      <c r="T403" s="179" t="e">
        <f>'Entrada e Saida'!$H$21*'Entrada e Saida'!$K$8*(Q403/(SUM(Q:Q)))</f>
        <v>#DIV/0!</v>
      </c>
      <c r="U403" s="179" t="e">
        <f>'Entrada e Saida'!$H$22*(P403/(SUM(P:P)))</f>
        <v>#DIV/0!</v>
      </c>
      <c r="V403" s="179" t="e">
        <f>'Entrada e Saida'!$H$22*(Q403/(SUM(Q:Q)))</f>
        <v>#DIV/0!</v>
      </c>
      <c r="W403" s="8" t="e">
        <f t="shared" si="174"/>
        <v>#DIV/0!</v>
      </c>
      <c r="X403" s="179" t="e">
        <f>'Entrada e Saida'!$H$26*(IF('Entrada e Saida'!$H$15="PESO",(P403/(SUM(P:P))),(Q403/(SUM(Q:Q)))))</f>
        <v>#DIV/0!</v>
      </c>
      <c r="Y403" s="179" t="e">
        <f>'Entrada e Saida'!$H$27*(IF('Entrada e Saida'!$H$15="PESO",(P403/(SUM(P:P))),(Q403/(SUM(Q:Q)))))</f>
        <v>#DIV/0!</v>
      </c>
      <c r="Z403" s="179" t="e">
        <f>'Entrada e Saida'!$H$28*(IF('Entrada e Saida'!$H$15="PESO",(P403/(SUM(P:P))),(Q403/(SUM(Q:Q)))))</f>
        <v>#DIV/0!</v>
      </c>
      <c r="AA403" s="10" t="e">
        <f t="shared" si="175"/>
        <v>#DIV/0!</v>
      </c>
      <c r="AB403" s="3" t="e">
        <f t="shared" si="176"/>
        <v>#DIV/0!</v>
      </c>
      <c r="AC403" s="3" t="e">
        <f t="shared" si="177"/>
        <v>#DIV/0!</v>
      </c>
      <c r="AD403" s="3" t="e">
        <f t="shared" si="178"/>
        <v>#DIV/0!</v>
      </c>
      <c r="AE403" s="9" t="e">
        <f t="shared" si="179"/>
        <v>#DIV/0!</v>
      </c>
      <c r="AF403" s="126">
        <f>IFERROR(D403*F403*L403*'Entrada e Saida'!$K$8,0)</f>
        <v>0</v>
      </c>
      <c r="AG403" s="3" t="e">
        <f>((W403+AA403+AB403+AC403+AD403+AE403+AF403)/(1-'Entrada e Saida'!$G$65))*'Entrada e Saida'!$I$66</f>
        <v>#DIV/0!</v>
      </c>
      <c r="AH403" s="8" t="e">
        <f t="shared" si="180"/>
        <v>#DIV/0!</v>
      </c>
      <c r="AI403" s="183" t="e">
        <f>'Entrada e Saida'!$K$51*(IF('Entrada e Saida'!$H$15="PESO",(P403/(SUM(P:P))),(Q403/(SUM(Q:Q)))))</f>
        <v>#DIV/0!</v>
      </c>
      <c r="AJ403" s="7">
        <f>(('Entrada e Saida'!$K$10-'Entrada e Saida'!$K$8)*E403*D403)</f>
        <v>0</v>
      </c>
      <c r="AK403" s="184" t="e">
        <f>IF('Entrada e Saida'!$H$15="PESO",W403+AA403+AH403+AI403+AJ403,W403+AA403+AH403+AI403+AJ403-S403+T403-U403+V403)</f>
        <v>#DIV/0!</v>
      </c>
      <c r="AL403" s="6" t="e">
        <f>IF('Entrada e Saida'!$H$12="REAL",AC403,0)</f>
        <v>#DIV/0!</v>
      </c>
      <c r="AM403" s="6" t="e">
        <f>IF('Entrada e Saida'!$H$12="REAL",AD403,0)</f>
        <v>#DIV/0!</v>
      </c>
      <c r="AN403" s="5" t="e">
        <f>IF('Entrada e Saida'!$H$13= "NÃO",AE403,0)</f>
        <v>#DIV/0!</v>
      </c>
      <c r="AO403" s="5" t="e">
        <f t="shared" si="181"/>
        <v>#DIV/0!</v>
      </c>
      <c r="AP403" s="4" t="e">
        <f t="shared" si="182"/>
        <v>#DIV/0!</v>
      </c>
      <c r="AQ403" s="3" t="e">
        <f>IF('Entrada e Saida'!$H$11="TRADING",AU403*'Custo Resumido'!D403,0)</f>
        <v>#DIV/0!</v>
      </c>
      <c r="AR403" s="3" t="e">
        <f>IF('Entrada e Saida'!$H$11="TRADING",AU403*'Entrada e Saida'!$G$63,0)</f>
        <v>#DIV/0!</v>
      </c>
      <c r="AS403" s="3" t="e">
        <f>IF('Entrada e Saida'!$H$11="TRADING",AU403*'Entrada e Saida'!$G$64,0)</f>
        <v>#DIV/0!</v>
      </c>
      <c r="AT403" s="3" t="e">
        <f>IF('Entrada e Saida'!$H$11="TRADING",AU403*'Entrada e Saida'!$G$65,0)</f>
        <v>#DIV/0!</v>
      </c>
      <c r="AU403" s="4" t="e">
        <f>IF('Entrada e Saida'!$H$11="TRADING",AP403/(1-(SUM('Entrada e Saida'!$G$63:$G$65)+'Custo Resumido'!D403)),0)</f>
        <v>#DIV/0!</v>
      </c>
      <c r="AV403" s="3" t="e">
        <f>IF('Entrada e Saida'!$H$13="NÃO",AU403*M403,0)</f>
        <v>#DIV/0!</v>
      </c>
      <c r="AW403" s="4" t="e">
        <f t="shared" si="183"/>
        <v>#DIV/0!</v>
      </c>
      <c r="AX403" s="3" t="e">
        <f>'Entrada e Saida'!$G$74*AU403</f>
        <v>#DIV/0!</v>
      </c>
      <c r="AY403" s="4" t="e">
        <f t="shared" si="184"/>
        <v>#DIV/0!</v>
      </c>
      <c r="AZ403" s="4" t="e">
        <f>AQ403+('Entrada e Saida'!$G$65-'Entrada e Saida'!$I$65)*AU403-AX403</f>
        <v>#DIV/0!</v>
      </c>
      <c r="BA403" s="3" t="e">
        <f>IF('Entrada e Saida'!$H$12="REAL",AZ403*'Entrada e Saida'!$G$81,AU403*'Entrada e Saida'!$G$81)</f>
        <v>#DIV/0!</v>
      </c>
      <c r="BB403" s="3" t="e">
        <f>IF('Entrada e Saida'!$H$12="REAL",AZ403*'Entrada e Saida'!$G$82,AU403*'Entrada e Saida'!$G$82)</f>
        <v>#DIV/0!</v>
      </c>
      <c r="BC403" s="4" t="e">
        <f t="shared" si="185"/>
        <v>#DIV/0!</v>
      </c>
      <c r="BD403" s="3" t="e">
        <f>IF('Entrada e Saida'!$H$11="TRADING",AW403/D403,AK403/D403)</f>
        <v>#DIV/0!</v>
      </c>
      <c r="BE403" s="3" t="e">
        <f t="shared" si="186"/>
        <v>#DIV/0!</v>
      </c>
      <c r="BF403" s="2" t="e">
        <f t="shared" si="187"/>
        <v>#DIV/0!</v>
      </c>
      <c r="BG403" s="3" t="e">
        <f>IF('Entrada e Saida'!$H$11="TRADING",AV403/D403,AN403/D403)</f>
        <v>#DIV/0!</v>
      </c>
      <c r="BH403" s="3" t="e">
        <f>IF('Entrada e Saida'!$H$11="TRADING",IF('Entrada e Saida'!$H$12="REAL",AR403/D403,0),AL403/D403)</f>
        <v>#DIV/0!</v>
      </c>
      <c r="BI403" s="3" t="e">
        <f>IF('Entrada e Saida'!$H$11="TRADING",IF('Entrada e Saida'!$H$12="REAL",AS403/D403,0),AM403/D403)</f>
        <v>#DIV/0!</v>
      </c>
      <c r="BJ403" s="3" t="e">
        <f>IF('Entrada e Saida'!$H$11="TRADING",AT403/D403,AO403/D403)</f>
        <v>#DIV/0!</v>
      </c>
      <c r="BK403" s="2" t="e">
        <f t="shared" si="188"/>
        <v>#DIV/0!</v>
      </c>
      <c r="BL403" s="2">
        <f>IF(O403&gt;0,IFERROR(IF('Entrada e Saida'!$H$11="DIRETA",0,(IF('Entrada e Saida'!$H$14="P.JURIDICA",(BD403*(1+O403)*N403)-((BD403/(1+M403))*'Entrada e Saida'!$G$65),((Produtos!N403-'Entrada e Saida'!$G$65)*Produtos!BD403)))),0),0)</f>
        <v>0</v>
      </c>
      <c r="BM403" s="2" t="e">
        <f t="shared" si="189"/>
        <v>#DIV/0!</v>
      </c>
    </row>
    <row r="404" spans="1:65" s="1" customFormat="1">
      <c r="A404" s="127"/>
      <c r="B404" s="114">
        <f>IFERROR(VLOOKUP(A404,'Master Modelo'!A:I,7,FALSE),0)</f>
        <v>0</v>
      </c>
      <c r="C404" s="116">
        <f>IFERROR(VLOOKUP(A404,'Master Modelo'!A:I,2,FALSE),0)</f>
        <v>0</v>
      </c>
      <c r="D404" s="146"/>
      <c r="E404" s="115">
        <f>IFERROR(VLOOKUP(A404,'Master Modelo'!A:I,9,FALSE),0)</f>
        <v>0</v>
      </c>
      <c r="F404" s="189">
        <f>IFERROR(VLOOKUP(A404,'Master Modelo'!A:I,8,FALSE),0)</f>
        <v>0</v>
      </c>
      <c r="G404" s="189">
        <f>IFERROR(VLOOKUP(A404,'Master Modelo'!A:K,11,FALSE),0)</f>
        <v>0</v>
      </c>
      <c r="H404" s="114" t="e">
        <f t="shared" si="172"/>
        <v>#DIV/0!</v>
      </c>
      <c r="I404" s="150">
        <f>IFERROR(VLOOKUP(A404,'Master Modelo'!A:I,3,FALSE),0)</f>
        <v>0</v>
      </c>
      <c r="J404" s="151">
        <f>IFERROR(VLOOKUP(A404,'Master Modelo'!A:I,5,FALSE),0)</f>
        <v>0</v>
      </c>
      <c r="K404" s="151">
        <f>IFERROR(VLOOKUP(A404,'Master Modelo'!A:I,6,FALSE),0)</f>
        <v>0</v>
      </c>
      <c r="L404" s="152" t="e">
        <f>VLOOKUP(A404,'Master Modelo'!A:J,10,FALSE)</f>
        <v>#N/A</v>
      </c>
      <c r="M404" s="150">
        <f>IFERROR(VLOOKUP(A404,'Master Modelo'!A:I,4,FALSE),0)</f>
        <v>0</v>
      </c>
      <c r="N404" s="128"/>
      <c r="O404" s="129"/>
      <c r="P404" s="9">
        <f t="shared" si="173"/>
        <v>0</v>
      </c>
      <c r="Q404" s="177">
        <f t="shared" si="171"/>
        <v>0</v>
      </c>
      <c r="R404" s="3">
        <f>D404*E404*'Entrada e Saida'!$K$8</f>
        <v>0</v>
      </c>
      <c r="S404" s="179" t="e">
        <f>'Entrada e Saida'!$H$21*'Entrada e Saida'!$K$8*(P404/(SUM(P:P)))</f>
        <v>#DIV/0!</v>
      </c>
      <c r="T404" s="179" t="e">
        <f>'Entrada e Saida'!$H$21*'Entrada e Saida'!$K$8*(Q404/(SUM(Q:Q)))</f>
        <v>#DIV/0!</v>
      </c>
      <c r="U404" s="179" t="e">
        <f>'Entrada e Saida'!$H$22*(P404/(SUM(P:P)))</f>
        <v>#DIV/0!</v>
      </c>
      <c r="V404" s="179" t="e">
        <f>'Entrada e Saida'!$H$22*(Q404/(SUM(Q:Q)))</f>
        <v>#DIV/0!</v>
      </c>
      <c r="W404" s="8" t="e">
        <f t="shared" si="174"/>
        <v>#DIV/0!</v>
      </c>
      <c r="X404" s="179" t="e">
        <f>'Entrada e Saida'!$H$26*(IF('Entrada e Saida'!$H$15="PESO",(P404/(SUM(P:P))),(Q404/(SUM(Q:Q)))))</f>
        <v>#DIV/0!</v>
      </c>
      <c r="Y404" s="179" t="e">
        <f>'Entrada e Saida'!$H$27*(IF('Entrada e Saida'!$H$15="PESO",(P404/(SUM(P:P))),(Q404/(SUM(Q:Q)))))</f>
        <v>#DIV/0!</v>
      </c>
      <c r="Z404" s="179" t="e">
        <f>'Entrada e Saida'!$H$28*(IF('Entrada e Saida'!$H$15="PESO",(P404/(SUM(P:P))),(Q404/(SUM(Q:Q)))))</f>
        <v>#DIV/0!</v>
      </c>
      <c r="AA404" s="10" t="e">
        <f t="shared" si="175"/>
        <v>#DIV/0!</v>
      </c>
      <c r="AB404" s="3" t="e">
        <f t="shared" si="176"/>
        <v>#DIV/0!</v>
      </c>
      <c r="AC404" s="3" t="e">
        <f t="shared" si="177"/>
        <v>#DIV/0!</v>
      </c>
      <c r="AD404" s="3" t="e">
        <f t="shared" si="178"/>
        <v>#DIV/0!</v>
      </c>
      <c r="AE404" s="9" t="e">
        <f t="shared" si="179"/>
        <v>#DIV/0!</v>
      </c>
      <c r="AF404" s="126">
        <f>IFERROR(D404*F404*L404*'Entrada e Saida'!$K$8,0)</f>
        <v>0</v>
      </c>
      <c r="AG404" s="3" t="e">
        <f>((W404+AA404+AB404+AC404+AD404+AE404+AF404)/(1-'Entrada e Saida'!$G$65))*'Entrada e Saida'!$I$66</f>
        <v>#DIV/0!</v>
      </c>
      <c r="AH404" s="8" t="e">
        <f t="shared" si="180"/>
        <v>#DIV/0!</v>
      </c>
      <c r="AI404" s="183" t="e">
        <f>'Entrada e Saida'!$K$51*(IF('Entrada e Saida'!$H$15="PESO",(P404/(SUM(P:P))),(Q404/(SUM(Q:Q)))))</f>
        <v>#DIV/0!</v>
      </c>
      <c r="AJ404" s="7">
        <f>(('Entrada e Saida'!$K$10-'Entrada e Saida'!$K$8)*E404*D404)</f>
        <v>0</v>
      </c>
      <c r="AK404" s="184" t="e">
        <f>IF('Entrada e Saida'!$H$15="PESO",W404+AA404+AH404+AI404+AJ404,W404+AA404+AH404+AI404+AJ404-S404+T404-U404+V404)</f>
        <v>#DIV/0!</v>
      </c>
      <c r="AL404" s="6" t="e">
        <f>IF('Entrada e Saida'!$H$12="REAL",AC404,0)</f>
        <v>#DIV/0!</v>
      </c>
      <c r="AM404" s="6" t="e">
        <f>IF('Entrada e Saida'!$H$12="REAL",AD404,0)</f>
        <v>#DIV/0!</v>
      </c>
      <c r="AN404" s="5" t="e">
        <f>IF('Entrada e Saida'!$H$13= "NÃO",AE404,0)</f>
        <v>#DIV/0!</v>
      </c>
      <c r="AO404" s="5" t="e">
        <f t="shared" si="181"/>
        <v>#DIV/0!</v>
      </c>
      <c r="AP404" s="4" t="e">
        <f t="shared" si="182"/>
        <v>#DIV/0!</v>
      </c>
      <c r="AQ404" s="3" t="e">
        <f>IF('Entrada e Saida'!$H$11="TRADING",AU404*'Custo Resumido'!D404,0)</f>
        <v>#DIV/0!</v>
      </c>
      <c r="AR404" s="3" t="e">
        <f>IF('Entrada e Saida'!$H$11="TRADING",AU404*'Entrada e Saida'!$G$63,0)</f>
        <v>#DIV/0!</v>
      </c>
      <c r="AS404" s="3" t="e">
        <f>IF('Entrada e Saida'!$H$11="TRADING",AU404*'Entrada e Saida'!$G$64,0)</f>
        <v>#DIV/0!</v>
      </c>
      <c r="AT404" s="3" t="e">
        <f>IF('Entrada e Saida'!$H$11="TRADING",AU404*'Entrada e Saida'!$G$65,0)</f>
        <v>#DIV/0!</v>
      </c>
      <c r="AU404" s="4" t="e">
        <f>IF('Entrada e Saida'!$H$11="TRADING",AP404/(1-(SUM('Entrada e Saida'!$G$63:$G$65)+'Custo Resumido'!D404)),0)</f>
        <v>#DIV/0!</v>
      </c>
      <c r="AV404" s="3" t="e">
        <f>IF('Entrada e Saida'!$H$13="NÃO",AU404*M404,0)</f>
        <v>#DIV/0!</v>
      </c>
      <c r="AW404" s="4" t="e">
        <f t="shared" si="183"/>
        <v>#DIV/0!</v>
      </c>
      <c r="AX404" s="3" t="e">
        <f>'Entrada e Saida'!$G$74*AU404</f>
        <v>#DIV/0!</v>
      </c>
      <c r="AY404" s="4" t="e">
        <f t="shared" si="184"/>
        <v>#DIV/0!</v>
      </c>
      <c r="AZ404" s="4" t="e">
        <f>AQ404+('Entrada e Saida'!$G$65-'Entrada e Saida'!$I$65)*AU404-AX404</f>
        <v>#DIV/0!</v>
      </c>
      <c r="BA404" s="3" t="e">
        <f>IF('Entrada e Saida'!$H$12="REAL",AZ404*'Entrada e Saida'!$G$81,AU404*'Entrada e Saida'!$G$81)</f>
        <v>#DIV/0!</v>
      </c>
      <c r="BB404" s="3" t="e">
        <f>IF('Entrada e Saida'!$H$12="REAL",AZ404*'Entrada e Saida'!$G$82,AU404*'Entrada e Saida'!$G$82)</f>
        <v>#DIV/0!</v>
      </c>
      <c r="BC404" s="4" t="e">
        <f t="shared" si="185"/>
        <v>#DIV/0!</v>
      </c>
      <c r="BD404" s="3" t="e">
        <f>IF('Entrada e Saida'!$H$11="TRADING",AW404/D404,AK404/D404)</f>
        <v>#DIV/0!</v>
      </c>
      <c r="BE404" s="3" t="e">
        <f t="shared" si="186"/>
        <v>#DIV/0!</v>
      </c>
      <c r="BF404" s="2" t="e">
        <f t="shared" si="187"/>
        <v>#DIV/0!</v>
      </c>
      <c r="BG404" s="3" t="e">
        <f>IF('Entrada e Saida'!$H$11="TRADING",AV404/D404,AN404/D404)</f>
        <v>#DIV/0!</v>
      </c>
      <c r="BH404" s="3" t="e">
        <f>IF('Entrada e Saida'!$H$11="TRADING",IF('Entrada e Saida'!$H$12="REAL",AR404/D404,0),AL404/D404)</f>
        <v>#DIV/0!</v>
      </c>
      <c r="BI404" s="3" t="e">
        <f>IF('Entrada e Saida'!$H$11="TRADING",IF('Entrada e Saida'!$H$12="REAL",AS404/D404,0),AM404/D404)</f>
        <v>#DIV/0!</v>
      </c>
      <c r="BJ404" s="3" t="e">
        <f>IF('Entrada e Saida'!$H$11="TRADING",AT404/D404,AO404/D404)</f>
        <v>#DIV/0!</v>
      </c>
      <c r="BK404" s="2" t="e">
        <f t="shared" si="188"/>
        <v>#DIV/0!</v>
      </c>
      <c r="BL404" s="2">
        <f>IF(O404&gt;0,IFERROR(IF('Entrada e Saida'!$H$11="DIRETA",0,(IF('Entrada e Saida'!$H$14="P.JURIDICA",(BD404*(1+O404)*N404)-((BD404/(1+M404))*'Entrada e Saida'!$G$65),((Produtos!N404-'Entrada e Saida'!$G$65)*Produtos!BD404)))),0),0)</f>
        <v>0</v>
      </c>
      <c r="BM404" s="2" t="e">
        <f t="shared" si="189"/>
        <v>#DIV/0!</v>
      </c>
    </row>
    <row r="405" spans="1:65" s="1" customFormat="1">
      <c r="A405" s="127"/>
      <c r="B405" s="114">
        <f>IFERROR(VLOOKUP(A405,'Master Modelo'!A:I,7,FALSE),0)</f>
        <v>0</v>
      </c>
      <c r="C405" s="116">
        <f>IFERROR(VLOOKUP(A405,'Master Modelo'!A:I,2,FALSE),0)</f>
        <v>0</v>
      </c>
      <c r="D405" s="146"/>
      <c r="E405" s="115">
        <f>IFERROR(VLOOKUP(A405,'Master Modelo'!A:I,9,FALSE),0)</f>
        <v>0</v>
      </c>
      <c r="F405" s="189">
        <f>IFERROR(VLOOKUP(A405,'Master Modelo'!A:I,8,FALSE),0)</f>
        <v>0</v>
      </c>
      <c r="G405" s="189">
        <f>IFERROR(VLOOKUP(A405,'Master Modelo'!A:K,11,FALSE),0)</f>
        <v>0</v>
      </c>
      <c r="H405" s="114" t="e">
        <f t="shared" si="172"/>
        <v>#DIV/0!</v>
      </c>
      <c r="I405" s="150">
        <f>IFERROR(VLOOKUP(A405,'Master Modelo'!A:I,3,FALSE),0)</f>
        <v>0</v>
      </c>
      <c r="J405" s="151">
        <f>IFERROR(VLOOKUP(A405,'Master Modelo'!A:I,5,FALSE),0)</f>
        <v>0</v>
      </c>
      <c r="K405" s="151">
        <f>IFERROR(VLOOKUP(A405,'Master Modelo'!A:I,6,FALSE),0)</f>
        <v>0</v>
      </c>
      <c r="L405" s="152" t="e">
        <f>VLOOKUP(A405,'Master Modelo'!A:J,10,FALSE)</f>
        <v>#N/A</v>
      </c>
      <c r="M405" s="150">
        <f>IFERROR(VLOOKUP(A405,'Master Modelo'!A:I,4,FALSE),0)</f>
        <v>0</v>
      </c>
      <c r="N405" s="128"/>
      <c r="O405" s="129"/>
      <c r="P405" s="9">
        <f t="shared" si="173"/>
        <v>0</v>
      </c>
      <c r="Q405" s="177">
        <f t="shared" si="171"/>
        <v>0</v>
      </c>
      <c r="R405" s="3">
        <f>D405*E405*'Entrada e Saida'!$K$8</f>
        <v>0</v>
      </c>
      <c r="S405" s="179" t="e">
        <f>'Entrada e Saida'!$H$21*'Entrada e Saida'!$K$8*(P405/(SUM(P:P)))</f>
        <v>#DIV/0!</v>
      </c>
      <c r="T405" s="179" t="e">
        <f>'Entrada e Saida'!$H$21*'Entrada e Saida'!$K$8*(Q405/(SUM(Q:Q)))</f>
        <v>#DIV/0!</v>
      </c>
      <c r="U405" s="179" t="e">
        <f>'Entrada e Saida'!$H$22*(P405/(SUM(P:P)))</f>
        <v>#DIV/0!</v>
      </c>
      <c r="V405" s="179" t="e">
        <f>'Entrada e Saida'!$H$22*(Q405/(SUM(Q:Q)))</f>
        <v>#DIV/0!</v>
      </c>
      <c r="W405" s="8" t="e">
        <f t="shared" si="174"/>
        <v>#DIV/0!</v>
      </c>
      <c r="X405" s="179" t="e">
        <f>'Entrada e Saida'!$H$26*(IF('Entrada e Saida'!$H$15="PESO",(P405/(SUM(P:P))),(Q405/(SUM(Q:Q)))))</f>
        <v>#DIV/0!</v>
      </c>
      <c r="Y405" s="179" t="e">
        <f>'Entrada e Saida'!$H$27*(IF('Entrada e Saida'!$H$15="PESO",(P405/(SUM(P:P))),(Q405/(SUM(Q:Q)))))</f>
        <v>#DIV/0!</v>
      </c>
      <c r="Z405" s="179" t="e">
        <f>'Entrada e Saida'!$H$28*(IF('Entrada e Saida'!$H$15="PESO",(P405/(SUM(P:P))),(Q405/(SUM(Q:Q)))))</f>
        <v>#DIV/0!</v>
      </c>
      <c r="AA405" s="10" t="e">
        <f t="shared" si="175"/>
        <v>#DIV/0!</v>
      </c>
      <c r="AB405" s="3" t="e">
        <f t="shared" si="176"/>
        <v>#DIV/0!</v>
      </c>
      <c r="AC405" s="3" t="e">
        <f t="shared" si="177"/>
        <v>#DIV/0!</v>
      </c>
      <c r="AD405" s="3" t="e">
        <f t="shared" si="178"/>
        <v>#DIV/0!</v>
      </c>
      <c r="AE405" s="9" t="e">
        <f t="shared" si="179"/>
        <v>#DIV/0!</v>
      </c>
      <c r="AF405" s="126">
        <f>IFERROR(D405*F405*L405*'Entrada e Saida'!$K$8,0)</f>
        <v>0</v>
      </c>
      <c r="AG405" s="3" t="e">
        <f>((W405+AA405+AB405+AC405+AD405+AE405+AF405)/(1-'Entrada e Saida'!$G$65))*'Entrada e Saida'!$I$66</f>
        <v>#DIV/0!</v>
      </c>
      <c r="AH405" s="8" t="e">
        <f t="shared" si="180"/>
        <v>#DIV/0!</v>
      </c>
      <c r="AI405" s="183" t="e">
        <f>'Entrada e Saida'!$K$51*(IF('Entrada e Saida'!$H$15="PESO",(P405/(SUM(P:P))),(Q405/(SUM(Q:Q)))))</f>
        <v>#DIV/0!</v>
      </c>
      <c r="AJ405" s="7">
        <f>(('Entrada e Saida'!$K$10-'Entrada e Saida'!$K$8)*E405*D405)</f>
        <v>0</v>
      </c>
      <c r="AK405" s="184" t="e">
        <f>IF('Entrada e Saida'!$H$15="PESO",W405+AA405+AH405+AI405+AJ405,W405+AA405+AH405+AI405+AJ405-S405+T405-U405+V405)</f>
        <v>#DIV/0!</v>
      </c>
      <c r="AL405" s="6" t="e">
        <f>IF('Entrada e Saida'!$H$12="REAL",AC405,0)</f>
        <v>#DIV/0!</v>
      </c>
      <c r="AM405" s="6" t="e">
        <f>IF('Entrada e Saida'!$H$12="REAL",AD405,0)</f>
        <v>#DIV/0!</v>
      </c>
      <c r="AN405" s="5" t="e">
        <f>IF('Entrada e Saida'!$H$13= "NÃO",AE405,0)</f>
        <v>#DIV/0!</v>
      </c>
      <c r="AO405" s="5" t="e">
        <f t="shared" si="181"/>
        <v>#DIV/0!</v>
      </c>
      <c r="AP405" s="4" t="e">
        <f t="shared" si="182"/>
        <v>#DIV/0!</v>
      </c>
      <c r="AQ405" s="3" t="e">
        <f>IF('Entrada e Saida'!$H$11="TRADING",AU405*'Custo Resumido'!D405,0)</f>
        <v>#DIV/0!</v>
      </c>
      <c r="AR405" s="3" t="e">
        <f>IF('Entrada e Saida'!$H$11="TRADING",AU405*'Entrada e Saida'!$G$63,0)</f>
        <v>#DIV/0!</v>
      </c>
      <c r="AS405" s="3" t="e">
        <f>IF('Entrada e Saida'!$H$11="TRADING",AU405*'Entrada e Saida'!$G$64,0)</f>
        <v>#DIV/0!</v>
      </c>
      <c r="AT405" s="3" t="e">
        <f>IF('Entrada e Saida'!$H$11="TRADING",AU405*'Entrada e Saida'!$G$65,0)</f>
        <v>#DIV/0!</v>
      </c>
      <c r="AU405" s="4" t="e">
        <f>IF('Entrada e Saida'!$H$11="TRADING",AP405/(1-(SUM('Entrada e Saida'!$G$63:$G$65)+'Custo Resumido'!D405)),0)</f>
        <v>#DIV/0!</v>
      </c>
      <c r="AV405" s="3" t="e">
        <f>IF('Entrada e Saida'!$H$13="NÃO",AU405*M405,0)</f>
        <v>#DIV/0!</v>
      </c>
      <c r="AW405" s="4" t="e">
        <f t="shared" si="183"/>
        <v>#DIV/0!</v>
      </c>
      <c r="AX405" s="3" t="e">
        <f>'Entrada e Saida'!$G$74*AU405</f>
        <v>#DIV/0!</v>
      </c>
      <c r="AY405" s="4" t="e">
        <f t="shared" si="184"/>
        <v>#DIV/0!</v>
      </c>
      <c r="AZ405" s="4" t="e">
        <f>AQ405+('Entrada e Saida'!$G$65-'Entrada e Saida'!$I$65)*AU405-AX405</f>
        <v>#DIV/0!</v>
      </c>
      <c r="BA405" s="3" t="e">
        <f>IF('Entrada e Saida'!$H$12="REAL",AZ405*'Entrada e Saida'!$G$81,AU405*'Entrada e Saida'!$G$81)</f>
        <v>#DIV/0!</v>
      </c>
      <c r="BB405" s="3" t="e">
        <f>IF('Entrada e Saida'!$H$12="REAL",AZ405*'Entrada e Saida'!$G$82,AU405*'Entrada e Saida'!$G$82)</f>
        <v>#DIV/0!</v>
      </c>
      <c r="BC405" s="4" t="e">
        <f t="shared" si="185"/>
        <v>#DIV/0!</v>
      </c>
      <c r="BD405" s="3" t="e">
        <f>IF('Entrada e Saida'!$H$11="TRADING",AW405/D405,AK405/D405)</f>
        <v>#DIV/0!</v>
      </c>
      <c r="BE405" s="3" t="e">
        <f t="shared" si="186"/>
        <v>#DIV/0!</v>
      </c>
      <c r="BF405" s="2" t="e">
        <f t="shared" si="187"/>
        <v>#DIV/0!</v>
      </c>
      <c r="BG405" s="3" t="e">
        <f>IF('Entrada e Saida'!$H$11="TRADING",AV405/D405,AN405/D405)</f>
        <v>#DIV/0!</v>
      </c>
      <c r="BH405" s="3" t="e">
        <f>IF('Entrada e Saida'!$H$11="TRADING",IF('Entrada e Saida'!$H$12="REAL",AR405/D405,0),AL405/D405)</f>
        <v>#DIV/0!</v>
      </c>
      <c r="BI405" s="3" t="e">
        <f>IF('Entrada e Saida'!$H$11="TRADING",IF('Entrada e Saida'!$H$12="REAL",AS405/D405,0),AM405/D405)</f>
        <v>#DIV/0!</v>
      </c>
      <c r="BJ405" s="3" t="e">
        <f>IF('Entrada e Saida'!$H$11="TRADING",AT405/D405,AO405/D405)</f>
        <v>#DIV/0!</v>
      </c>
      <c r="BK405" s="2" t="e">
        <f t="shared" si="188"/>
        <v>#DIV/0!</v>
      </c>
      <c r="BL405" s="2">
        <f>IF(O405&gt;0,IFERROR(IF('Entrada e Saida'!$H$11="DIRETA",0,(IF('Entrada e Saida'!$H$14="P.JURIDICA",(BD405*(1+O405)*N405)-((BD405/(1+M405))*'Entrada e Saida'!$G$65),((Produtos!N405-'Entrada e Saida'!$G$65)*Produtos!BD405)))),0),0)</f>
        <v>0</v>
      </c>
      <c r="BM405" s="2" t="e">
        <f t="shared" si="189"/>
        <v>#DIV/0!</v>
      </c>
    </row>
    <row r="406" spans="1:65" s="1" customFormat="1">
      <c r="A406" s="127"/>
      <c r="B406" s="114">
        <f>IFERROR(VLOOKUP(A406,'Master Modelo'!A:I,7,FALSE),0)</f>
        <v>0</v>
      </c>
      <c r="C406" s="116">
        <f>IFERROR(VLOOKUP(A406,'Master Modelo'!A:I,2,FALSE),0)</f>
        <v>0</v>
      </c>
      <c r="D406" s="146"/>
      <c r="E406" s="115">
        <f>IFERROR(VLOOKUP(A406,'Master Modelo'!A:I,9,FALSE),0)</f>
        <v>0</v>
      </c>
      <c r="F406" s="189">
        <f>IFERROR(VLOOKUP(A406,'Master Modelo'!A:I,8,FALSE),0)</f>
        <v>0</v>
      </c>
      <c r="G406" s="189">
        <f>IFERROR(VLOOKUP(A406,'Master Modelo'!A:K,11,FALSE),0)</f>
        <v>0</v>
      </c>
      <c r="H406" s="114" t="e">
        <f t="shared" si="172"/>
        <v>#DIV/0!</v>
      </c>
      <c r="I406" s="150">
        <f>IFERROR(VLOOKUP(A406,'Master Modelo'!A:I,3,FALSE),0)</f>
        <v>0</v>
      </c>
      <c r="J406" s="151">
        <f>IFERROR(VLOOKUP(A406,'Master Modelo'!A:I,5,FALSE),0)</f>
        <v>0</v>
      </c>
      <c r="K406" s="151">
        <f>IFERROR(VLOOKUP(A406,'Master Modelo'!A:I,6,FALSE),0)</f>
        <v>0</v>
      </c>
      <c r="L406" s="152" t="e">
        <f>VLOOKUP(A406,'Master Modelo'!A:J,10,FALSE)</f>
        <v>#N/A</v>
      </c>
      <c r="M406" s="150">
        <f>IFERROR(VLOOKUP(A406,'Master Modelo'!A:I,4,FALSE),0)</f>
        <v>0</v>
      </c>
      <c r="N406" s="128"/>
      <c r="O406" s="129"/>
      <c r="P406" s="9">
        <f t="shared" si="173"/>
        <v>0</v>
      </c>
      <c r="Q406" s="177">
        <f t="shared" si="171"/>
        <v>0</v>
      </c>
      <c r="R406" s="3">
        <f>D406*E406*'Entrada e Saida'!$K$8</f>
        <v>0</v>
      </c>
      <c r="S406" s="179" t="e">
        <f>'Entrada e Saida'!$H$21*'Entrada e Saida'!$K$8*(P406/(SUM(P:P)))</f>
        <v>#DIV/0!</v>
      </c>
      <c r="T406" s="179" t="e">
        <f>'Entrada e Saida'!$H$21*'Entrada e Saida'!$K$8*(Q406/(SUM(Q:Q)))</f>
        <v>#DIV/0!</v>
      </c>
      <c r="U406" s="179" t="e">
        <f>'Entrada e Saida'!$H$22*(P406/(SUM(P:P)))</f>
        <v>#DIV/0!</v>
      </c>
      <c r="V406" s="179" t="e">
        <f>'Entrada e Saida'!$H$22*(Q406/(SUM(Q:Q)))</f>
        <v>#DIV/0!</v>
      </c>
      <c r="W406" s="8" t="e">
        <f t="shared" si="174"/>
        <v>#DIV/0!</v>
      </c>
      <c r="X406" s="179" t="e">
        <f>'Entrada e Saida'!$H$26*(IF('Entrada e Saida'!$H$15="PESO",(P406/(SUM(P:P))),(Q406/(SUM(Q:Q)))))</f>
        <v>#DIV/0!</v>
      </c>
      <c r="Y406" s="179" t="e">
        <f>'Entrada e Saida'!$H$27*(IF('Entrada e Saida'!$H$15="PESO",(P406/(SUM(P:P))),(Q406/(SUM(Q:Q)))))</f>
        <v>#DIV/0!</v>
      </c>
      <c r="Z406" s="179" t="e">
        <f>'Entrada e Saida'!$H$28*(IF('Entrada e Saida'!$H$15="PESO",(P406/(SUM(P:P))),(Q406/(SUM(Q:Q)))))</f>
        <v>#DIV/0!</v>
      </c>
      <c r="AA406" s="10" t="e">
        <f t="shared" si="175"/>
        <v>#DIV/0!</v>
      </c>
      <c r="AB406" s="3" t="e">
        <f t="shared" si="176"/>
        <v>#DIV/0!</v>
      </c>
      <c r="AC406" s="3" t="e">
        <f t="shared" si="177"/>
        <v>#DIV/0!</v>
      </c>
      <c r="AD406" s="3" t="e">
        <f t="shared" si="178"/>
        <v>#DIV/0!</v>
      </c>
      <c r="AE406" s="9" t="e">
        <f t="shared" si="179"/>
        <v>#DIV/0!</v>
      </c>
      <c r="AF406" s="126">
        <f>IFERROR(D406*F406*L406*'Entrada e Saida'!$K$8,0)</f>
        <v>0</v>
      </c>
      <c r="AG406" s="3" t="e">
        <f>((W406+AA406+AB406+AC406+AD406+AE406+AF406)/(1-'Entrada e Saida'!$G$65))*'Entrada e Saida'!$I$66</f>
        <v>#DIV/0!</v>
      </c>
      <c r="AH406" s="8" t="e">
        <f t="shared" si="180"/>
        <v>#DIV/0!</v>
      </c>
      <c r="AI406" s="183" t="e">
        <f>'Entrada e Saida'!$K$51*(IF('Entrada e Saida'!$H$15="PESO",(P406/(SUM(P:P))),(Q406/(SUM(Q:Q)))))</f>
        <v>#DIV/0!</v>
      </c>
      <c r="AJ406" s="7">
        <f>(('Entrada e Saida'!$K$10-'Entrada e Saida'!$K$8)*E406*D406)</f>
        <v>0</v>
      </c>
      <c r="AK406" s="184" t="e">
        <f>IF('Entrada e Saida'!$H$15="PESO",W406+AA406+AH406+AI406+AJ406,W406+AA406+AH406+AI406+AJ406-S406+T406-U406+V406)</f>
        <v>#DIV/0!</v>
      </c>
      <c r="AL406" s="6" t="e">
        <f>IF('Entrada e Saida'!$H$12="REAL",AC406,0)</f>
        <v>#DIV/0!</v>
      </c>
      <c r="AM406" s="6" t="e">
        <f>IF('Entrada e Saida'!$H$12="REAL",AD406,0)</f>
        <v>#DIV/0!</v>
      </c>
      <c r="AN406" s="5" t="e">
        <f>IF('Entrada e Saida'!$H$13= "NÃO",AE406,0)</f>
        <v>#DIV/0!</v>
      </c>
      <c r="AO406" s="5" t="e">
        <f t="shared" si="181"/>
        <v>#DIV/0!</v>
      </c>
      <c r="AP406" s="4" t="e">
        <f t="shared" si="182"/>
        <v>#DIV/0!</v>
      </c>
      <c r="AQ406" s="3" t="e">
        <f>IF('Entrada e Saida'!$H$11="TRADING",AU406*'Custo Resumido'!D406,0)</f>
        <v>#DIV/0!</v>
      </c>
      <c r="AR406" s="3" t="e">
        <f>IF('Entrada e Saida'!$H$11="TRADING",AU406*'Entrada e Saida'!$G$63,0)</f>
        <v>#DIV/0!</v>
      </c>
      <c r="AS406" s="3" t="e">
        <f>IF('Entrada e Saida'!$H$11="TRADING",AU406*'Entrada e Saida'!$G$64,0)</f>
        <v>#DIV/0!</v>
      </c>
      <c r="AT406" s="3" t="e">
        <f>IF('Entrada e Saida'!$H$11="TRADING",AU406*'Entrada e Saida'!$G$65,0)</f>
        <v>#DIV/0!</v>
      </c>
      <c r="AU406" s="4" t="e">
        <f>IF('Entrada e Saida'!$H$11="TRADING",AP406/(1-(SUM('Entrada e Saida'!$G$63:$G$65)+'Custo Resumido'!D406)),0)</f>
        <v>#DIV/0!</v>
      </c>
      <c r="AV406" s="3" t="e">
        <f>IF('Entrada e Saida'!$H$13="NÃO",AU406*M406,0)</f>
        <v>#DIV/0!</v>
      </c>
      <c r="AW406" s="4" t="e">
        <f t="shared" si="183"/>
        <v>#DIV/0!</v>
      </c>
      <c r="AX406" s="3" t="e">
        <f>'Entrada e Saida'!$G$74*AU406</f>
        <v>#DIV/0!</v>
      </c>
      <c r="AY406" s="4" t="e">
        <f t="shared" si="184"/>
        <v>#DIV/0!</v>
      </c>
      <c r="AZ406" s="4" t="e">
        <f>AQ406+('Entrada e Saida'!$G$65-'Entrada e Saida'!$I$65)*AU406-AX406</f>
        <v>#DIV/0!</v>
      </c>
      <c r="BA406" s="3" t="e">
        <f>IF('Entrada e Saida'!$H$12="REAL",AZ406*'Entrada e Saida'!$G$81,AU406*'Entrada e Saida'!$G$81)</f>
        <v>#DIV/0!</v>
      </c>
      <c r="BB406" s="3" t="e">
        <f>IF('Entrada e Saida'!$H$12="REAL",AZ406*'Entrada e Saida'!$G$82,AU406*'Entrada e Saida'!$G$82)</f>
        <v>#DIV/0!</v>
      </c>
      <c r="BC406" s="4" t="e">
        <f t="shared" si="185"/>
        <v>#DIV/0!</v>
      </c>
      <c r="BD406" s="3" t="e">
        <f>IF('Entrada e Saida'!$H$11="TRADING",AW406/D406,AK406/D406)</f>
        <v>#DIV/0!</v>
      </c>
      <c r="BE406" s="3" t="e">
        <f t="shared" si="186"/>
        <v>#DIV/0!</v>
      </c>
      <c r="BF406" s="2" t="e">
        <f t="shared" si="187"/>
        <v>#DIV/0!</v>
      </c>
      <c r="BG406" s="3" t="e">
        <f>IF('Entrada e Saida'!$H$11="TRADING",AV406/D406,AN406/D406)</f>
        <v>#DIV/0!</v>
      </c>
      <c r="BH406" s="3" t="e">
        <f>IF('Entrada e Saida'!$H$11="TRADING",IF('Entrada e Saida'!$H$12="REAL",AR406/D406,0),AL406/D406)</f>
        <v>#DIV/0!</v>
      </c>
      <c r="BI406" s="3" t="e">
        <f>IF('Entrada e Saida'!$H$11="TRADING",IF('Entrada e Saida'!$H$12="REAL",AS406/D406,0),AM406/D406)</f>
        <v>#DIV/0!</v>
      </c>
      <c r="BJ406" s="3" t="e">
        <f>IF('Entrada e Saida'!$H$11="TRADING",AT406/D406,AO406/D406)</f>
        <v>#DIV/0!</v>
      </c>
      <c r="BK406" s="2" t="e">
        <f t="shared" si="188"/>
        <v>#DIV/0!</v>
      </c>
      <c r="BL406" s="2">
        <f>IF(O406&gt;0,IFERROR(IF('Entrada e Saida'!$H$11="DIRETA",0,(IF('Entrada e Saida'!$H$14="P.JURIDICA",(BD406*(1+O406)*N406)-((BD406/(1+M406))*'Entrada e Saida'!$G$65),((Produtos!N406-'Entrada e Saida'!$G$65)*Produtos!BD406)))),0),0)</f>
        <v>0</v>
      </c>
      <c r="BM406" s="2" t="e">
        <f t="shared" si="189"/>
        <v>#DIV/0!</v>
      </c>
    </row>
    <row r="407" spans="1:65" s="1" customFormat="1">
      <c r="A407" s="127"/>
      <c r="B407" s="114">
        <f>IFERROR(VLOOKUP(A407,'Master Modelo'!A:I,7,FALSE),0)</f>
        <v>0</v>
      </c>
      <c r="C407" s="116">
        <f>IFERROR(VLOOKUP(A407,'Master Modelo'!A:I,2,FALSE),0)</f>
        <v>0</v>
      </c>
      <c r="D407" s="146"/>
      <c r="E407" s="115">
        <f>IFERROR(VLOOKUP(A407,'Master Modelo'!A:I,9,FALSE),0)</f>
        <v>0</v>
      </c>
      <c r="F407" s="189">
        <f>IFERROR(VLOOKUP(A407,'Master Modelo'!A:I,8,FALSE),0)</f>
        <v>0</v>
      </c>
      <c r="G407" s="189">
        <f>IFERROR(VLOOKUP(A407,'Master Modelo'!A:K,11,FALSE),0)</f>
        <v>0</v>
      </c>
      <c r="H407" s="114" t="e">
        <f t="shared" si="172"/>
        <v>#DIV/0!</v>
      </c>
      <c r="I407" s="150">
        <f>IFERROR(VLOOKUP(A407,'Master Modelo'!A:I,3,FALSE),0)</f>
        <v>0</v>
      </c>
      <c r="J407" s="151">
        <f>IFERROR(VLOOKUP(A407,'Master Modelo'!A:I,5,FALSE),0)</f>
        <v>0</v>
      </c>
      <c r="K407" s="151">
        <f>IFERROR(VLOOKUP(A407,'Master Modelo'!A:I,6,FALSE),0)</f>
        <v>0</v>
      </c>
      <c r="L407" s="152" t="e">
        <f>VLOOKUP(A407,'Master Modelo'!A:J,10,FALSE)</f>
        <v>#N/A</v>
      </c>
      <c r="M407" s="150">
        <f>IFERROR(VLOOKUP(A407,'Master Modelo'!A:I,4,FALSE),0)</f>
        <v>0</v>
      </c>
      <c r="N407" s="128"/>
      <c r="O407" s="129"/>
      <c r="P407" s="9">
        <f t="shared" si="173"/>
        <v>0</v>
      </c>
      <c r="Q407" s="177">
        <f t="shared" si="171"/>
        <v>0</v>
      </c>
      <c r="R407" s="3">
        <f>D407*E407*'Entrada e Saida'!$K$8</f>
        <v>0</v>
      </c>
      <c r="S407" s="179" t="e">
        <f>'Entrada e Saida'!$H$21*'Entrada e Saida'!$K$8*(P407/(SUM(P:P)))</f>
        <v>#DIV/0!</v>
      </c>
      <c r="T407" s="179" t="e">
        <f>'Entrada e Saida'!$H$21*'Entrada e Saida'!$K$8*(Q407/(SUM(Q:Q)))</f>
        <v>#DIV/0!</v>
      </c>
      <c r="U407" s="179" t="e">
        <f>'Entrada e Saida'!$H$22*(P407/(SUM(P:P)))</f>
        <v>#DIV/0!</v>
      </c>
      <c r="V407" s="179" t="e">
        <f>'Entrada e Saida'!$H$22*(Q407/(SUM(Q:Q)))</f>
        <v>#DIV/0!</v>
      </c>
      <c r="W407" s="8" t="e">
        <f t="shared" si="174"/>
        <v>#DIV/0!</v>
      </c>
      <c r="X407" s="179" t="e">
        <f>'Entrada e Saida'!$H$26*(IF('Entrada e Saida'!$H$15="PESO",(P407/(SUM(P:P))),(Q407/(SUM(Q:Q)))))</f>
        <v>#DIV/0!</v>
      </c>
      <c r="Y407" s="179" t="e">
        <f>'Entrada e Saida'!$H$27*(IF('Entrada e Saida'!$H$15="PESO",(P407/(SUM(P:P))),(Q407/(SUM(Q:Q)))))</f>
        <v>#DIV/0!</v>
      </c>
      <c r="Z407" s="179" t="e">
        <f>'Entrada e Saida'!$H$28*(IF('Entrada e Saida'!$H$15="PESO",(P407/(SUM(P:P))),(Q407/(SUM(Q:Q)))))</f>
        <v>#DIV/0!</v>
      </c>
      <c r="AA407" s="10" t="e">
        <f t="shared" si="175"/>
        <v>#DIV/0!</v>
      </c>
      <c r="AB407" s="3" t="e">
        <f t="shared" si="176"/>
        <v>#DIV/0!</v>
      </c>
      <c r="AC407" s="3" t="e">
        <f t="shared" si="177"/>
        <v>#DIV/0!</v>
      </c>
      <c r="AD407" s="3" t="e">
        <f t="shared" si="178"/>
        <v>#DIV/0!</v>
      </c>
      <c r="AE407" s="9" t="e">
        <f t="shared" si="179"/>
        <v>#DIV/0!</v>
      </c>
      <c r="AF407" s="126">
        <f>IFERROR(D407*F407*L407*'Entrada e Saida'!$K$8,0)</f>
        <v>0</v>
      </c>
      <c r="AG407" s="3" t="e">
        <f>((W407+AA407+AB407+AC407+AD407+AE407+AF407)/(1-'Entrada e Saida'!$G$65))*'Entrada e Saida'!$I$66</f>
        <v>#DIV/0!</v>
      </c>
      <c r="AH407" s="8" t="e">
        <f t="shared" si="180"/>
        <v>#DIV/0!</v>
      </c>
      <c r="AI407" s="183" t="e">
        <f>'Entrada e Saida'!$K$51*(IF('Entrada e Saida'!$H$15="PESO",(P407/(SUM(P:P))),(Q407/(SUM(Q:Q)))))</f>
        <v>#DIV/0!</v>
      </c>
      <c r="AJ407" s="7">
        <f>(('Entrada e Saida'!$K$10-'Entrada e Saida'!$K$8)*E407*D407)</f>
        <v>0</v>
      </c>
      <c r="AK407" s="184" t="e">
        <f>IF('Entrada e Saida'!$H$15="PESO",W407+AA407+AH407+AI407+AJ407,W407+AA407+AH407+AI407+AJ407-S407+T407-U407+V407)</f>
        <v>#DIV/0!</v>
      </c>
      <c r="AL407" s="6" t="e">
        <f>IF('Entrada e Saida'!$H$12="REAL",AC407,0)</f>
        <v>#DIV/0!</v>
      </c>
      <c r="AM407" s="6" t="e">
        <f>IF('Entrada e Saida'!$H$12="REAL",AD407,0)</f>
        <v>#DIV/0!</v>
      </c>
      <c r="AN407" s="5" t="e">
        <f>IF('Entrada e Saida'!$H$13= "NÃO",AE407,0)</f>
        <v>#DIV/0!</v>
      </c>
      <c r="AO407" s="5" t="e">
        <f t="shared" si="181"/>
        <v>#DIV/0!</v>
      </c>
      <c r="AP407" s="4" t="e">
        <f t="shared" si="182"/>
        <v>#DIV/0!</v>
      </c>
      <c r="AQ407" s="3" t="e">
        <f>IF('Entrada e Saida'!$H$11="TRADING",AU407*'Custo Resumido'!D407,0)</f>
        <v>#DIV/0!</v>
      </c>
      <c r="AR407" s="3" t="e">
        <f>IF('Entrada e Saida'!$H$11="TRADING",AU407*'Entrada e Saida'!$G$63,0)</f>
        <v>#DIV/0!</v>
      </c>
      <c r="AS407" s="3" t="e">
        <f>IF('Entrada e Saida'!$H$11="TRADING",AU407*'Entrada e Saida'!$G$64,0)</f>
        <v>#DIV/0!</v>
      </c>
      <c r="AT407" s="3" t="e">
        <f>IF('Entrada e Saida'!$H$11="TRADING",AU407*'Entrada e Saida'!$G$65,0)</f>
        <v>#DIV/0!</v>
      </c>
      <c r="AU407" s="4" t="e">
        <f>IF('Entrada e Saida'!$H$11="TRADING",AP407/(1-(SUM('Entrada e Saida'!$G$63:$G$65)+'Custo Resumido'!D407)),0)</f>
        <v>#DIV/0!</v>
      </c>
      <c r="AV407" s="3" t="e">
        <f>IF('Entrada e Saida'!$H$13="NÃO",AU407*M407,0)</f>
        <v>#DIV/0!</v>
      </c>
      <c r="AW407" s="4" t="e">
        <f t="shared" si="183"/>
        <v>#DIV/0!</v>
      </c>
      <c r="AX407" s="3" t="e">
        <f>'Entrada e Saida'!$G$74*AU407</f>
        <v>#DIV/0!</v>
      </c>
      <c r="AY407" s="4" t="e">
        <f t="shared" si="184"/>
        <v>#DIV/0!</v>
      </c>
      <c r="AZ407" s="4" t="e">
        <f>AQ407+('Entrada e Saida'!$G$65-'Entrada e Saida'!$I$65)*AU407-AX407</f>
        <v>#DIV/0!</v>
      </c>
      <c r="BA407" s="3" t="e">
        <f>IF('Entrada e Saida'!$H$12="REAL",AZ407*'Entrada e Saida'!$G$81,AU407*'Entrada e Saida'!$G$81)</f>
        <v>#DIV/0!</v>
      </c>
      <c r="BB407" s="3" t="e">
        <f>IF('Entrada e Saida'!$H$12="REAL",AZ407*'Entrada e Saida'!$G$82,AU407*'Entrada e Saida'!$G$82)</f>
        <v>#DIV/0!</v>
      </c>
      <c r="BC407" s="4" t="e">
        <f t="shared" si="185"/>
        <v>#DIV/0!</v>
      </c>
      <c r="BD407" s="3" t="e">
        <f>IF('Entrada e Saida'!$H$11="TRADING",AW407/D407,AK407/D407)</f>
        <v>#DIV/0!</v>
      </c>
      <c r="BE407" s="3" t="e">
        <f t="shared" si="186"/>
        <v>#DIV/0!</v>
      </c>
      <c r="BF407" s="2" t="e">
        <f t="shared" si="187"/>
        <v>#DIV/0!</v>
      </c>
      <c r="BG407" s="3" t="e">
        <f>IF('Entrada e Saida'!$H$11="TRADING",AV407/D407,AN407/D407)</f>
        <v>#DIV/0!</v>
      </c>
      <c r="BH407" s="3" t="e">
        <f>IF('Entrada e Saida'!$H$11="TRADING",IF('Entrada e Saida'!$H$12="REAL",AR407/D407,0),AL407/D407)</f>
        <v>#DIV/0!</v>
      </c>
      <c r="BI407" s="3" t="e">
        <f>IF('Entrada e Saida'!$H$11="TRADING",IF('Entrada e Saida'!$H$12="REAL",AS407/D407,0),AM407/D407)</f>
        <v>#DIV/0!</v>
      </c>
      <c r="BJ407" s="3" t="e">
        <f>IF('Entrada e Saida'!$H$11="TRADING",AT407/D407,AO407/D407)</f>
        <v>#DIV/0!</v>
      </c>
      <c r="BK407" s="2" t="e">
        <f t="shared" si="188"/>
        <v>#DIV/0!</v>
      </c>
      <c r="BL407" s="2">
        <f>IF(O407&gt;0,IFERROR(IF('Entrada e Saida'!$H$11="DIRETA",0,(IF('Entrada e Saida'!$H$14="P.JURIDICA",(BD407*(1+O407)*N407)-((BD407/(1+M407))*'Entrada e Saida'!$G$65),((Produtos!N407-'Entrada e Saida'!$G$65)*Produtos!BD407)))),0),0)</f>
        <v>0</v>
      </c>
      <c r="BM407" s="2" t="e">
        <f t="shared" si="189"/>
        <v>#DIV/0!</v>
      </c>
    </row>
    <row r="408" spans="1:65" s="1" customFormat="1">
      <c r="A408" s="127"/>
      <c r="B408" s="114">
        <f>IFERROR(VLOOKUP(A408,'Master Modelo'!A:I,7,FALSE),0)</f>
        <v>0</v>
      </c>
      <c r="C408" s="116">
        <f>IFERROR(VLOOKUP(A408,'Master Modelo'!A:I,2,FALSE),0)</f>
        <v>0</v>
      </c>
      <c r="D408" s="146"/>
      <c r="E408" s="115">
        <f>IFERROR(VLOOKUP(A408,'Master Modelo'!A:I,9,FALSE),0)</f>
        <v>0</v>
      </c>
      <c r="F408" s="189">
        <f>IFERROR(VLOOKUP(A408,'Master Modelo'!A:I,8,FALSE),0)</f>
        <v>0</v>
      </c>
      <c r="G408" s="189">
        <f>IFERROR(VLOOKUP(A408,'Master Modelo'!A:K,11,FALSE),0)</f>
        <v>0</v>
      </c>
      <c r="H408" s="114" t="e">
        <f t="shared" si="172"/>
        <v>#DIV/0!</v>
      </c>
      <c r="I408" s="150">
        <f>IFERROR(VLOOKUP(A408,'Master Modelo'!A:I,3,FALSE),0)</f>
        <v>0</v>
      </c>
      <c r="J408" s="151">
        <f>IFERROR(VLOOKUP(A408,'Master Modelo'!A:I,5,FALSE),0)</f>
        <v>0</v>
      </c>
      <c r="K408" s="151">
        <f>IFERROR(VLOOKUP(A408,'Master Modelo'!A:I,6,FALSE),0)</f>
        <v>0</v>
      </c>
      <c r="L408" s="152" t="e">
        <f>VLOOKUP(A408,'Master Modelo'!A:J,10,FALSE)</f>
        <v>#N/A</v>
      </c>
      <c r="M408" s="150">
        <f>IFERROR(VLOOKUP(A408,'Master Modelo'!A:I,4,FALSE),0)</f>
        <v>0</v>
      </c>
      <c r="N408" s="128"/>
      <c r="O408" s="129"/>
      <c r="P408" s="9">
        <f t="shared" si="173"/>
        <v>0</v>
      </c>
      <c r="Q408" s="177">
        <f t="shared" si="171"/>
        <v>0</v>
      </c>
      <c r="R408" s="3">
        <f>D408*E408*'Entrada e Saida'!$K$8</f>
        <v>0</v>
      </c>
      <c r="S408" s="179" t="e">
        <f>'Entrada e Saida'!$H$21*'Entrada e Saida'!$K$8*(P408/(SUM(P:P)))</f>
        <v>#DIV/0!</v>
      </c>
      <c r="T408" s="179" t="e">
        <f>'Entrada e Saida'!$H$21*'Entrada e Saida'!$K$8*(Q408/(SUM(Q:Q)))</f>
        <v>#DIV/0!</v>
      </c>
      <c r="U408" s="179" t="e">
        <f>'Entrada e Saida'!$H$22*(P408/(SUM(P:P)))</f>
        <v>#DIV/0!</v>
      </c>
      <c r="V408" s="179" t="e">
        <f>'Entrada e Saida'!$H$22*(Q408/(SUM(Q:Q)))</f>
        <v>#DIV/0!</v>
      </c>
      <c r="W408" s="8" t="e">
        <f t="shared" si="174"/>
        <v>#DIV/0!</v>
      </c>
      <c r="X408" s="179" t="e">
        <f>'Entrada e Saida'!$H$26*(IF('Entrada e Saida'!$H$15="PESO",(P408/(SUM(P:P))),(Q408/(SUM(Q:Q)))))</f>
        <v>#DIV/0!</v>
      </c>
      <c r="Y408" s="179" t="e">
        <f>'Entrada e Saida'!$H$27*(IF('Entrada e Saida'!$H$15="PESO",(P408/(SUM(P:P))),(Q408/(SUM(Q:Q)))))</f>
        <v>#DIV/0!</v>
      </c>
      <c r="Z408" s="179" t="e">
        <f>'Entrada e Saida'!$H$28*(IF('Entrada e Saida'!$H$15="PESO",(P408/(SUM(P:P))),(Q408/(SUM(Q:Q)))))</f>
        <v>#DIV/0!</v>
      </c>
      <c r="AA408" s="10" t="e">
        <f t="shared" si="175"/>
        <v>#DIV/0!</v>
      </c>
      <c r="AB408" s="3" t="e">
        <f t="shared" si="176"/>
        <v>#DIV/0!</v>
      </c>
      <c r="AC408" s="3" t="e">
        <f t="shared" si="177"/>
        <v>#DIV/0!</v>
      </c>
      <c r="AD408" s="3" t="e">
        <f t="shared" si="178"/>
        <v>#DIV/0!</v>
      </c>
      <c r="AE408" s="9" t="e">
        <f t="shared" si="179"/>
        <v>#DIV/0!</v>
      </c>
      <c r="AF408" s="126">
        <f>IFERROR(D408*F408*L408*'Entrada e Saida'!$K$8,0)</f>
        <v>0</v>
      </c>
      <c r="AG408" s="3" t="e">
        <f>((W408+AA408+AB408+AC408+AD408+AE408+AF408)/(1-'Entrada e Saida'!$G$65))*'Entrada e Saida'!$I$66</f>
        <v>#DIV/0!</v>
      </c>
      <c r="AH408" s="8" t="e">
        <f t="shared" si="180"/>
        <v>#DIV/0!</v>
      </c>
      <c r="AI408" s="183" t="e">
        <f>'Entrada e Saida'!$K$51*(IF('Entrada e Saida'!$H$15="PESO",(P408/(SUM(P:P))),(Q408/(SUM(Q:Q)))))</f>
        <v>#DIV/0!</v>
      </c>
      <c r="AJ408" s="7">
        <f>(('Entrada e Saida'!$K$10-'Entrada e Saida'!$K$8)*E408*D408)</f>
        <v>0</v>
      </c>
      <c r="AK408" s="184" t="e">
        <f>IF('Entrada e Saida'!$H$15="PESO",W408+AA408+AH408+AI408+AJ408,W408+AA408+AH408+AI408+AJ408-S408+T408-U408+V408)</f>
        <v>#DIV/0!</v>
      </c>
      <c r="AL408" s="6" t="e">
        <f>IF('Entrada e Saida'!$H$12="REAL",AC408,0)</f>
        <v>#DIV/0!</v>
      </c>
      <c r="AM408" s="6" t="e">
        <f>IF('Entrada e Saida'!$H$12="REAL",AD408,0)</f>
        <v>#DIV/0!</v>
      </c>
      <c r="AN408" s="5" t="e">
        <f>IF('Entrada e Saida'!$H$13= "NÃO",AE408,0)</f>
        <v>#DIV/0!</v>
      </c>
      <c r="AO408" s="5" t="e">
        <f t="shared" si="181"/>
        <v>#DIV/0!</v>
      </c>
      <c r="AP408" s="4" t="e">
        <f t="shared" si="182"/>
        <v>#DIV/0!</v>
      </c>
      <c r="AQ408" s="3" t="e">
        <f>IF('Entrada e Saida'!$H$11="TRADING",AU408*'Custo Resumido'!D408,0)</f>
        <v>#DIV/0!</v>
      </c>
      <c r="AR408" s="3" t="e">
        <f>IF('Entrada e Saida'!$H$11="TRADING",AU408*'Entrada e Saida'!$G$63,0)</f>
        <v>#DIV/0!</v>
      </c>
      <c r="AS408" s="3" t="e">
        <f>IF('Entrada e Saida'!$H$11="TRADING",AU408*'Entrada e Saida'!$G$64,0)</f>
        <v>#DIV/0!</v>
      </c>
      <c r="AT408" s="3" t="e">
        <f>IF('Entrada e Saida'!$H$11="TRADING",AU408*'Entrada e Saida'!$G$65,0)</f>
        <v>#DIV/0!</v>
      </c>
      <c r="AU408" s="4" t="e">
        <f>IF('Entrada e Saida'!$H$11="TRADING",AP408/(1-(SUM('Entrada e Saida'!$G$63:$G$65)+'Custo Resumido'!D408)),0)</f>
        <v>#DIV/0!</v>
      </c>
      <c r="AV408" s="3" t="e">
        <f>IF('Entrada e Saida'!$H$13="NÃO",AU408*M408,0)</f>
        <v>#DIV/0!</v>
      </c>
      <c r="AW408" s="4" t="e">
        <f t="shared" si="183"/>
        <v>#DIV/0!</v>
      </c>
      <c r="AX408" s="3" t="e">
        <f>'Entrada e Saida'!$G$74*AU408</f>
        <v>#DIV/0!</v>
      </c>
      <c r="AY408" s="4" t="e">
        <f t="shared" si="184"/>
        <v>#DIV/0!</v>
      </c>
      <c r="AZ408" s="4" t="e">
        <f>AQ408+('Entrada e Saida'!$G$65-'Entrada e Saida'!$I$65)*AU408-AX408</f>
        <v>#DIV/0!</v>
      </c>
      <c r="BA408" s="3" t="e">
        <f>IF('Entrada e Saida'!$H$12="REAL",AZ408*'Entrada e Saida'!$G$81,AU408*'Entrada e Saida'!$G$81)</f>
        <v>#DIV/0!</v>
      </c>
      <c r="BB408" s="3" t="e">
        <f>IF('Entrada e Saida'!$H$12="REAL",AZ408*'Entrada e Saida'!$G$82,AU408*'Entrada e Saida'!$G$82)</f>
        <v>#DIV/0!</v>
      </c>
      <c r="BC408" s="4" t="e">
        <f t="shared" si="185"/>
        <v>#DIV/0!</v>
      </c>
      <c r="BD408" s="3" t="e">
        <f>IF('Entrada e Saida'!$H$11="TRADING",AW408/D408,AK408/D408)</f>
        <v>#DIV/0!</v>
      </c>
      <c r="BE408" s="3" t="e">
        <f t="shared" si="186"/>
        <v>#DIV/0!</v>
      </c>
      <c r="BF408" s="2" t="e">
        <f t="shared" si="187"/>
        <v>#DIV/0!</v>
      </c>
      <c r="BG408" s="3" t="e">
        <f>IF('Entrada e Saida'!$H$11="TRADING",AV408/D408,AN408/D408)</f>
        <v>#DIV/0!</v>
      </c>
      <c r="BH408" s="3" t="e">
        <f>IF('Entrada e Saida'!$H$11="TRADING",IF('Entrada e Saida'!$H$12="REAL",AR408/D408,0),AL408/D408)</f>
        <v>#DIV/0!</v>
      </c>
      <c r="BI408" s="3" t="e">
        <f>IF('Entrada e Saida'!$H$11="TRADING",IF('Entrada e Saida'!$H$12="REAL",AS408/D408,0),AM408/D408)</f>
        <v>#DIV/0!</v>
      </c>
      <c r="BJ408" s="3" t="e">
        <f>IF('Entrada e Saida'!$H$11="TRADING",AT408/D408,AO408/D408)</f>
        <v>#DIV/0!</v>
      </c>
      <c r="BK408" s="2" t="e">
        <f t="shared" si="188"/>
        <v>#DIV/0!</v>
      </c>
      <c r="BL408" s="2">
        <f>IF(O408&gt;0,IFERROR(IF('Entrada e Saida'!$H$11="DIRETA",0,(IF('Entrada e Saida'!$H$14="P.JURIDICA",(BD408*(1+O408)*N408)-((BD408/(1+M408))*'Entrada e Saida'!$G$65),((Produtos!N408-'Entrada e Saida'!$G$65)*Produtos!BD408)))),0),0)</f>
        <v>0</v>
      </c>
      <c r="BM408" s="2" t="e">
        <f t="shared" si="189"/>
        <v>#DIV/0!</v>
      </c>
    </row>
    <row r="409" spans="1:65" s="1" customFormat="1">
      <c r="A409" s="127"/>
      <c r="B409" s="114">
        <f>IFERROR(VLOOKUP(A409,'Master Modelo'!A:I,7,FALSE),0)</f>
        <v>0</v>
      </c>
      <c r="C409" s="116">
        <f>IFERROR(VLOOKUP(A409,'Master Modelo'!A:I,2,FALSE),0)</f>
        <v>0</v>
      </c>
      <c r="D409" s="146"/>
      <c r="E409" s="115">
        <f>IFERROR(VLOOKUP(A409,'Master Modelo'!A:I,9,FALSE),0)</f>
        <v>0</v>
      </c>
      <c r="F409" s="189">
        <f>IFERROR(VLOOKUP(A409,'Master Modelo'!A:I,8,FALSE),0)</f>
        <v>0</v>
      </c>
      <c r="G409" s="189">
        <f>IFERROR(VLOOKUP(A409,'Master Modelo'!A:K,11,FALSE),0)</f>
        <v>0</v>
      </c>
      <c r="H409" s="114" t="e">
        <f t="shared" si="172"/>
        <v>#DIV/0!</v>
      </c>
      <c r="I409" s="150">
        <f>IFERROR(VLOOKUP(A409,'Master Modelo'!A:I,3,FALSE),0)</f>
        <v>0</v>
      </c>
      <c r="J409" s="151">
        <f>IFERROR(VLOOKUP(A409,'Master Modelo'!A:I,5,FALSE),0)</f>
        <v>0</v>
      </c>
      <c r="K409" s="151">
        <f>IFERROR(VLOOKUP(A409,'Master Modelo'!A:I,6,FALSE),0)</f>
        <v>0</v>
      </c>
      <c r="L409" s="152" t="e">
        <f>VLOOKUP(A409,'Master Modelo'!A:J,10,FALSE)</f>
        <v>#N/A</v>
      </c>
      <c r="M409" s="150">
        <f>IFERROR(VLOOKUP(A409,'Master Modelo'!A:I,4,FALSE),0)</f>
        <v>0</v>
      </c>
      <c r="N409" s="128"/>
      <c r="O409" s="129"/>
      <c r="P409" s="9">
        <f t="shared" si="173"/>
        <v>0</v>
      </c>
      <c r="Q409" s="177">
        <f t="shared" si="171"/>
        <v>0</v>
      </c>
      <c r="R409" s="3">
        <f>D409*E409*'Entrada e Saida'!$K$8</f>
        <v>0</v>
      </c>
      <c r="S409" s="179" t="e">
        <f>'Entrada e Saida'!$H$21*'Entrada e Saida'!$K$8*(P409/(SUM(P:P)))</f>
        <v>#DIV/0!</v>
      </c>
      <c r="T409" s="179" t="e">
        <f>'Entrada e Saida'!$H$21*'Entrada e Saida'!$K$8*(Q409/(SUM(Q:Q)))</f>
        <v>#DIV/0!</v>
      </c>
      <c r="U409" s="179" t="e">
        <f>'Entrada e Saida'!$H$22*(P409/(SUM(P:P)))</f>
        <v>#DIV/0!</v>
      </c>
      <c r="V409" s="179" t="e">
        <f>'Entrada e Saida'!$H$22*(Q409/(SUM(Q:Q)))</f>
        <v>#DIV/0!</v>
      </c>
      <c r="W409" s="8" t="e">
        <f t="shared" si="174"/>
        <v>#DIV/0!</v>
      </c>
      <c r="X409" s="179" t="e">
        <f>'Entrada e Saida'!$H$26*(IF('Entrada e Saida'!$H$15="PESO",(P409/(SUM(P:P))),(Q409/(SUM(Q:Q)))))</f>
        <v>#DIV/0!</v>
      </c>
      <c r="Y409" s="179" t="e">
        <f>'Entrada e Saida'!$H$27*(IF('Entrada e Saida'!$H$15="PESO",(P409/(SUM(P:P))),(Q409/(SUM(Q:Q)))))</f>
        <v>#DIV/0!</v>
      </c>
      <c r="Z409" s="179" t="e">
        <f>'Entrada e Saida'!$H$28*(IF('Entrada e Saida'!$H$15="PESO",(P409/(SUM(P:P))),(Q409/(SUM(Q:Q)))))</f>
        <v>#DIV/0!</v>
      </c>
      <c r="AA409" s="10" t="e">
        <f t="shared" si="175"/>
        <v>#DIV/0!</v>
      </c>
      <c r="AB409" s="3" t="e">
        <f t="shared" si="176"/>
        <v>#DIV/0!</v>
      </c>
      <c r="AC409" s="3" t="e">
        <f t="shared" si="177"/>
        <v>#DIV/0!</v>
      </c>
      <c r="AD409" s="3" t="e">
        <f t="shared" si="178"/>
        <v>#DIV/0!</v>
      </c>
      <c r="AE409" s="9" t="e">
        <f t="shared" si="179"/>
        <v>#DIV/0!</v>
      </c>
      <c r="AF409" s="126">
        <f>IFERROR(D409*F409*L409*'Entrada e Saida'!$K$8,0)</f>
        <v>0</v>
      </c>
      <c r="AG409" s="3" t="e">
        <f>((W409+AA409+AB409+AC409+AD409+AE409+AF409)/(1-'Entrada e Saida'!$G$65))*'Entrada e Saida'!$I$66</f>
        <v>#DIV/0!</v>
      </c>
      <c r="AH409" s="8" t="e">
        <f t="shared" si="180"/>
        <v>#DIV/0!</v>
      </c>
      <c r="AI409" s="183" t="e">
        <f>'Entrada e Saida'!$K$51*(IF('Entrada e Saida'!$H$15="PESO",(P409/(SUM(P:P))),(Q409/(SUM(Q:Q)))))</f>
        <v>#DIV/0!</v>
      </c>
      <c r="AJ409" s="7">
        <f>(('Entrada e Saida'!$K$10-'Entrada e Saida'!$K$8)*E409*D409)</f>
        <v>0</v>
      </c>
      <c r="AK409" s="184" t="e">
        <f>IF('Entrada e Saida'!$H$15="PESO",W409+AA409+AH409+AI409+AJ409,W409+AA409+AH409+AI409+AJ409-S409+T409-U409+V409)</f>
        <v>#DIV/0!</v>
      </c>
      <c r="AL409" s="6" t="e">
        <f>IF('Entrada e Saida'!$H$12="REAL",AC409,0)</f>
        <v>#DIV/0!</v>
      </c>
      <c r="AM409" s="6" t="e">
        <f>IF('Entrada e Saida'!$H$12="REAL",AD409,0)</f>
        <v>#DIV/0!</v>
      </c>
      <c r="AN409" s="5" t="e">
        <f>IF('Entrada e Saida'!$H$13= "NÃO",AE409,0)</f>
        <v>#DIV/0!</v>
      </c>
      <c r="AO409" s="5" t="e">
        <f t="shared" si="181"/>
        <v>#DIV/0!</v>
      </c>
      <c r="AP409" s="4" t="e">
        <f t="shared" si="182"/>
        <v>#DIV/0!</v>
      </c>
      <c r="AQ409" s="3" t="e">
        <f>IF('Entrada e Saida'!$H$11="TRADING",AU409*'Custo Resumido'!D409,0)</f>
        <v>#DIV/0!</v>
      </c>
      <c r="AR409" s="3" t="e">
        <f>IF('Entrada e Saida'!$H$11="TRADING",AU409*'Entrada e Saida'!$G$63,0)</f>
        <v>#DIV/0!</v>
      </c>
      <c r="AS409" s="3" t="e">
        <f>IF('Entrada e Saida'!$H$11="TRADING",AU409*'Entrada e Saida'!$G$64,0)</f>
        <v>#DIV/0!</v>
      </c>
      <c r="AT409" s="3" t="e">
        <f>IF('Entrada e Saida'!$H$11="TRADING",AU409*'Entrada e Saida'!$G$65,0)</f>
        <v>#DIV/0!</v>
      </c>
      <c r="AU409" s="4" t="e">
        <f>IF('Entrada e Saida'!$H$11="TRADING",AP409/(1-(SUM('Entrada e Saida'!$G$63:$G$65)+'Custo Resumido'!D409)),0)</f>
        <v>#DIV/0!</v>
      </c>
      <c r="AV409" s="3" t="e">
        <f>IF('Entrada e Saida'!$H$13="NÃO",AU409*M409,0)</f>
        <v>#DIV/0!</v>
      </c>
      <c r="AW409" s="4" t="e">
        <f t="shared" si="183"/>
        <v>#DIV/0!</v>
      </c>
      <c r="AX409" s="3" t="e">
        <f>'Entrada e Saida'!$G$74*AU409</f>
        <v>#DIV/0!</v>
      </c>
      <c r="AY409" s="4" t="e">
        <f t="shared" si="184"/>
        <v>#DIV/0!</v>
      </c>
      <c r="AZ409" s="4" t="e">
        <f>AQ409+('Entrada e Saida'!$G$65-'Entrada e Saida'!$I$65)*AU409-AX409</f>
        <v>#DIV/0!</v>
      </c>
      <c r="BA409" s="3" t="e">
        <f>IF('Entrada e Saida'!$H$12="REAL",AZ409*'Entrada e Saida'!$G$81,AU409*'Entrada e Saida'!$G$81)</f>
        <v>#DIV/0!</v>
      </c>
      <c r="BB409" s="3" t="e">
        <f>IF('Entrada e Saida'!$H$12="REAL",AZ409*'Entrada e Saida'!$G$82,AU409*'Entrada e Saida'!$G$82)</f>
        <v>#DIV/0!</v>
      </c>
      <c r="BC409" s="4" t="e">
        <f t="shared" si="185"/>
        <v>#DIV/0!</v>
      </c>
      <c r="BD409" s="3" t="e">
        <f>IF('Entrada e Saida'!$H$11="TRADING",AW409/D409,AK409/D409)</f>
        <v>#DIV/0!</v>
      </c>
      <c r="BE409" s="3" t="e">
        <f t="shared" si="186"/>
        <v>#DIV/0!</v>
      </c>
      <c r="BF409" s="2" t="e">
        <f t="shared" si="187"/>
        <v>#DIV/0!</v>
      </c>
      <c r="BG409" s="3" t="e">
        <f>IF('Entrada e Saida'!$H$11="TRADING",AV409/D409,AN409/D409)</f>
        <v>#DIV/0!</v>
      </c>
      <c r="BH409" s="3" t="e">
        <f>IF('Entrada e Saida'!$H$11="TRADING",IF('Entrada e Saida'!$H$12="REAL",AR409/D409,0),AL409/D409)</f>
        <v>#DIV/0!</v>
      </c>
      <c r="BI409" s="3" t="e">
        <f>IF('Entrada e Saida'!$H$11="TRADING",IF('Entrada e Saida'!$H$12="REAL",AS409/D409,0),AM409/D409)</f>
        <v>#DIV/0!</v>
      </c>
      <c r="BJ409" s="3" t="e">
        <f>IF('Entrada e Saida'!$H$11="TRADING",AT409/D409,AO409/D409)</f>
        <v>#DIV/0!</v>
      </c>
      <c r="BK409" s="2" t="e">
        <f t="shared" si="188"/>
        <v>#DIV/0!</v>
      </c>
      <c r="BL409" s="2">
        <f>IF(O409&gt;0,IFERROR(IF('Entrada e Saida'!$H$11="DIRETA",0,(IF('Entrada e Saida'!$H$14="P.JURIDICA",(BD409*(1+O409)*N409)-((BD409/(1+M409))*'Entrada e Saida'!$G$65),((Produtos!N409-'Entrada e Saida'!$G$65)*Produtos!BD409)))),0),0)</f>
        <v>0</v>
      </c>
      <c r="BM409" s="2" t="e">
        <f t="shared" si="189"/>
        <v>#DIV/0!</v>
      </c>
    </row>
    <row r="410" spans="1:65" s="1" customFormat="1">
      <c r="A410" s="127"/>
      <c r="B410" s="114">
        <f>IFERROR(VLOOKUP(A410,'Master Modelo'!A:I,7,FALSE),0)</f>
        <v>0</v>
      </c>
      <c r="C410" s="116">
        <f>IFERROR(VLOOKUP(A410,'Master Modelo'!A:I,2,FALSE),0)</f>
        <v>0</v>
      </c>
      <c r="D410" s="146"/>
      <c r="E410" s="115">
        <f>IFERROR(VLOOKUP(A410,'Master Modelo'!A:I,9,FALSE),0)</f>
        <v>0</v>
      </c>
      <c r="F410" s="189">
        <f>IFERROR(VLOOKUP(A410,'Master Modelo'!A:I,8,FALSE),0)</f>
        <v>0</v>
      </c>
      <c r="G410" s="189">
        <f>IFERROR(VLOOKUP(A410,'Master Modelo'!A:K,11,FALSE),0)</f>
        <v>0</v>
      </c>
      <c r="H410" s="114" t="e">
        <f t="shared" si="172"/>
        <v>#DIV/0!</v>
      </c>
      <c r="I410" s="150">
        <f>IFERROR(VLOOKUP(A410,'Master Modelo'!A:I,3,FALSE),0)</f>
        <v>0</v>
      </c>
      <c r="J410" s="151">
        <f>IFERROR(VLOOKUP(A410,'Master Modelo'!A:I,5,FALSE),0)</f>
        <v>0</v>
      </c>
      <c r="K410" s="151">
        <f>IFERROR(VLOOKUP(A410,'Master Modelo'!A:I,6,FALSE),0)</f>
        <v>0</v>
      </c>
      <c r="L410" s="152" t="e">
        <f>VLOOKUP(A410,'Master Modelo'!A:J,10,FALSE)</f>
        <v>#N/A</v>
      </c>
      <c r="M410" s="150">
        <f>IFERROR(VLOOKUP(A410,'Master Modelo'!A:I,4,FALSE),0)</f>
        <v>0</v>
      </c>
      <c r="N410" s="128"/>
      <c r="O410" s="129"/>
      <c r="P410" s="9">
        <f t="shared" si="173"/>
        <v>0</v>
      </c>
      <c r="Q410" s="177">
        <f t="shared" si="171"/>
        <v>0</v>
      </c>
      <c r="R410" s="3">
        <f>D410*E410*'Entrada e Saida'!$K$8</f>
        <v>0</v>
      </c>
      <c r="S410" s="179" t="e">
        <f>'Entrada e Saida'!$H$21*'Entrada e Saida'!$K$8*(P410/(SUM(P:P)))</f>
        <v>#DIV/0!</v>
      </c>
      <c r="T410" s="179" t="e">
        <f>'Entrada e Saida'!$H$21*'Entrada e Saida'!$K$8*(Q410/(SUM(Q:Q)))</f>
        <v>#DIV/0!</v>
      </c>
      <c r="U410" s="179" t="e">
        <f>'Entrada e Saida'!$H$22*(P410/(SUM(P:P)))</f>
        <v>#DIV/0!</v>
      </c>
      <c r="V410" s="179" t="e">
        <f>'Entrada e Saida'!$H$22*(Q410/(SUM(Q:Q)))</f>
        <v>#DIV/0!</v>
      </c>
      <c r="W410" s="8" t="e">
        <f t="shared" si="174"/>
        <v>#DIV/0!</v>
      </c>
      <c r="X410" s="179" t="e">
        <f>'Entrada e Saida'!$H$26*(IF('Entrada e Saida'!$H$15="PESO",(P410/(SUM(P:P))),(Q410/(SUM(Q:Q)))))</f>
        <v>#DIV/0!</v>
      </c>
      <c r="Y410" s="179" t="e">
        <f>'Entrada e Saida'!$H$27*(IF('Entrada e Saida'!$H$15="PESO",(P410/(SUM(P:P))),(Q410/(SUM(Q:Q)))))</f>
        <v>#DIV/0!</v>
      </c>
      <c r="Z410" s="179" t="e">
        <f>'Entrada e Saida'!$H$28*(IF('Entrada e Saida'!$H$15="PESO",(P410/(SUM(P:P))),(Q410/(SUM(Q:Q)))))</f>
        <v>#DIV/0!</v>
      </c>
      <c r="AA410" s="10" t="e">
        <f t="shared" si="175"/>
        <v>#DIV/0!</v>
      </c>
      <c r="AB410" s="3" t="e">
        <f t="shared" si="176"/>
        <v>#DIV/0!</v>
      </c>
      <c r="AC410" s="3" t="e">
        <f t="shared" si="177"/>
        <v>#DIV/0!</v>
      </c>
      <c r="AD410" s="3" t="e">
        <f t="shared" si="178"/>
        <v>#DIV/0!</v>
      </c>
      <c r="AE410" s="9" t="e">
        <f t="shared" si="179"/>
        <v>#DIV/0!</v>
      </c>
      <c r="AF410" s="126">
        <f>IFERROR(D410*F410*L410*'Entrada e Saida'!$K$8,0)</f>
        <v>0</v>
      </c>
      <c r="AG410" s="3" t="e">
        <f>((W410+AA410+AB410+AC410+AD410+AE410+AF410)/(1-'Entrada e Saida'!$G$65))*'Entrada e Saida'!$I$66</f>
        <v>#DIV/0!</v>
      </c>
      <c r="AH410" s="8" t="e">
        <f t="shared" si="180"/>
        <v>#DIV/0!</v>
      </c>
      <c r="AI410" s="183" t="e">
        <f>'Entrada e Saida'!$K$51*(IF('Entrada e Saida'!$H$15="PESO",(P410/(SUM(P:P))),(Q410/(SUM(Q:Q)))))</f>
        <v>#DIV/0!</v>
      </c>
      <c r="AJ410" s="7">
        <f>(('Entrada e Saida'!$K$10-'Entrada e Saida'!$K$8)*E410*D410)</f>
        <v>0</v>
      </c>
      <c r="AK410" s="184" t="e">
        <f>IF('Entrada e Saida'!$H$15="PESO",W410+AA410+AH410+AI410+AJ410,W410+AA410+AH410+AI410+AJ410-S410+T410-U410+V410)</f>
        <v>#DIV/0!</v>
      </c>
      <c r="AL410" s="6" t="e">
        <f>IF('Entrada e Saida'!$H$12="REAL",AC410,0)</f>
        <v>#DIV/0!</v>
      </c>
      <c r="AM410" s="6" t="e">
        <f>IF('Entrada e Saida'!$H$12="REAL",AD410,0)</f>
        <v>#DIV/0!</v>
      </c>
      <c r="AN410" s="5" t="e">
        <f>IF('Entrada e Saida'!$H$13= "NÃO",AE410,0)</f>
        <v>#DIV/0!</v>
      </c>
      <c r="AO410" s="5" t="e">
        <f t="shared" si="181"/>
        <v>#DIV/0!</v>
      </c>
      <c r="AP410" s="4" t="e">
        <f t="shared" si="182"/>
        <v>#DIV/0!</v>
      </c>
      <c r="AQ410" s="3" t="e">
        <f>IF('Entrada e Saida'!$H$11="TRADING",AU410*'Custo Resumido'!D410,0)</f>
        <v>#DIV/0!</v>
      </c>
      <c r="AR410" s="3" t="e">
        <f>IF('Entrada e Saida'!$H$11="TRADING",AU410*'Entrada e Saida'!$G$63,0)</f>
        <v>#DIV/0!</v>
      </c>
      <c r="AS410" s="3" t="e">
        <f>IF('Entrada e Saida'!$H$11="TRADING",AU410*'Entrada e Saida'!$G$64,0)</f>
        <v>#DIV/0!</v>
      </c>
      <c r="AT410" s="3" t="e">
        <f>IF('Entrada e Saida'!$H$11="TRADING",AU410*'Entrada e Saida'!$G$65,0)</f>
        <v>#DIV/0!</v>
      </c>
      <c r="AU410" s="4" t="e">
        <f>IF('Entrada e Saida'!$H$11="TRADING",AP410/(1-(SUM('Entrada e Saida'!$G$63:$G$65)+'Custo Resumido'!D410)),0)</f>
        <v>#DIV/0!</v>
      </c>
      <c r="AV410" s="3" t="e">
        <f>IF('Entrada e Saida'!$H$13="NÃO",AU410*M410,0)</f>
        <v>#DIV/0!</v>
      </c>
      <c r="AW410" s="4" t="e">
        <f t="shared" si="183"/>
        <v>#DIV/0!</v>
      </c>
      <c r="AX410" s="3" t="e">
        <f>'Entrada e Saida'!$G$74*AU410</f>
        <v>#DIV/0!</v>
      </c>
      <c r="AY410" s="4" t="e">
        <f t="shared" si="184"/>
        <v>#DIV/0!</v>
      </c>
      <c r="AZ410" s="4" t="e">
        <f>AQ410+('Entrada e Saida'!$G$65-'Entrada e Saida'!$I$65)*AU410-AX410</f>
        <v>#DIV/0!</v>
      </c>
      <c r="BA410" s="3" t="e">
        <f>IF('Entrada e Saida'!$H$12="REAL",AZ410*'Entrada e Saida'!$G$81,AU410*'Entrada e Saida'!$G$81)</f>
        <v>#DIV/0!</v>
      </c>
      <c r="BB410" s="3" t="e">
        <f>IF('Entrada e Saida'!$H$12="REAL",AZ410*'Entrada e Saida'!$G$82,AU410*'Entrada e Saida'!$G$82)</f>
        <v>#DIV/0!</v>
      </c>
      <c r="BC410" s="4" t="e">
        <f t="shared" si="185"/>
        <v>#DIV/0!</v>
      </c>
      <c r="BD410" s="3" t="e">
        <f>IF('Entrada e Saida'!$H$11="TRADING",AW410/D410,AK410/D410)</f>
        <v>#DIV/0!</v>
      </c>
      <c r="BE410" s="3" t="e">
        <f t="shared" si="186"/>
        <v>#DIV/0!</v>
      </c>
      <c r="BF410" s="2" t="e">
        <f t="shared" si="187"/>
        <v>#DIV/0!</v>
      </c>
      <c r="BG410" s="3" t="e">
        <f>IF('Entrada e Saida'!$H$11="TRADING",AV410/D410,AN410/D410)</f>
        <v>#DIV/0!</v>
      </c>
      <c r="BH410" s="3" t="e">
        <f>IF('Entrada e Saida'!$H$11="TRADING",IF('Entrada e Saida'!$H$12="REAL",AR410/D410,0),AL410/D410)</f>
        <v>#DIV/0!</v>
      </c>
      <c r="BI410" s="3" t="e">
        <f>IF('Entrada e Saida'!$H$11="TRADING",IF('Entrada e Saida'!$H$12="REAL",AS410/D410,0),AM410/D410)</f>
        <v>#DIV/0!</v>
      </c>
      <c r="BJ410" s="3" t="e">
        <f>IF('Entrada e Saida'!$H$11="TRADING",AT410/D410,AO410/D410)</f>
        <v>#DIV/0!</v>
      </c>
      <c r="BK410" s="2" t="e">
        <f t="shared" si="188"/>
        <v>#DIV/0!</v>
      </c>
      <c r="BL410" s="2">
        <f>IF(O410&gt;0,IFERROR(IF('Entrada e Saida'!$H$11="DIRETA",0,(IF('Entrada e Saida'!$H$14="P.JURIDICA",(BD410*(1+O410)*N410)-((BD410/(1+M410))*'Entrada e Saida'!$G$65),((Produtos!N410-'Entrada e Saida'!$G$65)*Produtos!BD410)))),0),0)</f>
        <v>0</v>
      </c>
      <c r="BM410" s="2" t="e">
        <f t="shared" si="189"/>
        <v>#DIV/0!</v>
      </c>
    </row>
    <row r="411" spans="1:65" s="1" customFormat="1">
      <c r="A411" s="127"/>
      <c r="B411" s="114">
        <f>IFERROR(VLOOKUP(A411,'Master Modelo'!A:I,7,FALSE),0)</f>
        <v>0</v>
      </c>
      <c r="C411" s="116">
        <f>IFERROR(VLOOKUP(A411,'Master Modelo'!A:I,2,FALSE),0)</f>
        <v>0</v>
      </c>
      <c r="D411" s="146"/>
      <c r="E411" s="115">
        <f>IFERROR(VLOOKUP(A411,'Master Modelo'!A:I,9,FALSE),0)</f>
        <v>0</v>
      </c>
      <c r="F411" s="189">
        <f>IFERROR(VLOOKUP(A411,'Master Modelo'!A:I,8,FALSE),0)</f>
        <v>0</v>
      </c>
      <c r="G411" s="189">
        <f>IFERROR(VLOOKUP(A411,'Master Modelo'!A:K,11,FALSE),0)</f>
        <v>0</v>
      </c>
      <c r="H411" s="114" t="e">
        <f t="shared" si="172"/>
        <v>#DIV/0!</v>
      </c>
      <c r="I411" s="150">
        <f>IFERROR(VLOOKUP(A411,'Master Modelo'!A:I,3,FALSE),0)</f>
        <v>0</v>
      </c>
      <c r="J411" s="151">
        <f>IFERROR(VLOOKUP(A411,'Master Modelo'!A:I,5,FALSE),0)</f>
        <v>0</v>
      </c>
      <c r="K411" s="151">
        <f>IFERROR(VLOOKUP(A411,'Master Modelo'!A:I,6,FALSE),0)</f>
        <v>0</v>
      </c>
      <c r="L411" s="152" t="e">
        <f>VLOOKUP(A411,'Master Modelo'!A:J,10,FALSE)</f>
        <v>#N/A</v>
      </c>
      <c r="M411" s="150">
        <f>IFERROR(VLOOKUP(A411,'Master Modelo'!A:I,4,FALSE),0)</f>
        <v>0</v>
      </c>
      <c r="N411" s="128"/>
      <c r="O411" s="129"/>
      <c r="P411" s="9">
        <f t="shared" si="173"/>
        <v>0</v>
      </c>
      <c r="Q411" s="177">
        <f t="shared" si="171"/>
        <v>0</v>
      </c>
      <c r="R411" s="3">
        <f>D411*E411*'Entrada e Saida'!$K$8</f>
        <v>0</v>
      </c>
      <c r="S411" s="179" t="e">
        <f>'Entrada e Saida'!$H$21*'Entrada e Saida'!$K$8*(P411/(SUM(P:P)))</f>
        <v>#DIV/0!</v>
      </c>
      <c r="T411" s="179" t="e">
        <f>'Entrada e Saida'!$H$21*'Entrada e Saida'!$K$8*(Q411/(SUM(Q:Q)))</f>
        <v>#DIV/0!</v>
      </c>
      <c r="U411" s="179" t="e">
        <f>'Entrada e Saida'!$H$22*(P411/(SUM(P:P)))</f>
        <v>#DIV/0!</v>
      </c>
      <c r="V411" s="179" t="e">
        <f>'Entrada e Saida'!$H$22*(Q411/(SUM(Q:Q)))</f>
        <v>#DIV/0!</v>
      </c>
      <c r="W411" s="8" t="e">
        <f t="shared" si="174"/>
        <v>#DIV/0!</v>
      </c>
      <c r="X411" s="179" t="e">
        <f>'Entrada e Saida'!$H$26*(IF('Entrada e Saida'!$H$15="PESO",(P411/(SUM(P:P))),(Q411/(SUM(Q:Q)))))</f>
        <v>#DIV/0!</v>
      </c>
      <c r="Y411" s="179" t="e">
        <f>'Entrada e Saida'!$H$27*(IF('Entrada e Saida'!$H$15="PESO",(P411/(SUM(P:P))),(Q411/(SUM(Q:Q)))))</f>
        <v>#DIV/0!</v>
      </c>
      <c r="Z411" s="179" t="e">
        <f>'Entrada e Saida'!$H$28*(IF('Entrada e Saida'!$H$15="PESO",(P411/(SUM(P:P))),(Q411/(SUM(Q:Q)))))</f>
        <v>#DIV/0!</v>
      </c>
      <c r="AA411" s="10" t="e">
        <f t="shared" si="175"/>
        <v>#DIV/0!</v>
      </c>
      <c r="AB411" s="3" t="e">
        <f t="shared" si="176"/>
        <v>#DIV/0!</v>
      </c>
      <c r="AC411" s="3" t="e">
        <f t="shared" si="177"/>
        <v>#DIV/0!</v>
      </c>
      <c r="AD411" s="3" t="e">
        <f t="shared" si="178"/>
        <v>#DIV/0!</v>
      </c>
      <c r="AE411" s="9" t="e">
        <f t="shared" si="179"/>
        <v>#DIV/0!</v>
      </c>
      <c r="AF411" s="126">
        <f>IFERROR(D411*F411*L411*'Entrada e Saida'!$K$8,0)</f>
        <v>0</v>
      </c>
      <c r="AG411" s="3" t="e">
        <f>((W411+AA411+AB411+AC411+AD411+AE411+AF411)/(1-'Entrada e Saida'!$G$65))*'Entrada e Saida'!$I$66</f>
        <v>#DIV/0!</v>
      </c>
      <c r="AH411" s="8" t="e">
        <f t="shared" si="180"/>
        <v>#DIV/0!</v>
      </c>
      <c r="AI411" s="183" t="e">
        <f>'Entrada e Saida'!$K$51*(IF('Entrada e Saida'!$H$15="PESO",(P411/(SUM(P:P))),(Q411/(SUM(Q:Q)))))</f>
        <v>#DIV/0!</v>
      </c>
      <c r="AJ411" s="7">
        <f>(('Entrada e Saida'!$K$10-'Entrada e Saida'!$K$8)*E411*D411)</f>
        <v>0</v>
      </c>
      <c r="AK411" s="184" t="e">
        <f>IF('Entrada e Saida'!$H$15="PESO",W411+AA411+AH411+AI411+AJ411,W411+AA411+AH411+AI411+AJ411-S411+T411-U411+V411)</f>
        <v>#DIV/0!</v>
      </c>
      <c r="AL411" s="6" t="e">
        <f>IF('Entrada e Saida'!$H$12="REAL",AC411,0)</f>
        <v>#DIV/0!</v>
      </c>
      <c r="AM411" s="6" t="e">
        <f>IF('Entrada e Saida'!$H$12="REAL",AD411,0)</f>
        <v>#DIV/0!</v>
      </c>
      <c r="AN411" s="5" t="e">
        <f>IF('Entrada e Saida'!$H$13= "NÃO",AE411,0)</f>
        <v>#DIV/0!</v>
      </c>
      <c r="AO411" s="5" t="e">
        <f t="shared" si="181"/>
        <v>#DIV/0!</v>
      </c>
      <c r="AP411" s="4" t="e">
        <f t="shared" si="182"/>
        <v>#DIV/0!</v>
      </c>
      <c r="AQ411" s="3" t="e">
        <f>IF('Entrada e Saida'!$H$11="TRADING",AU411*'Custo Resumido'!D411,0)</f>
        <v>#DIV/0!</v>
      </c>
      <c r="AR411" s="3" t="e">
        <f>IF('Entrada e Saida'!$H$11="TRADING",AU411*'Entrada e Saida'!$G$63,0)</f>
        <v>#DIV/0!</v>
      </c>
      <c r="AS411" s="3" t="e">
        <f>IF('Entrada e Saida'!$H$11="TRADING",AU411*'Entrada e Saida'!$G$64,0)</f>
        <v>#DIV/0!</v>
      </c>
      <c r="AT411" s="3" t="e">
        <f>IF('Entrada e Saida'!$H$11="TRADING",AU411*'Entrada e Saida'!$G$65,0)</f>
        <v>#DIV/0!</v>
      </c>
      <c r="AU411" s="4" t="e">
        <f>IF('Entrada e Saida'!$H$11="TRADING",AP411/(1-(SUM('Entrada e Saida'!$G$63:$G$65)+'Custo Resumido'!D411)),0)</f>
        <v>#DIV/0!</v>
      </c>
      <c r="AV411" s="3" t="e">
        <f>IF('Entrada e Saida'!$H$13="NÃO",AU411*M411,0)</f>
        <v>#DIV/0!</v>
      </c>
      <c r="AW411" s="4" t="e">
        <f t="shared" si="183"/>
        <v>#DIV/0!</v>
      </c>
      <c r="AX411" s="3" t="e">
        <f>'Entrada e Saida'!$G$74*AU411</f>
        <v>#DIV/0!</v>
      </c>
      <c r="AY411" s="4" t="e">
        <f t="shared" si="184"/>
        <v>#DIV/0!</v>
      </c>
      <c r="AZ411" s="4" t="e">
        <f>AQ411+('Entrada e Saida'!$G$65-'Entrada e Saida'!$I$65)*AU411-AX411</f>
        <v>#DIV/0!</v>
      </c>
      <c r="BA411" s="3" t="e">
        <f>IF('Entrada e Saida'!$H$12="REAL",AZ411*'Entrada e Saida'!$G$81,AU411*'Entrada e Saida'!$G$81)</f>
        <v>#DIV/0!</v>
      </c>
      <c r="BB411" s="3" t="e">
        <f>IF('Entrada e Saida'!$H$12="REAL",AZ411*'Entrada e Saida'!$G$82,AU411*'Entrada e Saida'!$G$82)</f>
        <v>#DIV/0!</v>
      </c>
      <c r="BC411" s="4" t="e">
        <f t="shared" si="185"/>
        <v>#DIV/0!</v>
      </c>
      <c r="BD411" s="3" t="e">
        <f>IF('Entrada e Saida'!$H$11="TRADING",AW411/D411,AK411/D411)</f>
        <v>#DIV/0!</v>
      </c>
      <c r="BE411" s="3" t="e">
        <f t="shared" si="186"/>
        <v>#DIV/0!</v>
      </c>
      <c r="BF411" s="2" t="e">
        <f t="shared" si="187"/>
        <v>#DIV/0!</v>
      </c>
      <c r="BG411" s="3" t="e">
        <f>IF('Entrada e Saida'!$H$11="TRADING",AV411/D411,AN411/D411)</f>
        <v>#DIV/0!</v>
      </c>
      <c r="BH411" s="3" t="e">
        <f>IF('Entrada e Saida'!$H$11="TRADING",IF('Entrada e Saida'!$H$12="REAL",AR411/D411,0),AL411/D411)</f>
        <v>#DIV/0!</v>
      </c>
      <c r="BI411" s="3" t="e">
        <f>IF('Entrada e Saida'!$H$11="TRADING",IF('Entrada e Saida'!$H$12="REAL",AS411/D411,0),AM411/D411)</f>
        <v>#DIV/0!</v>
      </c>
      <c r="BJ411" s="3" t="e">
        <f>IF('Entrada e Saida'!$H$11="TRADING",AT411/D411,AO411/D411)</f>
        <v>#DIV/0!</v>
      </c>
      <c r="BK411" s="2" t="e">
        <f t="shared" si="188"/>
        <v>#DIV/0!</v>
      </c>
      <c r="BL411" s="2">
        <f>IF(O411&gt;0,IFERROR(IF('Entrada e Saida'!$H$11="DIRETA",0,(IF('Entrada e Saida'!$H$14="P.JURIDICA",(BD411*(1+O411)*N411)-((BD411/(1+M411))*'Entrada e Saida'!$G$65),((Produtos!N411-'Entrada e Saida'!$G$65)*Produtos!BD411)))),0),0)</f>
        <v>0</v>
      </c>
      <c r="BM411" s="2" t="e">
        <f t="shared" si="189"/>
        <v>#DIV/0!</v>
      </c>
    </row>
    <row r="412" spans="1:65" s="1" customFormat="1">
      <c r="A412" s="127"/>
      <c r="B412" s="114">
        <f>IFERROR(VLOOKUP(A412,'Master Modelo'!A:I,7,FALSE),0)</f>
        <v>0</v>
      </c>
      <c r="C412" s="116">
        <f>IFERROR(VLOOKUP(A412,'Master Modelo'!A:I,2,FALSE),0)</f>
        <v>0</v>
      </c>
      <c r="D412" s="146"/>
      <c r="E412" s="115">
        <f>IFERROR(VLOOKUP(A412,'Master Modelo'!A:I,9,FALSE),0)</f>
        <v>0</v>
      </c>
      <c r="F412" s="189">
        <f>IFERROR(VLOOKUP(A412,'Master Modelo'!A:I,8,FALSE),0)</f>
        <v>0</v>
      </c>
      <c r="G412" s="189">
        <f>IFERROR(VLOOKUP(A412,'Master Modelo'!A:K,11,FALSE),0)</f>
        <v>0</v>
      </c>
      <c r="H412" s="114" t="e">
        <f t="shared" si="172"/>
        <v>#DIV/0!</v>
      </c>
      <c r="I412" s="150">
        <f>IFERROR(VLOOKUP(A412,'Master Modelo'!A:I,3,FALSE),0)</f>
        <v>0</v>
      </c>
      <c r="J412" s="151">
        <f>IFERROR(VLOOKUP(A412,'Master Modelo'!A:I,5,FALSE),0)</f>
        <v>0</v>
      </c>
      <c r="K412" s="151">
        <f>IFERROR(VLOOKUP(A412,'Master Modelo'!A:I,6,FALSE),0)</f>
        <v>0</v>
      </c>
      <c r="L412" s="152" t="e">
        <f>VLOOKUP(A412,'Master Modelo'!A:J,10,FALSE)</f>
        <v>#N/A</v>
      </c>
      <c r="M412" s="150">
        <f>IFERROR(VLOOKUP(A412,'Master Modelo'!A:I,4,FALSE),0)</f>
        <v>0</v>
      </c>
      <c r="N412" s="128"/>
      <c r="O412" s="129"/>
      <c r="P412" s="9">
        <f t="shared" si="173"/>
        <v>0</v>
      </c>
      <c r="Q412" s="177">
        <f t="shared" si="171"/>
        <v>0</v>
      </c>
      <c r="R412" s="3">
        <f>D412*E412*'Entrada e Saida'!$K$8</f>
        <v>0</v>
      </c>
      <c r="S412" s="179" t="e">
        <f>'Entrada e Saida'!$H$21*'Entrada e Saida'!$K$8*(P412/(SUM(P:P)))</f>
        <v>#DIV/0!</v>
      </c>
      <c r="T412" s="179" t="e">
        <f>'Entrada e Saida'!$H$21*'Entrada e Saida'!$K$8*(Q412/(SUM(Q:Q)))</f>
        <v>#DIV/0!</v>
      </c>
      <c r="U412" s="179" t="e">
        <f>'Entrada e Saida'!$H$22*(P412/(SUM(P:P)))</f>
        <v>#DIV/0!</v>
      </c>
      <c r="V412" s="179" t="e">
        <f>'Entrada e Saida'!$H$22*(Q412/(SUM(Q:Q)))</f>
        <v>#DIV/0!</v>
      </c>
      <c r="W412" s="8" t="e">
        <f t="shared" si="174"/>
        <v>#DIV/0!</v>
      </c>
      <c r="X412" s="179" t="e">
        <f>'Entrada e Saida'!$H$26*(IF('Entrada e Saida'!$H$15="PESO",(P412/(SUM(P:P))),(Q412/(SUM(Q:Q)))))</f>
        <v>#DIV/0!</v>
      </c>
      <c r="Y412" s="179" t="e">
        <f>'Entrada e Saida'!$H$27*(IF('Entrada e Saida'!$H$15="PESO",(P412/(SUM(P:P))),(Q412/(SUM(Q:Q)))))</f>
        <v>#DIV/0!</v>
      </c>
      <c r="Z412" s="179" t="e">
        <f>'Entrada e Saida'!$H$28*(IF('Entrada e Saida'!$H$15="PESO",(P412/(SUM(P:P))),(Q412/(SUM(Q:Q)))))</f>
        <v>#DIV/0!</v>
      </c>
      <c r="AA412" s="10" t="e">
        <f t="shared" si="175"/>
        <v>#DIV/0!</v>
      </c>
      <c r="AB412" s="3" t="e">
        <f t="shared" si="176"/>
        <v>#DIV/0!</v>
      </c>
      <c r="AC412" s="3" t="e">
        <f t="shared" si="177"/>
        <v>#DIV/0!</v>
      </c>
      <c r="AD412" s="3" t="e">
        <f t="shared" si="178"/>
        <v>#DIV/0!</v>
      </c>
      <c r="AE412" s="9" t="e">
        <f t="shared" si="179"/>
        <v>#DIV/0!</v>
      </c>
      <c r="AF412" s="126">
        <f>IFERROR(D412*F412*L412*'Entrada e Saida'!$K$8,0)</f>
        <v>0</v>
      </c>
      <c r="AG412" s="3" t="e">
        <f>((W412+AA412+AB412+AC412+AD412+AE412+AF412)/(1-'Entrada e Saida'!$G$65))*'Entrada e Saida'!$I$66</f>
        <v>#DIV/0!</v>
      </c>
      <c r="AH412" s="8" t="e">
        <f t="shared" si="180"/>
        <v>#DIV/0!</v>
      </c>
      <c r="AI412" s="183" t="e">
        <f>'Entrada e Saida'!$K$51*(IF('Entrada e Saida'!$H$15="PESO",(P412/(SUM(P:P))),(Q412/(SUM(Q:Q)))))</f>
        <v>#DIV/0!</v>
      </c>
      <c r="AJ412" s="7">
        <f>(('Entrada e Saida'!$K$10-'Entrada e Saida'!$K$8)*E412*D412)</f>
        <v>0</v>
      </c>
      <c r="AK412" s="184" t="e">
        <f>IF('Entrada e Saida'!$H$15="PESO",W412+AA412+AH412+AI412+AJ412,W412+AA412+AH412+AI412+AJ412-S412+T412-U412+V412)</f>
        <v>#DIV/0!</v>
      </c>
      <c r="AL412" s="6" t="e">
        <f>IF('Entrada e Saida'!$H$12="REAL",AC412,0)</f>
        <v>#DIV/0!</v>
      </c>
      <c r="AM412" s="6" t="e">
        <f>IF('Entrada e Saida'!$H$12="REAL",AD412,0)</f>
        <v>#DIV/0!</v>
      </c>
      <c r="AN412" s="5" t="e">
        <f>IF('Entrada e Saida'!$H$13= "NÃO",AE412,0)</f>
        <v>#DIV/0!</v>
      </c>
      <c r="AO412" s="5" t="e">
        <f t="shared" si="181"/>
        <v>#DIV/0!</v>
      </c>
      <c r="AP412" s="4" t="e">
        <f t="shared" si="182"/>
        <v>#DIV/0!</v>
      </c>
      <c r="AQ412" s="3" t="e">
        <f>IF('Entrada e Saida'!$H$11="TRADING",AU412*'Custo Resumido'!D412,0)</f>
        <v>#DIV/0!</v>
      </c>
      <c r="AR412" s="3" t="e">
        <f>IF('Entrada e Saida'!$H$11="TRADING",AU412*'Entrada e Saida'!$G$63,0)</f>
        <v>#DIV/0!</v>
      </c>
      <c r="AS412" s="3" t="e">
        <f>IF('Entrada e Saida'!$H$11="TRADING",AU412*'Entrada e Saida'!$G$64,0)</f>
        <v>#DIV/0!</v>
      </c>
      <c r="AT412" s="3" t="e">
        <f>IF('Entrada e Saida'!$H$11="TRADING",AU412*'Entrada e Saida'!$G$65,0)</f>
        <v>#DIV/0!</v>
      </c>
      <c r="AU412" s="4" t="e">
        <f>IF('Entrada e Saida'!$H$11="TRADING",AP412/(1-(SUM('Entrada e Saida'!$G$63:$G$65)+'Custo Resumido'!D412)),0)</f>
        <v>#DIV/0!</v>
      </c>
      <c r="AV412" s="3" t="e">
        <f>IF('Entrada e Saida'!$H$13="NÃO",AU412*M412,0)</f>
        <v>#DIV/0!</v>
      </c>
      <c r="AW412" s="4" t="e">
        <f t="shared" si="183"/>
        <v>#DIV/0!</v>
      </c>
      <c r="AX412" s="3" t="e">
        <f>'Entrada e Saida'!$G$74*AU412</f>
        <v>#DIV/0!</v>
      </c>
      <c r="AY412" s="4" t="e">
        <f t="shared" si="184"/>
        <v>#DIV/0!</v>
      </c>
      <c r="AZ412" s="4" t="e">
        <f>AQ412+('Entrada e Saida'!$G$65-'Entrada e Saida'!$I$65)*AU412-AX412</f>
        <v>#DIV/0!</v>
      </c>
      <c r="BA412" s="3" t="e">
        <f>IF('Entrada e Saida'!$H$12="REAL",AZ412*'Entrada e Saida'!$G$81,AU412*'Entrada e Saida'!$G$81)</f>
        <v>#DIV/0!</v>
      </c>
      <c r="BB412" s="3" t="e">
        <f>IF('Entrada e Saida'!$H$12="REAL",AZ412*'Entrada e Saida'!$G$82,AU412*'Entrada e Saida'!$G$82)</f>
        <v>#DIV/0!</v>
      </c>
      <c r="BC412" s="4" t="e">
        <f t="shared" si="185"/>
        <v>#DIV/0!</v>
      </c>
      <c r="BD412" s="3" t="e">
        <f>IF('Entrada e Saida'!$H$11="TRADING",AW412/D412,AK412/D412)</f>
        <v>#DIV/0!</v>
      </c>
      <c r="BE412" s="3" t="e">
        <f t="shared" si="186"/>
        <v>#DIV/0!</v>
      </c>
      <c r="BF412" s="2" t="e">
        <f t="shared" si="187"/>
        <v>#DIV/0!</v>
      </c>
      <c r="BG412" s="3" t="e">
        <f>IF('Entrada e Saida'!$H$11="TRADING",AV412/D412,AN412/D412)</f>
        <v>#DIV/0!</v>
      </c>
      <c r="BH412" s="3" t="e">
        <f>IF('Entrada e Saida'!$H$11="TRADING",IF('Entrada e Saida'!$H$12="REAL",AR412/D412,0),AL412/D412)</f>
        <v>#DIV/0!</v>
      </c>
      <c r="BI412" s="3" t="e">
        <f>IF('Entrada e Saida'!$H$11="TRADING",IF('Entrada e Saida'!$H$12="REAL",AS412/D412,0),AM412/D412)</f>
        <v>#DIV/0!</v>
      </c>
      <c r="BJ412" s="3" t="e">
        <f>IF('Entrada e Saida'!$H$11="TRADING",AT412/D412,AO412/D412)</f>
        <v>#DIV/0!</v>
      </c>
      <c r="BK412" s="2" t="e">
        <f t="shared" si="188"/>
        <v>#DIV/0!</v>
      </c>
      <c r="BL412" s="2">
        <f>IF(O412&gt;0,IFERROR(IF('Entrada e Saida'!$H$11="DIRETA",0,(IF('Entrada e Saida'!$H$14="P.JURIDICA",(BD412*(1+O412)*N412)-((BD412/(1+M412))*'Entrada e Saida'!$G$65),((Produtos!N412-'Entrada e Saida'!$G$65)*Produtos!BD412)))),0),0)</f>
        <v>0</v>
      </c>
      <c r="BM412" s="2" t="e">
        <f t="shared" si="189"/>
        <v>#DIV/0!</v>
      </c>
    </row>
    <row r="413" spans="1:65" s="1" customFormat="1">
      <c r="A413" s="127"/>
      <c r="B413" s="114">
        <f>IFERROR(VLOOKUP(A413,'Master Modelo'!A:I,7,FALSE),0)</f>
        <v>0</v>
      </c>
      <c r="C413" s="116">
        <f>IFERROR(VLOOKUP(A413,'Master Modelo'!A:I,2,FALSE),0)</f>
        <v>0</v>
      </c>
      <c r="D413" s="146"/>
      <c r="E413" s="115">
        <f>IFERROR(VLOOKUP(A413,'Master Modelo'!A:I,9,FALSE),0)</f>
        <v>0</v>
      </c>
      <c r="F413" s="189">
        <f>IFERROR(VLOOKUP(A413,'Master Modelo'!A:I,8,FALSE),0)</f>
        <v>0</v>
      </c>
      <c r="G413" s="189">
        <f>IFERROR(VLOOKUP(A413,'Master Modelo'!A:K,11,FALSE),0)</f>
        <v>0</v>
      </c>
      <c r="H413" s="114" t="e">
        <f t="shared" si="172"/>
        <v>#DIV/0!</v>
      </c>
      <c r="I413" s="150">
        <f>IFERROR(VLOOKUP(A413,'Master Modelo'!A:I,3,FALSE),0)</f>
        <v>0</v>
      </c>
      <c r="J413" s="151">
        <f>IFERROR(VLOOKUP(A413,'Master Modelo'!A:I,5,FALSE),0)</f>
        <v>0</v>
      </c>
      <c r="K413" s="151">
        <f>IFERROR(VLOOKUP(A413,'Master Modelo'!A:I,6,FALSE),0)</f>
        <v>0</v>
      </c>
      <c r="L413" s="152" t="e">
        <f>VLOOKUP(A413,'Master Modelo'!A:J,10,FALSE)</f>
        <v>#N/A</v>
      </c>
      <c r="M413" s="150">
        <f>IFERROR(VLOOKUP(A413,'Master Modelo'!A:I,4,FALSE),0)</f>
        <v>0</v>
      </c>
      <c r="N413" s="128"/>
      <c r="O413" s="129"/>
      <c r="P413" s="9">
        <f t="shared" si="173"/>
        <v>0</v>
      </c>
      <c r="Q413" s="177">
        <f t="shared" si="171"/>
        <v>0</v>
      </c>
      <c r="R413" s="3">
        <f>D413*E413*'Entrada e Saida'!$K$8</f>
        <v>0</v>
      </c>
      <c r="S413" s="179" t="e">
        <f>'Entrada e Saida'!$H$21*'Entrada e Saida'!$K$8*(P413/(SUM(P:P)))</f>
        <v>#DIV/0!</v>
      </c>
      <c r="T413" s="179" t="e">
        <f>'Entrada e Saida'!$H$21*'Entrada e Saida'!$K$8*(Q413/(SUM(Q:Q)))</f>
        <v>#DIV/0!</v>
      </c>
      <c r="U413" s="179" t="e">
        <f>'Entrada e Saida'!$H$22*(P413/(SUM(P:P)))</f>
        <v>#DIV/0!</v>
      </c>
      <c r="V413" s="179" t="e">
        <f>'Entrada e Saida'!$H$22*(Q413/(SUM(Q:Q)))</f>
        <v>#DIV/0!</v>
      </c>
      <c r="W413" s="8" t="e">
        <f t="shared" si="174"/>
        <v>#DIV/0!</v>
      </c>
      <c r="X413" s="179" t="e">
        <f>'Entrada e Saida'!$H$26*(IF('Entrada e Saida'!$H$15="PESO",(P413/(SUM(P:P))),(Q413/(SUM(Q:Q)))))</f>
        <v>#DIV/0!</v>
      </c>
      <c r="Y413" s="179" t="e">
        <f>'Entrada e Saida'!$H$27*(IF('Entrada e Saida'!$H$15="PESO",(P413/(SUM(P:P))),(Q413/(SUM(Q:Q)))))</f>
        <v>#DIV/0!</v>
      </c>
      <c r="Z413" s="179" t="e">
        <f>'Entrada e Saida'!$H$28*(IF('Entrada e Saida'!$H$15="PESO",(P413/(SUM(P:P))),(Q413/(SUM(Q:Q)))))</f>
        <v>#DIV/0!</v>
      </c>
      <c r="AA413" s="10" t="e">
        <f t="shared" si="175"/>
        <v>#DIV/0!</v>
      </c>
      <c r="AB413" s="3" t="e">
        <f t="shared" si="176"/>
        <v>#DIV/0!</v>
      </c>
      <c r="AC413" s="3" t="e">
        <f t="shared" si="177"/>
        <v>#DIV/0!</v>
      </c>
      <c r="AD413" s="3" t="e">
        <f t="shared" si="178"/>
        <v>#DIV/0!</v>
      </c>
      <c r="AE413" s="9" t="e">
        <f t="shared" si="179"/>
        <v>#DIV/0!</v>
      </c>
      <c r="AF413" s="126">
        <f>IFERROR(D413*F413*L413*'Entrada e Saida'!$K$8,0)</f>
        <v>0</v>
      </c>
      <c r="AG413" s="3" t="e">
        <f>((W413+AA413+AB413+AC413+AD413+AE413+AF413)/(1-'Entrada e Saida'!$G$65))*'Entrada e Saida'!$I$66</f>
        <v>#DIV/0!</v>
      </c>
      <c r="AH413" s="8" t="e">
        <f t="shared" si="180"/>
        <v>#DIV/0!</v>
      </c>
      <c r="AI413" s="183" t="e">
        <f>'Entrada e Saida'!$K$51*(IF('Entrada e Saida'!$H$15="PESO",(P413/(SUM(P:P))),(Q413/(SUM(Q:Q)))))</f>
        <v>#DIV/0!</v>
      </c>
      <c r="AJ413" s="7">
        <f>(('Entrada e Saida'!$K$10-'Entrada e Saida'!$K$8)*E413*D413)</f>
        <v>0</v>
      </c>
      <c r="AK413" s="184" t="e">
        <f>IF('Entrada e Saida'!$H$15="PESO",W413+AA413+AH413+AI413+AJ413,W413+AA413+AH413+AI413+AJ413-S413+T413-U413+V413)</f>
        <v>#DIV/0!</v>
      </c>
      <c r="AL413" s="6" t="e">
        <f>IF('Entrada e Saida'!$H$12="REAL",AC413,0)</f>
        <v>#DIV/0!</v>
      </c>
      <c r="AM413" s="6" t="e">
        <f>IF('Entrada e Saida'!$H$12="REAL",AD413,0)</f>
        <v>#DIV/0!</v>
      </c>
      <c r="AN413" s="5" t="e">
        <f>IF('Entrada e Saida'!$H$13= "NÃO",AE413,0)</f>
        <v>#DIV/0!</v>
      </c>
      <c r="AO413" s="5" t="e">
        <f t="shared" si="181"/>
        <v>#DIV/0!</v>
      </c>
      <c r="AP413" s="4" t="e">
        <f t="shared" si="182"/>
        <v>#DIV/0!</v>
      </c>
      <c r="AQ413" s="3" t="e">
        <f>IF('Entrada e Saida'!$H$11="TRADING",AU413*'Custo Resumido'!D413,0)</f>
        <v>#DIV/0!</v>
      </c>
      <c r="AR413" s="3" t="e">
        <f>IF('Entrada e Saida'!$H$11="TRADING",AU413*'Entrada e Saida'!$G$63,0)</f>
        <v>#DIV/0!</v>
      </c>
      <c r="AS413" s="3" t="e">
        <f>IF('Entrada e Saida'!$H$11="TRADING",AU413*'Entrada e Saida'!$G$64,0)</f>
        <v>#DIV/0!</v>
      </c>
      <c r="AT413" s="3" t="e">
        <f>IF('Entrada e Saida'!$H$11="TRADING",AU413*'Entrada e Saida'!$G$65,0)</f>
        <v>#DIV/0!</v>
      </c>
      <c r="AU413" s="4" t="e">
        <f>IF('Entrada e Saida'!$H$11="TRADING",AP413/(1-(SUM('Entrada e Saida'!$G$63:$G$65)+'Custo Resumido'!D413)),0)</f>
        <v>#DIV/0!</v>
      </c>
      <c r="AV413" s="3" t="e">
        <f>IF('Entrada e Saida'!$H$13="NÃO",AU413*M413,0)</f>
        <v>#DIV/0!</v>
      </c>
      <c r="AW413" s="4" t="e">
        <f t="shared" si="183"/>
        <v>#DIV/0!</v>
      </c>
      <c r="AX413" s="3" t="e">
        <f>'Entrada e Saida'!$G$74*AU413</f>
        <v>#DIV/0!</v>
      </c>
      <c r="AY413" s="4" t="e">
        <f t="shared" si="184"/>
        <v>#DIV/0!</v>
      </c>
      <c r="AZ413" s="4" t="e">
        <f>AQ413+('Entrada e Saida'!$G$65-'Entrada e Saida'!$I$65)*AU413-AX413</f>
        <v>#DIV/0!</v>
      </c>
      <c r="BA413" s="3" t="e">
        <f>IF('Entrada e Saida'!$H$12="REAL",AZ413*'Entrada e Saida'!$G$81,AU413*'Entrada e Saida'!$G$81)</f>
        <v>#DIV/0!</v>
      </c>
      <c r="BB413" s="3" t="e">
        <f>IF('Entrada e Saida'!$H$12="REAL",AZ413*'Entrada e Saida'!$G$82,AU413*'Entrada e Saida'!$G$82)</f>
        <v>#DIV/0!</v>
      </c>
      <c r="BC413" s="4" t="e">
        <f t="shared" si="185"/>
        <v>#DIV/0!</v>
      </c>
      <c r="BD413" s="3" t="e">
        <f>IF('Entrada e Saida'!$H$11="TRADING",AW413/D413,AK413/D413)</f>
        <v>#DIV/0!</v>
      </c>
      <c r="BE413" s="3" t="e">
        <f t="shared" si="186"/>
        <v>#DIV/0!</v>
      </c>
      <c r="BF413" s="2" t="e">
        <f t="shared" si="187"/>
        <v>#DIV/0!</v>
      </c>
      <c r="BG413" s="3" t="e">
        <f>IF('Entrada e Saida'!$H$11="TRADING",AV413/D413,AN413/D413)</f>
        <v>#DIV/0!</v>
      </c>
      <c r="BH413" s="3" t="e">
        <f>IF('Entrada e Saida'!$H$11="TRADING",IF('Entrada e Saida'!$H$12="REAL",AR413/D413,0),AL413/D413)</f>
        <v>#DIV/0!</v>
      </c>
      <c r="BI413" s="3" t="e">
        <f>IF('Entrada e Saida'!$H$11="TRADING",IF('Entrada e Saida'!$H$12="REAL",AS413/D413,0),AM413/D413)</f>
        <v>#DIV/0!</v>
      </c>
      <c r="BJ413" s="3" t="e">
        <f>IF('Entrada e Saida'!$H$11="TRADING",AT413/D413,AO413/D413)</f>
        <v>#DIV/0!</v>
      </c>
      <c r="BK413" s="2" t="e">
        <f t="shared" si="188"/>
        <v>#DIV/0!</v>
      </c>
      <c r="BL413" s="2">
        <f>IF(O413&gt;0,IFERROR(IF('Entrada e Saida'!$H$11="DIRETA",0,(IF('Entrada e Saida'!$H$14="P.JURIDICA",(BD413*(1+O413)*N413)-((BD413/(1+M413))*'Entrada e Saida'!$G$65),((Produtos!N413-'Entrada e Saida'!$G$65)*Produtos!BD413)))),0),0)</f>
        <v>0</v>
      </c>
      <c r="BM413" s="2" t="e">
        <f t="shared" si="189"/>
        <v>#DIV/0!</v>
      </c>
    </row>
    <row r="414" spans="1:65" s="1" customFormat="1">
      <c r="A414" s="127"/>
      <c r="B414" s="114">
        <f>IFERROR(VLOOKUP(A414,'Master Modelo'!A:I,7,FALSE),0)</f>
        <v>0</v>
      </c>
      <c r="C414" s="116">
        <f>IFERROR(VLOOKUP(A414,'Master Modelo'!A:I,2,FALSE),0)</f>
        <v>0</v>
      </c>
      <c r="D414" s="146"/>
      <c r="E414" s="115">
        <f>IFERROR(VLOOKUP(A414,'Master Modelo'!A:I,9,FALSE),0)</f>
        <v>0</v>
      </c>
      <c r="F414" s="189">
        <f>IFERROR(VLOOKUP(A414,'Master Modelo'!A:I,8,FALSE),0)</f>
        <v>0</v>
      </c>
      <c r="G414" s="189">
        <f>IFERROR(VLOOKUP(A414,'Master Modelo'!A:K,11,FALSE),0)</f>
        <v>0</v>
      </c>
      <c r="H414" s="114" t="e">
        <f t="shared" si="172"/>
        <v>#DIV/0!</v>
      </c>
      <c r="I414" s="150">
        <f>IFERROR(VLOOKUP(A414,'Master Modelo'!A:I,3,FALSE),0)</f>
        <v>0</v>
      </c>
      <c r="J414" s="151">
        <f>IFERROR(VLOOKUP(A414,'Master Modelo'!A:I,5,FALSE),0)</f>
        <v>0</v>
      </c>
      <c r="K414" s="151">
        <f>IFERROR(VLOOKUP(A414,'Master Modelo'!A:I,6,FALSE),0)</f>
        <v>0</v>
      </c>
      <c r="L414" s="152" t="e">
        <f>VLOOKUP(A414,'Master Modelo'!A:J,10,FALSE)</f>
        <v>#N/A</v>
      </c>
      <c r="M414" s="150">
        <f>IFERROR(VLOOKUP(A414,'Master Modelo'!A:I,4,FALSE),0)</f>
        <v>0</v>
      </c>
      <c r="N414" s="128"/>
      <c r="O414" s="129"/>
      <c r="P414" s="9">
        <f t="shared" si="173"/>
        <v>0</v>
      </c>
      <c r="Q414" s="177">
        <f t="shared" si="171"/>
        <v>0</v>
      </c>
      <c r="R414" s="3">
        <f>D414*E414*'Entrada e Saida'!$K$8</f>
        <v>0</v>
      </c>
      <c r="S414" s="179" t="e">
        <f>'Entrada e Saida'!$H$21*'Entrada e Saida'!$K$8*(P414/(SUM(P:P)))</f>
        <v>#DIV/0!</v>
      </c>
      <c r="T414" s="179" t="e">
        <f>'Entrada e Saida'!$H$21*'Entrada e Saida'!$K$8*(Q414/(SUM(Q:Q)))</f>
        <v>#DIV/0!</v>
      </c>
      <c r="U414" s="179" t="e">
        <f>'Entrada e Saida'!$H$22*(P414/(SUM(P:P)))</f>
        <v>#DIV/0!</v>
      </c>
      <c r="V414" s="179" t="e">
        <f>'Entrada e Saida'!$H$22*(Q414/(SUM(Q:Q)))</f>
        <v>#DIV/0!</v>
      </c>
      <c r="W414" s="8" t="e">
        <f t="shared" si="174"/>
        <v>#DIV/0!</v>
      </c>
      <c r="X414" s="179" t="e">
        <f>'Entrada e Saida'!$H$26*(IF('Entrada e Saida'!$H$15="PESO",(P414/(SUM(P:P))),(Q414/(SUM(Q:Q)))))</f>
        <v>#DIV/0!</v>
      </c>
      <c r="Y414" s="179" t="e">
        <f>'Entrada e Saida'!$H$27*(IF('Entrada e Saida'!$H$15="PESO",(P414/(SUM(P:P))),(Q414/(SUM(Q:Q)))))</f>
        <v>#DIV/0!</v>
      </c>
      <c r="Z414" s="179" t="e">
        <f>'Entrada e Saida'!$H$28*(IF('Entrada e Saida'!$H$15="PESO",(P414/(SUM(P:P))),(Q414/(SUM(Q:Q)))))</f>
        <v>#DIV/0!</v>
      </c>
      <c r="AA414" s="10" t="e">
        <f t="shared" si="175"/>
        <v>#DIV/0!</v>
      </c>
      <c r="AB414" s="3" t="e">
        <f t="shared" si="176"/>
        <v>#DIV/0!</v>
      </c>
      <c r="AC414" s="3" t="e">
        <f t="shared" si="177"/>
        <v>#DIV/0!</v>
      </c>
      <c r="AD414" s="3" t="e">
        <f t="shared" si="178"/>
        <v>#DIV/0!</v>
      </c>
      <c r="AE414" s="9" t="e">
        <f t="shared" si="179"/>
        <v>#DIV/0!</v>
      </c>
      <c r="AF414" s="126">
        <f>IFERROR(D414*F414*L414*'Entrada e Saida'!$K$8,0)</f>
        <v>0</v>
      </c>
      <c r="AG414" s="3" t="e">
        <f>((W414+AA414+AB414+AC414+AD414+AE414+AF414)/(1-'Entrada e Saida'!$G$65))*'Entrada e Saida'!$I$66</f>
        <v>#DIV/0!</v>
      </c>
      <c r="AH414" s="8" t="e">
        <f t="shared" si="180"/>
        <v>#DIV/0!</v>
      </c>
      <c r="AI414" s="183" t="e">
        <f>'Entrada e Saida'!$K$51*(IF('Entrada e Saida'!$H$15="PESO",(P414/(SUM(P:P))),(Q414/(SUM(Q:Q)))))</f>
        <v>#DIV/0!</v>
      </c>
      <c r="AJ414" s="7">
        <f>(('Entrada e Saida'!$K$10-'Entrada e Saida'!$K$8)*E414*D414)</f>
        <v>0</v>
      </c>
      <c r="AK414" s="184" t="e">
        <f>IF('Entrada e Saida'!$H$15="PESO",W414+AA414+AH414+AI414+AJ414,W414+AA414+AH414+AI414+AJ414-S414+T414-U414+V414)</f>
        <v>#DIV/0!</v>
      </c>
      <c r="AL414" s="6" t="e">
        <f>IF('Entrada e Saida'!$H$12="REAL",AC414,0)</f>
        <v>#DIV/0!</v>
      </c>
      <c r="AM414" s="6" t="e">
        <f>IF('Entrada e Saida'!$H$12="REAL",AD414,0)</f>
        <v>#DIV/0!</v>
      </c>
      <c r="AN414" s="5" t="e">
        <f>IF('Entrada e Saida'!$H$13= "NÃO",AE414,0)</f>
        <v>#DIV/0!</v>
      </c>
      <c r="AO414" s="5" t="e">
        <f t="shared" si="181"/>
        <v>#DIV/0!</v>
      </c>
      <c r="AP414" s="4" t="e">
        <f t="shared" si="182"/>
        <v>#DIV/0!</v>
      </c>
      <c r="AQ414" s="3" t="e">
        <f>IF('Entrada e Saida'!$H$11="TRADING",AU414*'Custo Resumido'!D414,0)</f>
        <v>#DIV/0!</v>
      </c>
      <c r="AR414" s="3" t="e">
        <f>IF('Entrada e Saida'!$H$11="TRADING",AU414*'Entrada e Saida'!$G$63,0)</f>
        <v>#DIV/0!</v>
      </c>
      <c r="AS414" s="3" t="e">
        <f>IF('Entrada e Saida'!$H$11="TRADING",AU414*'Entrada e Saida'!$G$64,0)</f>
        <v>#DIV/0!</v>
      </c>
      <c r="AT414" s="3" t="e">
        <f>IF('Entrada e Saida'!$H$11="TRADING",AU414*'Entrada e Saida'!$G$65,0)</f>
        <v>#DIV/0!</v>
      </c>
      <c r="AU414" s="4" t="e">
        <f>IF('Entrada e Saida'!$H$11="TRADING",AP414/(1-(SUM('Entrada e Saida'!$G$63:$G$65)+'Custo Resumido'!D414)),0)</f>
        <v>#DIV/0!</v>
      </c>
      <c r="AV414" s="3" t="e">
        <f>IF('Entrada e Saida'!$H$13="NÃO",AU414*M414,0)</f>
        <v>#DIV/0!</v>
      </c>
      <c r="AW414" s="4" t="e">
        <f t="shared" si="183"/>
        <v>#DIV/0!</v>
      </c>
      <c r="AX414" s="3" t="e">
        <f>'Entrada e Saida'!$G$74*AU414</f>
        <v>#DIV/0!</v>
      </c>
      <c r="AY414" s="4" t="e">
        <f t="shared" si="184"/>
        <v>#DIV/0!</v>
      </c>
      <c r="AZ414" s="4" t="e">
        <f>AQ414+('Entrada e Saida'!$G$65-'Entrada e Saida'!$I$65)*AU414-AX414</f>
        <v>#DIV/0!</v>
      </c>
      <c r="BA414" s="3" t="e">
        <f>IF('Entrada e Saida'!$H$12="REAL",AZ414*'Entrada e Saida'!$G$81,AU414*'Entrada e Saida'!$G$81)</f>
        <v>#DIV/0!</v>
      </c>
      <c r="BB414" s="3" t="e">
        <f>IF('Entrada e Saida'!$H$12="REAL",AZ414*'Entrada e Saida'!$G$82,AU414*'Entrada e Saida'!$G$82)</f>
        <v>#DIV/0!</v>
      </c>
      <c r="BC414" s="4" t="e">
        <f t="shared" si="185"/>
        <v>#DIV/0!</v>
      </c>
      <c r="BD414" s="3" t="e">
        <f>IF('Entrada e Saida'!$H$11="TRADING",AW414/D414,AK414/D414)</f>
        <v>#DIV/0!</v>
      </c>
      <c r="BE414" s="3" t="e">
        <f t="shared" si="186"/>
        <v>#DIV/0!</v>
      </c>
      <c r="BF414" s="2" t="e">
        <f t="shared" si="187"/>
        <v>#DIV/0!</v>
      </c>
      <c r="BG414" s="3" t="e">
        <f>IF('Entrada e Saida'!$H$11="TRADING",AV414/D414,AN414/D414)</f>
        <v>#DIV/0!</v>
      </c>
      <c r="BH414" s="3" t="e">
        <f>IF('Entrada e Saida'!$H$11="TRADING",IF('Entrada e Saida'!$H$12="REAL",AR414/D414,0),AL414/D414)</f>
        <v>#DIV/0!</v>
      </c>
      <c r="BI414" s="3" t="e">
        <f>IF('Entrada e Saida'!$H$11="TRADING",IF('Entrada e Saida'!$H$12="REAL",AS414/D414,0),AM414/D414)</f>
        <v>#DIV/0!</v>
      </c>
      <c r="BJ414" s="3" t="e">
        <f>IF('Entrada e Saida'!$H$11="TRADING",AT414/D414,AO414/D414)</f>
        <v>#DIV/0!</v>
      </c>
      <c r="BK414" s="2" t="e">
        <f t="shared" si="188"/>
        <v>#DIV/0!</v>
      </c>
      <c r="BL414" s="2">
        <f>IF(O414&gt;0,IFERROR(IF('Entrada e Saida'!$H$11="DIRETA",0,(IF('Entrada e Saida'!$H$14="P.JURIDICA",(BD414*(1+O414)*N414)-((BD414/(1+M414))*'Entrada e Saida'!$G$65),((Produtos!N414-'Entrada e Saida'!$G$65)*Produtos!BD414)))),0),0)</f>
        <v>0</v>
      </c>
      <c r="BM414" s="2" t="e">
        <f t="shared" si="189"/>
        <v>#DIV/0!</v>
      </c>
    </row>
    <row r="415" spans="1:65" s="1" customFormat="1">
      <c r="A415" s="127"/>
      <c r="B415" s="114">
        <f>IFERROR(VLOOKUP(A415,'Master Modelo'!A:I,7,FALSE),0)</f>
        <v>0</v>
      </c>
      <c r="C415" s="116">
        <f>IFERROR(VLOOKUP(A415,'Master Modelo'!A:I,2,FALSE),0)</f>
        <v>0</v>
      </c>
      <c r="D415" s="146"/>
      <c r="E415" s="115">
        <f>IFERROR(VLOOKUP(A415,'Master Modelo'!A:I,9,FALSE),0)</f>
        <v>0</v>
      </c>
      <c r="F415" s="189">
        <f>IFERROR(VLOOKUP(A415,'Master Modelo'!A:I,8,FALSE),0)</f>
        <v>0</v>
      </c>
      <c r="G415" s="189">
        <f>IFERROR(VLOOKUP(A415,'Master Modelo'!A:K,11,FALSE),0)</f>
        <v>0</v>
      </c>
      <c r="H415" s="114" t="e">
        <f t="shared" si="172"/>
        <v>#DIV/0!</v>
      </c>
      <c r="I415" s="150">
        <f>IFERROR(VLOOKUP(A415,'Master Modelo'!A:I,3,FALSE),0)</f>
        <v>0</v>
      </c>
      <c r="J415" s="151">
        <f>IFERROR(VLOOKUP(A415,'Master Modelo'!A:I,5,FALSE),0)</f>
        <v>0</v>
      </c>
      <c r="K415" s="151">
        <f>IFERROR(VLOOKUP(A415,'Master Modelo'!A:I,6,FALSE),0)</f>
        <v>0</v>
      </c>
      <c r="L415" s="152" t="e">
        <f>VLOOKUP(A415,'Master Modelo'!A:J,10,FALSE)</f>
        <v>#N/A</v>
      </c>
      <c r="M415" s="150">
        <f>IFERROR(VLOOKUP(A415,'Master Modelo'!A:I,4,FALSE),0)</f>
        <v>0</v>
      </c>
      <c r="N415" s="128"/>
      <c r="O415" s="129"/>
      <c r="P415" s="9">
        <f t="shared" si="173"/>
        <v>0</v>
      </c>
      <c r="Q415" s="177">
        <f t="shared" si="171"/>
        <v>0</v>
      </c>
      <c r="R415" s="3">
        <f>D415*E415*'Entrada e Saida'!$K$8</f>
        <v>0</v>
      </c>
      <c r="S415" s="179" t="e">
        <f>'Entrada e Saida'!$H$21*'Entrada e Saida'!$K$8*(P415/(SUM(P:P)))</f>
        <v>#DIV/0!</v>
      </c>
      <c r="T415" s="179" t="e">
        <f>'Entrada e Saida'!$H$21*'Entrada e Saida'!$K$8*(Q415/(SUM(Q:Q)))</f>
        <v>#DIV/0!</v>
      </c>
      <c r="U415" s="179" t="e">
        <f>'Entrada e Saida'!$H$22*(P415/(SUM(P:P)))</f>
        <v>#DIV/0!</v>
      </c>
      <c r="V415" s="179" t="e">
        <f>'Entrada e Saida'!$H$22*(Q415/(SUM(Q:Q)))</f>
        <v>#DIV/0!</v>
      </c>
      <c r="W415" s="8" t="e">
        <f t="shared" si="174"/>
        <v>#DIV/0!</v>
      </c>
      <c r="X415" s="179" t="e">
        <f>'Entrada e Saida'!$H$26*(IF('Entrada e Saida'!$H$15="PESO",(P415/(SUM(P:P))),(Q415/(SUM(Q:Q)))))</f>
        <v>#DIV/0!</v>
      </c>
      <c r="Y415" s="179" t="e">
        <f>'Entrada e Saida'!$H$27*(IF('Entrada e Saida'!$H$15="PESO",(P415/(SUM(P:P))),(Q415/(SUM(Q:Q)))))</f>
        <v>#DIV/0!</v>
      </c>
      <c r="Z415" s="179" t="e">
        <f>'Entrada e Saida'!$H$28*(IF('Entrada e Saida'!$H$15="PESO",(P415/(SUM(P:P))),(Q415/(SUM(Q:Q)))))</f>
        <v>#DIV/0!</v>
      </c>
      <c r="AA415" s="10" t="e">
        <f t="shared" si="175"/>
        <v>#DIV/0!</v>
      </c>
      <c r="AB415" s="3" t="e">
        <f t="shared" si="176"/>
        <v>#DIV/0!</v>
      </c>
      <c r="AC415" s="3" t="e">
        <f t="shared" si="177"/>
        <v>#DIV/0!</v>
      </c>
      <c r="AD415" s="3" t="e">
        <f t="shared" si="178"/>
        <v>#DIV/0!</v>
      </c>
      <c r="AE415" s="9" t="e">
        <f t="shared" si="179"/>
        <v>#DIV/0!</v>
      </c>
      <c r="AF415" s="126">
        <f>IFERROR(D415*F415*L415*'Entrada e Saida'!$K$8,0)</f>
        <v>0</v>
      </c>
      <c r="AG415" s="3" t="e">
        <f>((W415+AA415+AB415+AC415+AD415+AE415+AF415)/(1-'Entrada e Saida'!$G$65))*'Entrada e Saida'!$I$66</f>
        <v>#DIV/0!</v>
      </c>
      <c r="AH415" s="8" t="e">
        <f t="shared" si="180"/>
        <v>#DIV/0!</v>
      </c>
      <c r="AI415" s="183" t="e">
        <f>'Entrada e Saida'!$K$51*(IF('Entrada e Saida'!$H$15="PESO",(P415/(SUM(P:P))),(Q415/(SUM(Q:Q)))))</f>
        <v>#DIV/0!</v>
      </c>
      <c r="AJ415" s="7">
        <f>(('Entrada e Saida'!$K$10-'Entrada e Saida'!$K$8)*E415*D415)</f>
        <v>0</v>
      </c>
      <c r="AK415" s="184" t="e">
        <f>IF('Entrada e Saida'!$H$15="PESO",W415+AA415+AH415+AI415+AJ415,W415+AA415+AH415+AI415+AJ415-S415+T415-U415+V415)</f>
        <v>#DIV/0!</v>
      </c>
      <c r="AL415" s="6" t="e">
        <f>IF('Entrada e Saida'!$H$12="REAL",AC415,0)</f>
        <v>#DIV/0!</v>
      </c>
      <c r="AM415" s="6" t="e">
        <f>IF('Entrada e Saida'!$H$12="REAL",AD415,0)</f>
        <v>#DIV/0!</v>
      </c>
      <c r="AN415" s="5" t="e">
        <f>IF('Entrada e Saida'!$H$13= "NÃO",AE415,0)</f>
        <v>#DIV/0!</v>
      </c>
      <c r="AO415" s="5" t="e">
        <f t="shared" si="181"/>
        <v>#DIV/0!</v>
      </c>
      <c r="AP415" s="4" t="e">
        <f t="shared" si="182"/>
        <v>#DIV/0!</v>
      </c>
      <c r="AQ415" s="3" t="e">
        <f>IF('Entrada e Saida'!$H$11="TRADING",AU415*'Custo Resumido'!D415,0)</f>
        <v>#DIV/0!</v>
      </c>
      <c r="AR415" s="3" t="e">
        <f>IF('Entrada e Saida'!$H$11="TRADING",AU415*'Entrada e Saida'!$G$63,0)</f>
        <v>#DIV/0!</v>
      </c>
      <c r="AS415" s="3" t="e">
        <f>IF('Entrada e Saida'!$H$11="TRADING",AU415*'Entrada e Saida'!$G$64,0)</f>
        <v>#DIV/0!</v>
      </c>
      <c r="AT415" s="3" t="e">
        <f>IF('Entrada e Saida'!$H$11="TRADING",AU415*'Entrada e Saida'!$G$65,0)</f>
        <v>#DIV/0!</v>
      </c>
      <c r="AU415" s="4" t="e">
        <f>IF('Entrada e Saida'!$H$11="TRADING",AP415/(1-(SUM('Entrada e Saida'!$G$63:$G$65)+'Custo Resumido'!D415)),0)</f>
        <v>#DIV/0!</v>
      </c>
      <c r="AV415" s="3" t="e">
        <f>IF('Entrada e Saida'!$H$13="NÃO",AU415*M415,0)</f>
        <v>#DIV/0!</v>
      </c>
      <c r="AW415" s="4" t="e">
        <f t="shared" si="183"/>
        <v>#DIV/0!</v>
      </c>
      <c r="AX415" s="3" t="e">
        <f>'Entrada e Saida'!$G$74*AU415</f>
        <v>#DIV/0!</v>
      </c>
      <c r="AY415" s="4" t="e">
        <f t="shared" si="184"/>
        <v>#DIV/0!</v>
      </c>
      <c r="AZ415" s="4" t="e">
        <f>AQ415+('Entrada e Saida'!$G$65-'Entrada e Saida'!$I$65)*AU415-AX415</f>
        <v>#DIV/0!</v>
      </c>
      <c r="BA415" s="3" t="e">
        <f>IF('Entrada e Saida'!$H$12="REAL",AZ415*'Entrada e Saida'!$G$81,AU415*'Entrada e Saida'!$G$81)</f>
        <v>#DIV/0!</v>
      </c>
      <c r="BB415" s="3" t="e">
        <f>IF('Entrada e Saida'!$H$12="REAL",AZ415*'Entrada e Saida'!$G$82,AU415*'Entrada e Saida'!$G$82)</f>
        <v>#DIV/0!</v>
      </c>
      <c r="BC415" s="4" t="e">
        <f t="shared" si="185"/>
        <v>#DIV/0!</v>
      </c>
      <c r="BD415" s="3" t="e">
        <f>IF('Entrada e Saida'!$H$11="TRADING",AW415/D415,AK415/D415)</f>
        <v>#DIV/0!</v>
      </c>
      <c r="BE415" s="3" t="e">
        <f t="shared" si="186"/>
        <v>#DIV/0!</v>
      </c>
      <c r="BF415" s="2" t="e">
        <f t="shared" si="187"/>
        <v>#DIV/0!</v>
      </c>
      <c r="BG415" s="3" t="e">
        <f>IF('Entrada e Saida'!$H$11="TRADING",AV415/D415,AN415/D415)</f>
        <v>#DIV/0!</v>
      </c>
      <c r="BH415" s="3" t="e">
        <f>IF('Entrada e Saida'!$H$11="TRADING",IF('Entrada e Saida'!$H$12="REAL",AR415/D415,0),AL415/D415)</f>
        <v>#DIV/0!</v>
      </c>
      <c r="BI415" s="3" t="e">
        <f>IF('Entrada e Saida'!$H$11="TRADING",IF('Entrada e Saida'!$H$12="REAL",AS415/D415,0),AM415/D415)</f>
        <v>#DIV/0!</v>
      </c>
      <c r="BJ415" s="3" t="e">
        <f>IF('Entrada e Saida'!$H$11="TRADING",AT415/D415,AO415/D415)</f>
        <v>#DIV/0!</v>
      </c>
      <c r="BK415" s="2" t="e">
        <f t="shared" si="188"/>
        <v>#DIV/0!</v>
      </c>
      <c r="BL415" s="2">
        <f>IF(O415&gt;0,IFERROR(IF('Entrada e Saida'!$H$11="DIRETA",0,(IF('Entrada e Saida'!$H$14="P.JURIDICA",(BD415*(1+O415)*N415)-((BD415/(1+M415))*'Entrada e Saida'!$G$65),((Produtos!N415-'Entrada e Saida'!$G$65)*Produtos!BD415)))),0),0)</f>
        <v>0</v>
      </c>
      <c r="BM415" s="2" t="e">
        <f t="shared" si="189"/>
        <v>#DIV/0!</v>
      </c>
    </row>
    <row r="416" spans="1:65" s="1" customFormat="1">
      <c r="A416" s="127"/>
      <c r="B416" s="114">
        <f>IFERROR(VLOOKUP(A416,'Master Modelo'!A:I,7,FALSE),0)</f>
        <v>0</v>
      </c>
      <c r="C416" s="116">
        <f>IFERROR(VLOOKUP(A416,'Master Modelo'!A:I,2,FALSE),0)</f>
        <v>0</v>
      </c>
      <c r="D416" s="146"/>
      <c r="E416" s="115">
        <f>IFERROR(VLOOKUP(A416,'Master Modelo'!A:I,9,FALSE),0)</f>
        <v>0</v>
      </c>
      <c r="F416" s="189">
        <f>IFERROR(VLOOKUP(A416,'Master Modelo'!A:I,8,FALSE),0)</f>
        <v>0</v>
      </c>
      <c r="G416" s="189">
        <f>IFERROR(VLOOKUP(A416,'Master Modelo'!A:K,11,FALSE),0)</f>
        <v>0</v>
      </c>
      <c r="H416" s="114" t="e">
        <f t="shared" si="172"/>
        <v>#DIV/0!</v>
      </c>
      <c r="I416" s="150">
        <f>IFERROR(VLOOKUP(A416,'Master Modelo'!A:I,3,FALSE),0)</f>
        <v>0</v>
      </c>
      <c r="J416" s="151">
        <f>IFERROR(VLOOKUP(A416,'Master Modelo'!A:I,5,FALSE),0)</f>
        <v>0</v>
      </c>
      <c r="K416" s="151">
        <f>IFERROR(VLOOKUP(A416,'Master Modelo'!A:I,6,FALSE),0)</f>
        <v>0</v>
      </c>
      <c r="L416" s="152" t="e">
        <f>VLOOKUP(A416,'Master Modelo'!A:J,10,FALSE)</f>
        <v>#N/A</v>
      </c>
      <c r="M416" s="150">
        <f>IFERROR(VLOOKUP(A416,'Master Modelo'!A:I,4,FALSE),0)</f>
        <v>0</v>
      </c>
      <c r="N416" s="128"/>
      <c r="O416" s="129"/>
      <c r="P416" s="9">
        <f t="shared" si="173"/>
        <v>0</v>
      </c>
      <c r="Q416" s="177">
        <f t="shared" si="171"/>
        <v>0</v>
      </c>
      <c r="R416" s="3">
        <f>D416*E416*'Entrada e Saida'!$K$8</f>
        <v>0</v>
      </c>
      <c r="S416" s="179" t="e">
        <f>'Entrada e Saida'!$H$21*'Entrada e Saida'!$K$8*(P416/(SUM(P:P)))</f>
        <v>#DIV/0!</v>
      </c>
      <c r="T416" s="179" t="e">
        <f>'Entrada e Saida'!$H$21*'Entrada e Saida'!$K$8*(Q416/(SUM(Q:Q)))</f>
        <v>#DIV/0!</v>
      </c>
      <c r="U416" s="179" t="e">
        <f>'Entrada e Saida'!$H$22*(P416/(SUM(P:P)))</f>
        <v>#DIV/0!</v>
      </c>
      <c r="V416" s="179" t="e">
        <f>'Entrada e Saida'!$H$22*(Q416/(SUM(Q:Q)))</f>
        <v>#DIV/0!</v>
      </c>
      <c r="W416" s="8" t="e">
        <f t="shared" si="174"/>
        <v>#DIV/0!</v>
      </c>
      <c r="X416" s="179" t="e">
        <f>'Entrada e Saida'!$H$26*(IF('Entrada e Saida'!$H$15="PESO",(P416/(SUM(P:P))),(Q416/(SUM(Q:Q)))))</f>
        <v>#DIV/0!</v>
      </c>
      <c r="Y416" s="179" t="e">
        <f>'Entrada e Saida'!$H$27*(IF('Entrada e Saida'!$H$15="PESO",(P416/(SUM(P:P))),(Q416/(SUM(Q:Q)))))</f>
        <v>#DIV/0!</v>
      </c>
      <c r="Z416" s="179" t="e">
        <f>'Entrada e Saida'!$H$28*(IF('Entrada e Saida'!$H$15="PESO",(P416/(SUM(P:P))),(Q416/(SUM(Q:Q)))))</f>
        <v>#DIV/0!</v>
      </c>
      <c r="AA416" s="10" t="e">
        <f t="shared" si="175"/>
        <v>#DIV/0!</v>
      </c>
      <c r="AB416" s="3" t="e">
        <f t="shared" si="176"/>
        <v>#DIV/0!</v>
      </c>
      <c r="AC416" s="3" t="e">
        <f t="shared" si="177"/>
        <v>#DIV/0!</v>
      </c>
      <c r="AD416" s="3" t="e">
        <f t="shared" si="178"/>
        <v>#DIV/0!</v>
      </c>
      <c r="AE416" s="9" t="e">
        <f t="shared" si="179"/>
        <v>#DIV/0!</v>
      </c>
      <c r="AF416" s="126">
        <f>IFERROR(D416*F416*L416*'Entrada e Saida'!$K$8,0)</f>
        <v>0</v>
      </c>
      <c r="AG416" s="3" t="e">
        <f>((W416+AA416+AB416+AC416+AD416+AE416+AF416)/(1-'Entrada e Saida'!$G$65))*'Entrada e Saida'!$I$66</f>
        <v>#DIV/0!</v>
      </c>
      <c r="AH416" s="8" t="e">
        <f t="shared" si="180"/>
        <v>#DIV/0!</v>
      </c>
      <c r="AI416" s="183" t="e">
        <f>'Entrada e Saida'!$K$51*(IF('Entrada e Saida'!$H$15="PESO",(P416/(SUM(P:P))),(Q416/(SUM(Q:Q)))))</f>
        <v>#DIV/0!</v>
      </c>
      <c r="AJ416" s="7">
        <f>(('Entrada e Saida'!$K$10-'Entrada e Saida'!$K$8)*E416*D416)</f>
        <v>0</v>
      </c>
      <c r="AK416" s="184" t="e">
        <f>IF('Entrada e Saida'!$H$15="PESO",W416+AA416+AH416+AI416+AJ416,W416+AA416+AH416+AI416+AJ416-S416+T416-U416+V416)</f>
        <v>#DIV/0!</v>
      </c>
      <c r="AL416" s="6" t="e">
        <f>IF('Entrada e Saida'!$H$12="REAL",AC416,0)</f>
        <v>#DIV/0!</v>
      </c>
      <c r="AM416" s="6" t="e">
        <f>IF('Entrada e Saida'!$H$12="REAL",AD416,0)</f>
        <v>#DIV/0!</v>
      </c>
      <c r="AN416" s="5" t="e">
        <f>IF('Entrada e Saida'!$H$13= "NÃO",AE416,0)</f>
        <v>#DIV/0!</v>
      </c>
      <c r="AO416" s="5" t="e">
        <f t="shared" si="181"/>
        <v>#DIV/0!</v>
      </c>
      <c r="AP416" s="4" t="e">
        <f t="shared" si="182"/>
        <v>#DIV/0!</v>
      </c>
      <c r="AQ416" s="3" t="e">
        <f>IF('Entrada e Saida'!$H$11="TRADING",AU416*'Custo Resumido'!D416,0)</f>
        <v>#DIV/0!</v>
      </c>
      <c r="AR416" s="3" t="e">
        <f>IF('Entrada e Saida'!$H$11="TRADING",AU416*'Entrada e Saida'!$G$63,0)</f>
        <v>#DIV/0!</v>
      </c>
      <c r="AS416" s="3" t="e">
        <f>IF('Entrada e Saida'!$H$11="TRADING",AU416*'Entrada e Saida'!$G$64,0)</f>
        <v>#DIV/0!</v>
      </c>
      <c r="AT416" s="3" t="e">
        <f>IF('Entrada e Saida'!$H$11="TRADING",AU416*'Entrada e Saida'!$G$65,0)</f>
        <v>#DIV/0!</v>
      </c>
      <c r="AU416" s="4" t="e">
        <f>IF('Entrada e Saida'!$H$11="TRADING",AP416/(1-(SUM('Entrada e Saida'!$G$63:$G$65)+'Custo Resumido'!D416)),0)</f>
        <v>#DIV/0!</v>
      </c>
      <c r="AV416" s="3" t="e">
        <f>IF('Entrada e Saida'!$H$13="NÃO",AU416*M416,0)</f>
        <v>#DIV/0!</v>
      </c>
      <c r="AW416" s="4" t="e">
        <f t="shared" si="183"/>
        <v>#DIV/0!</v>
      </c>
      <c r="AX416" s="3" t="e">
        <f>'Entrada e Saida'!$G$74*AU416</f>
        <v>#DIV/0!</v>
      </c>
      <c r="AY416" s="4" t="e">
        <f t="shared" si="184"/>
        <v>#DIV/0!</v>
      </c>
      <c r="AZ416" s="4" t="e">
        <f>AQ416+('Entrada e Saida'!$G$65-'Entrada e Saida'!$I$65)*AU416-AX416</f>
        <v>#DIV/0!</v>
      </c>
      <c r="BA416" s="3" t="e">
        <f>IF('Entrada e Saida'!$H$12="REAL",AZ416*'Entrada e Saida'!$G$81,AU416*'Entrada e Saida'!$G$81)</f>
        <v>#DIV/0!</v>
      </c>
      <c r="BB416" s="3" t="e">
        <f>IF('Entrada e Saida'!$H$12="REAL",AZ416*'Entrada e Saida'!$G$82,AU416*'Entrada e Saida'!$G$82)</f>
        <v>#DIV/0!</v>
      </c>
      <c r="BC416" s="4" t="e">
        <f t="shared" si="185"/>
        <v>#DIV/0!</v>
      </c>
      <c r="BD416" s="3" t="e">
        <f>IF('Entrada e Saida'!$H$11="TRADING",AW416/D416,AK416/D416)</f>
        <v>#DIV/0!</v>
      </c>
      <c r="BE416" s="3" t="e">
        <f t="shared" si="186"/>
        <v>#DIV/0!</v>
      </c>
      <c r="BF416" s="2" t="e">
        <f t="shared" si="187"/>
        <v>#DIV/0!</v>
      </c>
      <c r="BG416" s="3" t="e">
        <f>IF('Entrada e Saida'!$H$11="TRADING",AV416/D416,AN416/D416)</f>
        <v>#DIV/0!</v>
      </c>
      <c r="BH416" s="3" t="e">
        <f>IF('Entrada e Saida'!$H$11="TRADING",IF('Entrada e Saida'!$H$12="REAL",AR416/D416,0),AL416/D416)</f>
        <v>#DIV/0!</v>
      </c>
      <c r="BI416" s="3" t="e">
        <f>IF('Entrada e Saida'!$H$11="TRADING",IF('Entrada e Saida'!$H$12="REAL",AS416/D416,0),AM416/D416)</f>
        <v>#DIV/0!</v>
      </c>
      <c r="BJ416" s="3" t="e">
        <f>IF('Entrada e Saida'!$H$11="TRADING",AT416/D416,AO416/D416)</f>
        <v>#DIV/0!</v>
      </c>
      <c r="BK416" s="2" t="e">
        <f t="shared" si="188"/>
        <v>#DIV/0!</v>
      </c>
      <c r="BL416" s="2">
        <f>IF(O416&gt;0,IFERROR(IF('Entrada e Saida'!$H$11="DIRETA",0,(IF('Entrada e Saida'!$H$14="P.JURIDICA",(BD416*(1+O416)*N416)-((BD416/(1+M416))*'Entrada e Saida'!$G$65),((Produtos!N416-'Entrada e Saida'!$G$65)*Produtos!BD416)))),0),0)</f>
        <v>0</v>
      </c>
      <c r="BM416" s="2" t="e">
        <f t="shared" si="189"/>
        <v>#DIV/0!</v>
      </c>
    </row>
    <row r="417" spans="1:65" s="1" customFormat="1">
      <c r="A417" s="127"/>
      <c r="B417" s="114">
        <f>IFERROR(VLOOKUP(A417,'Master Modelo'!A:I,7,FALSE),0)</f>
        <v>0</v>
      </c>
      <c r="C417" s="116">
        <f>IFERROR(VLOOKUP(A417,'Master Modelo'!A:I,2,FALSE),0)</f>
        <v>0</v>
      </c>
      <c r="D417" s="146"/>
      <c r="E417" s="115">
        <f>IFERROR(VLOOKUP(A417,'Master Modelo'!A:I,9,FALSE),0)</f>
        <v>0</v>
      </c>
      <c r="F417" s="189">
        <f>IFERROR(VLOOKUP(A417,'Master Modelo'!A:I,8,FALSE),0)</f>
        <v>0</v>
      </c>
      <c r="G417" s="189">
        <f>IFERROR(VLOOKUP(A417,'Master Modelo'!A:K,11,FALSE),0)</f>
        <v>0</v>
      </c>
      <c r="H417" s="114" t="e">
        <f t="shared" si="172"/>
        <v>#DIV/0!</v>
      </c>
      <c r="I417" s="150">
        <f>IFERROR(VLOOKUP(A417,'Master Modelo'!A:I,3,FALSE),0)</f>
        <v>0</v>
      </c>
      <c r="J417" s="151">
        <f>IFERROR(VLOOKUP(A417,'Master Modelo'!A:I,5,FALSE),0)</f>
        <v>0</v>
      </c>
      <c r="K417" s="151">
        <f>IFERROR(VLOOKUP(A417,'Master Modelo'!A:I,6,FALSE),0)</f>
        <v>0</v>
      </c>
      <c r="L417" s="152" t="e">
        <f>VLOOKUP(A417,'Master Modelo'!A:J,10,FALSE)</f>
        <v>#N/A</v>
      </c>
      <c r="M417" s="150">
        <f>IFERROR(VLOOKUP(A417,'Master Modelo'!A:I,4,FALSE),0)</f>
        <v>0</v>
      </c>
      <c r="N417" s="128"/>
      <c r="O417" s="129"/>
      <c r="P417" s="9">
        <f t="shared" si="173"/>
        <v>0</v>
      </c>
      <c r="Q417" s="177">
        <f t="shared" si="171"/>
        <v>0</v>
      </c>
      <c r="R417" s="3">
        <f>D417*E417*'Entrada e Saida'!$K$8</f>
        <v>0</v>
      </c>
      <c r="S417" s="179" t="e">
        <f>'Entrada e Saida'!$H$21*'Entrada e Saida'!$K$8*(P417/(SUM(P:P)))</f>
        <v>#DIV/0!</v>
      </c>
      <c r="T417" s="179" t="e">
        <f>'Entrada e Saida'!$H$21*'Entrada e Saida'!$K$8*(Q417/(SUM(Q:Q)))</f>
        <v>#DIV/0!</v>
      </c>
      <c r="U417" s="179" t="e">
        <f>'Entrada e Saida'!$H$22*(P417/(SUM(P:P)))</f>
        <v>#DIV/0!</v>
      </c>
      <c r="V417" s="179" t="e">
        <f>'Entrada e Saida'!$H$22*(Q417/(SUM(Q:Q)))</f>
        <v>#DIV/0!</v>
      </c>
      <c r="W417" s="8" t="e">
        <f t="shared" si="174"/>
        <v>#DIV/0!</v>
      </c>
      <c r="X417" s="179" t="e">
        <f>'Entrada e Saida'!$H$26*(IF('Entrada e Saida'!$H$15="PESO",(P417/(SUM(P:P))),(Q417/(SUM(Q:Q)))))</f>
        <v>#DIV/0!</v>
      </c>
      <c r="Y417" s="179" t="e">
        <f>'Entrada e Saida'!$H$27*(IF('Entrada e Saida'!$H$15="PESO",(P417/(SUM(P:P))),(Q417/(SUM(Q:Q)))))</f>
        <v>#DIV/0!</v>
      </c>
      <c r="Z417" s="179" t="e">
        <f>'Entrada e Saida'!$H$28*(IF('Entrada e Saida'!$H$15="PESO",(P417/(SUM(P:P))),(Q417/(SUM(Q:Q)))))</f>
        <v>#DIV/0!</v>
      </c>
      <c r="AA417" s="10" t="e">
        <f t="shared" si="175"/>
        <v>#DIV/0!</v>
      </c>
      <c r="AB417" s="3" t="e">
        <f t="shared" si="176"/>
        <v>#DIV/0!</v>
      </c>
      <c r="AC417" s="3" t="e">
        <f t="shared" si="177"/>
        <v>#DIV/0!</v>
      </c>
      <c r="AD417" s="3" t="e">
        <f t="shared" si="178"/>
        <v>#DIV/0!</v>
      </c>
      <c r="AE417" s="9" t="e">
        <f t="shared" si="179"/>
        <v>#DIV/0!</v>
      </c>
      <c r="AF417" s="126">
        <f>IFERROR(D417*F417*L417*'Entrada e Saida'!$K$8,0)</f>
        <v>0</v>
      </c>
      <c r="AG417" s="3" t="e">
        <f>((W417+AA417+AB417+AC417+AD417+AE417+AF417)/(1-'Entrada e Saida'!$G$65))*'Entrada e Saida'!$I$66</f>
        <v>#DIV/0!</v>
      </c>
      <c r="AH417" s="8" t="e">
        <f t="shared" si="180"/>
        <v>#DIV/0!</v>
      </c>
      <c r="AI417" s="183" t="e">
        <f>'Entrada e Saida'!$K$51*(IF('Entrada e Saida'!$H$15="PESO",(P417/(SUM(P:P))),(Q417/(SUM(Q:Q)))))</f>
        <v>#DIV/0!</v>
      </c>
      <c r="AJ417" s="7">
        <f>(('Entrada e Saida'!$K$10-'Entrada e Saida'!$K$8)*E417*D417)</f>
        <v>0</v>
      </c>
      <c r="AK417" s="184" t="e">
        <f>IF('Entrada e Saida'!$H$15="PESO",W417+AA417+AH417+AI417+AJ417,W417+AA417+AH417+AI417+AJ417-S417+T417-U417+V417)</f>
        <v>#DIV/0!</v>
      </c>
      <c r="AL417" s="6" t="e">
        <f>IF('Entrada e Saida'!$H$12="REAL",AC417,0)</f>
        <v>#DIV/0!</v>
      </c>
      <c r="AM417" s="6" t="e">
        <f>IF('Entrada e Saida'!$H$12="REAL",AD417,0)</f>
        <v>#DIV/0!</v>
      </c>
      <c r="AN417" s="5" t="e">
        <f>IF('Entrada e Saida'!$H$13= "NÃO",AE417,0)</f>
        <v>#DIV/0!</v>
      </c>
      <c r="AO417" s="5" t="e">
        <f t="shared" si="181"/>
        <v>#DIV/0!</v>
      </c>
      <c r="AP417" s="4" t="e">
        <f t="shared" si="182"/>
        <v>#DIV/0!</v>
      </c>
      <c r="AQ417" s="3" t="e">
        <f>IF('Entrada e Saida'!$H$11="TRADING",AU417*'Custo Resumido'!D417,0)</f>
        <v>#DIV/0!</v>
      </c>
      <c r="AR417" s="3" t="e">
        <f>IF('Entrada e Saida'!$H$11="TRADING",AU417*'Entrada e Saida'!$G$63,0)</f>
        <v>#DIV/0!</v>
      </c>
      <c r="AS417" s="3" t="e">
        <f>IF('Entrada e Saida'!$H$11="TRADING",AU417*'Entrada e Saida'!$G$64,0)</f>
        <v>#DIV/0!</v>
      </c>
      <c r="AT417" s="3" t="e">
        <f>IF('Entrada e Saida'!$H$11="TRADING",AU417*'Entrada e Saida'!$G$65,0)</f>
        <v>#DIV/0!</v>
      </c>
      <c r="AU417" s="4" t="e">
        <f>IF('Entrada e Saida'!$H$11="TRADING",AP417/(1-(SUM('Entrada e Saida'!$G$63:$G$65)+'Custo Resumido'!D417)),0)</f>
        <v>#DIV/0!</v>
      </c>
      <c r="AV417" s="3" t="e">
        <f>IF('Entrada e Saida'!$H$13="NÃO",AU417*M417,0)</f>
        <v>#DIV/0!</v>
      </c>
      <c r="AW417" s="4" t="e">
        <f t="shared" si="183"/>
        <v>#DIV/0!</v>
      </c>
      <c r="AX417" s="3" t="e">
        <f>'Entrada e Saida'!$G$74*AU417</f>
        <v>#DIV/0!</v>
      </c>
      <c r="AY417" s="4" t="e">
        <f t="shared" si="184"/>
        <v>#DIV/0!</v>
      </c>
      <c r="AZ417" s="4" t="e">
        <f>AQ417+('Entrada e Saida'!$G$65-'Entrada e Saida'!$I$65)*AU417-AX417</f>
        <v>#DIV/0!</v>
      </c>
      <c r="BA417" s="3" t="e">
        <f>IF('Entrada e Saida'!$H$12="REAL",AZ417*'Entrada e Saida'!$G$81,AU417*'Entrada e Saida'!$G$81)</f>
        <v>#DIV/0!</v>
      </c>
      <c r="BB417" s="3" t="e">
        <f>IF('Entrada e Saida'!$H$12="REAL",AZ417*'Entrada e Saida'!$G$82,AU417*'Entrada e Saida'!$G$82)</f>
        <v>#DIV/0!</v>
      </c>
      <c r="BC417" s="4" t="e">
        <f t="shared" si="185"/>
        <v>#DIV/0!</v>
      </c>
      <c r="BD417" s="3" t="e">
        <f>IF('Entrada e Saida'!$H$11="TRADING",AW417/D417,AK417/D417)</f>
        <v>#DIV/0!</v>
      </c>
      <c r="BE417" s="3" t="e">
        <f t="shared" si="186"/>
        <v>#DIV/0!</v>
      </c>
      <c r="BF417" s="2" t="e">
        <f t="shared" si="187"/>
        <v>#DIV/0!</v>
      </c>
      <c r="BG417" s="3" t="e">
        <f>IF('Entrada e Saida'!$H$11="TRADING",AV417/D417,AN417/D417)</f>
        <v>#DIV/0!</v>
      </c>
      <c r="BH417" s="3" t="e">
        <f>IF('Entrada e Saida'!$H$11="TRADING",IF('Entrada e Saida'!$H$12="REAL",AR417/D417,0),AL417/D417)</f>
        <v>#DIV/0!</v>
      </c>
      <c r="BI417" s="3" t="e">
        <f>IF('Entrada e Saida'!$H$11="TRADING",IF('Entrada e Saida'!$H$12="REAL",AS417/D417,0),AM417/D417)</f>
        <v>#DIV/0!</v>
      </c>
      <c r="BJ417" s="3" t="e">
        <f>IF('Entrada e Saida'!$H$11="TRADING",AT417/D417,AO417/D417)</f>
        <v>#DIV/0!</v>
      </c>
      <c r="BK417" s="2" t="e">
        <f t="shared" si="188"/>
        <v>#DIV/0!</v>
      </c>
      <c r="BL417" s="2">
        <f>IF(O417&gt;0,IFERROR(IF('Entrada e Saida'!$H$11="DIRETA",0,(IF('Entrada e Saida'!$H$14="P.JURIDICA",(BD417*(1+O417)*N417)-((BD417/(1+M417))*'Entrada e Saida'!$G$65),((Produtos!N417-'Entrada e Saida'!$G$65)*Produtos!BD417)))),0),0)</f>
        <v>0</v>
      </c>
      <c r="BM417" s="2" t="e">
        <f t="shared" si="189"/>
        <v>#DIV/0!</v>
      </c>
    </row>
    <row r="418" spans="1:65" s="1" customFormat="1">
      <c r="A418" s="127"/>
      <c r="B418" s="114">
        <f>IFERROR(VLOOKUP(A418,'Master Modelo'!A:I,7,FALSE),0)</f>
        <v>0</v>
      </c>
      <c r="C418" s="116">
        <f>IFERROR(VLOOKUP(A418,'Master Modelo'!A:I,2,FALSE),0)</f>
        <v>0</v>
      </c>
      <c r="D418" s="146"/>
      <c r="E418" s="115">
        <f>IFERROR(VLOOKUP(A418,'Master Modelo'!A:I,9,FALSE),0)</f>
        <v>0</v>
      </c>
      <c r="F418" s="189">
        <f>IFERROR(VLOOKUP(A418,'Master Modelo'!A:I,8,FALSE),0)</f>
        <v>0</v>
      </c>
      <c r="G418" s="189">
        <f>IFERROR(VLOOKUP(A418,'Master Modelo'!A:K,11,FALSE),0)</f>
        <v>0</v>
      </c>
      <c r="H418" s="114" t="e">
        <f t="shared" si="172"/>
        <v>#DIV/0!</v>
      </c>
      <c r="I418" s="150">
        <f>IFERROR(VLOOKUP(A418,'Master Modelo'!A:I,3,FALSE),0)</f>
        <v>0</v>
      </c>
      <c r="J418" s="151">
        <f>IFERROR(VLOOKUP(A418,'Master Modelo'!A:I,5,FALSE),0)</f>
        <v>0</v>
      </c>
      <c r="K418" s="151">
        <f>IFERROR(VLOOKUP(A418,'Master Modelo'!A:I,6,FALSE),0)</f>
        <v>0</v>
      </c>
      <c r="L418" s="152" t="e">
        <f>VLOOKUP(A418,'Master Modelo'!A:J,10,FALSE)</f>
        <v>#N/A</v>
      </c>
      <c r="M418" s="150">
        <f>IFERROR(VLOOKUP(A418,'Master Modelo'!A:I,4,FALSE),0)</f>
        <v>0</v>
      </c>
      <c r="N418" s="128"/>
      <c r="O418" s="129"/>
      <c r="P418" s="9">
        <f t="shared" si="173"/>
        <v>0</v>
      </c>
      <c r="Q418" s="177">
        <f t="shared" si="171"/>
        <v>0</v>
      </c>
      <c r="R418" s="3">
        <f>D418*E418*'Entrada e Saida'!$K$8</f>
        <v>0</v>
      </c>
      <c r="S418" s="179" t="e">
        <f>'Entrada e Saida'!$H$21*'Entrada e Saida'!$K$8*(P418/(SUM(P:P)))</f>
        <v>#DIV/0!</v>
      </c>
      <c r="T418" s="179" t="e">
        <f>'Entrada e Saida'!$H$21*'Entrada e Saida'!$K$8*(Q418/(SUM(Q:Q)))</f>
        <v>#DIV/0!</v>
      </c>
      <c r="U418" s="179" t="e">
        <f>'Entrada e Saida'!$H$22*(P418/(SUM(P:P)))</f>
        <v>#DIV/0!</v>
      </c>
      <c r="V418" s="179" t="e">
        <f>'Entrada e Saida'!$H$22*(Q418/(SUM(Q:Q)))</f>
        <v>#DIV/0!</v>
      </c>
      <c r="W418" s="8" t="e">
        <f t="shared" si="174"/>
        <v>#DIV/0!</v>
      </c>
      <c r="X418" s="179" t="e">
        <f>'Entrada e Saida'!$H$26*(IF('Entrada e Saida'!$H$15="PESO",(P418/(SUM(P:P))),(Q418/(SUM(Q:Q)))))</f>
        <v>#DIV/0!</v>
      </c>
      <c r="Y418" s="179" t="e">
        <f>'Entrada e Saida'!$H$27*(IF('Entrada e Saida'!$H$15="PESO",(P418/(SUM(P:P))),(Q418/(SUM(Q:Q)))))</f>
        <v>#DIV/0!</v>
      </c>
      <c r="Z418" s="179" t="e">
        <f>'Entrada e Saida'!$H$28*(IF('Entrada e Saida'!$H$15="PESO",(P418/(SUM(P:P))),(Q418/(SUM(Q:Q)))))</f>
        <v>#DIV/0!</v>
      </c>
      <c r="AA418" s="10" t="e">
        <f t="shared" si="175"/>
        <v>#DIV/0!</v>
      </c>
      <c r="AB418" s="3" t="e">
        <f t="shared" si="176"/>
        <v>#DIV/0!</v>
      </c>
      <c r="AC418" s="3" t="e">
        <f t="shared" si="177"/>
        <v>#DIV/0!</v>
      </c>
      <c r="AD418" s="3" t="e">
        <f t="shared" si="178"/>
        <v>#DIV/0!</v>
      </c>
      <c r="AE418" s="9" t="e">
        <f t="shared" si="179"/>
        <v>#DIV/0!</v>
      </c>
      <c r="AF418" s="126">
        <f>IFERROR(D418*F418*L418*'Entrada e Saida'!$K$8,0)</f>
        <v>0</v>
      </c>
      <c r="AG418" s="3" t="e">
        <f>((W418+AA418+AB418+AC418+AD418+AE418+AF418)/(1-'Entrada e Saida'!$G$65))*'Entrada e Saida'!$I$66</f>
        <v>#DIV/0!</v>
      </c>
      <c r="AH418" s="8" t="e">
        <f t="shared" si="180"/>
        <v>#DIV/0!</v>
      </c>
      <c r="AI418" s="183" t="e">
        <f>'Entrada e Saida'!$K$51*(IF('Entrada e Saida'!$H$15="PESO",(P418/(SUM(P:P))),(Q418/(SUM(Q:Q)))))</f>
        <v>#DIV/0!</v>
      </c>
      <c r="AJ418" s="7">
        <f>(('Entrada e Saida'!$K$10-'Entrada e Saida'!$K$8)*E418*D418)</f>
        <v>0</v>
      </c>
      <c r="AK418" s="184" t="e">
        <f>IF('Entrada e Saida'!$H$15="PESO",W418+AA418+AH418+AI418+AJ418,W418+AA418+AH418+AI418+AJ418-S418+T418-U418+V418)</f>
        <v>#DIV/0!</v>
      </c>
      <c r="AL418" s="6" t="e">
        <f>IF('Entrada e Saida'!$H$12="REAL",AC418,0)</f>
        <v>#DIV/0!</v>
      </c>
      <c r="AM418" s="6" t="e">
        <f>IF('Entrada e Saida'!$H$12="REAL",AD418,0)</f>
        <v>#DIV/0!</v>
      </c>
      <c r="AN418" s="5" t="e">
        <f>IF('Entrada e Saida'!$H$13= "NÃO",AE418,0)</f>
        <v>#DIV/0!</v>
      </c>
      <c r="AO418" s="5" t="e">
        <f t="shared" si="181"/>
        <v>#DIV/0!</v>
      </c>
      <c r="AP418" s="4" t="e">
        <f t="shared" si="182"/>
        <v>#DIV/0!</v>
      </c>
      <c r="AQ418" s="3" t="e">
        <f>IF('Entrada e Saida'!$H$11="TRADING",AU418*'Custo Resumido'!D418,0)</f>
        <v>#DIV/0!</v>
      </c>
      <c r="AR418" s="3" t="e">
        <f>IF('Entrada e Saida'!$H$11="TRADING",AU418*'Entrada e Saida'!$G$63,0)</f>
        <v>#DIV/0!</v>
      </c>
      <c r="AS418" s="3" t="e">
        <f>IF('Entrada e Saida'!$H$11="TRADING",AU418*'Entrada e Saida'!$G$64,0)</f>
        <v>#DIV/0!</v>
      </c>
      <c r="AT418" s="3" t="e">
        <f>IF('Entrada e Saida'!$H$11="TRADING",AU418*'Entrada e Saida'!$G$65,0)</f>
        <v>#DIV/0!</v>
      </c>
      <c r="AU418" s="4" t="e">
        <f>IF('Entrada e Saida'!$H$11="TRADING",AP418/(1-(SUM('Entrada e Saida'!$G$63:$G$65)+'Custo Resumido'!D418)),0)</f>
        <v>#DIV/0!</v>
      </c>
      <c r="AV418" s="3" t="e">
        <f>IF('Entrada e Saida'!$H$13="NÃO",AU418*M418,0)</f>
        <v>#DIV/0!</v>
      </c>
      <c r="AW418" s="4" t="e">
        <f t="shared" si="183"/>
        <v>#DIV/0!</v>
      </c>
      <c r="AX418" s="3" t="e">
        <f>'Entrada e Saida'!$G$74*AU418</f>
        <v>#DIV/0!</v>
      </c>
      <c r="AY418" s="4" t="e">
        <f t="shared" si="184"/>
        <v>#DIV/0!</v>
      </c>
      <c r="AZ418" s="4" t="e">
        <f>AQ418+('Entrada e Saida'!$G$65-'Entrada e Saida'!$I$65)*AU418-AX418</f>
        <v>#DIV/0!</v>
      </c>
      <c r="BA418" s="3" t="e">
        <f>IF('Entrada e Saida'!$H$12="REAL",AZ418*'Entrada e Saida'!$G$81,AU418*'Entrada e Saida'!$G$81)</f>
        <v>#DIV/0!</v>
      </c>
      <c r="BB418" s="3" t="e">
        <f>IF('Entrada e Saida'!$H$12="REAL",AZ418*'Entrada e Saida'!$G$82,AU418*'Entrada e Saida'!$G$82)</f>
        <v>#DIV/0!</v>
      </c>
      <c r="BC418" s="4" t="e">
        <f t="shared" si="185"/>
        <v>#DIV/0!</v>
      </c>
      <c r="BD418" s="3" t="e">
        <f>IF('Entrada e Saida'!$H$11="TRADING",AW418/D418,AK418/D418)</f>
        <v>#DIV/0!</v>
      </c>
      <c r="BE418" s="3" t="e">
        <f t="shared" si="186"/>
        <v>#DIV/0!</v>
      </c>
      <c r="BF418" s="2" t="e">
        <f t="shared" si="187"/>
        <v>#DIV/0!</v>
      </c>
      <c r="BG418" s="3" t="e">
        <f>IF('Entrada e Saida'!$H$11="TRADING",AV418/D418,AN418/D418)</f>
        <v>#DIV/0!</v>
      </c>
      <c r="BH418" s="3" t="e">
        <f>IF('Entrada e Saida'!$H$11="TRADING",IF('Entrada e Saida'!$H$12="REAL",AR418/D418,0),AL418/D418)</f>
        <v>#DIV/0!</v>
      </c>
      <c r="BI418" s="3" t="e">
        <f>IF('Entrada e Saida'!$H$11="TRADING",IF('Entrada e Saida'!$H$12="REAL",AS418/D418,0),AM418/D418)</f>
        <v>#DIV/0!</v>
      </c>
      <c r="BJ418" s="3" t="e">
        <f>IF('Entrada e Saida'!$H$11="TRADING",AT418/D418,AO418/D418)</f>
        <v>#DIV/0!</v>
      </c>
      <c r="BK418" s="2" t="e">
        <f t="shared" si="188"/>
        <v>#DIV/0!</v>
      </c>
      <c r="BL418" s="2">
        <f>IF(O418&gt;0,IFERROR(IF('Entrada e Saida'!$H$11="DIRETA",0,(IF('Entrada e Saida'!$H$14="P.JURIDICA",(BD418*(1+O418)*N418)-((BD418/(1+M418))*'Entrada e Saida'!$G$65),((Produtos!N418-'Entrada e Saida'!$G$65)*Produtos!BD418)))),0),0)</f>
        <v>0</v>
      </c>
      <c r="BM418" s="2" t="e">
        <f t="shared" si="189"/>
        <v>#DIV/0!</v>
      </c>
    </row>
    <row r="419" spans="1:65" s="1" customFormat="1">
      <c r="A419" s="127"/>
      <c r="B419" s="114">
        <f>IFERROR(VLOOKUP(A419,'Master Modelo'!A:I,7,FALSE),0)</f>
        <v>0</v>
      </c>
      <c r="C419" s="116">
        <f>IFERROR(VLOOKUP(A419,'Master Modelo'!A:I,2,FALSE),0)</f>
        <v>0</v>
      </c>
      <c r="D419" s="146"/>
      <c r="E419" s="115">
        <f>IFERROR(VLOOKUP(A419,'Master Modelo'!A:I,9,FALSE),0)</f>
        <v>0</v>
      </c>
      <c r="F419" s="189">
        <f>IFERROR(VLOOKUP(A419,'Master Modelo'!A:I,8,FALSE),0)</f>
        <v>0</v>
      </c>
      <c r="G419" s="189">
        <f>IFERROR(VLOOKUP(A419,'Master Modelo'!A:K,11,FALSE),0)</f>
        <v>0</v>
      </c>
      <c r="H419" s="114" t="e">
        <f t="shared" si="172"/>
        <v>#DIV/0!</v>
      </c>
      <c r="I419" s="150">
        <f>IFERROR(VLOOKUP(A419,'Master Modelo'!A:I,3,FALSE),0)</f>
        <v>0</v>
      </c>
      <c r="J419" s="151">
        <f>IFERROR(VLOOKUP(A419,'Master Modelo'!A:I,5,FALSE),0)</f>
        <v>0</v>
      </c>
      <c r="K419" s="151">
        <f>IFERROR(VLOOKUP(A419,'Master Modelo'!A:I,6,FALSE),0)</f>
        <v>0</v>
      </c>
      <c r="L419" s="152" t="e">
        <f>VLOOKUP(A419,'Master Modelo'!A:J,10,FALSE)</f>
        <v>#N/A</v>
      </c>
      <c r="M419" s="150">
        <f>IFERROR(VLOOKUP(A419,'Master Modelo'!A:I,4,FALSE),0)</f>
        <v>0</v>
      </c>
      <c r="N419" s="128"/>
      <c r="O419" s="129"/>
      <c r="P419" s="9">
        <f t="shared" si="173"/>
        <v>0</v>
      </c>
      <c r="Q419" s="177">
        <f t="shared" si="171"/>
        <v>0</v>
      </c>
      <c r="R419" s="3">
        <f>D419*E419*'Entrada e Saida'!$K$8</f>
        <v>0</v>
      </c>
      <c r="S419" s="179" t="e">
        <f>'Entrada e Saida'!$H$21*'Entrada e Saida'!$K$8*(P419/(SUM(P:P)))</f>
        <v>#DIV/0!</v>
      </c>
      <c r="T419" s="179" t="e">
        <f>'Entrada e Saida'!$H$21*'Entrada e Saida'!$K$8*(Q419/(SUM(Q:Q)))</f>
        <v>#DIV/0!</v>
      </c>
      <c r="U419" s="179" t="e">
        <f>'Entrada e Saida'!$H$22*(P419/(SUM(P:P)))</f>
        <v>#DIV/0!</v>
      </c>
      <c r="V419" s="179" t="e">
        <f>'Entrada e Saida'!$H$22*(Q419/(SUM(Q:Q)))</f>
        <v>#DIV/0!</v>
      </c>
      <c r="W419" s="8" t="e">
        <f t="shared" si="174"/>
        <v>#DIV/0!</v>
      </c>
      <c r="X419" s="179" t="e">
        <f>'Entrada e Saida'!$H$26*(IF('Entrada e Saida'!$H$15="PESO",(P419/(SUM(P:P))),(Q419/(SUM(Q:Q)))))</f>
        <v>#DIV/0!</v>
      </c>
      <c r="Y419" s="179" t="e">
        <f>'Entrada e Saida'!$H$27*(IF('Entrada e Saida'!$H$15="PESO",(P419/(SUM(P:P))),(Q419/(SUM(Q:Q)))))</f>
        <v>#DIV/0!</v>
      </c>
      <c r="Z419" s="179" t="e">
        <f>'Entrada e Saida'!$H$28*(IF('Entrada e Saida'!$H$15="PESO",(P419/(SUM(P:P))),(Q419/(SUM(Q:Q)))))</f>
        <v>#DIV/0!</v>
      </c>
      <c r="AA419" s="10" t="e">
        <f t="shared" si="175"/>
        <v>#DIV/0!</v>
      </c>
      <c r="AB419" s="3" t="e">
        <f t="shared" si="176"/>
        <v>#DIV/0!</v>
      </c>
      <c r="AC419" s="3" t="e">
        <f t="shared" si="177"/>
        <v>#DIV/0!</v>
      </c>
      <c r="AD419" s="3" t="e">
        <f t="shared" si="178"/>
        <v>#DIV/0!</v>
      </c>
      <c r="AE419" s="9" t="e">
        <f t="shared" si="179"/>
        <v>#DIV/0!</v>
      </c>
      <c r="AF419" s="126">
        <f>IFERROR(D419*F419*L419*'Entrada e Saida'!$K$8,0)</f>
        <v>0</v>
      </c>
      <c r="AG419" s="3" t="e">
        <f>((W419+AA419+AB419+AC419+AD419+AE419+AF419)/(1-'Entrada e Saida'!$G$65))*'Entrada e Saida'!$I$66</f>
        <v>#DIV/0!</v>
      </c>
      <c r="AH419" s="8" t="e">
        <f t="shared" si="180"/>
        <v>#DIV/0!</v>
      </c>
      <c r="AI419" s="183" t="e">
        <f>'Entrada e Saida'!$K$51*(IF('Entrada e Saida'!$H$15="PESO",(P419/(SUM(P:P))),(Q419/(SUM(Q:Q)))))</f>
        <v>#DIV/0!</v>
      </c>
      <c r="AJ419" s="7">
        <f>(('Entrada e Saida'!$K$10-'Entrada e Saida'!$K$8)*E419*D419)</f>
        <v>0</v>
      </c>
      <c r="AK419" s="184" t="e">
        <f>IF('Entrada e Saida'!$H$15="PESO",W419+AA419+AH419+AI419+AJ419,W419+AA419+AH419+AI419+AJ419-S419+T419-U419+V419)</f>
        <v>#DIV/0!</v>
      </c>
      <c r="AL419" s="6" t="e">
        <f>IF('Entrada e Saida'!$H$12="REAL",AC419,0)</f>
        <v>#DIV/0!</v>
      </c>
      <c r="AM419" s="6" t="e">
        <f>IF('Entrada e Saida'!$H$12="REAL",AD419,0)</f>
        <v>#DIV/0!</v>
      </c>
      <c r="AN419" s="5" t="e">
        <f>IF('Entrada e Saida'!$H$13= "NÃO",AE419,0)</f>
        <v>#DIV/0!</v>
      </c>
      <c r="AO419" s="5" t="e">
        <f t="shared" si="181"/>
        <v>#DIV/0!</v>
      </c>
      <c r="AP419" s="4" t="e">
        <f t="shared" si="182"/>
        <v>#DIV/0!</v>
      </c>
      <c r="AQ419" s="3" t="e">
        <f>IF('Entrada e Saida'!$H$11="TRADING",AU419*'Custo Resumido'!D419,0)</f>
        <v>#DIV/0!</v>
      </c>
      <c r="AR419" s="3" t="e">
        <f>IF('Entrada e Saida'!$H$11="TRADING",AU419*'Entrada e Saida'!$G$63,0)</f>
        <v>#DIV/0!</v>
      </c>
      <c r="AS419" s="3" t="e">
        <f>IF('Entrada e Saida'!$H$11="TRADING",AU419*'Entrada e Saida'!$G$64,0)</f>
        <v>#DIV/0!</v>
      </c>
      <c r="AT419" s="3" t="e">
        <f>IF('Entrada e Saida'!$H$11="TRADING",AU419*'Entrada e Saida'!$G$65,0)</f>
        <v>#DIV/0!</v>
      </c>
      <c r="AU419" s="4" t="e">
        <f>IF('Entrada e Saida'!$H$11="TRADING",AP419/(1-(SUM('Entrada e Saida'!$G$63:$G$65)+'Custo Resumido'!D419)),0)</f>
        <v>#DIV/0!</v>
      </c>
      <c r="AV419" s="3" t="e">
        <f>IF('Entrada e Saida'!$H$13="NÃO",AU419*M419,0)</f>
        <v>#DIV/0!</v>
      </c>
      <c r="AW419" s="4" t="e">
        <f t="shared" si="183"/>
        <v>#DIV/0!</v>
      </c>
      <c r="AX419" s="3" t="e">
        <f>'Entrada e Saida'!$G$74*AU419</f>
        <v>#DIV/0!</v>
      </c>
      <c r="AY419" s="4" t="e">
        <f t="shared" si="184"/>
        <v>#DIV/0!</v>
      </c>
      <c r="AZ419" s="4" t="e">
        <f>AQ419+('Entrada e Saida'!$G$65-'Entrada e Saida'!$I$65)*AU419-AX419</f>
        <v>#DIV/0!</v>
      </c>
      <c r="BA419" s="3" t="e">
        <f>IF('Entrada e Saida'!$H$12="REAL",AZ419*'Entrada e Saida'!$G$81,AU419*'Entrada e Saida'!$G$81)</f>
        <v>#DIV/0!</v>
      </c>
      <c r="BB419" s="3" t="e">
        <f>IF('Entrada e Saida'!$H$12="REAL",AZ419*'Entrada e Saida'!$G$82,AU419*'Entrada e Saida'!$G$82)</f>
        <v>#DIV/0!</v>
      </c>
      <c r="BC419" s="4" t="e">
        <f t="shared" si="185"/>
        <v>#DIV/0!</v>
      </c>
      <c r="BD419" s="3" t="e">
        <f>IF('Entrada e Saida'!$H$11="TRADING",AW419/D419,AK419/D419)</f>
        <v>#DIV/0!</v>
      </c>
      <c r="BE419" s="3" t="e">
        <f t="shared" si="186"/>
        <v>#DIV/0!</v>
      </c>
      <c r="BF419" s="2" t="e">
        <f t="shared" si="187"/>
        <v>#DIV/0!</v>
      </c>
      <c r="BG419" s="3" t="e">
        <f>IF('Entrada e Saida'!$H$11="TRADING",AV419/D419,AN419/D419)</f>
        <v>#DIV/0!</v>
      </c>
      <c r="BH419" s="3" t="e">
        <f>IF('Entrada e Saida'!$H$11="TRADING",IF('Entrada e Saida'!$H$12="REAL",AR419/D419,0),AL419/D419)</f>
        <v>#DIV/0!</v>
      </c>
      <c r="BI419" s="3" t="e">
        <f>IF('Entrada e Saida'!$H$11="TRADING",IF('Entrada e Saida'!$H$12="REAL",AS419/D419,0),AM419/D419)</f>
        <v>#DIV/0!</v>
      </c>
      <c r="BJ419" s="3" t="e">
        <f>IF('Entrada e Saida'!$H$11="TRADING",AT419/D419,AO419/D419)</f>
        <v>#DIV/0!</v>
      </c>
      <c r="BK419" s="2" t="e">
        <f t="shared" si="188"/>
        <v>#DIV/0!</v>
      </c>
      <c r="BL419" s="2">
        <f>IF(O419&gt;0,IFERROR(IF('Entrada e Saida'!$H$11="DIRETA",0,(IF('Entrada e Saida'!$H$14="P.JURIDICA",(BD419*(1+O419)*N419)-((BD419/(1+M419))*'Entrada e Saida'!$G$65),((Produtos!N419-'Entrada e Saida'!$G$65)*Produtos!BD419)))),0),0)</f>
        <v>0</v>
      </c>
      <c r="BM419" s="2" t="e">
        <f t="shared" si="189"/>
        <v>#DIV/0!</v>
      </c>
    </row>
    <row r="420" spans="1:65" s="1" customFormat="1">
      <c r="A420" s="127"/>
      <c r="B420" s="114">
        <f>IFERROR(VLOOKUP(A420,'Master Modelo'!A:I,7,FALSE),0)</f>
        <v>0</v>
      </c>
      <c r="C420" s="116">
        <f>IFERROR(VLOOKUP(A420,'Master Modelo'!A:I,2,FALSE),0)</f>
        <v>0</v>
      </c>
      <c r="D420" s="146"/>
      <c r="E420" s="115">
        <f>IFERROR(VLOOKUP(A420,'Master Modelo'!A:I,9,FALSE),0)</f>
        <v>0</v>
      </c>
      <c r="F420" s="189">
        <f>IFERROR(VLOOKUP(A420,'Master Modelo'!A:I,8,FALSE),0)</f>
        <v>0</v>
      </c>
      <c r="G420" s="189">
        <f>IFERROR(VLOOKUP(A420,'Master Modelo'!A:K,11,FALSE),0)</f>
        <v>0</v>
      </c>
      <c r="H420" s="114" t="e">
        <f t="shared" si="172"/>
        <v>#DIV/0!</v>
      </c>
      <c r="I420" s="150">
        <f>IFERROR(VLOOKUP(A420,'Master Modelo'!A:I,3,FALSE),0)</f>
        <v>0</v>
      </c>
      <c r="J420" s="151">
        <f>IFERROR(VLOOKUP(A420,'Master Modelo'!A:I,5,FALSE),0)</f>
        <v>0</v>
      </c>
      <c r="K420" s="151">
        <f>IFERROR(VLOOKUP(A420,'Master Modelo'!A:I,6,FALSE),0)</f>
        <v>0</v>
      </c>
      <c r="L420" s="152" t="e">
        <f>VLOOKUP(A420,'Master Modelo'!A:J,10,FALSE)</f>
        <v>#N/A</v>
      </c>
      <c r="M420" s="150">
        <f>IFERROR(VLOOKUP(A420,'Master Modelo'!A:I,4,FALSE),0)</f>
        <v>0</v>
      </c>
      <c r="N420" s="128"/>
      <c r="O420" s="129"/>
      <c r="P420" s="9">
        <f t="shared" si="173"/>
        <v>0</v>
      </c>
      <c r="Q420" s="177">
        <f t="shared" si="171"/>
        <v>0</v>
      </c>
      <c r="R420" s="3">
        <f>D420*E420*'Entrada e Saida'!$K$8</f>
        <v>0</v>
      </c>
      <c r="S420" s="179" t="e">
        <f>'Entrada e Saida'!$H$21*'Entrada e Saida'!$K$8*(P420/(SUM(P:P)))</f>
        <v>#DIV/0!</v>
      </c>
      <c r="T420" s="179" t="e">
        <f>'Entrada e Saida'!$H$21*'Entrada e Saida'!$K$8*(Q420/(SUM(Q:Q)))</f>
        <v>#DIV/0!</v>
      </c>
      <c r="U420" s="179" t="e">
        <f>'Entrada e Saida'!$H$22*(P420/(SUM(P:P)))</f>
        <v>#DIV/0!</v>
      </c>
      <c r="V420" s="179" t="e">
        <f>'Entrada e Saida'!$H$22*(Q420/(SUM(Q:Q)))</f>
        <v>#DIV/0!</v>
      </c>
      <c r="W420" s="8" t="e">
        <f t="shared" si="174"/>
        <v>#DIV/0!</v>
      </c>
      <c r="X420" s="179" t="e">
        <f>'Entrada e Saida'!$H$26*(IF('Entrada e Saida'!$H$15="PESO",(P420/(SUM(P:P))),(Q420/(SUM(Q:Q)))))</f>
        <v>#DIV/0!</v>
      </c>
      <c r="Y420" s="179" t="e">
        <f>'Entrada e Saida'!$H$27*(IF('Entrada e Saida'!$H$15="PESO",(P420/(SUM(P:P))),(Q420/(SUM(Q:Q)))))</f>
        <v>#DIV/0!</v>
      </c>
      <c r="Z420" s="179" t="e">
        <f>'Entrada e Saida'!$H$28*(IF('Entrada e Saida'!$H$15="PESO",(P420/(SUM(P:P))),(Q420/(SUM(Q:Q)))))</f>
        <v>#DIV/0!</v>
      </c>
      <c r="AA420" s="10" t="e">
        <f t="shared" si="175"/>
        <v>#DIV/0!</v>
      </c>
      <c r="AB420" s="3" t="e">
        <f t="shared" si="176"/>
        <v>#DIV/0!</v>
      </c>
      <c r="AC420" s="3" t="e">
        <f t="shared" si="177"/>
        <v>#DIV/0!</v>
      </c>
      <c r="AD420" s="3" t="e">
        <f t="shared" si="178"/>
        <v>#DIV/0!</v>
      </c>
      <c r="AE420" s="9" t="e">
        <f t="shared" si="179"/>
        <v>#DIV/0!</v>
      </c>
      <c r="AF420" s="126">
        <f>IFERROR(D420*F420*L420*'Entrada e Saida'!$K$8,0)</f>
        <v>0</v>
      </c>
      <c r="AG420" s="3" t="e">
        <f>((W420+AA420+AB420+AC420+AD420+AE420+AF420)/(1-'Entrada e Saida'!$G$65))*'Entrada e Saida'!$I$66</f>
        <v>#DIV/0!</v>
      </c>
      <c r="AH420" s="8" t="e">
        <f t="shared" si="180"/>
        <v>#DIV/0!</v>
      </c>
      <c r="AI420" s="183" t="e">
        <f>'Entrada e Saida'!$K$51*(IF('Entrada e Saida'!$H$15="PESO",(P420/(SUM(P:P))),(Q420/(SUM(Q:Q)))))</f>
        <v>#DIV/0!</v>
      </c>
      <c r="AJ420" s="7">
        <f>(('Entrada e Saida'!$K$10-'Entrada e Saida'!$K$8)*E420*D420)</f>
        <v>0</v>
      </c>
      <c r="AK420" s="184" t="e">
        <f>IF('Entrada e Saida'!$H$15="PESO",W420+AA420+AH420+AI420+AJ420,W420+AA420+AH420+AI420+AJ420-S420+T420-U420+V420)</f>
        <v>#DIV/0!</v>
      </c>
      <c r="AL420" s="6" t="e">
        <f>IF('Entrada e Saida'!$H$12="REAL",AC420,0)</f>
        <v>#DIV/0!</v>
      </c>
      <c r="AM420" s="6" t="e">
        <f>IF('Entrada e Saida'!$H$12="REAL",AD420,0)</f>
        <v>#DIV/0!</v>
      </c>
      <c r="AN420" s="5" t="e">
        <f>IF('Entrada e Saida'!$H$13= "NÃO",AE420,0)</f>
        <v>#DIV/0!</v>
      </c>
      <c r="AO420" s="5" t="e">
        <f t="shared" si="181"/>
        <v>#DIV/0!</v>
      </c>
      <c r="AP420" s="4" t="e">
        <f t="shared" si="182"/>
        <v>#DIV/0!</v>
      </c>
      <c r="AQ420" s="3" t="e">
        <f>IF('Entrada e Saida'!$H$11="TRADING",AU420*'Custo Resumido'!D420,0)</f>
        <v>#DIV/0!</v>
      </c>
      <c r="AR420" s="3" t="e">
        <f>IF('Entrada e Saida'!$H$11="TRADING",AU420*'Entrada e Saida'!$G$63,0)</f>
        <v>#DIV/0!</v>
      </c>
      <c r="AS420" s="3" t="e">
        <f>IF('Entrada e Saida'!$H$11="TRADING",AU420*'Entrada e Saida'!$G$64,0)</f>
        <v>#DIV/0!</v>
      </c>
      <c r="AT420" s="3" t="e">
        <f>IF('Entrada e Saida'!$H$11="TRADING",AU420*'Entrada e Saida'!$G$65,0)</f>
        <v>#DIV/0!</v>
      </c>
      <c r="AU420" s="4" t="e">
        <f>IF('Entrada e Saida'!$H$11="TRADING",AP420/(1-(SUM('Entrada e Saida'!$G$63:$G$65)+'Custo Resumido'!D420)),0)</f>
        <v>#DIV/0!</v>
      </c>
      <c r="AV420" s="3" t="e">
        <f>IF('Entrada e Saida'!$H$13="NÃO",AU420*M420,0)</f>
        <v>#DIV/0!</v>
      </c>
      <c r="AW420" s="4" t="e">
        <f t="shared" si="183"/>
        <v>#DIV/0!</v>
      </c>
      <c r="AX420" s="3" t="e">
        <f>'Entrada e Saida'!$G$74*AU420</f>
        <v>#DIV/0!</v>
      </c>
      <c r="AY420" s="4" t="e">
        <f t="shared" si="184"/>
        <v>#DIV/0!</v>
      </c>
      <c r="AZ420" s="4" t="e">
        <f>AQ420+('Entrada e Saida'!$G$65-'Entrada e Saida'!$I$65)*AU420-AX420</f>
        <v>#DIV/0!</v>
      </c>
      <c r="BA420" s="3" t="e">
        <f>IF('Entrada e Saida'!$H$12="REAL",AZ420*'Entrada e Saida'!$G$81,AU420*'Entrada e Saida'!$G$81)</f>
        <v>#DIV/0!</v>
      </c>
      <c r="BB420" s="3" t="e">
        <f>IF('Entrada e Saida'!$H$12="REAL",AZ420*'Entrada e Saida'!$G$82,AU420*'Entrada e Saida'!$G$82)</f>
        <v>#DIV/0!</v>
      </c>
      <c r="BC420" s="4" t="e">
        <f t="shared" si="185"/>
        <v>#DIV/0!</v>
      </c>
      <c r="BD420" s="3" t="e">
        <f>IF('Entrada e Saida'!$H$11="TRADING",AW420/D420,AK420/D420)</f>
        <v>#DIV/0!</v>
      </c>
      <c r="BE420" s="3" t="e">
        <f t="shared" si="186"/>
        <v>#DIV/0!</v>
      </c>
      <c r="BF420" s="2" t="e">
        <f t="shared" si="187"/>
        <v>#DIV/0!</v>
      </c>
      <c r="BG420" s="3" t="e">
        <f>IF('Entrada e Saida'!$H$11="TRADING",AV420/D420,AN420/D420)</f>
        <v>#DIV/0!</v>
      </c>
      <c r="BH420" s="3" t="e">
        <f>IF('Entrada e Saida'!$H$11="TRADING",IF('Entrada e Saida'!$H$12="REAL",AR420/D420,0),AL420/D420)</f>
        <v>#DIV/0!</v>
      </c>
      <c r="BI420" s="3" t="e">
        <f>IF('Entrada e Saida'!$H$11="TRADING",IF('Entrada e Saida'!$H$12="REAL",AS420/D420,0),AM420/D420)</f>
        <v>#DIV/0!</v>
      </c>
      <c r="BJ420" s="3" t="e">
        <f>IF('Entrada e Saida'!$H$11="TRADING",AT420/D420,AO420/D420)</f>
        <v>#DIV/0!</v>
      </c>
      <c r="BK420" s="2" t="e">
        <f t="shared" si="188"/>
        <v>#DIV/0!</v>
      </c>
      <c r="BL420" s="2">
        <f>IF(O420&gt;0,IFERROR(IF('Entrada e Saida'!$H$11="DIRETA",0,(IF('Entrada e Saida'!$H$14="P.JURIDICA",(BD420*(1+O420)*N420)-((BD420/(1+M420))*'Entrada e Saida'!$G$65),((Produtos!N420-'Entrada e Saida'!$G$65)*Produtos!BD420)))),0),0)</f>
        <v>0</v>
      </c>
      <c r="BM420" s="2" t="e">
        <f t="shared" si="189"/>
        <v>#DIV/0!</v>
      </c>
    </row>
    <row r="421" spans="1:65" s="1" customFormat="1">
      <c r="A421" s="127"/>
      <c r="B421" s="114">
        <f>IFERROR(VLOOKUP(A421,'Master Modelo'!A:I,7,FALSE),0)</f>
        <v>0</v>
      </c>
      <c r="C421" s="116">
        <f>IFERROR(VLOOKUP(A421,'Master Modelo'!A:I,2,FALSE),0)</f>
        <v>0</v>
      </c>
      <c r="D421" s="146"/>
      <c r="E421" s="115">
        <f>IFERROR(VLOOKUP(A421,'Master Modelo'!A:I,9,FALSE),0)</f>
        <v>0</v>
      </c>
      <c r="F421" s="189">
        <f>IFERROR(VLOOKUP(A421,'Master Modelo'!A:I,8,FALSE),0)</f>
        <v>0</v>
      </c>
      <c r="G421" s="189">
        <f>IFERROR(VLOOKUP(A421,'Master Modelo'!A:K,11,FALSE),0)</f>
        <v>0</v>
      </c>
      <c r="H421" s="114" t="e">
        <f t="shared" si="172"/>
        <v>#DIV/0!</v>
      </c>
      <c r="I421" s="150">
        <f>IFERROR(VLOOKUP(A421,'Master Modelo'!A:I,3,FALSE),0)</f>
        <v>0</v>
      </c>
      <c r="J421" s="151">
        <f>IFERROR(VLOOKUP(A421,'Master Modelo'!A:I,5,FALSE),0)</f>
        <v>0</v>
      </c>
      <c r="K421" s="151">
        <f>IFERROR(VLOOKUP(A421,'Master Modelo'!A:I,6,FALSE),0)</f>
        <v>0</v>
      </c>
      <c r="L421" s="152" t="e">
        <f>VLOOKUP(A421,'Master Modelo'!A:J,10,FALSE)</f>
        <v>#N/A</v>
      </c>
      <c r="M421" s="150">
        <f>IFERROR(VLOOKUP(A421,'Master Modelo'!A:I,4,FALSE),0)</f>
        <v>0</v>
      </c>
      <c r="N421" s="128"/>
      <c r="O421" s="129"/>
      <c r="P421" s="9">
        <f t="shared" si="173"/>
        <v>0</v>
      </c>
      <c r="Q421" s="177">
        <f t="shared" si="171"/>
        <v>0</v>
      </c>
      <c r="R421" s="3">
        <f>D421*E421*'Entrada e Saida'!$K$8</f>
        <v>0</v>
      </c>
      <c r="S421" s="179" t="e">
        <f>'Entrada e Saida'!$H$21*'Entrada e Saida'!$K$8*(P421/(SUM(P:P)))</f>
        <v>#DIV/0!</v>
      </c>
      <c r="T421" s="179" t="e">
        <f>'Entrada e Saida'!$H$21*'Entrada e Saida'!$K$8*(Q421/(SUM(Q:Q)))</f>
        <v>#DIV/0!</v>
      </c>
      <c r="U421" s="179" t="e">
        <f>'Entrada e Saida'!$H$22*(P421/(SUM(P:P)))</f>
        <v>#DIV/0!</v>
      </c>
      <c r="V421" s="179" t="e">
        <f>'Entrada e Saida'!$H$22*(Q421/(SUM(Q:Q)))</f>
        <v>#DIV/0!</v>
      </c>
      <c r="W421" s="8" t="e">
        <f t="shared" si="174"/>
        <v>#DIV/0!</v>
      </c>
      <c r="X421" s="179" t="e">
        <f>'Entrada e Saida'!$H$26*(IF('Entrada e Saida'!$H$15="PESO",(P421/(SUM(P:P))),(Q421/(SUM(Q:Q)))))</f>
        <v>#DIV/0!</v>
      </c>
      <c r="Y421" s="179" t="e">
        <f>'Entrada e Saida'!$H$27*(IF('Entrada e Saida'!$H$15="PESO",(P421/(SUM(P:P))),(Q421/(SUM(Q:Q)))))</f>
        <v>#DIV/0!</v>
      </c>
      <c r="Z421" s="179" t="e">
        <f>'Entrada e Saida'!$H$28*(IF('Entrada e Saida'!$H$15="PESO",(P421/(SUM(P:P))),(Q421/(SUM(Q:Q)))))</f>
        <v>#DIV/0!</v>
      </c>
      <c r="AA421" s="10" t="e">
        <f t="shared" si="175"/>
        <v>#DIV/0!</v>
      </c>
      <c r="AB421" s="3" t="e">
        <f t="shared" si="176"/>
        <v>#DIV/0!</v>
      </c>
      <c r="AC421" s="3" t="e">
        <f t="shared" si="177"/>
        <v>#DIV/0!</v>
      </c>
      <c r="AD421" s="3" t="e">
        <f t="shared" si="178"/>
        <v>#DIV/0!</v>
      </c>
      <c r="AE421" s="9" t="e">
        <f t="shared" si="179"/>
        <v>#DIV/0!</v>
      </c>
      <c r="AF421" s="126">
        <f>IFERROR(D421*F421*L421*'Entrada e Saida'!$K$8,0)</f>
        <v>0</v>
      </c>
      <c r="AG421" s="3" t="e">
        <f>((W421+AA421+AB421+AC421+AD421+AE421+AF421)/(1-'Entrada e Saida'!$G$65))*'Entrada e Saida'!$I$66</f>
        <v>#DIV/0!</v>
      </c>
      <c r="AH421" s="8" t="e">
        <f t="shared" si="180"/>
        <v>#DIV/0!</v>
      </c>
      <c r="AI421" s="183" t="e">
        <f>'Entrada e Saida'!$K$51*(IF('Entrada e Saida'!$H$15="PESO",(P421/(SUM(P:P))),(Q421/(SUM(Q:Q)))))</f>
        <v>#DIV/0!</v>
      </c>
      <c r="AJ421" s="7">
        <f>(('Entrada e Saida'!$K$10-'Entrada e Saida'!$K$8)*E421*D421)</f>
        <v>0</v>
      </c>
      <c r="AK421" s="184" t="e">
        <f>IF('Entrada e Saida'!$H$15="PESO",W421+AA421+AH421+AI421+AJ421,W421+AA421+AH421+AI421+AJ421-S421+T421-U421+V421)</f>
        <v>#DIV/0!</v>
      </c>
      <c r="AL421" s="6" t="e">
        <f>IF('Entrada e Saida'!$H$12="REAL",AC421,0)</f>
        <v>#DIV/0!</v>
      </c>
      <c r="AM421" s="6" t="e">
        <f>IF('Entrada e Saida'!$H$12="REAL",AD421,0)</f>
        <v>#DIV/0!</v>
      </c>
      <c r="AN421" s="5" t="e">
        <f>IF('Entrada e Saida'!$H$13= "NÃO",AE421,0)</f>
        <v>#DIV/0!</v>
      </c>
      <c r="AO421" s="5" t="e">
        <f t="shared" si="181"/>
        <v>#DIV/0!</v>
      </c>
      <c r="AP421" s="4" t="e">
        <f t="shared" si="182"/>
        <v>#DIV/0!</v>
      </c>
      <c r="AQ421" s="3" t="e">
        <f>IF('Entrada e Saida'!$H$11="TRADING",AU421*'Custo Resumido'!D421,0)</f>
        <v>#DIV/0!</v>
      </c>
      <c r="AR421" s="3" t="e">
        <f>IF('Entrada e Saida'!$H$11="TRADING",AU421*'Entrada e Saida'!$G$63,0)</f>
        <v>#DIV/0!</v>
      </c>
      <c r="AS421" s="3" t="e">
        <f>IF('Entrada e Saida'!$H$11="TRADING",AU421*'Entrada e Saida'!$G$64,0)</f>
        <v>#DIV/0!</v>
      </c>
      <c r="AT421" s="3" t="e">
        <f>IF('Entrada e Saida'!$H$11="TRADING",AU421*'Entrada e Saida'!$G$65,0)</f>
        <v>#DIV/0!</v>
      </c>
      <c r="AU421" s="4" t="e">
        <f>IF('Entrada e Saida'!$H$11="TRADING",AP421/(1-(SUM('Entrada e Saida'!$G$63:$G$65)+'Custo Resumido'!D421)),0)</f>
        <v>#DIV/0!</v>
      </c>
      <c r="AV421" s="3" t="e">
        <f>IF('Entrada e Saida'!$H$13="NÃO",AU421*M421,0)</f>
        <v>#DIV/0!</v>
      </c>
      <c r="AW421" s="4" t="e">
        <f t="shared" si="183"/>
        <v>#DIV/0!</v>
      </c>
      <c r="AX421" s="3" t="e">
        <f>'Entrada e Saida'!$G$74*AU421</f>
        <v>#DIV/0!</v>
      </c>
      <c r="AY421" s="4" t="e">
        <f t="shared" si="184"/>
        <v>#DIV/0!</v>
      </c>
      <c r="AZ421" s="4" t="e">
        <f>AQ421+('Entrada e Saida'!$G$65-'Entrada e Saida'!$I$65)*AU421-AX421</f>
        <v>#DIV/0!</v>
      </c>
      <c r="BA421" s="3" t="e">
        <f>IF('Entrada e Saida'!$H$12="REAL",AZ421*'Entrada e Saida'!$G$81,AU421*'Entrada e Saida'!$G$81)</f>
        <v>#DIV/0!</v>
      </c>
      <c r="BB421" s="3" t="e">
        <f>IF('Entrada e Saida'!$H$12="REAL",AZ421*'Entrada e Saida'!$G$82,AU421*'Entrada e Saida'!$G$82)</f>
        <v>#DIV/0!</v>
      </c>
      <c r="BC421" s="4" t="e">
        <f t="shared" si="185"/>
        <v>#DIV/0!</v>
      </c>
      <c r="BD421" s="3" t="e">
        <f>IF('Entrada e Saida'!$H$11="TRADING",AW421/D421,AK421/D421)</f>
        <v>#DIV/0!</v>
      </c>
      <c r="BE421" s="3" t="e">
        <f t="shared" si="186"/>
        <v>#DIV/0!</v>
      </c>
      <c r="BF421" s="2" t="e">
        <f t="shared" si="187"/>
        <v>#DIV/0!</v>
      </c>
      <c r="BG421" s="3" t="e">
        <f>IF('Entrada e Saida'!$H$11="TRADING",AV421/D421,AN421/D421)</f>
        <v>#DIV/0!</v>
      </c>
      <c r="BH421" s="3" t="e">
        <f>IF('Entrada e Saida'!$H$11="TRADING",IF('Entrada e Saida'!$H$12="REAL",AR421/D421,0),AL421/D421)</f>
        <v>#DIV/0!</v>
      </c>
      <c r="BI421" s="3" t="e">
        <f>IF('Entrada e Saida'!$H$11="TRADING",IF('Entrada e Saida'!$H$12="REAL",AS421/D421,0),AM421/D421)</f>
        <v>#DIV/0!</v>
      </c>
      <c r="BJ421" s="3" t="e">
        <f>IF('Entrada e Saida'!$H$11="TRADING",AT421/D421,AO421/D421)</f>
        <v>#DIV/0!</v>
      </c>
      <c r="BK421" s="2" t="e">
        <f t="shared" si="188"/>
        <v>#DIV/0!</v>
      </c>
      <c r="BL421" s="2">
        <f>IF(O421&gt;0,IFERROR(IF('Entrada e Saida'!$H$11="DIRETA",0,(IF('Entrada e Saida'!$H$14="P.JURIDICA",(BD421*(1+O421)*N421)-((BD421/(1+M421))*'Entrada e Saida'!$G$65),((Produtos!N421-'Entrada e Saida'!$G$65)*Produtos!BD421)))),0),0)</f>
        <v>0</v>
      </c>
      <c r="BM421" s="2" t="e">
        <f t="shared" si="189"/>
        <v>#DIV/0!</v>
      </c>
    </row>
    <row r="422" spans="1:65" s="1" customFormat="1">
      <c r="A422" s="127"/>
      <c r="B422" s="114">
        <f>IFERROR(VLOOKUP(A422,'Master Modelo'!A:I,7,FALSE),0)</f>
        <v>0</v>
      </c>
      <c r="C422" s="116">
        <f>IFERROR(VLOOKUP(A422,'Master Modelo'!A:I,2,FALSE),0)</f>
        <v>0</v>
      </c>
      <c r="D422" s="146"/>
      <c r="E422" s="115">
        <f>IFERROR(VLOOKUP(A422,'Master Modelo'!A:I,9,FALSE),0)</f>
        <v>0</v>
      </c>
      <c r="F422" s="189">
        <f>IFERROR(VLOOKUP(A422,'Master Modelo'!A:I,8,FALSE),0)</f>
        <v>0</v>
      </c>
      <c r="G422" s="189">
        <f>IFERROR(VLOOKUP(A422,'Master Modelo'!A:K,11,FALSE),0)</f>
        <v>0</v>
      </c>
      <c r="H422" s="114" t="e">
        <f t="shared" si="172"/>
        <v>#DIV/0!</v>
      </c>
      <c r="I422" s="150">
        <f>IFERROR(VLOOKUP(A422,'Master Modelo'!A:I,3,FALSE),0)</f>
        <v>0</v>
      </c>
      <c r="J422" s="151">
        <f>IFERROR(VLOOKUP(A422,'Master Modelo'!A:I,5,FALSE),0)</f>
        <v>0</v>
      </c>
      <c r="K422" s="151">
        <f>IFERROR(VLOOKUP(A422,'Master Modelo'!A:I,6,FALSE),0)</f>
        <v>0</v>
      </c>
      <c r="L422" s="152" t="e">
        <f>VLOOKUP(A422,'Master Modelo'!A:J,10,FALSE)</f>
        <v>#N/A</v>
      </c>
      <c r="M422" s="150">
        <f>IFERROR(VLOOKUP(A422,'Master Modelo'!A:I,4,FALSE),0)</f>
        <v>0</v>
      </c>
      <c r="N422" s="128"/>
      <c r="O422" s="129"/>
      <c r="P422" s="9">
        <f t="shared" si="173"/>
        <v>0</v>
      </c>
      <c r="Q422" s="177">
        <f t="shared" si="171"/>
        <v>0</v>
      </c>
      <c r="R422" s="3">
        <f>D422*E422*'Entrada e Saida'!$K$8</f>
        <v>0</v>
      </c>
      <c r="S422" s="179" t="e">
        <f>'Entrada e Saida'!$H$21*'Entrada e Saida'!$K$8*(P422/(SUM(P:P)))</f>
        <v>#DIV/0!</v>
      </c>
      <c r="T422" s="179" t="e">
        <f>'Entrada e Saida'!$H$21*'Entrada e Saida'!$K$8*(Q422/(SUM(Q:Q)))</f>
        <v>#DIV/0!</v>
      </c>
      <c r="U422" s="179" t="e">
        <f>'Entrada e Saida'!$H$22*(P422/(SUM(P:P)))</f>
        <v>#DIV/0!</v>
      </c>
      <c r="V422" s="179" t="e">
        <f>'Entrada e Saida'!$H$22*(Q422/(SUM(Q:Q)))</f>
        <v>#DIV/0!</v>
      </c>
      <c r="W422" s="8" t="e">
        <f t="shared" si="174"/>
        <v>#DIV/0!</v>
      </c>
      <c r="X422" s="179" t="e">
        <f>'Entrada e Saida'!$H$26*(IF('Entrada e Saida'!$H$15="PESO",(P422/(SUM(P:P))),(Q422/(SUM(Q:Q)))))</f>
        <v>#DIV/0!</v>
      </c>
      <c r="Y422" s="179" t="e">
        <f>'Entrada e Saida'!$H$27*(IF('Entrada e Saida'!$H$15="PESO",(P422/(SUM(P:P))),(Q422/(SUM(Q:Q)))))</f>
        <v>#DIV/0!</v>
      </c>
      <c r="Z422" s="179" t="e">
        <f>'Entrada e Saida'!$H$28*(IF('Entrada e Saida'!$H$15="PESO",(P422/(SUM(P:P))),(Q422/(SUM(Q:Q)))))</f>
        <v>#DIV/0!</v>
      </c>
      <c r="AA422" s="10" t="e">
        <f t="shared" si="175"/>
        <v>#DIV/0!</v>
      </c>
      <c r="AB422" s="3" t="e">
        <f t="shared" si="176"/>
        <v>#DIV/0!</v>
      </c>
      <c r="AC422" s="3" t="e">
        <f t="shared" si="177"/>
        <v>#DIV/0!</v>
      </c>
      <c r="AD422" s="3" t="e">
        <f t="shared" si="178"/>
        <v>#DIV/0!</v>
      </c>
      <c r="AE422" s="9" t="e">
        <f t="shared" si="179"/>
        <v>#DIV/0!</v>
      </c>
      <c r="AF422" s="126">
        <f>IFERROR(D422*F422*L422*'Entrada e Saida'!$K$8,0)</f>
        <v>0</v>
      </c>
      <c r="AG422" s="3" t="e">
        <f>((W422+AA422+AB422+AC422+AD422+AE422+AF422)/(1-'Entrada e Saida'!$G$65))*'Entrada e Saida'!$I$66</f>
        <v>#DIV/0!</v>
      </c>
      <c r="AH422" s="8" t="e">
        <f t="shared" si="180"/>
        <v>#DIV/0!</v>
      </c>
      <c r="AI422" s="183" t="e">
        <f>'Entrada e Saida'!$K$51*(IF('Entrada e Saida'!$H$15="PESO",(P422/(SUM(P:P))),(Q422/(SUM(Q:Q)))))</f>
        <v>#DIV/0!</v>
      </c>
      <c r="AJ422" s="7">
        <f>(('Entrada e Saida'!$K$10-'Entrada e Saida'!$K$8)*E422*D422)</f>
        <v>0</v>
      </c>
      <c r="AK422" s="184" t="e">
        <f>IF('Entrada e Saida'!$H$15="PESO",W422+AA422+AH422+AI422+AJ422,W422+AA422+AH422+AI422+AJ422-S422+T422-U422+V422)</f>
        <v>#DIV/0!</v>
      </c>
      <c r="AL422" s="6" t="e">
        <f>IF('Entrada e Saida'!$H$12="REAL",AC422,0)</f>
        <v>#DIV/0!</v>
      </c>
      <c r="AM422" s="6" t="e">
        <f>IF('Entrada e Saida'!$H$12="REAL",AD422,0)</f>
        <v>#DIV/0!</v>
      </c>
      <c r="AN422" s="5" t="e">
        <f>IF('Entrada e Saida'!$H$13= "NÃO",AE422,0)</f>
        <v>#DIV/0!</v>
      </c>
      <c r="AO422" s="5" t="e">
        <f t="shared" si="181"/>
        <v>#DIV/0!</v>
      </c>
      <c r="AP422" s="4" t="e">
        <f t="shared" si="182"/>
        <v>#DIV/0!</v>
      </c>
      <c r="AQ422" s="3" t="e">
        <f>IF('Entrada e Saida'!$H$11="TRADING",AU422*'Custo Resumido'!D422,0)</f>
        <v>#DIV/0!</v>
      </c>
      <c r="AR422" s="3" t="e">
        <f>IF('Entrada e Saida'!$H$11="TRADING",AU422*'Entrada e Saida'!$G$63,0)</f>
        <v>#DIV/0!</v>
      </c>
      <c r="AS422" s="3" t="e">
        <f>IF('Entrada e Saida'!$H$11="TRADING",AU422*'Entrada e Saida'!$G$64,0)</f>
        <v>#DIV/0!</v>
      </c>
      <c r="AT422" s="3" t="e">
        <f>IF('Entrada e Saida'!$H$11="TRADING",AU422*'Entrada e Saida'!$G$65,0)</f>
        <v>#DIV/0!</v>
      </c>
      <c r="AU422" s="4" t="e">
        <f>IF('Entrada e Saida'!$H$11="TRADING",AP422/(1-(SUM('Entrada e Saida'!$G$63:$G$65)+'Custo Resumido'!D422)),0)</f>
        <v>#DIV/0!</v>
      </c>
      <c r="AV422" s="3" t="e">
        <f>IF('Entrada e Saida'!$H$13="NÃO",AU422*M422,0)</f>
        <v>#DIV/0!</v>
      </c>
      <c r="AW422" s="4" t="e">
        <f t="shared" si="183"/>
        <v>#DIV/0!</v>
      </c>
      <c r="AX422" s="3" t="e">
        <f>'Entrada e Saida'!$G$74*AU422</f>
        <v>#DIV/0!</v>
      </c>
      <c r="AY422" s="4" t="e">
        <f t="shared" si="184"/>
        <v>#DIV/0!</v>
      </c>
      <c r="AZ422" s="4" t="e">
        <f>AQ422+('Entrada e Saida'!$G$65-'Entrada e Saida'!$I$65)*AU422-AX422</f>
        <v>#DIV/0!</v>
      </c>
      <c r="BA422" s="3" t="e">
        <f>IF('Entrada e Saida'!$H$12="REAL",AZ422*'Entrada e Saida'!$G$81,AU422*'Entrada e Saida'!$G$81)</f>
        <v>#DIV/0!</v>
      </c>
      <c r="BB422" s="3" t="e">
        <f>IF('Entrada e Saida'!$H$12="REAL",AZ422*'Entrada e Saida'!$G$82,AU422*'Entrada e Saida'!$G$82)</f>
        <v>#DIV/0!</v>
      </c>
      <c r="BC422" s="4" t="e">
        <f t="shared" si="185"/>
        <v>#DIV/0!</v>
      </c>
      <c r="BD422" s="3" t="e">
        <f>IF('Entrada e Saida'!$H$11="TRADING",AW422/D422,AK422/D422)</f>
        <v>#DIV/0!</v>
      </c>
      <c r="BE422" s="3" t="e">
        <f t="shared" si="186"/>
        <v>#DIV/0!</v>
      </c>
      <c r="BF422" s="2" t="e">
        <f t="shared" si="187"/>
        <v>#DIV/0!</v>
      </c>
      <c r="BG422" s="3" t="e">
        <f>IF('Entrada e Saida'!$H$11="TRADING",AV422/D422,AN422/D422)</f>
        <v>#DIV/0!</v>
      </c>
      <c r="BH422" s="3" t="e">
        <f>IF('Entrada e Saida'!$H$11="TRADING",IF('Entrada e Saida'!$H$12="REAL",AR422/D422,0),AL422/D422)</f>
        <v>#DIV/0!</v>
      </c>
      <c r="BI422" s="3" t="e">
        <f>IF('Entrada e Saida'!$H$11="TRADING",IF('Entrada e Saida'!$H$12="REAL",AS422/D422,0),AM422/D422)</f>
        <v>#DIV/0!</v>
      </c>
      <c r="BJ422" s="3" t="e">
        <f>IF('Entrada e Saida'!$H$11="TRADING",AT422/D422,AO422/D422)</f>
        <v>#DIV/0!</v>
      </c>
      <c r="BK422" s="2" t="e">
        <f t="shared" si="188"/>
        <v>#DIV/0!</v>
      </c>
      <c r="BL422" s="2">
        <f>IF(O422&gt;0,IFERROR(IF('Entrada e Saida'!$H$11="DIRETA",0,(IF('Entrada e Saida'!$H$14="P.JURIDICA",(BD422*(1+O422)*N422)-((BD422/(1+M422))*'Entrada e Saida'!$G$65),((Produtos!N422-'Entrada e Saida'!$G$65)*Produtos!BD422)))),0),0)</f>
        <v>0</v>
      </c>
      <c r="BM422" s="2" t="e">
        <f t="shared" si="189"/>
        <v>#DIV/0!</v>
      </c>
    </row>
    <row r="423" spans="1:65" s="1" customFormat="1">
      <c r="A423" s="127"/>
      <c r="B423" s="114">
        <f>IFERROR(VLOOKUP(A423,'Master Modelo'!A:I,7,FALSE),0)</f>
        <v>0</v>
      </c>
      <c r="C423" s="116">
        <f>IFERROR(VLOOKUP(A423,'Master Modelo'!A:I,2,FALSE),0)</f>
        <v>0</v>
      </c>
      <c r="D423" s="146"/>
      <c r="E423" s="115">
        <f>IFERROR(VLOOKUP(A423,'Master Modelo'!A:I,9,FALSE),0)</f>
        <v>0</v>
      </c>
      <c r="F423" s="189">
        <f>IFERROR(VLOOKUP(A423,'Master Modelo'!A:I,8,FALSE),0)</f>
        <v>0</v>
      </c>
      <c r="G423" s="189">
        <f>IFERROR(VLOOKUP(A423,'Master Modelo'!A:K,11,FALSE),0)</f>
        <v>0</v>
      </c>
      <c r="H423" s="114" t="e">
        <f t="shared" si="172"/>
        <v>#DIV/0!</v>
      </c>
      <c r="I423" s="150">
        <f>IFERROR(VLOOKUP(A423,'Master Modelo'!A:I,3,FALSE),0)</f>
        <v>0</v>
      </c>
      <c r="J423" s="151">
        <f>IFERROR(VLOOKUP(A423,'Master Modelo'!A:I,5,FALSE),0)</f>
        <v>0</v>
      </c>
      <c r="K423" s="151">
        <f>IFERROR(VLOOKUP(A423,'Master Modelo'!A:I,6,FALSE),0)</f>
        <v>0</v>
      </c>
      <c r="L423" s="152" t="e">
        <f>VLOOKUP(A423,'Master Modelo'!A:J,10,FALSE)</f>
        <v>#N/A</v>
      </c>
      <c r="M423" s="150">
        <f>IFERROR(VLOOKUP(A423,'Master Modelo'!A:I,4,FALSE),0)</f>
        <v>0</v>
      </c>
      <c r="N423" s="128"/>
      <c r="O423" s="129"/>
      <c r="P423" s="9">
        <f t="shared" si="173"/>
        <v>0</v>
      </c>
      <c r="Q423" s="177">
        <f t="shared" si="171"/>
        <v>0</v>
      </c>
      <c r="R423" s="3">
        <f>D423*E423*'Entrada e Saida'!$K$8</f>
        <v>0</v>
      </c>
      <c r="S423" s="179" t="e">
        <f>'Entrada e Saida'!$H$21*'Entrada e Saida'!$K$8*(P423/(SUM(P:P)))</f>
        <v>#DIV/0!</v>
      </c>
      <c r="T423" s="179" t="e">
        <f>'Entrada e Saida'!$H$21*'Entrada e Saida'!$K$8*(Q423/(SUM(Q:Q)))</f>
        <v>#DIV/0!</v>
      </c>
      <c r="U423" s="179" t="e">
        <f>'Entrada e Saida'!$H$22*(P423/(SUM(P:P)))</f>
        <v>#DIV/0!</v>
      </c>
      <c r="V423" s="179" t="e">
        <f>'Entrada e Saida'!$H$22*(Q423/(SUM(Q:Q)))</f>
        <v>#DIV/0!</v>
      </c>
      <c r="W423" s="8" t="e">
        <f t="shared" si="174"/>
        <v>#DIV/0!</v>
      </c>
      <c r="X423" s="179" t="e">
        <f>'Entrada e Saida'!$H$26*(IF('Entrada e Saida'!$H$15="PESO",(P423/(SUM(P:P))),(Q423/(SUM(Q:Q)))))</f>
        <v>#DIV/0!</v>
      </c>
      <c r="Y423" s="179" t="e">
        <f>'Entrada e Saida'!$H$27*(IF('Entrada e Saida'!$H$15="PESO",(P423/(SUM(P:P))),(Q423/(SUM(Q:Q)))))</f>
        <v>#DIV/0!</v>
      </c>
      <c r="Z423" s="179" t="e">
        <f>'Entrada e Saida'!$H$28*(IF('Entrada e Saida'!$H$15="PESO",(P423/(SUM(P:P))),(Q423/(SUM(Q:Q)))))</f>
        <v>#DIV/0!</v>
      </c>
      <c r="AA423" s="10" t="e">
        <f t="shared" si="175"/>
        <v>#DIV/0!</v>
      </c>
      <c r="AB423" s="3" t="e">
        <f t="shared" si="176"/>
        <v>#DIV/0!</v>
      </c>
      <c r="AC423" s="3" t="e">
        <f t="shared" si="177"/>
        <v>#DIV/0!</v>
      </c>
      <c r="AD423" s="3" t="e">
        <f t="shared" si="178"/>
        <v>#DIV/0!</v>
      </c>
      <c r="AE423" s="9" t="e">
        <f t="shared" si="179"/>
        <v>#DIV/0!</v>
      </c>
      <c r="AF423" s="126">
        <f>IFERROR(D423*F423*L423*'Entrada e Saida'!$K$8,0)</f>
        <v>0</v>
      </c>
      <c r="AG423" s="3" t="e">
        <f>((W423+AA423+AB423+AC423+AD423+AE423+AF423)/(1-'Entrada e Saida'!$G$65))*'Entrada e Saida'!$I$66</f>
        <v>#DIV/0!</v>
      </c>
      <c r="AH423" s="8" t="e">
        <f t="shared" si="180"/>
        <v>#DIV/0!</v>
      </c>
      <c r="AI423" s="183" t="e">
        <f>'Entrada e Saida'!$K$51*(IF('Entrada e Saida'!$H$15="PESO",(P423/(SUM(P:P))),(Q423/(SUM(Q:Q)))))</f>
        <v>#DIV/0!</v>
      </c>
      <c r="AJ423" s="7">
        <f>(('Entrada e Saida'!$K$10-'Entrada e Saida'!$K$8)*E423*D423)</f>
        <v>0</v>
      </c>
      <c r="AK423" s="184" t="e">
        <f>IF('Entrada e Saida'!$H$15="PESO",W423+AA423+AH423+AI423+AJ423,W423+AA423+AH423+AI423+AJ423-S423+T423-U423+V423)</f>
        <v>#DIV/0!</v>
      </c>
      <c r="AL423" s="6" t="e">
        <f>IF('Entrada e Saida'!$H$12="REAL",AC423,0)</f>
        <v>#DIV/0!</v>
      </c>
      <c r="AM423" s="6" t="e">
        <f>IF('Entrada e Saida'!$H$12="REAL",AD423,0)</f>
        <v>#DIV/0!</v>
      </c>
      <c r="AN423" s="5" t="e">
        <f>IF('Entrada e Saida'!$H$13= "NÃO",AE423,0)</f>
        <v>#DIV/0!</v>
      </c>
      <c r="AO423" s="5" t="e">
        <f t="shared" si="181"/>
        <v>#DIV/0!</v>
      </c>
      <c r="AP423" s="4" t="e">
        <f t="shared" si="182"/>
        <v>#DIV/0!</v>
      </c>
      <c r="AQ423" s="3" t="e">
        <f>IF('Entrada e Saida'!$H$11="TRADING",AU423*'Custo Resumido'!D423,0)</f>
        <v>#DIV/0!</v>
      </c>
      <c r="AR423" s="3" t="e">
        <f>IF('Entrada e Saida'!$H$11="TRADING",AU423*'Entrada e Saida'!$G$63,0)</f>
        <v>#DIV/0!</v>
      </c>
      <c r="AS423" s="3" t="e">
        <f>IF('Entrada e Saida'!$H$11="TRADING",AU423*'Entrada e Saida'!$G$64,0)</f>
        <v>#DIV/0!</v>
      </c>
      <c r="AT423" s="3" t="e">
        <f>IF('Entrada e Saida'!$H$11="TRADING",AU423*'Entrada e Saida'!$G$65,0)</f>
        <v>#DIV/0!</v>
      </c>
      <c r="AU423" s="4" t="e">
        <f>IF('Entrada e Saida'!$H$11="TRADING",AP423/(1-(SUM('Entrada e Saida'!$G$63:$G$65)+'Custo Resumido'!D423)),0)</f>
        <v>#DIV/0!</v>
      </c>
      <c r="AV423" s="3" t="e">
        <f>IF('Entrada e Saida'!$H$13="NÃO",AU423*M423,0)</f>
        <v>#DIV/0!</v>
      </c>
      <c r="AW423" s="4" t="e">
        <f t="shared" si="183"/>
        <v>#DIV/0!</v>
      </c>
      <c r="AX423" s="3" t="e">
        <f>'Entrada e Saida'!$G$74*AU423</f>
        <v>#DIV/0!</v>
      </c>
      <c r="AY423" s="4" t="e">
        <f t="shared" si="184"/>
        <v>#DIV/0!</v>
      </c>
      <c r="AZ423" s="4" t="e">
        <f>AQ423+('Entrada e Saida'!$G$65-'Entrada e Saida'!$I$65)*AU423-AX423</f>
        <v>#DIV/0!</v>
      </c>
      <c r="BA423" s="3" t="e">
        <f>IF('Entrada e Saida'!$H$12="REAL",AZ423*'Entrada e Saida'!$G$81,AU423*'Entrada e Saida'!$G$81)</f>
        <v>#DIV/0!</v>
      </c>
      <c r="BB423" s="3" t="e">
        <f>IF('Entrada e Saida'!$H$12="REAL",AZ423*'Entrada e Saida'!$G$82,AU423*'Entrada e Saida'!$G$82)</f>
        <v>#DIV/0!</v>
      </c>
      <c r="BC423" s="4" t="e">
        <f t="shared" si="185"/>
        <v>#DIV/0!</v>
      </c>
      <c r="BD423" s="3" t="e">
        <f>IF('Entrada e Saida'!$H$11="TRADING",AW423/D423,AK423/D423)</f>
        <v>#DIV/0!</v>
      </c>
      <c r="BE423" s="3" t="e">
        <f t="shared" si="186"/>
        <v>#DIV/0!</v>
      </c>
      <c r="BF423" s="2" t="e">
        <f t="shared" si="187"/>
        <v>#DIV/0!</v>
      </c>
      <c r="BG423" s="3" t="e">
        <f>IF('Entrada e Saida'!$H$11="TRADING",AV423/D423,AN423/D423)</f>
        <v>#DIV/0!</v>
      </c>
      <c r="BH423" s="3" t="e">
        <f>IF('Entrada e Saida'!$H$11="TRADING",IF('Entrada e Saida'!$H$12="REAL",AR423/D423,0),AL423/D423)</f>
        <v>#DIV/0!</v>
      </c>
      <c r="BI423" s="3" t="e">
        <f>IF('Entrada e Saida'!$H$11="TRADING",IF('Entrada e Saida'!$H$12="REAL",AS423/D423,0),AM423/D423)</f>
        <v>#DIV/0!</v>
      </c>
      <c r="BJ423" s="3" t="e">
        <f>IF('Entrada e Saida'!$H$11="TRADING",AT423/D423,AO423/D423)</f>
        <v>#DIV/0!</v>
      </c>
      <c r="BK423" s="2" t="e">
        <f t="shared" si="188"/>
        <v>#DIV/0!</v>
      </c>
      <c r="BL423" s="2">
        <f>IF(O423&gt;0,IFERROR(IF('Entrada e Saida'!$H$11="DIRETA",0,(IF('Entrada e Saida'!$H$14="P.JURIDICA",(BD423*(1+O423)*N423)-((BD423/(1+M423))*'Entrada e Saida'!$G$65),((Produtos!N423-'Entrada e Saida'!$G$65)*Produtos!BD423)))),0),0)</f>
        <v>0</v>
      </c>
      <c r="BM423" s="2" t="e">
        <f t="shared" si="189"/>
        <v>#DIV/0!</v>
      </c>
    </row>
    <row r="424" spans="1:65" s="1" customFormat="1">
      <c r="A424" s="127"/>
      <c r="B424" s="114">
        <f>IFERROR(VLOOKUP(A424,'Master Modelo'!A:I,7,FALSE),0)</f>
        <v>0</v>
      </c>
      <c r="C424" s="116">
        <f>IFERROR(VLOOKUP(A424,'Master Modelo'!A:I,2,FALSE),0)</f>
        <v>0</v>
      </c>
      <c r="D424" s="146"/>
      <c r="E424" s="115">
        <f>IFERROR(VLOOKUP(A424,'Master Modelo'!A:I,9,FALSE),0)</f>
        <v>0</v>
      </c>
      <c r="F424" s="189">
        <f>IFERROR(VLOOKUP(A424,'Master Modelo'!A:I,8,FALSE),0)</f>
        <v>0</v>
      </c>
      <c r="G424" s="189">
        <f>IFERROR(VLOOKUP(A424,'Master Modelo'!A:K,11,FALSE),0)</f>
        <v>0</v>
      </c>
      <c r="H424" s="114" t="e">
        <f t="shared" si="172"/>
        <v>#DIV/0!</v>
      </c>
      <c r="I424" s="150">
        <f>IFERROR(VLOOKUP(A424,'Master Modelo'!A:I,3,FALSE),0)</f>
        <v>0</v>
      </c>
      <c r="J424" s="151">
        <f>IFERROR(VLOOKUP(A424,'Master Modelo'!A:I,5,FALSE),0)</f>
        <v>0</v>
      </c>
      <c r="K424" s="151">
        <f>IFERROR(VLOOKUP(A424,'Master Modelo'!A:I,6,FALSE),0)</f>
        <v>0</v>
      </c>
      <c r="L424" s="152" t="e">
        <f>VLOOKUP(A424,'Master Modelo'!A:J,10,FALSE)</f>
        <v>#N/A</v>
      </c>
      <c r="M424" s="150">
        <f>IFERROR(VLOOKUP(A424,'Master Modelo'!A:I,4,FALSE),0)</f>
        <v>0</v>
      </c>
      <c r="N424" s="128"/>
      <c r="O424" s="129"/>
      <c r="P424" s="9">
        <f t="shared" si="173"/>
        <v>0</v>
      </c>
      <c r="Q424" s="177">
        <f t="shared" si="171"/>
        <v>0</v>
      </c>
      <c r="R424" s="3">
        <f>D424*E424*'Entrada e Saida'!$K$8</f>
        <v>0</v>
      </c>
      <c r="S424" s="179" t="e">
        <f>'Entrada e Saida'!$H$21*'Entrada e Saida'!$K$8*(P424/(SUM(P:P)))</f>
        <v>#DIV/0!</v>
      </c>
      <c r="T424" s="179" t="e">
        <f>'Entrada e Saida'!$H$21*'Entrada e Saida'!$K$8*(Q424/(SUM(Q:Q)))</f>
        <v>#DIV/0!</v>
      </c>
      <c r="U424" s="179" t="e">
        <f>'Entrada e Saida'!$H$22*(P424/(SUM(P:P)))</f>
        <v>#DIV/0!</v>
      </c>
      <c r="V424" s="179" t="e">
        <f>'Entrada e Saida'!$H$22*(Q424/(SUM(Q:Q)))</f>
        <v>#DIV/0!</v>
      </c>
      <c r="W424" s="8" t="e">
        <f t="shared" si="174"/>
        <v>#DIV/0!</v>
      </c>
      <c r="X424" s="179" t="e">
        <f>'Entrada e Saida'!$H$26*(IF('Entrada e Saida'!$H$15="PESO",(P424/(SUM(P:P))),(Q424/(SUM(Q:Q)))))</f>
        <v>#DIV/0!</v>
      </c>
      <c r="Y424" s="179" t="e">
        <f>'Entrada e Saida'!$H$27*(IF('Entrada e Saida'!$H$15="PESO",(P424/(SUM(P:P))),(Q424/(SUM(Q:Q)))))</f>
        <v>#DIV/0!</v>
      </c>
      <c r="Z424" s="179" t="e">
        <f>'Entrada e Saida'!$H$28*(IF('Entrada e Saida'!$H$15="PESO",(P424/(SUM(P:P))),(Q424/(SUM(Q:Q)))))</f>
        <v>#DIV/0!</v>
      </c>
      <c r="AA424" s="10" t="e">
        <f t="shared" si="175"/>
        <v>#DIV/0!</v>
      </c>
      <c r="AB424" s="3" t="e">
        <f t="shared" si="176"/>
        <v>#DIV/0!</v>
      </c>
      <c r="AC424" s="3" t="e">
        <f t="shared" si="177"/>
        <v>#DIV/0!</v>
      </c>
      <c r="AD424" s="3" t="e">
        <f t="shared" si="178"/>
        <v>#DIV/0!</v>
      </c>
      <c r="AE424" s="9" t="e">
        <f t="shared" si="179"/>
        <v>#DIV/0!</v>
      </c>
      <c r="AF424" s="126">
        <f>IFERROR(D424*F424*L424*'Entrada e Saida'!$K$8,0)</f>
        <v>0</v>
      </c>
      <c r="AG424" s="3" t="e">
        <f>((W424+AA424+AB424+AC424+AD424+AE424+AF424)/(1-'Entrada e Saida'!$G$65))*'Entrada e Saida'!$I$66</f>
        <v>#DIV/0!</v>
      </c>
      <c r="AH424" s="8" t="e">
        <f t="shared" si="180"/>
        <v>#DIV/0!</v>
      </c>
      <c r="AI424" s="183" t="e">
        <f>'Entrada e Saida'!$K$51*(IF('Entrada e Saida'!$H$15="PESO",(P424/(SUM(P:P))),(Q424/(SUM(Q:Q)))))</f>
        <v>#DIV/0!</v>
      </c>
      <c r="AJ424" s="7">
        <f>(('Entrada e Saida'!$K$10-'Entrada e Saida'!$K$8)*E424*D424)</f>
        <v>0</v>
      </c>
      <c r="AK424" s="184" t="e">
        <f>IF('Entrada e Saida'!$H$15="PESO",W424+AA424+AH424+AI424+AJ424,W424+AA424+AH424+AI424+AJ424-S424+T424-U424+V424)</f>
        <v>#DIV/0!</v>
      </c>
      <c r="AL424" s="6" t="e">
        <f>IF('Entrada e Saida'!$H$12="REAL",AC424,0)</f>
        <v>#DIV/0!</v>
      </c>
      <c r="AM424" s="6" t="e">
        <f>IF('Entrada e Saida'!$H$12="REAL",AD424,0)</f>
        <v>#DIV/0!</v>
      </c>
      <c r="AN424" s="5" t="e">
        <f>IF('Entrada e Saida'!$H$13= "NÃO",AE424,0)</f>
        <v>#DIV/0!</v>
      </c>
      <c r="AO424" s="5" t="e">
        <f t="shared" si="181"/>
        <v>#DIV/0!</v>
      </c>
      <c r="AP424" s="4" t="e">
        <f t="shared" si="182"/>
        <v>#DIV/0!</v>
      </c>
      <c r="AQ424" s="3" t="e">
        <f>IF('Entrada e Saida'!$H$11="TRADING",AU424*'Custo Resumido'!D424,0)</f>
        <v>#DIV/0!</v>
      </c>
      <c r="AR424" s="3" t="e">
        <f>IF('Entrada e Saida'!$H$11="TRADING",AU424*'Entrada e Saida'!$G$63,0)</f>
        <v>#DIV/0!</v>
      </c>
      <c r="AS424" s="3" t="e">
        <f>IF('Entrada e Saida'!$H$11="TRADING",AU424*'Entrada e Saida'!$G$64,0)</f>
        <v>#DIV/0!</v>
      </c>
      <c r="AT424" s="3" t="e">
        <f>IF('Entrada e Saida'!$H$11="TRADING",AU424*'Entrada e Saida'!$G$65,0)</f>
        <v>#DIV/0!</v>
      </c>
      <c r="AU424" s="4" t="e">
        <f>IF('Entrada e Saida'!$H$11="TRADING",AP424/(1-(SUM('Entrada e Saida'!$G$63:$G$65)+'Custo Resumido'!D424)),0)</f>
        <v>#DIV/0!</v>
      </c>
      <c r="AV424" s="3" t="e">
        <f>IF('Entrada e Saida'!$H$13="NÃO",AU424*M424,0)</f>
        <v>#DIV/0!</v>
      </c>
      <c r="AW424" s="4" t="e">
        <f t="shared" si="183"/>
        <v>#DIV/0!</v>
      </c>
      <c r="AX424" s="3" t="e">
        <f>'Entrada e Saida'!$G$74*AU424</f>
        <v>#DIV/0!</v>
      </c>
      <c r="AY424" s="4" t="e">
        <f t="shared" si="184"/>
        <v>#DIV/0!</v>
      </c>
      <c r="AZ424" s="4" t="e">
        <f>AQ424+('Entrada e Saida'!$G$65-'Entrada e Saida'!$I$65)*AU424-AX424</f>
        <v>#DIV/0!</v>
      </c>
      <c r="BA424" s="3" t="e">
        <f>IF('Entrada e Saida'!$H$12="REAL",AZ424*'Entrada e Saida'!$G$81,AU424*'Entrada e Saida'!$G$81)</f>
        <v>#DIV/0!</v>
      </c>
      <c r="BB424" s="3" t="e">
        <f>IF('Entrada e Saida'!$H$12="REAL",AZ424*'Entrada e Saida'!$G$82,AU424*'Entrada e Saida'!$G$82)</f>
        <v>#DIV/0!</v>
      </c>
      <c r="BC424" s="4" t="e">
        <f t="shared" si="185"/>
        <v>#DIV/0!</v>
      </c>
      <c r="BD424" s="3" t="e">
        <f>IF('Entrada e Saida'!$H$11="TRADING",AW424/D424,AK424/D424)</f>
        <v>#DIV/0!</v>
      </c>
      <c r="BE424" s="3" t="e">
        <f t="shared" si="186"/>
        <v>#DIV/0!</v>
      </c>
      <c r="BF424" s="2" t="e">
        <f t="shared" si="187"/>
        <v>#DIV/0!</v>
      </c>
      <c r="BG424" s="3" t="e">
        <f>IF('Entrada e Saida'!$H$11="TRADING",AV424/D424,AN424/D424)</f>
        <v>#DIV/0!</v>
      </c>
      <c r="BH424" s="3" t="e">
        <f>IF('Entrada e Saida'!$H$11="TRADING",IF('Entrada e Saida'!$H$12="REAL",AR424/D424,0),AL424/D424)</f>
        <v>#DIV/0!</v>
      </c>
      <c r="BI424" s="3" t="e">
        <f>IF('Entrada e Saida'!$H$11="TRADING",IF('Entrada e Saida'!$H$12="REAL",AS424/D424,0),AM424/D424)</f>
        <v>#DIV/0!</v>
      </c>
      <c r="BJ424" s="3" t="e">
        <f>IF('Entrada e Saida'!$H$11="TRADING",AT424/D424,AO424/D424)</f>
        <v>#DIV/0!</v>
      </c>
      <c r="BK424" s="2" t="e">
        <f t="shared" si="188"/>
        <v>#DIV/0!</v>
      </c>
      <c r="BL424" s="2">
        <f>IF(O424&gt;0,IFERROR(IF('Entrada e Saida'!$H$11="DIRETA",0,(IF('Entrada e Saida'!$H$14="P.JURIDICA",(BD424*(1+O424)*N424)-((BD424/(1+M424))*'Entrada e Saida'!$G$65),((Produtos!N424-'Entrada e Saida'!$G$65)*Produtos!BD424)))),0),0)</f>
        <v>0</v>
      </c>
      <c r="BM424" s="2" t="e">
        <f t="shared" si="189"/>
        <v>#DIV/0!</v>
      </c>
    </row>
    <row r="425" spans="1:65" s="1" customFormat="1">
      <c r="A425" s="127"/>
      <c r="B425" s="114">
        <f>IFERROR(VLOOKUP(A425,'Master Modelo'!A:I,7,FALSE),0)</f>
        <v>0</v>
      </c>
      <c r="C425" s="116">
        <f>IFERROR(VLOOKUP(A425,'Master Modelo'!A:I,2,FALSE),0)</f>
        <v>0</v>
      </c>
      <c r="D425" s="146"/>
      <c r="E425" s="115">
        <f>IFERROR(VLOOKUP(A425,'Master Modelo'!A:I,9,FALSE),0)</f>
        <v>0</v>
      </c>
      <c r="F425" s="189">
        <f>IFERROR(VLOOKUP(A425,'Master Modelo'!A:I,8,FALSE),0)</f>
        <v>0</v>
      </c>
      <c r="G425" s="189">
        <f>IFERROR(VLOOKUP(A425,'Master Modelo'!A:K,11,FALSE),0)</f>
        <v>0</v>
      </c>
      <c r="H425" s="114" t="e">
        <f t="shared" si="172"/>
        <v>#DIV/0!</v>
      </c>
      <c r="I425" s="150">
        <f>IFERROR(VLOOKUP(A425,'Master Modelo'!A:I,3,FALSE),0)</f>
        <v>0</v>
      </c>
      <c r="J425" s="151">
        <f>IFERROR(VLOOKUP(A425,'Master Modelo'!A:I,5,FALSE),0)</f>
        <v>0</v>
      </c>
      <c r="K425" s="151">
        <f>IFERROR(VLOOKUP(A425,'Master Modelo'!A:I,6,FALSE),0)</f>
        <v>0</v>
      </c>
      <c r="L425" s="152" t="e">
        <f>VLOOKUP(A425,'Master Modelo'!A:J,10,FALSE)</f>
        <v>#N/A</v>
      </c>
      <c r="M425" s="150">
        <f>IFERROR(VLOOKUP(A425,'Master Modelo'!A:I,4,FALSE),0)</f>
        <v>0</v>
      </c>
      <c r="N425" s="128"/>
      <c r="O425" s="129"/>
      <c r="P425" s="9">
        <f t="shared" si="173"/>
        <v>0</v>
      </c>
      <c r="Q425" s="177">
        <f t="shared" si="171"/>
        <v>0</v>
      </c>
      <c r="R425" s="3">
        <f>D425*E425*'Entrada e Saida'!$K$8</f>
        <v>0</v>
      </c>
      <c r="S425" s="179" t="e">
        <f>'Entrada e Saida'!$H$21*'Entrada e Saida'!$K$8*(P425/(SUM(P:P)))</f>
        <v>#DIV/0!</v>
      </c>
      <c r="T425" s="179" t="e">
        <f>'Entrada e Saida'!$H$21*'Entrada e Saida'!$K$8*(Q425/(SUM(Q:Q)))</f>
        <v>#DIV/0!</v>
      </c>
      <c r="U425" s="179" t="e">
        <f>'Entrada e Saida'!$H$22*(P425/(SUM(P:P)))</f>
        <v>#DIV/0!</v>
      </c>
      <c r="V425" s="179" t="e">
        <f>'Entrada e Saida'!$H$22*(Q425/(SUM(Q:Q)))</f>
        <v>#DIV/0!</v>
      </c>
      <c r="W425" s="8" t="e">
        <f t="shared" si="174"/>
        <v>#DIV/0!</v>
      </c>
      <c r="X425" s="179" t="e">
        <f>'Entrada e Saida'!$H$26*(IF('Entrada e Saida'!$H$15="PESO",(P425/(SUM(P:P))),(Q425/(SUM(Q:Q)))))</f>
        <v>#DIV/0!</v>
      </c>
      <c r="Y425" s="179" t="e">
        <f>'Entrada e Saida'!$H$27*(IF('Entrada e Saida'!$H$15="PESO",(P425/(SUM(P:P))),(Q425/(SUM(Q:Q)))))</f>
        <v>#DIV/0!</v>
      </c>
      <c r="Z425" s="179" t="e">
        <f>'Entrada e Saida'!$H$28*(IF('Entrada e Saida'!$H$15="PESO",(P425/(SUM(P:P))),(Q425/(SUM(Q:Q)))))</f>
        <v>#DIV/0!</v>
      </c>
      <c r="AA425" s="10" t="e">
        <f t="shared" si="175"/>
        <v>#DIV/0!</v>
      </c>
      <c r="AB425" s="3" t="e">
        <f t="shared" si="176"/>
        <v>#DIV/0!</v>
      </c>
      <c r="AC425" s="3" t="e">
        <f t="shared" si="177"/>
        <v>#DIV/0!</v>
      </c>
      <c r="AD425" s="3" t="e">
        <f t="shared" si="178"/>
        <v>#DIV/0!</v>
      </c>
      <c r="AE425" s="9" t="e">
        <f t="shared" si="179"/>
        <v>#DIV/0!</v>
      </c>
      <c r="AF425" s="126">
        <f>IFERROR(D425*F425*L425*'Entrada e Saida'!$K$8,0)</f>
        <v>0</v>
      </c>
      <c r="AG425" s="3" t="e">
        <f>((W425+AA425+AB425+AC425+AD425+AE425+AF425)/(1-'Entrada e Saida'!$G$65))*'Entrada e Saida'!$I$66</f>
        <v>#DIV/0!</v>
      </c>
      <c r="AH425" s="8" t="e">
        <f t="shared" si="180"/>
        <v>#DIV/0!</v>
      </c>
      <c r="AI425" s="183" t="e">
        <f>'Entrada e Saida'!$K$51*(IF('Entrada e Saida'!$H$15="PESO",(P425/(SUM(P:P))),(Q425/(SUM(Q:Q)))))</f>
        <v>#DIV/0!</v>
      </c>
      <c r="AJ425" s="7">
        <f>(('Entrada e Saida'!$K$10-'Entrada e Saida'!$K$8)*E425*D425)</f>
        <v>0</v>
      </c>
      <c r="AK425" s="184" t="e">
        <f>IF('Entrada e Saida'!$H$15="PESO",W425+AA425+AH425+AI425+AJ425,W425+AA425+AH425+AI425+AJ425-S425+T425-U425+V425)</f>
        <v>#DIV/0!</v>
      </c>
      <c r="AL425" s="6" t="e">
        <f>IF('Entrada e Saida'!$H$12="REAL",AC425,0)</f>
        <v>#DIV/0!</v>
      </c>
      <c r="AM425" s="6" t="e">
        <f>IF('Entrada e Saida'!$H$12="REAL",AD425,0)</f>
        <v>#DIV/0!</v>
      </c>
      <c r="AN425" s="5" t="e">
        <f>IF('Entrada e Saida'!$H$13= "NÃO",AE425,0)</f>
        <v>#DIV/0!</v>
      </c>
      <c r="AO425" s="5" t="e">
        <f t="shared" si="181"/>
        <v>#DIV/0!</v>
      </c>
      <c r="AP425" s="4" t="e">
        <f t="shared" si="182"/>
        <v>#DIV/0!</v>
      </c>
      <c r="AQ425" s="3" t="e">
        <f>IF('Entrada e Saida'!$H$11="TRADING",AU425*'Custo Resumido'!D425,0)</f>
        <v>#DIV/0!</v>
      </c>
      <c r="AR425" s="3" t="e">
        <f>IF('Entrada e Saida'!$H$11="TRADING",AU425*'Entrada e Saida'!$G$63,0)</f>
        <v>#DIV/0!</v>
      </c>
      <c r="AS425" s="3" t="e">
        <f>IF('Entrada e Saida'!$H$11="TRADING",AU425*'Entrada e Saida'!$G$64,0)</f>
        <v>#DIV/0!</v>
      </c>
      <c r="AT425" s="3" t="e">
        <f>IF('Entrada e Saida'!$H$11="TRADING",AU425*'Entrada e Saida'!$G$65,0)</f>
        <v>#DIV/0!</v>
      </c>
      <c r="AU425" s="4" t="e">
        <f>IF('Entrada e Saida'!$H$11="TRADING",AP425/(1-(SUM('Entrada e Saida'!$G$63:$G$65)+'Custo Resumido'!D425)),0)</f>
        <v>#DIV/0!</v>
      </c>
      <c r="AV425" s="3" t="e">
        <f>IF('Entrada e Saida'!$H$13="NÃO",AU425*M425,0)</f>
        <v>#DIV/0!</v>
      </c>
      <c r="AW425" s="4" t="e">
        <f t="shared" si="183"/>
        <v>#DIV/0!</v>
      </c>
      <c r="AX425" s="3" t="e">
        <f>'Entrada e Saida'!$G$74*AU425</f>
        <v>#DIV/0!</v>
      </c>
      <c r="AY425" s="4" t="e">
        <f t="shared" si="184"/>
        <v>#DIV/0!</v>
      </c>
      <c r="AZ425" s="4" t="e">
        <f>AQ425+('Entrada e Saida'!$G$65-'Entrada e Saida'!$I$65)*AU425-AX425</f>
        <v>#DIV/0!</v>
      </c>
      <c r="BA425" s="3" t="e">
        <f>IF('Entrada e Saida'!$H$12="REAL",AZ425*'Entrada e Saida'!$G$81,AU425*'Entrada e Saida'!$G$81)</f>
        <v>#DIV/0!</v>
      </c>
      <c r="BB425" s="3" t="e">
        <f>IF('Entrada e Saida'!$H$12="REAL",AZ425*'Entrada e Saida'!$G$82,AU425*'Entrada e Saida'!$G$82)</f>
        <v>#DIV/0!</v>
      </c>
      <c r="BC425" s="4" t="e">
        <f t="shared" si="185"/>
        <v>#DIV/0!</v>
      </c>
      <c r="BD425" s="3" t="e">
        <f>IF('Entrada e Saida'!$H$11="TRADING",AW425/D425,AK425/D425)</f>
        <v>#DIV/0!</v>
      </c>
      <c r="BE425" s="3" t="e">
        <f t="shared" si="186"/>
        <v>#DIV/0!</v>
      </c>
      <c r="BF425" s="2" t="e">
        <f t="shared" si="187"/>
        <v>#DIV/0!</v>
      </c>
      <c r="BG425" s="3" t="e">
        <f>IF('Entrada e Saida'!$H$11="TRADING",AV425/D425,AN425/D425)</f>
        <v>#DIV/0!</v>
      </c>
      <c r="BH425" s="3" t="e">
        <f>IF('Entrada e Saida'!$H$11="TRADING",IF('Entrada e Saida'!$H$12="REAL",AR425/D425,0),AL425/D425)</f>
        <v>#DIV/0!</v>
      </c>
      <c r="BI425" s="3" t="e">
        <f>IF('Entrada e Saida'!$H$11="TRADING",IF('Entrada e Saida'!$H$12="REAL",AS425/D425,0),AM425/D425)</f>
        <v>#DIV/0!</v>
      </c>
      <c r="BJ425" s="3" t="e">
        <f>IF('Entrada e Saida'!$H$11="TRADING",AT425/D425,AO425/D425)</f>
        <v>#DIV/0!</v>
      </c>
      <c r="BK425" s="2" t="e">
        <f t="shared" si="188"/>
        <v>#DIV/0!</v>
      </c>
      <c r="BL425" s="2">
        <f>IF(O425&gt;0,IFERROR(IF('Entrada e Saida'!$H$11="DIRETA",0,(IF('Entrada e Saida'!$H$14="P.JURIDICA",(BD425*(1+O425)*N425)-((BD425/(1+M425))*'Entrada e Saida'!$G$65),((Produtos!N425-'Entrada e Saida'!$G$65)*Produtos!BD425)))),0),0)</f>
        <v>0</v>
      </c>
      <c r="BM425" s="2" t="e">
        <f t="shared" si="189"/>
        <v>#DIV/0!</v>
      </c>
    </row>
    <row r="426" spans="1:65" s="1" customFormat="1">
      <c r="A426" s="127"/>
      <c r="B426" s="114">
        <f>IFERROR(VLOOKUP(A426,'Master Modelo'!A:I,7,FALSE),0)</f>
        <v>0</v>
      </c>
      <c r="C426" s="116">
        <f>IFERROR(VLOOKUP(A426,'Master Modelo'!A:I,2,FALSE),0)</f>
        <v>0</v>
      </c>
      <c r="D426" s="146"/>
      <c r="E426" s="115">
        <f>IFERROR(VLOOKUP(A426,'Master Modelo'!A:I,9,FALSE),0)</f>
        <v>0</v>
      </c>
      <c r="F426" s="189">
        <f>IFERROR(VLOOKUP(A426,'Master Modelo'!A:I,8,FALSE),0)</f>
        <v>0</v>
      </c>
      <c r="G426" s="189">
        <f>IFERROR(VLOOKUP(A426,'Master Modelo'!A:K,11,FALSE),0)</f>
        <v>0</v>
      </c>
      <c r="H426" s="114" t="e">
        <f t="shared" si="172"/>
        <v>#DIV/0!</v>
      </c>
      <c r="I426" s="150">
        <f>IFERROR(VLOOKUP(A426,'Master Modelo'!A:I,3,FALSE),0)</f>
        <v>0</v>
      </c>
      <c r="J426" s="151">
        <f>IFERROR(VLOOKUP(A426,'Master Modelo'!A:I,5,FALSE),0)</f>
        <v>0</v>
      </c>
      <c r="K426" s="151">
        <f>IFERROR(VLOOKUP(A426,'Master Modelo'!A:I,6,FALSE),0)</f>
        <v>0</v>
      </c>
      <c r="L426" s="152" t="e">
        <f>VLOOKUP(A426,'Master Modelo'!A:J,10,FALSE)</f>
        <v>#N/A</v>
      </c>
      <c r="M426" s="150">
        <f>IFERROR(VLOOKUP(A426,'Master Modelo'!A:I,4,FALSE),0)</f>
        <v>0</v>
      </c>
      <c r="N426" s="128"/>
      <c r="O426" s="129"/>
      <c r="P426" s="9">
        <f t="shared" si="173"/>
        <v>0</v>
      </c>
      <c r="Q426" s="177">
        <f t="shared" si="171"/>
        <v>0</v>
      </c>
      <c r="R426" s="3">
        <f>D426*E426*'Entrada e Saida'!$K$8</f>
        <v>0</v>
      </c>
      <c r="S426" s="179" t="e">
        <f>'Entrada e Saida'!$H$21*'Entrada e Saida'!$K$8*(P426/(SUM(P:P)))</f>
        <v>#DIV/0!</v>
      </c>
      <c r="T426" s="179" t="e">
        <f>'Entrada e Saida'!$H$21*'Entrada e Saida'!$K$8*(Q426/(SUM(Q:Q)))</f>
        <v>#DIV/0!</v>
      </c>
      <c r="U426" s="179" t="e">
        <f>'Entrada e Saida'!$H$22*(P426/(SUM(P:P)))</f>
        <v>#DIV/0!</v>
      </c>
      <c r="V426" s="179" t="e">
        <f>'Entrada e Saida'!$H$22*(Q426/(SUM(Q:Q)))</f>
        <v>#DIV/0!</v>
      </c>
      <c r="W426" s="8" t="e">
        <f t="shared" si="174"/>
        <v>#DIV/0!</v>
      </c>
      <c r="X426" s="179" t="e">
        <f>'Entrada e Saida'!$H$26*(IF('Entrada e Saida'!$H$15="PESO",(P426/(SUM(P:P))),(Q426/(SUM(Q:Q)))))</f>
        <v>#DIV/0!</v>
      </c>
      <c r="Y426" s="179" t="e">
        <f>'Entrada e Saida'!$H$27*(IF('Entrada e Saida'!$H$15="PESO",(P426/(SUM(P:P))),(Q426/(SUM(Q:Q)))))</f>
        <v>#DIV/0!</v>
      </c>
      <c r="Z426" s="179" t="e">
        <f>'Entrada e Saida'!$H$28*(IF('Entrada e Saida'!$H$15="PESO",(P426/(SUM(P:P))),(Q426/(SUM(Q:Q)))))</f>
        <v>#DIV/0!</v>
      </c>
      <c r="AA426" s="10" t="e">
        <f t="shared" si="175"/>
        <v>#DIV/0!</v>
      </c>
      <c r="AB426" s="3" t="e">
        <f t="shared" si="176"/>
        <v>#DIV/0!</v>
      </c>
      <c r="AC426" s="3" t="e">
        <f t="shared" si="177"/>
        <v>#DIV/0!</v>
      </c>
      <c r="AD426" s="3" t="e">
        <f t="shared" si="178"/>
        <v>#DIV/0!</v>
      </c>
      <c r="AE426" s="9" t="e">
        <f t="shared" si="179"/>
        <v>#DIV/0!</v>
      </c>
      <c r="AF426" s="126">
        <f>IFERROR(D426*F426*L426*'Entrada e Saida'!$K$8,0)</f>
        <v>0</v>
      </c>
      <c r="AG426" s="3" t="e">
        <f>((W426+AA426+AB426+AC426+AD426+AE426+AF426)/(1-'Entrada e Saida'!$G$65))*'Entrada e Saida'!$I$66</f>
        <v>#DIV/0!</v>
      </c>
      <c r="AH426" s="8" t="e">
        <f t="shared" si="180"/>
        <v>#DIV/0!</v>
      </c>
      <c r="AI426" s="183" t="e">
        <f>'Entrada e Saida'!$K$51*(IF('Entrada e Saida'!$H$15="PESO",(P426/(SUM(P:P))),(Q426/(SUM(Q:Q)))))</f>
        <v>#DIV/0!</v>
      </c>
      <c r="AJ426" s="7">
        <f>(('Entrada e Saida'!$K$10-'Entrada e Saida'!$K$8)*E426*D426)</f>
        <v>0</v>
      </c>
      <c r="AK426" s="184" t="e">
        <f>IF('Entrada e Saida'!$H$15="PESO",W426+AA426+AH426+AI426+AJ426,W426+AA426+AH426+AI426+AJ426-S426+T426-U426+V426)</f>
        <v>#DIV/0!</v>
      </c>
      <c r="AL426" s="6" t="e">
        <f>IF('Entrada e Saida'!$H$12="REAL",AC426,0)</f>
        <v>#DIV/0!</v>
      </c>
      <c r="AM426" s="6" t="e">
        <f>IF('Entrada e Saida'!$H$12="REAL",AD426,0)</f>
        <v>#DIV/0!</v>
      </c>
      <c r="AN426" s="5" t="e">
        <f>IF('Entrada e Saida'!$H$13= "NÃO",AE426,0)</f>
        <v>#DIV/0!</v>
      </c>
      <c r="AO426" s="5" t="e">
        <f t="shared" si="181"/>
        <v>#DIV/0!</v>
      </c>
      <c r="AP426" s="4" t="e">
        <f t="shared" si="182"/>
        <v>#DIV/0!</v>
      </c>
      <c r="AQ426" s="3" t="e">
        <f>IF('Entrada e Saida'!$H$11="TRADING",AU426*'Custo Resumido'!D426,0)</f>
        <v>#DIV/0!</v>
      </c>
      <c r="AR426" s="3" t="e">
        <f>IF('Entrada e Saida'!$H$11="TRADING",AU426*'Entrada e Saida'!$G$63,0)</f>
        <v>#DIV/0!</v>
      </c>
      <c r="AS426" s="3" t="e">
        <f>IF('Entrada e Saida'!$H$11="TRADING",AU426*'Entrada e Saida'!$G$64,0)</f>
        <v>#DIV/0!</v>
      </c>
      <c r="AT426" s="3" t="e">
        <f>IF('Entrada e Saida'!$H$11="TRADING",AU426*'Entrada e Saida'!$G$65,0)</f>
        <v>#DIV/0!</v>
      </c>
      <c r="AU426" s="4" t="e">
        <f>IF('Entrada e Saida'!$H$11="TRADING",AP426/(1-(SUM('Entrada e Saida'!$G$63:$G$65)+'Custo Resumido'!D426)),0)</f>
        <v>#DIV/0!</v>
      </c>
      <c r="AV426" s="3" t="e">
        <f>IF('Entrada e Saida'!$H$13="NÃO",AU426*M426,0)</f>
        <v>#DIV/0!</v>
      </c>
      <c r="AW426" s="4" t="e">
        <f t="shared" si="183"/>
        <v>#DIV/0!</v>
      </c>
      <c r="AX426" s="3" t="e">
        <f>'Entrada e Saida'!$G$74*AU426</f>
        <v>#DIV/0!</v>
      </c>
      <c r="AY426" s="4" t="e">
        <f t="shared" si="184"/>
        <v>#DIV/0!</v>
      </c>
      <c r="AZ426" s="4" t="e">
        <f>AQ426+('Entrada e Saida'!$G$65-'Entrada e Saida'!$I$65)*AU426-AX426</f>
        <v>#DIV/0!</v>
      </c>
      <c r="BA426" s="3" t="e">
        <f>IF('Entrada e Saida'!$H$12="REAL",AZ426*'Entrada e Saida'!$G$81,AU426*'Entrada e Saida'!$G$81)</f>
        <v>#DIV/0!</v>
      </c>
      <c r="BB426" s="3" t="e">
        <f>IF('Entrada e Saida'!$H$12="REAL",AZ426*'Entrada e Saida'!$G$82,AU426*'Entrada e Saida'!$G$82)</f>
        <v>#DIV/0!</v>
      </c>
      <c r="BC426" s="4" t="e">
        <f t="shared" si="185"/>
        <v>#DIV/0!</v>
      </c>
      <c r="BD426" s="3" t="e">
        <f>IF('Entrada e Saida'!$H$11="TRADING",AW426/D426,AK426/D426)</f>
        <v>#DIV/0!</v>
      </c>
      <c r="BE426" s="3" t="e">
        <f t="shared" si="186"/>
        <v>#DIV/0!</v>
      </c>
      <c r="BF426" s="2" t="e">
        <f t="shared" si="187"/>
        <v>#DIV/0!</v>
      </c>
      <c r="BG426" s="3" t="e">
        <f>IF('Entrada e Saida'!$H$11="TRADING",AV426/D426,AN426/D426)</f>
        <v>#DIV/0!</v>
      </c>
      <c r="BH426" s="3" t="e">
        <f>IF('Entrada e Saida'!$H$11="TRADING",IF('Entrada e Saida'!$H$12="REAL",AR426/D426,0),AL426/D426)</f>
        <v>#DIV/0!</v>
      </c>
      <c r="BI426" s="3" t="e">
        <f>IF('Entrada e Saida'!$H$11="TRADING",IF('Entrada e Saida'!$H$12="REAL",AS426/D426,0),AM426/D426)</f>
        <v>#DIV/0!</v>
      </c>
      <c r="BJ426" s="3" t="e">
        <f>IF('Entrada e Saida'!$H$11="TRADING",AT426/D426,AO426/D426)</f>
        <v>#DIV/0!</v>
      </c>
      <c r="BK426" s="2" t="e">
        <f t="shared" si="188"/>
        <v>#DIV/0!</v>
      </c>
      <c r="BL426" s="2">
        <f>IF(O426&gt;0,IFERROR(IF('Entrada e Saida'!$H$11="DIRETA",0,(IF('Entrada e Saida'!$H$14="P.JURIDICA",(BD426*(1+O426)*N426)-((BD426/(1+M426))*'Entrada e Saida'!$G$65),((Produtos!N426-'Entrada e Saida'!$G$65)*Produtos!BD426)))),0),0)</f>
        <v>0</v>
      </c>
      <c r="BM426" s="2" t="e">
        <f t="shared" si="189"/>
        <v>#DIV/0!</v>
      </c>
    </row>
    <row r="427" spans="1:65" s="1" customFormat="1">
      <c r="A427" s="127"/>
      <c r="B427" s="114">
        <f>IFERROR(VLOOKUP(A427,'Master Modelo'!A:I,7,FALSE),0)</f>
        <v>0</v>
      </c>
      <c r="C427" s="116">
        <f>IFERROR(VLOOKUP(A427,'Master Modelo'!A:I,2,FALSE),0)</f>
        <v>0</v>
      </c>
      <c r="D427" s="146"/>
      <c r="E427" s="115">
        <f>IFERROR(VLOOKUP(A427,'Master Modelo'!A:I,9,FALSE),0)</f>
        <v>0</v>
      </c>
      <c r="F427" s="189">
        <f>IFERROR(VLOOKUP(A427,'Master Modelo'!A:I,8,FALSE),0)</f>
        <v>0</v>
      </c>
      <c r="G427" s="189">
        <f>IFERROR(VLOOKUP(A427,'Master Modelo'!A:K,11,FALSE),0)</f>
        <v>0</v>
      </c>
      <c r="H427" s="114" t="e">
        <f t="shared" si="172"/>
        <v>#DIV/0!</v>
      </c>
      <c r="I427" s="150">
        <f>IFERROR(VLOOKUP(A427,'Master Modelo'!A:I,3,FALSE),0)</f>
        <v>0</v>
      </c>
      <c r="J427" s="151">
        <f>IFERROR(VLOOKUP(A427,'Master Modelo'!A:I,5,FALSE),0)</f>
        <v>0</v>
      </c>
      <c r="K427" s="151">
        <f>IFERROR(VLOOKUP(A427,'Master Modelo'!A:I,6,FALSE),0)</f>
        <v>0</v>
      </c>
      <c r="L427" s="152" t="e">
        <f>VLOOKUP(A427,'Master Modelo'!A:J,10,FALSE)</f>
        <v>#N/A</v>
      </c>
      <c r="M427" s="150">
        <f>IFERROR(VLOOKUP(A427,'Master Modelo'!A:I,4,FALSE),0)</f>
        <v>0</v>
      </c>
      <c r="N427" s="128"/>
      <c r="O427" s="129"/>
      <c r="P427" s="9">
        <f t="shared" si="173"/>
        <v>0</v>
      </c>
      <c r="Q427" s="177">
        <f t="shared" si="171"/>
        <v>0</v>
      </c>
      <c r="R427" s="3">
        <f>D427*E427*'Entrada e Saida'!$K$8</f>
        <v>0</v>
      </c>
      <c r="S427" s="179" t="e">
        <f>'Entrada e Saida'!$H$21*'Entrada e Saida'!$K$8*(P427/(SUM(P:P)))</f>
        <v>#DIV/0!</v>
      </c>
      <c r="T427" s="179" t="e">
        <f>'Entrada e Saida'!$H$21*'Entrada e Saida'!$K$8*(Q427/(SUM(Q:Q)))</f>
        <v>#DIV/0!</v>
      </c>
      <c r="U427" s="179" t="e">
        <f>'Entrada e Saida'!$H$22*(P427/(SUM(P:P)))</f>
        <v>#DIV/0!</v>
      </c>
      <c r="V427" s="179" t="e">
        <f>'Entrada e Saida'!$H$22*(Q427/(SUM(Q:Q)))</f>
        <v>#DIV/0!</v>
      </c>
      <c r="W427" s="8" t="e">
        <f t="shared" si="174"/>
        <v>#DIV/0!</v>
      </c>
      <c r="X427" s="179" t="e">
        <f>'Entrada e Saida'!$H$26*(IF('Entrada e Saida'!$H$15="PESO",(P427/(SUM(P:P))),(Q427/(SUM(Q:Q)))))</f>
        <v>#DIV/0!</v>
      </c>
      <c r="Y427" s="179" t="e">
        <f>'Entrada e Saida'!$H$27*(IF('Entrada e Saida'!$H$15="PESO",(P427/(SUM(P:P))),(Q427/(SUM(Q:Q)))))</f>
        <v>#DIV/0!</v>
      </c>
      <c r="Z427" s="179" t="e">
        <f>'Entrada e Saida'!$H$28*(IF('Entrada e Saida'!$H$15="PESO",(P427/(SUM(P:P))),(Q427/(SUM(Q:Q)))))</f>
        <v>#DIV/0!</v>
      </c>
      <c r="AA427" s="10" t="e">
        <f t="shared" si="175"/>
        <v>#DIV/0!</v>
      </c>
      <c r="AB427" s="3" t="e">
        <f t="shared" si="176"/>
        <v>#DIV/0!</v>
      </c>
      <c r="AC427" s="3" t="e">
        <f t="shared" si="177"/>
        <v>#DIV/0!</v>
      </c>
      <c r="AD427" s="3" t="e">
        <f t="shared" si="178"/>
        <v>#DIV/0!</v>
      </c>
      <c r="AE427" s="9" t="e">
        <f t="shared" si="179"/>
        <v>#DIV/0!</v>
      </c>
      <c r="AF427" s="126">
        <f>IFERROR(D427*F427*L427*'Entrada e Saida'!$K$8,0)</f>
        <v>0</v>
      </c>
      <c r="AG427" s="3" t="e">
        <f>((W427+AA427+AB427+AC427+AD427+AE427+AF427)/(1-'Entrada e Saida'!$G$65))*'Entrada e Saida'!$I$66</f>
        <v>#DIV/0!</v>
      </c>
      <c r="AH427" s="8" t="e">
        <f t="shared" si="180"/>
        <v>#DIV/0!</v>
      </c>
      <c r="AI427" s="183" t="e">
        <f>'Entrada e Saida'!$K$51*(IF('Entrada e Saida'!$H$15="PESO",(P427/(SUM(P:P))),(Q427/(SUM(Q:Q)))))</f>
        <v>#DIV/0!</v>
      </c>
      <c r="AJ427" s="7">
        <f>(('Entrada e Saida'!$K$10-'Entrada e Saida'!$K$8)*E427*D427)</f>
        <v>0</v>
      </c>
      <c r="AK427" s="184" t="e">
        <f>IF('Entrada e Saida'!$H$15="PESO",W427+AA427+AH427+AI427+AJ427,W427+AA427+AH427+AI427+AJ427-S427+T427-U427+V427)</f>
        <v>#DIV/0!</v>
      </c>
      <c r="AL427" s="6" t="e">
        <f>IF('Entrada e Saida'!$H$12="REAL",AC427,0)</f>
        <v>#DIV/0!</v>
      </c>
      <c r="AM427" s="6" t="e">
        <f>IF('Entrada e Saida'!$H$12="REAL",AD427,0)</f>
        <v>#DIV/0!</v>
      </c>
      <c r="AN427" s="5" t="e">
        <f>IF('Entrada e Saida'!$H$13= "NÃO",AE427,0)</f>
        <v>#DIV/0!</v>
      </c>
      <c r="AO427" s="5" t="e">
        <f t="shared" si="181"/>
        <v>#DIV/0!</v>
      </c>
      <c r="AP427" s="4" t="e">
        <f t="shared" si="182"/>
        <v>#DIV/0!</v>
      </c>
      <c r="AQ427" s="3" t="e">
        <f>IF('Entrada e Saida'!$H$11="TRADING",AU427*'Custo Resumido'!D427,0)</f>
        <v>#DIV/0!</v>
      </c>
      <c r="AR427" s="3" t="e">
        <f>IF('Entrada e Saida'!$H$11="TRADING",AU427*'Entrada e Saida'!$G$63,0)</f>
        <v>#DIV/0!</v>
      </c>
      <c r="AS427" s="3" t="e">
        <f>IF('Entrada e Saida'!$H$11="TRADING",AU427*'Entrada e Saida'!$G$64,0)</f>
        <v>#DIV/0!</v>
      </c>
      <c r="AT427" s="3" t="e">
        <f>IF('Entrada e Saida'!$H$11="TRADING",AU427*'Entrada e Saida'!$G$65,0)</f>
        <v>#DIV/0!</v>
      </c>
      <c r="AU427" s="4" t="e">
        <f>IF('Entrada e Saida'!$H$11="TRADING",AP427/(1-(SUM('Entrada e Saida'!$G$63:$G$65)+'Custo Resumido'!D427)),0)</f>
        <v>#DIV/0!</v>
      </c>
      <c r="AV427" s="3" t="e">
        <f>IF('Entrada e Saida'!$H$13="NÃO",AU427*M427,0)</f>
        <v>#DIV/0!</v>
      </c>
      <c r="AW427" s="4" t="e">
        <f t="shared" si="183"/>
        <v>#DIV/0!</v>
      </c>
      <c r="AX427" s="3" t="e">
        <f>'Entrada e Saida'!$G$74*AU427</f>
        <v>#DIV/0!</v>
      </c>
      <c r="AY427" s="4" t="e">
        <f t="shared" si="184"/>
        <v>#DIV/0!</v>
      </c>
      <c r="AZ427" s="4" t="e">
        <f>AQ427+('Entrada e Saida'!$G$65-'Entrada e Saida'!$I$65)*AU427-AX427</f>
        <v>#DIV/0!</v>
      </c>
      <c r="BA427" s="3" t="e">
        <f>IF('Entrada e Saida'!$H$12="REAL",AZ427*'Entrada e Saida'!$G$81,AU427*'Entrada e Saida'!$G$81)</f>
        <v>#DIV/0!</v>
      </c>
      <c r="BB427" s="3" t="e">
        <f>IF('Entrada e Saida'!$H$12="REAL",AZ427*'Entrada e Saida'!$G$82,AU427*'Entrada e Saida'!$G$82)</f>
        <v>#DIV/0!</v>
      </c>
      <c r="BC427" s="4" t="e">
        <f t="shared" si="185"/>
        <v>#DIV/0!</v>
      </c>
      <c r="BD427" s="3" t="e">
        <f>IF('Entrada e Saida'!$H$11="TRADING",AW427/D427,AK427/D427)</f>
        <v>#DIV/0!</v>
      </c>
      <c r="BE427" s="3" t="e">
        <f t="shared" si="186"/>
        <v>#DIV/0!</v>
      </c>
      <c r="BF427" s="2" t="e">
        <f t="shared" si="187"/>
        <v>#DIV/0!</v>
      </c>
      <c r="BG427" s="3" t="e">
        <f>IF('Entrada e Saida'!$H$11="TRADING",AV427/D427,AN427/D427)</f>
        <v>#DIV/0!</v>
      </c>
      <c r="BH427" s="3" t="e">
        <f>IF('Entrada e Saida'!$H$11="TRADING",IF('Entrada e Saida'!$H$12="REAL",AR427/D427,0),AL427/D427)</f>
        <v>#DIV/0!</v>
      </c>
      <c r="BI427" s="3" t="e">
        <f>IF('Entrada e Saida'!$H$11="TRADING",IF('Entrada e Saida'!$H$12="REAL",AS427/D427,0),AM427/D427)</f>
        <v>#DIV/0!</v>
      </c>
      <c r="BJ427" s="3" t="e">
        <f>IF('Entrada e Saida'!$H$11="TRADING",AT427/D427,AO427/D427)</f>
        <v>#DIV/0!</v>
      </c>
      <c r="BK427" s="2" t="e">
        <f t="shared" si="188"/>
        <v>#DIV/0!</v>
      </c>
      <c r="BL427" s="2">
        <f>IF(O427&gt;0,IFERROR(IF('Entrada e Saida'!$H$11="DIRETA",0,(IF('Entrada e Saida'!$H$14="P.JURIDICA",(BD427*(1+O427)*N427)-((BD427/(1+M427))*'Entrada e Saida'!$G$65),((Produtos!N427-'Entrada e Saida'!$G$65)*Produtos!BD427)))),0),0)</f>
        <v>0</v>
      </c>
      <c r="BM427" s="2" t="e">
        <f t="shared" si="189"/>
        <v>#DIV/0!</v>
      </c>
    </row>
    <row r="428" spans="1:65" s="1" customFormat="1">
      <c r="A428" s="127"/>
      <c r="B428" s="114">
        <f>IFERROR(VLOOKUP(A428,'Master Modelo'!A:I,7,FALSE),0)</f>
        <v>0</v>
      </c>
      <c r="C428" s="116">
        <f>IFERROR(VLOOKUP(A428,'Master Modelo'!A:I,2,FALSE),0)</f>
        <v>0</v>
      </c>
      <c r="D428" s="146"/>
      <c r="E428" s="115">
        <f>IFERROR(VLOOKUP(A428,'Master Modelo'!A:I,9,FALSE),0)</f>
        <v>0</v>
      </c>
      <c r="F428" s="189">
        <f>IFERROR(VLOOKUP(A428,'Master Modelo'!A:I,8,FALSE),0)</f>
        <v>0</v>
      </c>
      <c r="G428" s="189">
        <f>IFERROR(VLOOKUP(A428,'Master Modelo'!A:K,11,FALSE),0)</f>
        <v>0</v>
      </c>
      <c r="H428" s="114" t="e">
        <f t="shared" si="172"/>
        <v>#DIV/0!</v>
      </c>
      <c r="I428" s="150">
        <f>IFERROR(VLOOKUP(A428,'Master Modelo'!A:I,3,FALSE),0)</f>
        <v>0</v>
      </c>
      <c r="J428" s="151">
        <f>IFERROR(VLOOKUP(A428,'Master Modelo'!A:I,5,FALSE),0)</f>
        <v>0</v>
      </c>
      <c r="K428" s="151">
        <f>IFERROR(VLOOKUP(A428,'Master Modelo'!A:I,6,FALSE),0)</f>
        <v>0</v>
      </c>
      <c r="L428" s="152" t="e">
        <f>VLOOKUP(A428,'Master Modelo'!A:J,10,FALSE)</f>
        <v>#N/A</v>
      </c>
      <c r="M428" s="150">
        <f>IFERROR(VLOOKUP(A428,'Master Modelo'!A:I,4,FALSE),0)</f>
        <v>0</v>
      </c>
      <c r="N428" s="128"/>
      <c r="O428" s="129"/>
      <c r="P428" s="9">
        <f t="shared" si="173"/>
        <v>0</v>
      </c>
      <c r="Q428" s="177">
        <f t="shared" si="171"/>
        <v>0</v>
      </c>
      <c r="R428" s="3">
        <f>D428*E428*'Entrada e Saida'!$K$8</f>
        <v>0</v>
      </c>
      <c r="S428" s="179" t="e">
        <f>'Entrada e Saida'!$H$21*'Entrada e Saida'!$K$8*(P428/(SUM(P:P)))</f>
        <v>#DIV/0!</v>
      </c>
      <c r="T428" s="179" t="e">
        <f>'Entrada e Saida'!$H$21*'Entrada e Saida'!$K$8*(Q428/(SUM(Q:Q)))</f>
        <v>#DIV/0!</v>
      </c>
      <c r="U428" s="179" t="e">
        <f>'Entrada e Saida'!$H$22*(P428/(SUM(P:P)))</f>
        <v>#DIV/0!</v>
      </c>
      <c r="V428" s="179" t="e">
        <f>'Entrada e Saida'!$H$22*(Q428/(SUM(Q:Q)))</f>
        <v>#DIV/0!</v>
      </c>
      <c r="W428" s="8" t="e">
        <f t="shared" si="174"/>
        <v>#DIV/0!</v>
      </c>
      <c r="X428" s="179" t="e">
        <f>'Entrada e Saida'!$H$26*(IF('Entrada e Saida'!$H$15="PESO",(P428/(SUM(P:P))),(Q428/(SUM(Q:Q)))))</f>
        <v>#DIV/0!</v>
      </c>
      <c r="Y428" s="179" t="e">
        <f>'Entrada e Saida'!$H$27*(IF('Entrada e Saida'!$H$15="PESO",(P428/(SUM(P:P))),(Q428/(SUM(Q:Q)))))</f>
        <v>#DIV/0!</v>
      </c>
      <c r="Z428" s="179" t="e">
        <f>'Entrada e Saida'!$H$28*(IF('Entrada e Saida'!$H$15="PESO",(P428/(SUM(P:P))),(Q428/(SUM(Q:Q)))))</f>
        <v>#DIV/0!</v>
      </c>
      <c r="AA428" s="10" t="e">
        <f t="shared" si="175"/>
        <v>#DIV/0!</v>
      </c>
      <c r="AB428" s="3" t="e">
        <f t="shared" si="176"/>
        <v>#DIV/0!</v>
      </c>
      <c r="AC428" s="3" t="e">
        <f t="shared" si="177"/>
        <v>#DIV/0!</v>
      </c>
      <c r="AD428" s="3" t="e">
        <f t="shared" si="178"/>
        <v>#DIV/0!</v>
      </c>
      <c r="AE428" s="9" t="e">
        <f t="shared" si="179"/>
        <v>#DIV/0!</v>
      </c>
      <c r="AF428" s="126">
        <f>IFERROR(D428*F428*L428*'Entrada e Saida'!$K$8,0)</f>
        <v>0</v>
      </c>
      <c r="AG428" s="3" t="e">
        <f>((W428+AA428+AB428+AC428+AD428+AE428+AF428)/(1-'Entrada e Saida'!$G$65))*'Entrada e Saida'!$I$66</f>
        <v>#DIV/0!</v>
      </c>
      <c r="AH428" s="8" t="e">
        <f t="shared" si="180"/>
        <v>#DIV/0!</v>
      </c>
      <c r="AI428" s="183" t="e">
        <f>'Entrada e Saida'!$K$51*(IF('Entrada e Saida'!$H$15="PESO",(P428/(SUM(P:P))),(Q428/(SUM(Q:Q)))))</f>
        <v>#DIV/0!</v>
      </c>
      <c r="AJ428" s="7">
        <f>(('Entrada e Saida'!$K$10-'Entrada e Saida'!$K$8)*E428*D428)</f>
        <v>0</v>
      </c>
      <c r="AK428" s="184" t="e">
        <f>IF('Entrada e Saida'!$H$15="PESO",W428+AA428+AH428+AI428+AJ428,W428+AA428+AH428+AI428+AJ428-S428+T428-U428+V428)</f>
        <v>#DIV/0!</v>
      </c>
      <c r="AL428" s="6" t="e">
        <f>IF('Entrada e Saida'!$H$12="REAL",AC428,0)</f>
        <v>#DIV/0!</v>
      </c>
      <c r="AM428" s="6" t="e">
        <f>IF('Entrada e Saida'!$H$12="REAL",AD428,0)</f>
        <v>#DIV/0!</v>
      </c>
      <c r="AN428" s="5" t="e">
        <f>IF('Entrada e Saida'!$H$13= "NÃO",AE428,0)</f>
        <v>#DIV/0!</v>
      </c>
      <c r="AO428" s="5" t="e">
        <f t="shared" si="181"/>
        <v>#DIV/0!</v>
      </c>
      <c r="AP428" s="4" t="e">
        <f t="shared" si="182"/>
        <v>#DIV/0!</v>
      </c>
      <c r="AQ428" s="3" t="e">
        <f>IF('Entrada e Saida'!$H$11="TRADING",AU428*'Custo Resumido'!D428,0)</f>
        <v>#DIV/0!</v>
      </c>
      <c r="AR428" s="3" t="e">
        <f>IF('Entrada e Saida'!$H$11="TRADING",AU428*'Entrada e Saida'!$G$63,0)</f>
        <v>#DIV/0!</v>
      </c>
      <c r="AS428" s="3" t="e">
        <f>IF('Entrada e Saida'!$H$11="TRADING",AU428*'Entrada e Saida'!$G$64,0)</f>
        <v>#DIV/0!</v>
      </c>
      <c r="AT428" s="3" t="e">
        <f>IF('Entrada e Saida'!$H$11="TRADING",AU428*'Entrada e Saida'!$G$65,0)</f>
        <v>#DIV/0!</v>
      </c>
      <c r="AU428" s="4" t="e">
        <f>IF('Entrada e Saida'!$H$11="TRADING",AP428/(1-(SUM('Entrada e Saida'!$G$63:$G$65)+'Custo Resumido'!D428)),0)</f>
        <v>#DIV/0!</v>
      </c>
      <c r="AV428" s="3" t="e">
        <f>IF('Entrada e Saida'!$H$13="NÃO",AU428*M428,0)</f>
        <v>#DIV/0!</v>
      </c>
      <c r="AW428" s="4" t="e">
        <f t="shared" si="183"/>
        <v>#DIV/0!</v>
      </c>
      <c r="AX428" s="3" t="e">
        <f>'Entrada e Saida'!$G$74*AU428</f>
        <v>#DIV/0!</v>
      </c>
      <c r="AY428" s="4" t="e">
        <f t="shared" si="184"/>
        <v>#DIV/0!</v>
      </c>
      <c r="AZ428" s="4" t="e">
        <f>AQ428+('Entrada e Saida'!$G$65-'Entrada e Saida'!$I$65)*AU428-AX428</f>
        <v>#DIV/0!</v>
      </c>
      <c r="BA428" s="3" t="e">
        <f>IF('Entrada e Saida'!$H$12="REAL",AZ428*'Entrada e Saida'!$G$81,AU428*'Entrada e Saida'!$G$81)</f>
        <v>#DIV/0!</v>
      </c>
      <c r="BB428" s="3" t="e">
        <f>IF('Entrada e Saida'!$H$12="REAL",AZ428*'Entrada e Saida'!$G$82,AU428*'Entrada e Saida'!$G$82)</f>
        <v>#DIV/0!</v>
      </c>
      <c r="BC428" s="4" t="e">
        <f t="shared" si="185"/>
        <v>#DIV/0!</v>
      </c>
      <c r="BD428" s="3" t="e">
        <f>IF('Entrada e Saida'!$H$11="TRADING",AW428/D428,AK428/D428)</f>
        <v>#DIV/0!</v>
      </c>
      <c r="BE428" s="3" t="e">
        <f t="shared" si="186"/>
        <v>#DIV/0!</v>
      </c>
      <c r="BF428" s="2" t="e">
        <f t="shared" si="187"/>
        <v>#DIV/0!</v>
      </c>
      <c r="BG428" s="3" t="e">
        <f>IF('Entrada e Saida'!$H$11="TRADING",AV428/D428,AN428/D428)</f>
        <v>#DIV/0!</v>
      </c>
      <c r="BH428" s="3" t="e">
        <f>IF('Entrada e Saida'!$H$11="TRADING",IF('Entrada e Saida'!$H$12="REAL",AR428/D428,0),AL428/D428)</f>
        <v>#DIV/0!</v>
      </c>
      <c r="BI428" s="3" t="e">
        <f>IF('Entrada e Saida'!$H$11="TRADING",IF('Entrada e Saida'!$H$12="REAL",AS428/D428,0),AM428/D428)</f>
        <v>#DIV/0!</v>
      </c>
      <c r="BJ428" s="3" t="e">
        <f>IF('Entrada e Saida'!$H$11="TRADING",AT428/D428,AO428/D428)</f>
        <v>#DIV/0!</v>
      </c>
      <c r="BK428" s="2" t="e">
        <f t="shared" si="188"/>
        <v>#DIV/0!</v>
      </c>
      <c r="BL428" s="2">
        <f>IF(O428&gt;0,IFERROR(IF('Entrada e Saida'!$H$11="DIRETA",0,(IF('Entrada e Saida'!$H$14="P.JURIDICA",(BD428*(1+O428)*N428)-((BD428/(1+M428))*'Entrada e Saida'!$G$65),((Produtos!N428-'Entrada e Saida'!$G$65)*Produtos!BD428)))),0),0)</f>
        <v>0</v>
      </c>
      <c r="BM428" s="2" t="e">
        <f t="shared" si="189"/>
        <v>#DIV/0!</v>
      </c>
    </row>
    <row r="429" spans="1:65" s="1" customFormat="1">
      <c r="A429" s="127"/>
      <c r="B429" s="114">
        <f>IFERROR(VLOOKUP(A429,'Master Modelo'!A:I,7,FALSE),0)</f>
        <v>0</v>
      </c>
      <c r="C429" s="116">
        <f>IFERROR(VLOOKUP(A429,'Master Modelo'!A:I,2,FALSE),0)</f>
        <v>0</v>
      </c>
      <c r="D429" s="146"/>
      <c r="E429" s="115">
        <f>IFERROR(VLOOKUP(A429,'Master Modelo'!A:I,9,FALSE),0)</f>
        <v>0</v>
      </c>
      <c r="F429" s="189">
        <f>IFERROR(VLOOKUP(A429,'Master Modelo'!A:I,8,FALSE),0)</f>
        <v>0</v>
      </c>
      <c r="G429" s="189">
        <f>IFERROR(VLOOKUP(A429,'Master Modelo'!A:K,11,FALSE),0)</f>
        <v>0</v>
      </c>
      <c r="H429" s="114" t="e">
        <f t="shared" si="172"/>
        <v>#DIV/0!</v>
      </c>
      <c r="I429" s="150">
        <f>IFERROR(VLOOKUP(A429,'Master Modelo'!A:I,3,FALSE),0)</f>
        <v>0</v>
      </c>
      <c r="J429" s="151">
        <f>IFERROR(VLOOKUP(A429,'Master Modelo'!A:I,5,FALSE),0)</f>
        <v>0</v>
      </c>
      <c r="K429" s="151">
        <f>IFERROR(VLOOKUP(A429,'Master Modelo'!A:I,6,FALSE),0)</f>
        <v>0</v>
      </c>
      <c r="L429" s="152" t="e">
        <f>VLOOKUP(A429,'Master Modelo'!A:J,10,FALSE)</f>
        <v>#N/A</v>
      </c>
      <c r="M429" s="150">
        <f>IFERROR(VLOOKUP(A429,'Master Modelo'!A:I,4,FALSE),0)</f>
        <v>0</v>
      </c>
      <c r="N429" s="128"/>
      <c r="O429" s="129"/>
      <c r="P429" s="9">
        <f t="shared" si="173"/>
        <v>0</v>
      </c>
      <c r="Q429" s="177">
        <f t="shared" si="171"/>
        <v>0</v>
      </c>
      <c r="R429" s="3">
        <f>D429*E429*'Entrada e Saida'!$K$8</f>
        <v>0</v>
      </c>
      <c r="S429" s="179" t="e">
        <f>'Entrada e Saida'!$H$21*'Entrada e Saida'!$K$8*(P429/(SUM(P:P)))</f>
        <v>#DIV/0!</v>
      </c>
      <c r="T429" s="179" t="e">
        <f>'Entrada e Saida'!$H$21*'Entrada e Saida'!$K$8*(Q429/(SUM(Q:Q)))</f>
        <v>#DIV/0!</v>
      </c>
      <c r="U429" s="179" t="e">
        <f>'Entrada e Saida'!$H$22*(P429/(SUM(P:P)))</f>
        <v>#DIV/0!</v>
      </c>
      <c r="V429" s="179" t="e">
        <f>'Entrada e Saida'!$H$22*(Q429/(SUM(Q:Q)))</f>
        <v>#DIV/0!</v>
      </c>
      <c r="W429" s="8" t="e">
        <f t="shared" si="174"/>
        <v>#DIV/0!</v>
      </c>
      <c r="X429" s="179" t="e">
        <f>'Entrada e Saida'!$H$26*(IF('Entrada e Saida'!$H$15="PESO",(P429/(SUM(P:P))),(Q429/(SUM(Q:Q)))))</f>
        <v>#DIV/0!</v>
      </c>
      <c r="Y429" s="179" t="e">
        <f>'Entrada e Saida'!$H$27*(IF('Entrada e Saida'!$H$15="PESO",(P429/(SUM(P:P))),(Q429/(SUM(Q:Q)))))</f>
        <v>#DIV/0!</v>
      </c>
      <c r="Z429" s="179" t="e">
        <f>'Entrada e Saida'!$H$28*(IF('Entrada e Saida'!$H$15="PESO",(P429/(SUM(P:P))),(Q429/(SUM(Q:Q)))))</f>
        <v>#DIV/0!</v>
      </c>
      <c r="AA429" s="10" t="e">
        <f t="shared" si="175"/>
        <v>#DIV/0!</v>
      </c>
      <c r="AB429" s="3" t="e">
        <f t="shared" si="176"/>
        <v>#DIV/0!</v>
      </c>
      <c r="AC429" s="3" t="e">
        <f t="shared" si="177"/>
        <v>#DIV/0!</v>
      </c>
      <c r="AD429" s="3" t="e">
        <f t="shared" si="178"/>
        <v>#DIV/0!</v>
      </c>
      <c r="AE429" s="9" t="e">
        <f t="shared" si="179"/>
        <v>#DIV/0!</v>
      </c>
      <c r="AF429" s="126">
        <f>IFERROR(D429*F429*L429*'Entrada e Saida'!$K$8,0)</f>
        <v>0</v>
      </c>
      <c r="AG429" s="3" t="e">
        <f>((W429+AA429+AB429+AC429+AD429+AE429+AF429)/(1-'Entrada e Saida'!$G$65))*'Entrada e Saida'!$I$66</f>
        <v>#DIV/0!</v>
      </c>
      <c r="AH429" s="8" t="e">
        <f t="shared" si="180"/>
        <v>#DIV/0!</v>
      </c>
      <c r="AI429" s="183" t="e">
        <f>'Entrada e Saida'!$K$51*(IF('Entrada e Saida'!$H$15="PESO",(P429/(SUM(P:P))),(Q429/(SUM(Q:Q)))))</f>
        <v>#DIV/0!</v>
      </c>
      <c r="AJ429" s="7">
        <f>(('Entrada e Saida'!$K$10-'Entrada e Saida'!$K$8)*E429*D429)</f>
        <v>0</v>
      </c>
      <c r="AK429" s="184" t="e">
        <f>IF('Entrada e Saida'!$H$15="PESO",W429+AA429+AH429+AI429+AJ429,W429+AA429+AH429+AI429+AJ429-S429+T429-U429+V429)</f>
        <v>#DIV/0!</v>
      </c>
      <c r="AL429" s="6" t="e">
        <f>IF('Entrada e Saida'!$H$12="REAL",AC429,0)</f>
        <v>#DIV/0!</v>
      </c>
      <c r="AM429" s="6" t="e">
        <f>IF('Entrada e Saida'!$H$12="REAL",AD429,0)</f>
        <v>#DIV/0!</v>
      </c>
      <c r="AN429" s="5" t="e">
        <f>IF('Entrada e Saida'!$H$13= "NÃO",AE429,0)</f>
        <v>#DIV/0!</v>
      </c>
      <c r="AO429" s="5" t="e">
        <f t="shared" si="181"/>
        <v>#DIV/0!</v>
      </c>
      <c r="AP429" s="4" t="e">
        <f t="shared" si="182"/>
        <v>#DIV/0!</v>
      </c>
      <c r="AQ429" s="3" t="e">
        <f>IF('Entrada e Saida'!$H$11="TRADING",AU429*'Custo Resumido'!D429,0)</f>
        <v>#DIV/0!</v>
      </c>
      <c r="AR429" s="3" t="e">
        <f>IF('Entrada e Saida'!$H$11="TRADING",AU429*'Entrada e Saida'!$G$63,0)</f>
        <v>#DIV/0!</v>
      </c>
      <c r="AS429" s="3" t="e">
        <f>IF('Entrada e Saida'!$H$11="TRADING",AU429*'Entrada e Saida'!$G$64,0)</f>
        <v>#DIV/0!</v>
      </c>
      <c r="AT429" s="3" t="e">
        <f>IF('Entrada e Saida'!$H$11="TRADING",AU429*'Entrada e Saida'!$G$65,0)</f>
        <v>#DIV/0!</v>
      </c>
      <c r="AU429" s="4" t="e">
        <f>IF('Entrada e Saida'!$H$11="TRADING",AP429/(1-(SUM('Entrada e Saida'!$G$63:$G$65)+'Custo Resumido'!D429)),0)</f>
        <v>#DIV/0!</v>
      </c>
      <c r="AV429" s="3" t="e">
        <f>IF('Entrada e Saida'!$H$13="NÃO",AU429*M429,0)</f>
        <v>#DIV/0!</v>
      </c>
      <c r="AW429" s="4" t="e">
        <f t="shared" si="183"/>
        <v>#DIV/0!</v>
      </c>
      <c r="AX429" s="3" t="e">
        <f>'Entrada e Saida'!$G$74*AU429</f>
        <v>#DIV/0!</v>
      </c>
      <c r="AY429" s="4" t="e">
        <f t="shared" si="184"/>
        <v>#DIV/0!</v>
      </c>
      <c r="AZ429" s="4" t="e">
        <f>AQ429+('Entrada e Saida'!$G$65-'Entrada e Saida'!$I$65)*AU429-AX429</f>
        <v>#DIV/0!</v>
      </c>
      <c r="BA429" s="3" t="e">
        <f>IF('Entrada e Saida'!$H$12="REAL",AZ429*'Entrada e Saida'!$G$81,AU429*'Entrada e Saida'!$G$81)</f>
        <v>#DIV/0!</v>
      </c>
      <c r="BB429" s="3" t="e">
        <f>IF('Entrada e Saida'!$H$12="REAL",AZ429*'Entrada e Saida'!$G$82,AU429*'Entrada e Saida'!$G$82)</f>
        <v>#DIV/0!</v>
      </c>
      <c r="BC429" s="4" t="e">
        <f t="shared" si="185"/>
        <v>#DIV/0!</v>
      </c>
      <c r="BD429" s="3" t="e">
        <f>IF('Entrada e Saida'!$H$11="TRADING",AW429/D429,AK429/D429)</f>
        <v>#DIV/0!</v>
      </c>
      <c r="BE429" s="3" t="e">
        <f t="shared" si="186"/>
        <v>#DIV/0!</v>
      </c>
      <c r="BF429" s="2" t="e">
        <f t="shared" si="187"/>
        <v>#DIV/0!</v>
      </c>
      <c r="BG429" s="3" t="e">
        <f>IF('Entrada e Saida'!$H$11="TRADING",AV429/D429,AN429/D429)</f>
        <v>#DIV/0!</v>
      </c>
      <c r="BH429" s="3" t="e">
        <f>IF('Entrada e Saida'!$H$11="TRADING",IF('Entrada e Saida'!$H$12="REAL",AR429/D429,0),AL429/D429)</f>
        <v>#DIV/0!</v>
      </c>
      <c r="BI429" s="3" t="e">
        <f>IF('Entrada e Saida'!$H$11="TRADING",IF('Entrada e Saida'!$H$12="REAL",AS429/D429,0),AM429/D429)</f>
        <v>#DIV/0!</v>
      </c>
      <c r="BJ429" s="3" t="e">
        <f>IF('Entrada e Saida'!$H$11="TRADING",AT429/D429,AO429/D429)</f>
        <v>#DIV/0!</v>
      </c>
      <c r="BK429" s="2" t="e">
        <f t="shared" si="188"/>
        <v>#DIV/0!</v>
      </c>
      <c r="BL429" s="2">
        <f>IF(O429&gt;0,IFERROR(IF('Entrada e Saida'!$H$11="DIRETA",0,(IF('Entrada e Saida'!$H$14="P.JURIDICA",(BD429*(1+O429)*N429)-((BD429/(1+M429))*'Entrada e Saida'!$G$65),((Produtos!N429-'Entrada e Saida'!$G$65)*Produtos!BD429)))),0),0)</f>
        <v>0</v>
      </c>
      <c r="BM429" s="2" t="e">
        <f t="shared" si="189"/>
        <v>#DIV/0!</v>
      </c>
    </row>
    <row r="430" spans="1:65" s="1" customFormat="1">
      <c r="A430" s="127"/>
      <c r="B430" s="114">
        <f>IFERROR(VLOOKUP(A430,'Master Modelo'!A:I,7,FALSE),0)</f>
        <v>0</v>
      </c>
      <c r="C430" s="116">
        <f>IFERROR(VLOOKUP(A430,'Master Modelo'!A:I,2,FALSE),0)</f>
        <v>0</v>
      </c>
      <c r="D430" s="146"/>
      <c r="E430" s="115">
        <f>IFERROR(VLOOKUP(A430,'Master Modelo'!A:I,9,FALSE),0)</f>
        <v>0</v>
      </c>
      <c r="F430" s="189">
        <f>IFERROR(VLOOKUP(A430,'Master Modelo'!A:I,8,FALSE),0)</f>
        <v>0</v>
      </c>
      <c r="G430" s="189">
        <f>IFERROR(VLOOKUP(A430,'Master Modelo'!A:K,11,FALSE),0)</f>
        <v>0</v>
      </c>
      <c r="H430" s="114" t="e">
        <f t="shared" si="172"/>
        <v>#DIV/0!</v>
      </c>
      <c r="I430" s="150">
        <f>IFERROR(VLOOKUP(A430,'Master Modelo'!A:I,3,FALSE),0)</f>
        <v>0</v>
      </c>
      <c r="J430" s="151">
        <f>IFERROR(VLOOKUP(A430,'Master Modelo'!A:I,5,FALSE),0)</f>
        <v>0</v>
      </c>
      <c r="K430" s="151">
        <f>IFERROR(VLOOKUP(A430,'Master Modelo'!A:I,6,FALSE),0)</f>
        <v>0</v>
      </c>
      <c r="L430" s="152" t="e">
        <f>VLOOKUP(A430,'Master Modelo'!A:J,10,FALSE)</f>
        <v>#N/A</v>
      </c>
      <c r="M430" s="150">
        <f>IFERROR(VLOOKUP(A430,'Master Modelo'!A:I,4,FALSE),0)</f>
        <v>0</v>
      </c>
      <c r="N430" s="128"/>
      <c r="O430" s="129"/>
      <c r="P430" s="9">
        <f t="shared" si="173"/>
        <v>0</v>
      </c>
      <c r="Q430" s="177">
        <f t="shared" si="171"/>
        <v>0</v>
      </c>
      <c r="R430" s="3">
        <f>D430*E430*'Entrada e Saida'!$K$8</f>
        <v>0</v>
      </c>
      <c r="S430" s="179" t="e">
        <f>'Entrada e Saida'!$H$21*'Entrada e Saida'!$K$8*(P430/(SUM(P:P)))</f>
        <v>#DIV/0!</v>
      </c>
      <c r="T430" s="179" t="e">
        <f>'Entrada e Saida'!$H$21*'Entrada e Saida'!$K$8*(Q430/(SUM(Q:Q)))</f>
        <v>#DIV/0!</v>
      </c>
      <c r="U430" s="179" t="e">
        <f>'Entrada e Saida'!$H$22*(P430/(SUM(P:P)))</f>
        <v>#DIV/0!</v>
      </c>
      <c r="V430" s="179" t="e">
        <f>'Entrada e Saida'!$H$22*(Q430/(SUM(Q:Q)))</f>
        <v>#DIV/0!</v>
      </c>
      <c r="W430" s="8" t="e">
        <f t="shared" si="174"/>
        <v>#DIV/0!</v>
      </c>
      <c r="X430" s="179" t="e">
        <f>'Entrada e Saida'!$H$26*(IF('Entrada e Saida'!$H$15="PESO",(P430/(SUM(P:P))),(Q430/(SUM(Q:Q)))))</f>
        <v>#DIV/0!</v>
      </c>
      <c r="Y430" s="179" t="e">
        <f>'Entrada e Saida'!$H$27*(IF('Entrada e Saida'!$H$15="PESO",(P430/(SUM(P:P))),(Q430/(SUM(Q:Q)))))</f>
        <v>#DIV/0!</v>
      </c>
      <c r="Z430" s="179" t="e">
        <f>'Entrada e Saida'!$H$28*(IF('Entrada e Saida'!$H$15="PESO",(P430/(SUM(P:P))),(Q430/(SUM(Q:Q)))))</f>
        <v>#DIV/0!</v>
      </c>
      <c r="AA430" s="10" t="e">
        <f t="shared" si="175"/>
        <v>#DIV/0!</v>
      </c>
      <c r="AB430" s="3" t="e">
        <f t="shared" si="176"/>
        <v>#DIV/0!</v>
      </c>
      <c r="AC430" s="3" t="e">
        <f t="shared" si="177"/>
        <v>#DIV/0!</v>
      </c>
      <c r="AD430" s="3" t="e">
        <f t="shared" si="178"/>
        <v>#DIV/0!</v>
      </c>
      <c r="AE430" s="9" t="e">
        <f t="shared" si="179"/>
        <v>#DIV/0!</v>
      </c>
      <c r="AF430" s="126">
        <f>IFERROR(D430*F430*L430*'Entrada e Saida'!$K$8,0)</f>
        <v>0</v>
      </c>
      <c r="AG430" s="3" t="e">
        <f>((W430+AA430+AB430+AC430+AD430+AE430+AF430)/(1-'Entrada e Saida'!$G$65))*'Entrada e Saida'!$I$66</f>
        <v>#DIV/0!</v>
      </c>
      <c r="AH430" s="8" t="e">
        <f t="shared" si="180"/>
        <v>#DIV/0!</v>
      </c>
      <c r="AI430" s="183" t="e">
        <f>'Entrada e Saida'!$K$51*(IF('Entrada e Saida'!$H$15="PESO",(P430/(SUM(P:P))),(Q430/(SUM(Q:Q)))))</f>
        <v>#DIV/0!</v>
      </c>
      <c r="AJ430" s="7">
        <f>(('Entrada e Saida'!$K$10-'Entrada e Saida'!$K$8)*E430*D430)</f>
        <v>0</v>
      </c>
      <c r="AK430" s="184" t="e">
        <f>IF('Entrada e Saida'!$H$15="PESO",W430+AA430+AH430+AI430+AJ430,W430+AA430+AH430+AI430+AJ430-S430+T430-U430+V430)</f>
        <v>#DIV/0!</v>
      </c>
      <c r="AL430" s="6" t="e">
        <f>IF('Entrada e Saida'!$H$12="REAL",AC430,0)</f>
        <v>#DIV/0!</v>
      </c>
      <c r="AM430" s="6" t="e">
        <f>IF('Entrada e Saida'!$H$12="REAL",AD430,0)</f>
        <v>#DIV/0!</v>
      </c>
      <c r="AN430" s="5" t="e">
        <f>IF('Entrada e Saida'!$H$13= "NÃO",AE430,0)</f>
        <v>#DIV/0!</v>
      </c>
      <c r="AO430" s="5" t="e">
        <f t="shared" si="181"/>
        <v>#DIV/0!</v>
      </c>
      <c r="AP430" s="4" t="e">
        <f t="shared" si="182"/>
        <v>#DIV/0!</v>
      </c>
      <c r="AQ430" s="3" t="e">
        <f>IF('Entrada e Saida'!$H$11="TRADING",AU430*'Custo Resumido'!D430,0)</f>
        <v>#DIV/0!</v>
      </c>
      <c r="AR430" s="3" t="e">
        <f>IF('Entrada e Saida'!$H$11="TRADING",AU430*'Entrada e Saida'!$G$63,0)</f>
        <v>#DIV/0!</v>
      </c>
      <c r="AS430" s="3" t="e">
        <f>IF('Entrada e Saida'!$H$11="TRADING",AU430*'Entrada e Saida'!$G$64,0)</f>
        <v>#DIV/0!</v>
      </c>
      <c r="AT430" s="3" t="e">
        <f>IF('Entrada e Saida'!$H$11="TRADING",AU430*'Entrada e Saida'!$G$65,0)</f>
        <v>#DIV/0!</v>
      </c>
      <c r="AU430" s="4" t="e">
        <f>IF('Entrada e Saida'!$H$11="TRADING",AP430/(1-(SUM('Entrada e Saida'!$G$63:$G$65)+'Custo Resumido'!D430)),0)</f>
        <v>#DIV/0!</v>
      </c>
      <c r="AV430" s="3" t="e">
        <f>IF('Entrada e Saida'!$H$13="NÃO",AU430*M430,0)</f>
        <v>#DIV/0!</v>
      </c>
      <c r="AW430" s="4" t="e">
        <f t="shared" si="183"/>
        <v>#DIV/0!</v>
      </c>
      <c r="AX430" s="3" t="e">
        <f>'Entrada e Saida'!$G$74*AU430</f>
        <v>#DIV/0!</v>
      </c>
      <c r="AY430" s="4" t="e">
        <f t="shared" si="184"/>
        <v>#DIV/0!</v>
      </c>
      <c r="AZ430" s="4" t="e">
        <f>AQ430+('Entrada e Saida'!$G$65-'Entrada e Saida'!$I$65)*AU430-AX430</f>
        <v>#DIV/0!</v>
      </c>
      <c r="BA430" s="3" t="e">
        <f>IF('Entrada e Saida'!$H$12="REAL",AZ430*'Entrada e Saida'!$G$81,AU430*'Entrada e Saida'!$G$81)</f>
        <v>#DIV/0!</v>
      </c>
      <c r="BB430" s="3" t="e">
        <f>IF('Entrada e Saida'!$H$12="REAL",AZ430*'Entrada e Saida'!$G$82,AU430*'Entrada e Saida'!$G$82)</f>
        <v>#DIV/0!</v>
      </c>
      <c r="BC430" s="4" t="e">
        <f t="shared" si="185"/>
        <v>#DIV/0!</v>
      </c>
      <c r="BD430" s="3" t="e">
        <f>IF('Entrada e Saida'!$H$11="TRADING",AW430/D430,AK430/D430)</f>
        <v>#DIV/0!</v>
      </c>
      <c r="BE430" s="3" t="e">
        <f t="shared" si="186"/>
        <v>#DIV/0!</v>
      </c>
      <c r="BF430" s="2" t="e">
        <f t="shared" si="187"/>
        <v>#DIV/0!</v>
      </c>
      <c r="BG430" s="3" t="e">
        <f>IF('Entrada e Saida'!$H$11="TRADING",AV430/D430,AN430/D430)</f>
        <v>#DIV/0!</v>
      </c>
      <c r="BH430" s="3" t="e">
        <f>IF('Entrada e Saida'!$H$11="TRADING",IF('Entrada e Saida'!$H$12="REAL",AR430/D430,0),AL430/D430)</f>
        <v>#DIV/0!</v>
      </c>
      <c r="BI430" s="3" t="e">
        <f>IF('Entrada e Saida'!$H$11="TRADING",IF('Entrada e Saida'!$H$12="REAL",AS430/D430,0),AM430/D430)</f>
        <v>#DIV/0!</v>
      </c>
      <c r="BJ430" s="3" t="e">
        <f>IF('Entrada e Saida'!$H$11="TRADING",AT430/D430,AO430/D430)</f>
        <v>#DIV/0!</v>
      </c>
      <c r="BK430" s="2" t="e">
        <f t="shared" si="188"/>
        <v>#DIV/0!</v>
      </c>
      <c r="BL430" s="2">
        <f>IF(O430&gt;0,IFERROR(IF('Entrada e Saida'!$H$11="DIRETA",0,(IF('Entrada e Saida'!$H$14="P.JURIDICA",(BD430*(1+O430)*N430)-((BD430/(1+M430))*'Entrada e Saida'!$G$65),((Produtos!N430-'Entrada e Saida'!$G$65)*Produtos!BD430)))),0),0)</f>
        <v>0</v>
      </c>
      <c r="BM430" s="2" t="e">
        <f t="shared" si="189"/>
        <v>#DIV/0!</v>
      </c>
    </row>
    <row r="431" spans="1:65" s="1" customFormat="1">
      <c r="A431" s="127"/>
      <c r="B431" s="114">
        <f>IFERROR(VLOOKUP(A431,'Master Modelo'!A:I,7,FALSE),0)</f>
        <v>0</v>
      </c>
      <c r="C431" s="116">
        <f>IFERROR(VLOOKUP(A431,'Master Modelo'!A:I,2,FALSE),0)</f>
        <v>0</v>
      </c>
      <c r="D431" s="146"/>
      <c r="E431" s="115">
        <f>IFERROR(VLOOKUP(A431,'Master Modelo'!A:I,9,FALSE),0)</f>
        <v>0</v>
      </c>
      <c r="F431" s="189">
        <f>IFERROR(VLOOKUP(A431,'Master Modelo'!A:I,8,FALSE),0)</f>
        <v>0</v>
      </c>
      <c r="G431" s="189">
        <f>IFERROR(VLOOKUP(A431,'Master Modelo'!A:K,11,FALSE),0)</f>
        <v>0</v>
      </c>
      <c r="H431" s="114" t="e">
        <f t="shared" si="172"/>
        <v>#DIV/0!</v>
      </c>
      <c r="I431" s="150">
        <f>IFERROR(VLOOKUP(A431,'Master Modelo'!A:I,3,FALSE),0)</f>
        <v>0</v>
      </c>
      <c r="J431" s="151">
        <f>IFERROR(VLOOKUP(A431,'Master Modelo'!A:I,5,FALSE),0)</f>
        <v>0</v>
      </c>
      <c r="K431" s="151">
        <f>IFERROR(VLOOKUP(A431,'Master Modelo'!A:I,6,FALSE),0)</f>
        <v>0</v>
      </c>
      <c r="L431" s="152" t="e">
        <f>VLOOKUP(A431,'Master Modelo'!A:J,10,FALSE)</f>
        <v>#N/A</v>
      </c>
      <c r="M431" s="150">
        <f>IFERROR(VLOOKUP(A431,'Master Modelo'!A:I,4,FALSE),0)</f>
        <v>0</v>
      </c>
      <c r="N431" s="128"/>
      <c r="O431" s="129"/>
      <c r="P431" s="9">
        <f t="shared" si="173"/>
        <v>0</v>
      </c>
      <c r="Q431" s="177">
        <f t="shared" si="171"/>
        <v>0</v>
      </c>
      <c r="R431" s="3">
        <f>D431*E431*'Entrada e Saida'!$K$8</f>
        <v>0</v>
      </c>
      <c r="S431" s="179" t="e">
        <f>'Entrada e Saida'!$H$21*'Entrada e Saida'!$K$8*(P431/(SUM(P:P)))</f>
        <v>#DIV/0!</v>
      </c>
      <c r="T431" s="179" t="e">
        <f>'Entrada e Saida'!$H$21*'Entrada e Saida'!$K$8*(Q431/(SUM(Q:Q)))</f>
        <v>#DIV/0!</v>
      </c>
      <c r="U431" s="179" t="e">
        <f>'Entrada e Saida'!$H$22*(P431/(SUM(P:P)))</f>
        <v>#DIV/0!</v>
      </c>
      <c r="V431" s="179" t="e">
        <f>'Entrada e Saida'!$H$22*(Q431/(SUM(Q:Q)))</f>
        <v>#DIV/0!</v>
      </c>
      <c r="W431" s="8" t="e">
        <f t="shared" si="174"/>
        <v>#DIV/0!</v>
      </c>
      <c r="X431" s="179" t="e">
        <f>'Entrada e Saida'!$H$26*(IF('Entrada e Saida'!$H$15="PESO",(P431/(SUM(P:P))),(Q431/(SUM(Q:Q)))))</f>
        <v>#DIV/0!</v>
      </c>
      <c r="Y431" s="179" t="e">
        <f>'Entrada e Saida'!$H$27*(IF('Entrada e Saida'!$H$15="PESO",(P431/(SUM(P:P))),(Q431/(SUM(Q:Q)))))</f>
        <v>#DIV/0!</v>
      </c>
      <c r="Z431" s="179" t="e">
        <f>'Entrada e Saida'!$H$28*(IF('Entrada e Saida'!$H$15="PESO",(P431/(SUM(P:P))),(Q431/(SUM(Q:Q)))))</f>
        <v>#DIV/0!</v>
      </c>
      <c r="AA431" s="10" t="e">
        <f t="shared" si="175"/>
        <v>#DIV/0!</v>
      </c>
      <c r="AB431" s="3" t="e">
        <f t="shared" si="176"/>
        <v>#DIV/0!</v>
      </c>
      <c r="AC431" s="3" t="e">
        <f t="shared" si="177"/>
        <v>#DIV/0!</v>
      </c>
      <c r="AD431" s="3" t="e">
        <f t="shared" si="178"/>
        <v>#DIV/0!</v>
      </c>
      <c r="AE431" s="9" t="e">
        <f t="shared" si="179"/>
        <v>#DIV/0!</v>
      </c>
      <c r="AF431" s="126">
        <f>IFERROR(D431*F431*L431*'Entrada e Saida'!$K$8,0)</f>
        <v>0</v>
      </c>
      <c r="AG431" s="3" t="e">
        <f>((W431+AA431+AB431+AC431+AD431+AE431+AF431)/(1-'Entrada e Saida'!$G$65))*'Entrada e Saida'!$I$66</f>
        <v>#DIV/0!</v>
      </c>
      <c r="AH431" s="8" t="e">
        <f t="shared" si="180"/>
        <v>#DIV/0!</v>
      </c>
      <c r="AI431" s="183" t="e">
        <f>'Entrada e Saida'!$K$51*(IF('Entrada e Saida'!$H$15="PESO",(P431/(SUM(P:P))),(Q431/(SUM(Q:Q)))))</f>
        <v>#DIV/0!</v>
      </c>
      <c r="AJ431" s="7">
        <f>(('Entrada e Saida'!$K$10-'Entrada e Saida'!$K$8)*E431*D431)</f>
        <v>0</v>
      </c>
      <c r="AK431" s="184" t="e">
        <f>IF('Entrada e Saida'!$H$15="PESO",W431+AA431+AH431+AI431+AJ431,W431+AA431+AH431+AI431+AJ431-S431+T431-U431+V431)</f>
        <v>#DIV/0!</v>
      </c>
      <c r="AL431" s="6" t="e">
        <f>IF('Entrada e Saida'!$H$12="REAL",AC431,0)</f>
        <v>#DIV/0!</v>
      </c>
      <c r="AM431" s="6" t="e">
        <f>IF('Entrada e Saida'!$H$12="REAL",AD431,0)</f>
        <v>#DIV/0!</v>
      </c>
      <c r="AN431" s="5" t="e">
        <f>IF('Entrada e Saida'!$H$13= "NÃO",AE431,0)</f>
        <v>#DIV/0!</v>
      </c>
      <c r="AO431" s="5" t="e">
        <f t="shared" si="181"/>
        <v>#DIV/0!</v>
      </c>
      <c r="AP431" s="4" t="e">
        <f t="shared" si="182"/>
        <v>#DIV/0!</v>
      </c>
      <c r="AQ431" s="3" t="e">
        <f>IF('Entrada e Saida'!$H$11="TRADING",AU431*'Custo Resumido'!D431,0)</f>
        <v>#DIV/0!</v>
      </c>
      <c r="AR431" s="3" t="e">
        <f>IF('Entrada e Saida'!$H$11="TRADING",AU431*'Entrada e Saida'!$G$63,0)</f>
        <v>#DIV/0!</v>
      </c>
      <c r="AS431" s="3" t="e">
        <f>IF('Entrada e Saida'!$H$11="TRADING",AU431*'Entrada e Saida'!$G$64,0)</f>
        <v>#DIV/0!</v>
      </c>
      <c r="AT431" s="3" t="e">
        <f>IF('Entrada e Saida'!$H$11="TRADING",AU431*'Entrada e Saida'!$G$65,0)</f>
        <v>#DIV/0!</v>
      </c>
      <c r="AU431" s="4" t="e">
        <f>IF('Entrada e Saida'!$H$11="TRADING",AP431/(1-(SUM('Entrada e Saida'!$G$63:$G$65)+'Custo Resumido'!D431)),0)</f>
        <v>#DIV/0!</v>
      </c>
      <c r="AV431" s="3" t="e">
        <f>IF('Entrada e Saida'!$H$13="NÃO",AU431*M431,0)</f>
        <v>#DIV/0!</v>
      </c>
      <c r="AW431" s="4" t="e">
        <f t="shared" si="183"/>
        <v>#DIV/0!</v>
      </c>
      <c r="AX431" s="3" t="e">
        <f>'Entrada e Saida'!$G$74*AU431</f>
        <v>#DIV/0!</v>
      </c>
      <c r="AY431" s="4" t="e">
        <f t="shared" si="184"/>
        <v>#DIV/0!</v>
      </c>
      <c r="AZ431" s="4" t="e">
        <f>AQ431+('Entrada e Saida'!$G$65-'Entrada e Saida'!$I$65)*AU431-AX431</f>
        <v>#DIV/0!</v>
      </c>
      <c r="BA431" s="3" t="e">
        <f>IF('Entrada e Saida'!$H$12="REAL",AZ431*'Entrada e Saida'!$G$81,AU431*'Entrada e Saida'!$G$81)</f>
        <v>#DIV/0!</v>
      </c>
      <c r="BB431" s="3" t="e">
        <f>IF('Entrada e Saida'!$H$12="REAL",AZ431*'Entrada e Saida'!$G$82,AU431*'Entrada e Saida'!$G$82)</f>
        <v>#DIV/0!</v>
      </c>
      <c r="BC431" s="4" t="e">
        <f t="shared" si="185"/>
        <v>#DIV/0!</v>
      </c>
      <c r="BD431" s="3" t="e">
        <f>IF('Entrada e Saida'!$H$11="TRADING",AW431/D431,AK431/D431)</f>
        <v>#DIV/0!</v>
      </c>
      <c r="BE431" s="3" t="e">
        <f t="shared" si="186"/>
        <v>#DIV/0!</v>
      </c>
      <c r="BF431" s="2" t="e">
        <f t="shared" si="187"/>
        <v>#DIV/0!</v>
      </c>
      <c r="BG431" s="3" t="e">
        <f>IF('Entrada e Saida'!$H$11="TRADING",AV431/D431,AN431/D431)</f>
        <v>#DIV/0!</v>
      </c>
      <c r="BH431" s="3" t="e">
        <f>IF('Entrada e Saida'!$H$11="TRADING",IF('Entrada e Saida'!$H$12="REAL",AR431/D431,0),AL431/D431)</f>
        <v>#DIV/0!</v>
      </c>
      <c r="BI431" s="3" t="e">
        <f>IF('Entrada e Saida'!$H$11="TRADING",IF('Entrada e Saida'!$H$12="REAL",AS431/D431,0),AM431/D431)</f>
        <v>#DIV/0!</v>
      </c>
      <c r="BJ431" s="3" t="e">
        <f>IF('Entrada e Saida'!$H$11="TRADING",AT431/D431,AO431/D431)</f>
        <v>#DIV/0!</v>
      </c>
      <c r="BK431" s="2" t="e">
        <f t="shared" si="188"/>
        <v>#DIV/0!</v>
      </c>
      <c r="BL431" s="2">
        <f>IF(O431&gt;0,IFERROR(IF('Entrada e Saida'!$H$11="DIRETA",0,(IF('Entrada e Saida'!$H$14="P.JURIDICA",(BD431*(1+O431)*N431)-((BD431/(1+M431))*'Entrada e Saida'!$G$65),((Produtos!N431-'Entrada e Saida'!$G$65)*Produtos!BD431)))),0),0)</f>
        <v>0</v>
      </c>
      <c r="BM431" s="2" t="e">
        <f t="shared" si="189"/>
        <v>#DIV/0!</v>
      </c>
    </row>
    <row r="432" spans="1:65" s="1" customFormat="1">
      <c r="A432" s="127"/>
      <c r="B432" s="114">
        <f>IFERROR(VLOOKUP(A432,'Master Modelo'!A:I,7,FALSE),0)</f>
        <v>0</v>
      </c>
      <c r="C432" s="116">
        <f>IFERROR(VLOOKUP(A432,'Master Modelo'!A:I,2,FALSE),0)</f>
        <v>0</v>
      </c>
      <c r="D432" s="146"/>
      <c r="E432" s="115">
        <f>IFERROR(VLOOKUP(A432,'Master Modelo'!A:I,9,FALSE),0)</f>
        <v>0</v>
      </c>
      <c r="F432" s="189">
        <f>IFERROR(VLOOKUP(A432,'Master Modelo'!A:I,8,FALSE),0)</f>
        <v>0</v>
      </c>
      <c r="G432" s="189">
        <f>IFERROR(VLOOKUP(A432,'Master Modelo'!A:K,11,FALSE),0)</f>
        <v>0</v>
      </c>
      <c r="H432" s="114" t="e">
        <f t="shared" si="172"/>
        <v>#DIV/0!</v>
      </c>
      <c r="I432" s="150">
        <f>IFERROR(VLOOKUP(A432,'Master Modelo'!A:I,3,FALSE),0)</f>
        <v>0</v>
      </c>
      <c r="J432" s="151">
        <f>IFERROR(VLOOKUP(A432,'Master Modelo'!A:I,5,FALSE),0)</f>
        <v>0</v>
      </c>
      <c r="K432" s="151">
        <f>IFERROR(VLOOKUP(A432,'Master Modelo'!A:I,6,FALSE),0)</f>
        <v>0</v>
      </c>
      <c r="L432" s="152" t="e">
        <f>VLOOKUP(A432,'Master Modelo'!A:J,10,FALSE)</f>
        <v>#N/A</v>
      </c>
      <c r="M432" s="150">
        <f>IFERROR(VLOOKUP(A432,'Master Modelo'!A:I,4,FALSE),0)</f>
        <v>0</v>
      </c>
      <c r="N432" s="128"/>
      <c r="O432" s="129"/>
      <c r="P432" s="9">
        <f t="shared" si="173"/>
        <v>0</v>
      </c>
      <c r="Q432" s="177">
        <f t="shared" si="171"/>
        <v>0</v>
      </c>
      <c r="R432" s="3">
        <f>D432*E432*'Entrada e Saida'!$K$8</f>
        <v>0</v>
      </c>
      <c r="S432" s="179" t="e">
        <f>'Entrada e Saida'!$H$21*'Entrada e Saida'!$K$8*(P432/(SUM(P:P)))</f>
        <v>#DIV/0!</v>
      </c>
      <c r="T432" s="179" t="e">
        <f>'Entrada e Saida'!$H$21*'Entrada e Saida'!$K$8*(Q432/(SUM(Q:Q)))</f>
        <v>#DIV/0!</v>
      </c>
      <c r="U432" s="179" t="e">
        <f>'Entrada e Saida'!$H$22*(P432/(SUM(P:P)))</f>
        <v>#DIV/0!</v>
      </c>
      <c r="V432" s="179" t="e">
        <f>'Entrada e Saida'!$H$22*(Q432/(SUM(Q:Q)))</f>
        <v>#DIV/0!</v>
      </c>
      <c r="W432" s="8" t="e">
        <f t="shared" si="174"/>
        <v>#DIV/0!</v>
      </c>
      <c r="X432" s="179" t="e">
        <f>'Entrada e Saida'!$H$26*(IF('Entrada e Saida'!$H$15="PESO",(P432/(SUM(P:P))),(Q432/(SUM(Q:Q)))))</f>
        <v>#DIV/0!</v>
      </c>
      <c r="Y432" s="179" t="e">
        <f>'Entrada e Saida'!$H$27*(IF('Entrada e Saida'!$H$15="PESO",(P432/(SUM(P:P))),(Q432/(SUM(Q:Q)))))</f>
        <v>#DIV/0!</v>
      </c>
      <c r="Z432" s="179" t="e">
        <f>'Entrada e Saida'!$H$28*(IF('Entrada e Saida'!$H$15="PESO",(P432/(SUM(P:P))),(Q432/(SUM(Q:Q)))))</f>
        <v>#DIV/0!</v>
      </c>
      <c r="AA432" s="10" t="e">
        <f t="shared" si="175"/>
        <v>#DIV/0!</v>
      </c>
      <c r="AB432" s="3" t="e">
        <f t="shared" si="176"/>
        <v>#DIV/0!</v>
      </c>
      <c r="AC432" s="3" t="e">
        <f t="shared" si="177"/>
        <v>#DIV/0!</v>
      </c>
      <c r="AD432" s="3" t="e">
        <f t="shared" si="178"/>
        <v>#DIV/0!</v>
      </c>
      <c r="AE432" s="9" t="e">
        <f t="shared" si="179"/>
        <v>#DIV/0!</v>
      </c>
      <c r="AF432" s="126">
        <f>IFERROR(D432*F432*L432*'Entrada e Saida'!$K$8,0)</f>
        <v>0</v>
      </c>
      <c r="AG432" s="3" t="e">
        <f>((W432+AA432+AB432+AC432+AD432+AE432+AF432)/(1-'Entrada e Saida'!$G$65))*'Entrada e Saida'!$I$66</f>
        <v>#DIV/0!</v>
      </c>
      <c r="AH432" s="8" t="e">
        <f t="shared" si="180"/>
        <v>#DIV/0!</v>
      </c>
      <c r="AI432" s="183" t="e">
        <f>'Entrada e Saida'!$K$51*(IF('Entrada e Saida'!$H$15="PESO",(P432/(SUM(P:P))),(Q432/(SUM(Q:Q)))))</f>
        <v>#DIV/0!</v>
      </c>
      <c r="AJ432" s="7">
        <f>(('Entrada e Saida'!$K$10-'Entrada e Saida'!$K$8)*E432*D432)</f>
        <v>0</v>
      </c>
      <c r="AK432" s="184" t="e">
        <f>IF('Entrada e Saida'!$H$15="PESO",W432+AA432+AH432+AI432+AJ432,W432+AA432+AH432+AI432+AJ432-S432+T432-U432+V432)</f>
        <v>#DIV/0!</v>
      </c>
      <c r="AL432" s="6" t="e">
        <f>IF('Entrada e Saida'!$H$12="REAL",AC432,0)</f>
        <v>#DIV/0!</v>
      </c>
      <c r="AM432" s="6" t="e">
        <f>IF('Entrada e Saida'!$H$12="REAL",AD432,0)</f>
        <v>#DIV/0!</v>
      </c>
      <c r="AN432" s="5" t="e">
        <f>IF('Entrada e Saida'!$H$13= "NÃO",AE432,0)</f>
        <v>#DIV/0!</v>
      </c>
      <c r="AO432" s="5" t="e">
        <f t="shared" si="181"/>
        <v>#DIV/0!</v>
      </c>
      <c r="AP432" s="4" t="e">
        <f t="shared" si="182"/>
        <v>#DIV/0!</v>
      </c>
      <c r="AQ432" s="3" t="e">
        <f>IF('Entrada e Saida'!$H$11="TRADING",AU432*'Custo Resumido'!D432,0)</f>
        <v>#DIV/0!</v>
      </c>
      <c r="AR432" s="3" t="e">
        <f>IF('Entrada e Saida'!$H$11="TRADING",AU432*'Entrada e Saida'!$G$63,0)</f>
        <v>#DIV/0!</v>
      </c>
      <c r="AS432" s="3" t="e">
        <f>IF('Entrada e Saida'!$H$11="TRADING",AU432*'Entrada e Saida'!$G$64,0)</f>
        <v>#DIV/0!</v>
      </c>
      <c r="AT432" s="3" t="e">
        <f>IF('Entrada e Saida'!$H$11="TRADING",AU432*'Entrada e Saida'!$G$65,0)</f>
        <v>#DIV/0!</v>
      </c>
      <c r="AU432" s="4" t="e">
        <f>IF('Entrada e Saida'!$H$11="TRADING",AP432/(1-(SUM('Entrada e Saida'!$G$63:$G$65)+'Custo Resumido'!D432)),0)</f>
        <v>#DIV/0!</v>
      </c>
      <c r="AV432" s="3" t="e">
        <f>IF('Entrada e Saida'!$H$13="NÃO",AU432*M432,0)</f>
        <v>#DIV/0!</v>
      </c>
      <c r="AW432" s="4" t="e">
        <f t="shared" si="183"/>
        <v>#DIV/0!</v>
      </c>
      <c r="AX432" s="3" t="e">
        <f>'Entrada e Saida'!$G$74*AU432</f>
        <v>#DIV/0!</v>
      </c>
      <c r="AY432" s="4" t="e">
        <f t="shared" si="184"/>
        <v>#DIV/0!</v>
      </c>
      <c r="AZ432" s="4" t="e">
        <f>AQ432+('Entrada e Saida'!$G$65-'Entrada e Saida'!$I$65)*AU432-AX432</f>
        <v>#DIV/0!</v>
      </c>
      <c r="BA432" s="3" t="e">
        <f>IF('Entrada e Saida'!$H$12="REAL",AZ432*'Entrada e Saida'!$G$81,AU432*'Entrada e Saida'!$G$81)</f>
        <v>#DIV/0!</v>
      </c>
      <c r="BB432" s="3" t="e">
        <f>IF('Entrada e Saida'!$H$12="REAL",AZ432*'Entrada e Saida'!$G$82,AU432*'Entrada e Saida'!$G$82)</f>
        <v>#DIV/0!</v>
      </c>
      <c r="BC432" s="4" t="e">
        <f t="shared" si="185"/>
        <v>#DIV/0!</v>
      </c>
      <c r="BD432" s="3" t="e">
        <f>IF('Entrada e Saida'!$H$11="TRADING",AW432/D432,AK432/D432)</f>
        <v>#DIV/0!</v>
      </c>
      <c r="BE432" s="3" t="e">
        <f t="shared" si="186"/>
        <v>#DIV/0!</v>
      </c>
      <c r="BF432" s="2" t="e">
        <f t="shared" si="187"/>
        <v>#DIV/0!</v>
      </c>
      <c r="BG432" s="3" t="e">
        <f>IF('Entrada e Saida'!$H$11="TRADING",AV432/D432,AN432/D432)</f>
        <v>#DIV/0!</v>
      </c>
      <c r="BH432" s="3" t="e">
        <f>IF('Entrada e Saida'!$H$11="TRADING",IF('Entrada e Saida'!$H$12="REAL",AR432/D432,0),AL432/D432)</f>
        <v>#DIV/0!</v>
      </c>
      <c r="BI432" s="3" t="e">
        <f>IF('Entrada e Saida'!$H$11="TRADING",IF('Entrada e Saida'!$H$12="REAL",AS432/D432,0),AM432/D432)</f>
        <v>#DIV/0!</v>
      </c>
      <c r="BJ432" s="3" t="e">
        <f>IF('Entrada e Saida'!$H$11="TRADING",AT432/D432,AO432/D432)</f>
        <v>#DIV/0!</v>
      </c>
      <c r="BK432" s="2" t="e">
        <f t="shared" si="188"/>
        <v>#DIV/0!</v>
      </c>
      <c r="BL432" s="2">
        <f>IF(O432&gt;0,IFERROR(IF('Entrada e Saida'!$H$11="DIRETA",0,(IF('Entrada e Saida'!$H$14="P.JURIDICA",(BD432*(1+O432)*N432)-((BD432/(1+M432))*'Entrada e Saida'!$G$65),((Produtos!N432-'Entrada e Saida'!$G$65)*Produtos!BD432)))),0),0)</f>
        <v>0</v>
      </c>
      <c r="BM432" s="2" t="e">
        <f t="shared" si="189"/>
        <v>#DIV/0!</v>
      </c>
    </row>
    <row r="433" spans="1:65" s="1" customFormat="1">
      <c r="A433" s="127"/>
      <c r="B433" s="114">
        <f>IFERROR(VLOOKUP(A433,'Master Modelo'!A:I,7,FALSE),0)</f>
        <v>0</v>
      </c>
      <c r="C433" s="116">
        <f>IFERROR(VLOOKUP(A433,'Master Modelo'!A:I,2,FALSE),0)</f>
        <v>0</v>
      </c>
      <c r="D433" s="146"/>
      <c r="E433" s="115">
        <f>IFERROR(VLOOKUP(A433,'Master Modelo'!A:I,9,FALSE),0)</f>
        <v>0</v>
      </c>
      <c r="F433" s="189">
        <f>IFERROR(VLOOKUP(A433,'Master Modelo'!A:I,8,FALSE),0)</f>
        <v>0</v>
      </c>
      <c r="G433" s="189">
        <f>IFERROR(VLOOKUP(A433,'Master Modelo'!A:K,11,FALSE),0)</f>
        <v>0</v>
      </c>
      <c r="H433" s="114" t="e">
        <f t="shared" si="172"/>
        <v>#DIV/0!</v>
      </c>
      <c r="I433" s="150">
        <f>IFERROR(VLOOKUP(A433,'Master Modelo'!A:I,3,FALSE),0)</f>
        <v>0</v>
      </c>
      <c r="J433" s="151">
        <f>IFERROR(VLOOKUP(A433,'Master Modelo'!A:I,5,FALSE),0)</f>
        <v>0</v>
      </c>
      <c r="K433" s="151">
        <f>IFERROR(VLOOKUP(A433,'Master Modelo'!A:I,6,FALSE),0)</f>
        <v>0</v>
      </c>
      <c r="L433" s="152" t="e">
        <f>VLOOKUP(A433,'Master Modelo'!A:J,10,FALSE)</f>
        <v>#N/A</v>
      </c>
      <c r="M433" s="150">
        <f>IFERROR(VLOOKUP(A433,'Master Modelo'!A:I,4,FALSE),0)</f>
        <v>0</v>
      </c>
      <c r="N433" s="128"/>
      <c r="O433" s="129"/>
      <c r="P433" s="9">
        <f t="shared" si="173"/>
        <v>0</v>
      </c>
      <c r="Q433" s="177">
        <f t="shared" si="171"/>
        <v>0</v>
      </c>
      <c r="R433" s="3">
        <f>D433*E433*'Entrada e Saida'!$K$8</f>
        <v>0</v>
      </c>
      <c r="S433" s="179" t="e">
        <f>'Entrada e Saida'!$H$21*'Entrada e Saida'!$K$8*(P433/(SUM(P:P)))</f>
        <v>#DIV/0!</v>
      </c>
      <c r="T433" s="179" t="e">
        <f>'Entrada e Saida'!$H$21*'Entrada e Saida'!$K$8*(Q433/(SUM(Q:Q)))</f>
        <v>#DIV/0!</v>
      </c>
      <c r="U433" s="179" t="e">
        <f>'Entrada e Saida'!$H$22*(P433/(SUM(P:P)))</f>
        <v>#DIV/0!</v>
      </c>
      <c r="V433" s="179" t="e">
        <f>'Entrada e Saida'!$H$22*(Q433/(SUM(Q:Q)))</f>
        <v>#DIV/0!</v>
      </c>
      <c r="W433" s="8" t="e">
        <f t="shared" si="174"/>
        <v>#DIV/0!</v>
      </c>
      <c r="X433" s="179" t="e">
        <f>'Entrada e Saida'!$H$26*(IF('Entrada e Saida'!$H$15="PESO",(P433/(SUM(P:P))),(Q433/(SUM(Q:Q)))))</f>
        <v>#DIV/0!</v>
      </c>
      <c r="Y433" s="179" t="e">
        <f>'Entrada e Saida'!$H$27*(IF('Entrada e Saida'!$H$15="PESO",(P433/(SUM(P:P))),(Q433/(SUM(Q:Q)))))</f>
        <v>#DIV/0!</v>
      </c>
      <c r="Z433" s="179" t="e">
        <f>'Entrada e Saida'!$H$28*(IF('Entrada e Saida'!$H$15="PESO",(P433/(SUM(P:P))),(Q433/(SUM(Q:Q)))))</f>
        <v>#DIV/0!</v>
      </c>
      <c r="AA433" s="10" t="e">
        <f t="shared" si="175"/>
        <v>#DIV/0!</v>
      </c>
      <c r="AB433" s="3" t="e">
        <f t="shared" si="176"/>
        <v>#DIV/0!</v>
      </c>
      <c r="AC433" s="3" t="e">
        <f t="shared" si="177"/>
        <v>#DIV/0!</v>
      </c>
      <c r="AD433" s="3" t="e">
        <f t="shared" si="178"/>
        <v>#DIV/0!</v>
      </c>
      <c r="AE433" s="9" t="e">
        <f t="shared" si="179"/>
        <v>#DIV/0!</v>
      </c>
      <c r="AF433" s="126">
        <f>IFERROR(D433*F433*L433*'Entrada e Saida'!$K$8,0)</f>
        <v>0</v>
      </c>
      <c r="AG433" s="3" t="e">
        <f>((W433+AA433+AB433+AC433+AD433+AE433+AF433)/(1-'Entrada e Saida'!$G$65))*'Entrada e Saida'!$I$66</f>
        <v>#DIV/0!</v>
      </c>
      <c r="AH433" s="8" t="e">
        <f t="shared" si="180"/>
        <v>#DIV/0!</v>
      </c>
      <c r="AI433" s="183" t="e">
        <f>'Entrada e Saida'!$K$51*(IF('Entrada e Saida'!$H$15="PESO",(P433/(SUM(P:P))),(Q433/(SUM(Q:Q)))))</f>
        <v>#DIV/0!</v>
      </c>
      <c r="AJ433" s="7">
        <f>(('Entrada e Saida'!$K$10-'Entrada e Saida'!$K$8)*E433*D433)</f>
        <v>0</v>
      </c>
      <c r="AK433" s="184" t="e">
        <f>IF('Entrada e Saida'!$H$15="PESO",W433+AA433+AH433+AI433+AJ433,W433+AA433+AH433+AI433+AJ433-S433+T433-U433+V433)</f>
        <v>#DIV/0!</v>
      </c>
      <c r="AL433" s="6" t="e">
        <f>IF('Entrada e Saida'!$H$12="REAL",AC433,0)</f>
        <v>#DIV/0!</v>
      </c>
      <c r="AM433" s="6" t="e">
        <f>IF('Entrada e Saida'!$H$12="REAL",AD433,0)</f>
        <v>#DIV/0!</v>
      </c>
      <c r="AN433" s="5" t="e">
        <f>IF('Entrada e Saida'!$H$13= "NÃO",AE433,0)</f>
        <v>#DIV/0!</v>
      </c>
      <c r="AO433" s="5" t="e">
        <f t="shared" si="181"/>
        <v>#DIV/0!</v>
      </c>
      <c r="AP433" s="4" t="e">
        <f t="shared" si="182"/>
        <v>#DIV/0!</v>
      </c>
      <c r="AQ433" s="3" t="e">
        <f>IF('Entrada e Saida'!$H$11="TRADING",AU433*'Custo Resumido'!D433,0)</f>
        <v>#DIV/0!</v>
      </c>
      <c r="AR433" s="3" t="e">
        <f>IF('Entrada e Saida'!$H$11="TRADING",AU433*'Entrada e Saida'!$G$63,0)</f>
        <v>#DIV/0!</v>
      </c>
      <c r="AS433" s="3" t="e">
        <f>IF('Entrada e Saida'!$H$11="TRADING",AU433*'Entrada e Saida'!$G$64,0)</f>
        <v>#DIV/0!</v>
      </c>
      <c r="AT433" s="3" t="e">
        <f>IF('Entrada e Saida'!$H$11="TRADING",AU433*'Entrada e Saida'!$G$65,0)</f>
        <v>#DIV/0!</v>
      </c>
      <c r="AU433" s="4" t="e">
        <f>IF('Entrada e Saida'!$H$11="TRADING",AP433/(1-(SUM('Entrada e Saida'!$G$63:$G$65)+'Custo Resumido'!D433)),0)</f>
        <v>#DIV/0!</v>
      </c>
      <c r="AV433" s="3" t="e">
        <f>IF('Entrada e Saida'!$H$13="NÃO",AU433*M433,0)</f>
        <v>#DIV/0!</v>
      </c>
      <c r="AW433" s="4" t="e">
        <f t="shared" si="183"/>
        <v>#DIV/0!</v>
      </c>
      <c r="AX433" s="3" t="e">
        <f>'Entrada e Saida'!$G$74*AU433</f>
        <v>#DIV/0!</v>
      </c>
      <c r="AY433" s="4" t="e">
        <f t="shared" si="184"/>
        <v>#DIV/0!</v>
      </c>
      <c r="AZ433" s="4" t="e">
        <f>AQ433+('Entrada e Saida'!$G$65-'Entrada e Saida'!$I$65)*AU433-AX433</f>
        <v>#DIV/0!</v>
      </c>
      <c r="BA433" s="3" t="e">
        <f>IF('Entrada e Saida'!$H$12="REAL",AZ433*'Entrada e Saida'!$G$81,AU433*'Entrada e Saida'!$G$81)</f>
        <v>#DIV/0!</v>
      </c>
      <c r="BB433" s="3" t="e">
        <f>IF('Entrada e Saida'!$H$12="REAL",AZ433*'Entrada e Saida'!$G$82,AU433*'Entrada e Saida'!$G$82)</f>
        <v>#DIV/0!</v>
      </c>
      <c r="BC433" s="4" t="e">
        <f t="shared" si="185"/>
        <v>#DIV/0!</v>
      </c>
      <c r="BD433" s="3" t="e">
        <f>IF('Entrada e Saida'!$H$11="TRADING",AW433/D433,AK433/D433)</f>
        <v>#DIV/0!</v>
      </c>
      <c r="BE433" s="3" t="e">
        <f t="shared" si="186"/>
        <v>#DIV/0!</v>
      </c>
      <c r="BF433" s="2" t="e">
        <f t="shared" si="187"/>
        <v>#DIV/0!</v>
      </c>
      <c r="BG433" s="3" t="e">
        <f>IF('Entrada e Saida'!$H$11="TRADING",AV433/D433,AN433/D433)</f>
        <v>#DIV/0!</v>
      </c>
      <c r="BH433" s="3" t="e">
        <f>IF('Entrada e Saida'!$H$11="TRADING",IF('Entrada e Saida'!$H$12="REAL",AR433/D433,0),AL433/D433)</f>
        <v>#DIV/0!</v>
      </c>
      <c r="BI433" s="3" t="e">
        <f>IF('Entrada e Saida'!$H$11="TRADING",IF('Entrada e Saida'!$H$12="REAL",AS433/D433,0),AM433/D433)</f>
        <v>#DIV/0!</v>
      </c>
      <c r="BJ433" s="3" t="e">
        <f>IF('Entrada e Saida'!$H$11="TRADING",AT433/D433,AO433/D433)</f>
        <v>#DIV/0!</v>
      </c>
      <c r="BK433" s="2" t="e">
        <f t="shared" si="188"/>
        <v>#DIV/0!</v>
      </c>
      <c r="BL433" s="2">
        <f>IF(O433&gt;0,IFERROR(IF('Entrada e Saida'!$H$11="DIRETA",0,(IF('Entrada e Saida'!$H$14="P.JURIDICA",(BD433*(1+O433)*N433)-((BD433/(1+M433))*'Entrada e Saida'!$G$65),((Produtos!N433-'Entrada e Saida'!$G$65)*Produtos!BD433)))),0),0)</f>
        <v>0</v>
      </c>
      <c r="BM433" s="2" t="e">
        <f t="shared" si="189"/>
        <v>#DIV/0!</v>
      </c>
    </row>
    <row r="434" spans="1:65" s="1" customFormat="1">
      <c r="A434" s="127"/>
      <c r="B434" s="114">
        <f>IFERROR(VLOOKUP(A434,'Master Modelo'!A:I,7,FALSE),0)</f>
        <v>0</v>
      </c>
      <c r="C434" s="116">
        <f>IFERROR(VLOOKUP(A434,'Master Modelo'!A:I,2,FALSE),0)</f>
        <v>0</v>
      </c>
      <c r="D434" s="146"/>
      <c r="E434" s="115">
        <f>IFERROR(VLOOKUP(A434,'Master Modelo'!A:I,9,FALSE),0)</f>
        <v>0</v>
      </c>
      <c r="F434" s="189">
        <f>IFERROR(VLOOKUP(A434,'Master Modelo'!A:I,8,FALSE),0)</f>
        <v>0</v>
      </c>
      <c r="G434" s="189">
        <f>IFERROR(VLOOKUP(A434,'Master Modelo'!A:K,11,FALSE),0)</f>
        <v>0</v>
      </c>
      <c r="H434" s="114" t="e">
        <f t="shared" si="172"/>
        <v>#DIV/0!</v>
      </c>
      <c r="I434" s="150">
        <f>IFERROR(VLOOKUP(A434,'Master Modelo'!A:I,3,FALSE),0)</f>
        <v>0</v>
      </c>
      <c r="J434" s="151">
        <f>IFERROR(VLOOKUP(A434,'Master Modelo'!A:I,5,FALSE),0)</f>
        <v>0</v>
      </c>
      <c r="K434" s="151">
        <f>IFERROR(VLOOKUP(A434,'Master Modelo'!A:I,6,FALSE),0)</f>
        <v>0</v>
      </c>
      <c r="L434" s="152" t="e">
        <f>VLOOKUP(A434,'Master Modelo'!A:J,10,FALSE)</f>
        <v>#N/A</v>
      </c>
      <c r="M434" s="150">
        <f>IFERROR(VLOOKUP(A434,'Master Modelo'!A:I,4,FALSE),0)</f>
        <v>0</v>
      </c>
      <c r="N434" s="128"/>
      <c r="O434" s="129"/>
      <c r="P434" s="9">
        <f t="shared" si="173"/>
        <v>0</v>
      </c>
      <c r="Q434" s="177">
        <f t="shared" si="171"/>
        <v>0</v>
      </c>
      <c r="R434" s="3">
        <f>D434*E434*'Entrada e Saida'!$K$8</f>
        <v>0</v>
      </c>
      <c r="S434" s="179" t="e">
        <f>'Entrada e Saida'!$H$21*'Entrada e Saida'!$K$8*(P434/(SUM(P:P)))</f>
        <v>#DIV/0!</v>
      </c>
      <c r="T434" s="179" t="e">
        <f>'Entrada e Saida'!$H$21*'Entrada e Saida'!$K$8*(Q434/(SUM(Q:Q)))</f>
        <v>#DIV/0!</v>
      </c>
      <c r="U434" s="179" t="e">
        <f>'Entrada e Saida'!$H$22*(P434/(SUM(P:P)))</f>
        <v>#DIV/0!</v>
      </c>
      <c r="V434" s="179" t="e">
        <f>'Entrada e Saida'!$H$22*(Q434/(SUM(Q:Q)))</f>
        <v>#DIV/0!</v>
      </c>
      <c r="W434" s="8" t="e">
        <f t="shared" si="174"/>
        <v>#DIV/0!</v>
      </c>
      <c r="X434" s="179" t="e">
        <f>'Entrada e Saida'!$H$26*(IF('Entrada e Saida'!$H$15="PESO",(P434/(SUM(P:P))),(Q434/(SUM(Q:Q)))))</f>
        <v>#DIV/0!</v>
      </c>
      <c r="Y434" s="179" t="e">
        <f>'Entrada e Saida'!$H$27*(IF('Entrada e Saida'!$H$15="PESO",(P434/(SUM(P:P))),(Q434/(SUM(Q:Q)))))</f>
        <v>#DIV/0!</v>
      </c>
      <c r="Z434" s="179" t="e">
        <f>'Entrada e Saida'!$H$28*(IF('Entrada e Saida'!$H$15="PESO",(P434/(SUM(P:P))),(Q434/(SUM(Q:Q)))))</f>
        <v>#DIV/0!</v>
      </c>
      <c r="AA434" s="10" t="e">
        <f t="shared" si="175"/>
        <v>#DIV/0!</v>
      </c>
      <c r="AB434" s="3" t="e">
        <f t="shared" si="176"/>
        <v>#DIV/0!</v>
      </c>
      <c r="AC434" s="3" t="e">
        <f t="shared" si="177"/>
        <v>#DIV/0!</v>
      </c>
      <c r="AD434" s="3" t="e">
        <f t="shared" si="178"/>
        <v>#DIV/0!</v>
      </c>
      <c r="AE434" s="9" t="e">
        <f t="shared" si="179"/>
        <v>#DIV/0!</v>
      </c>
      <c r="AF434" s="126">
        <f>IFERROR(D434*F434*L434*'Entrada e Saida'!$K$8,0)</f>
        <v>0</v>
      </c>
      <c r="AG434" s="3" t="e">
        <f>((W434+AA434+AB434+AC434+AD434+AE434+AF434)/(1-'Entrada e Saida'!$G$65))*'Entrada e Saida'!$I$66</f>
        <v>#DIV/0!</v>
      </c>
      <c r="AH434" s="8" t="e">
        <f t="shared" si="180"/>
        <v>#DIV/0!</v>
      </c>
      <c r="AI434" s="183" t="e">
        <f>'Entrada e Saida'!$K$51*(IF('Entrada e Saida'!$H$15="PESO",(P434/(SUM(P:P))),(Q434/(SUM(Q:Q)))))</f>
        <v>#DIV/0!</v>
      </c>
      <c r="AJ434" s="7">
        <f>(('Entrada e Saida'!$K$10-'Entrada e Saida'!$K$8)*E434*D434)</f>
        <v>0</v>
      </c>
      <c r="AK434" s="184" t="e">
        <f>IF('Entrada e Saida'!$H$15="PESO",W434+AA434+AH434+AI434+AJ434,W434+AA434+AH434+AI434+AJ434-S434+T434-U434+V434)</f>
        <v>#DIV/0!</v>
      </c>
      <c r="AL434" s="6" t="e">
        <f>IF('Entrada e Saida'!$H$12="REAL",AC434,0)</f>
        <v>#DIV/0!</v>
      </c>
      <c r="AM434" s="6" t="e">
        <f>IF('Entrada e Saida'!$H$12="REAL",AD434,0)</f>
        <v>#DIV/0!</v>
      </c>
      <c r="AN434" s="5" t="e">
        <f>IF('Entrada e Saida'!$H$13= "NÃO",AE434,0)</f>
        <v>#DIV/0!</v>
      </c>
      <c r="AO434" s="5" t="e">
        <f t="shared" si="181"/>
        <v>#DIV/0!</v>
      </c>
      <c r="AP434" s="4" t="e">
        <f t="shared" si="182"/>
        <v>#DIV/0!</v>
      </c>
      <c r="AQ434" s="3" t="e">
        <f>IF('Entrada e Saida'!$H$11="TRADING",AU434*'Custo Resumido'!D434,0)</f>
        <v>#DIV/0!</v>
      </c>
      <c r="AR434" s="3" t="e">
        <f>IF('Entrada e Saida'!$H$11="TRADING",AU434*'Entrada e Saida'!$G$63,0)</f>
        <v>#DIV/0!</v>
      </c>
      <c r="AS434" s="3" t="e">
        <f>IF('Entrada e Saida'!$H$11="TRADING",AU434*'Entrada e Saida'!$G$64,0)</f>
        <v>#DIV/0!</v>
      </c>
      <c r="AT434" s="3" t="e">
        <f>IF('Entrada e Saida'!$H$11="TRADING",AU434*'Entrada e Saida'!$G$65,0)</f>
        <v>#DIV/0!</v>
      </c>
      <c r="AU434" s="4" t="e">
        <f>IF('Entrada e Saida'!$H$11="TRADING",AP434/(1-(SUM('Entrada e Saida'!$G$63:$G$65)+'Custo Resumido'!D434)),0)</f>
        <v>#DIV/0!</v>
      </c>
      <c r="AV434" s="3" t="e">
        <f>IF('Entrada e Saida'!$H$13="NÃO",AU434*M434,0)</f>
        <v>#DIV/0!</v>
      </c>
      <c r="AW434" s="4" t="e">
        <f t="shared" si="183"/>
        <v>#DIV/0!</v>
      </c>
      <c r="AX434" s="3" t="e">
        <f>'Entrada e Saida'!$G$74*AU434</f>
        <v>#DIV/0!</v>
      </c>
      <c r="AY434" s="4" t="e">
        <f t="shared" si="184"/>
        <v>#DIV/0!</v>
      </c>
      <c r="AZ434" s="4" t="e">
        <f>AQ434+('Entrada e Saida'!$G$65-'Entrada e Saida'!$I$65)*AU434-AX434</f>
        <v>#DIV/0!</v>
      </c>
      <c r="BA434" s="3" t="e">
        <f>IF('Entrada e Saida'!$H$12="REAL",AZ434*'Entrada e Saida'!$G$81,AU434*'Entrada e Saida'!$G$81)</f>
        <v>#DIV/0!</v>
      </c>
      <c r="BB434" s="3" t="e">
        <f>IF('Entrada e Saida'!$H$12="REAL",AZ434*'Entrada e Saida'!$G$82,AU434*'Entrada e Saida'!$G$82)</f>
        <v>#DIV/0!</v>
      </c>
      <c r="BC434" s="4" t="e">
        <f t="shared" si="185"/>
        <v>#DIV/0!</v>
      </c>
      <c r="BD434" s="3" t="e">
        <f>IF('Entrada e Saida'!$H$11="TRADING",AW434/D434,AK434/D434)</f>
        <v>#DIV/0!</v>
      </c>
      <c r="BE434" s="3" t="e">
        <f t="shared" si="186"/>
        <v>#DIV/0!</v>
      </c>
      <c r="BF434" s="2" t="e">
        <f t="shared" si="187"/>
        <v>#DIV/0!</v>
      </c>
      <c r="BG434" s="3" t="e">
        <f>IF('Entrada e Saida'!$H$11="TRADING",AV434/D434,AN434/D434)</f>
        <v>#DIV/0!</v>
      </c>
      <c r="BH434" s="3" t="e">
        <f>IF('Entrada e Saida'!$H$11="TRADING",IF('Entrada e Saida'!$H$12="REAL",AR434/D434,0),AL434/D434)</f>
        <v>#DIV/0!</v>
      </c>
      <c r="BI434" s="3" t="e">
        <f>IF('Entrada e Saida'!$H$11="TRADING",IF('Entrada e Saida'!$H$12="REAL",AS434/D434,0),AM434/D434)</f>
        <v>#DIV/0!</v>
      </c>
      <c r="BJ434" s="3" t="e">
        <f>IF('Entrada e Saida'!$H$11="TRADING",AT434/D434,AO434/D434)</f>
        <v>#DIV/0!</v>
      </c>
      <c r="BK434" s="2" t="e">
        <f t="shared" si="188"/>
        <v>#DIV/0!</v>
      </c>
      <c r="BL434" s="2">
        <f>IF(O434&gt;0,IFERROR(IF('Entrada e Saida'!$H$11="DIRETA",0,(IF('Entrada e Saida'!$H$14="P.JURIDICA",(BD434*(1+O434)*N434)-((BD434/(1+M434))*'Entrada e Saida'!$G$65),((Produtos!N434-'Entrada e Saida'!$G$65)*Produtos!BD434)))),0),0)</f>
        <v>0</v>
      </c>
      <c r="BM434" s="2" t="e">
        <f t="shared" si="189"/>
        <v>#DIV/0!</v>
      </c>
    </row>
    <row r="435" spans="1:65" s="1" customFormat="1">
      <c r="A435" s="127"/>
      <c r="B435" s="114">
        <f>IFERROR(VLOOKUP(A435,'Master Modelo'!A:I,7,FALSE),0)</f>
        <v>0</v>
      </c>
      <c r="C435" s="116">
        <f>IFERROR(VLOOKUP(A435,'Master Modelo'!A:I,2,FALSE),0)</f>
        <v>0</v>
      </c>
      <c r="D435" s="146"/>
      <c r="E435" s="115">
        <f>IFERROR(VLOOKUP(A435,'Master Modelo'!A:I,9,FALSE),0)</f>
        <v>0</v>
      </c>
      <c r="F435" s="189">
        <f>IFERROR(VLOOKUP(A435,'Master Modelo'!A:I,8,FALSE),0)</f>
        <v>0</v>
      </c>
      <c r="G435" s="189">
        <f>IFERROR(VLOOKUP(A435,'Master Modelo'!A:K,11,FALSE),0)</f>
        <v>0</v>
      </c>
      <c r="H435" s="114" t="e">
        <f t="shared" si="172"/>
        <v>#DIV/0!</v>
      </c>
      <c r="I435" s="150">
        <f>IFERROR(VLOOKUP(A435,'Master Modelo'!A:I,3,FALSE),0)</f>
        <v>0</v>
      </c>
      <c r="J435" s="151">
        <f>IFERROR(VLOOKUP(A435,'Master Modelo'!A:I,5,FALSE),0)</f>
        <v>0</v>
      </c>
      <c r="K435" s="151">
        <f>IFERROR(VLOOKUP(A435,'Master Modelo'!A:I,6,FALSE),0)</f>
        <v>0</v>
      </c>
      <c r="L435" s="152" t="e">
        <f>VLOOKUP(A435,'Master Modelo'!A:J,10,FALSE)</f>
        <v>#N/A</v>
      </c>
      <c r="M435" s="150">
        <f>IFERROR(VLOOKUP(A435,'Master Modelo'!A:I,4,FALSE),0)</f>
        <v>0</v>
      </c>
      <c r="N435" s="128"/>
      <c r="O435" s="129"/>
      <c r="P435" s="9">
        <f t="shared" si="173"/>
        <v>0</v>
      </c>
      <c r="Q435" s="177">
        <f t="shared" si="171"/>
        <v>0</v>
      </c>
      <c r="R435" s="3">
        <f>D435*E435*'Entrada e Saida'!$K$8</f>
        <v>0</v>
      </c>
      <c r="S435" s="179" t="e">
        <f>'Entrada e Saida'!$H$21*'Entrada e Saida'!$K$8*(P435/(SUM(P:P)))</f>
        <v>#DIV/0!</v>
      </c>
      <c r="T435" s="179" t="e">
        <f>'Entrada e Saida'!$H$21*'Entrada e Saida'!$K$8*(Q435/(SUM(Q:Q)))</f>
        <v>#DIV/0!</v>
      </c>
      <c r="U435" s="179" t="e">
        <f>'Entrada e Saida'!$H$22*(P435/(SUM(P:P)))</f>
        <v>#DIV/0!</v>
      </c>
      <c r="V435" s="179" t="e">
        <f>'Entrada e Saida'!$H$22*(Q435/(SUM(Q:Q)))</f>
        <v>#DIV/0!</v>
      </c>
      <c r="W435" s="8" t="e">
        <f t="shared" si="174"/>
        <v>#DIV/0!</v>
      </c>
      <c r="X435" s="179" t="e">
        <f>'Entrada e Saida'!$H$26*(IF('Entrada e Saida'!$H$15="PESO",(P435/(SUM(P:P))),(Q435/(SUM(Q:Q)))))</f>
        <v>#DIV/0!</v>
      </c>
      <c r="Y435" s="179" t="e">
        <f>'Entrada e Saida'!$H$27*(IF('Entrada e Saida'!$H$15="PESO",(P435/(SUM(P:P))),(Q435/(SUM(Q:Q)))))</f>
        <v>#DIV/0!</v>
      </c>
      <c r="Z435" s="179" t="e">
        <f>'Entrada e Saida'!$H$28*(IF('Entrada e Saida'!$H$15="PESO",(P435/(SUM(P:P))),(Q435/(SUM(Q:Q)))))</f>
        <v>#DIV/0!</v>
      </c>
      <c r="AA435" s="10" t="e">
        <f t="shared" si="175"/>
        <v>#DIV/0!</v>
      </c>
      <c r="AB435" s="3" t="e">
        <f t="shared" si="176"/>
        <v>#DIV/0!</v>
      </c>
      <c r="AC435" s="3" t="e">
        <f t="shared" si="177"/>
        <v>#DIV/0!</v>
      </c>
      <c r="AD435" s="3" t="e">
        <f t="shared" si="178"/>
        <v>#DIV/0!</v>
      </c>
      <c r="AE435" s="9" t="e">
        <f t="shared" si="179"/>
        <v>#DIV/0!</v>
      </c>
      <c r="AF435" s="126">
        <f>IFERROR(D435*F435*L435*'Entrada e Saida'!$K$8,0)</f>
        <v>0</v>
      </c>
      <c r="AG435" s="3" t="e">
        <f>((W435+AA435+AB435+AC435+AD435+AE435+AF435)/(1-'Entrada e Saida'!$G$65))*'Entrada e Saida'!$I$66</f>
        <v>#DIV/0!</v>
      </c>
      <c r="AH435" s="8" t="e">
        <f t="shared" si="180"/>
        <v>#DIV/0!</v>
      </c>
      <c r="AI435" s="183" t="e">
        <f>'Entrada e Saida'!$K$51*(IF('Entrada e Saida'!$H$15="PESO",(P435/(SUM(P:P))),(Q435/(SUM(Q:Q)))))</f>
        <v>#DIV/0!</v>
      </c>
      <c r="AJ435" s="7">
        <f>(('Entrada e Saida'!$K$10-'Entrada e Saida'!$K$8)*E435*D435)</f>
        <v>0</v>
      </c>
      <c r="AK435" s="184" t="e">
        <f>IF('Entrada e Saida'!$H$15="PESO",W435+AA435+AH435+AI435+AJ435,W435+AA435+AH435+AI435+AJ435-S435+T435-U435+V435)</f>
        <v>#DIV/0!</v>
      </c>
      <c r="AL435" s="6" t="e">
        <f>IF('Entrada e Saida'!$H$12="REAL",AC435,0)</f>
        <v>#DIV/0!</v>
      </c>
      <c r="AM435" s="6" t="e">
        <f>IF('Entrada e Saida'!$H$12="REAL",AD435,0)</f>
        <v>#DIV/0!</v>
      </c>
      <c r="AN435" s="5" t="e">
        <f>IF('Entrada e Saida'!$H$13= "NÃO",AE435,0)</f>
        <v>#DIV/0!</v>
      </c>
      <c r="AO435" s="5" t="e">
        <f t="shared" si="181"/>
        <v>#DIV/0!</v>
      </c>
      <c r="AP435" s="4" t="e">
        <f t="shared" si="182"/>
        <v>#DIV/0!</v>
      </c>
      <c r="AQ435" s="3" t="e">
        <f>IF('Entrada e Saida'!$H$11="TRADING",AU435*'Custo Resumido'!D435,0)</f>
        <v>#DIV/0!</v>
      </c>
      <c r="AR435" s="3" t="e">
        <f>IF('Entrada e Saida'!$H$11="TRADING",AU435*'Entrada e Saida'!$G$63,0)</f>
        <v>#DIV/0!</v>
      </c>
      <c r="AS435" s="3" t="e">
        <f>IF('Entrada e Saida'!$H$11="TRADING",AU435*'Entrada e Saida'!$G$64,0)</f>
        <v>#DIV/0!</v>
      </c>
      <c r="AT435" s="3" t="e">
        <f>IF('Entrada e Saida'!$H$11="TRADING",AU435*'Entrada e Saida'!$G$65,0)</f>
        <v>#DIV/0!</v>
      </c>
      <c r="AU435" s="4" t="e">
        <f>IF('Entrada e Saida'!$H$11="TRADING",AP435/(1-(SUM('Entrada e Saida'!$G$63:$G$65)+'Custo Resumido'!D435)),0)</f>
        <v>#DIV/0!</v>
      </c>
      <c r="AV435" s="3" t="e">
        <f>IF('Entrada e Saida'!$H$13="NÃO",AU435*M435,0)</f>
        <v>#DIV/0!</v>
      </c>
      <c r="AW435" s="4" t="e">
        <f t="shared" si="183"/>
        <v>#DIV/0!</v>
      </c>
      <c r="AX435" s="3" t="e">
        <f>'Entrada e Saida'!$G$74*AU435</f>
        <v>#DIV/0!</v>
      </c>
      <c r="AY435" s="4" t="e">
        <f t="shared" si="184"/>
        <v>#DIV/0!</v>
      </c>
      <c r="AZ435" s="4" t="e">
        <f>AQ435+('Entrada e Saida'!$G$65-'Entrada e Saida'!$I$65)*AU435-AX435</f>
        <v>#DIV/0!</v>
      </c>
      <c r="BA435" s="3" t="e">
        <f>IF('Entrada e Saida'!$H$12="REAL",AZ435*'Entrada e Saida'!$G$81,AU435*'Entrada e Saida'!$G$81)</f>
        <v>#DIV/0!</v>
      </c>
      <c r="BB435" s="3" t="e">
        <f>IF('Entrada e Saida'!$H$12="REAL",AZ435*'Entrada e Saida'!$G$82,AU435*'Entrada e Saida'!$G$82)</f>
        <v>#DIV/0!</v>
      </c>
      <c r="BC435" s="4" t="e">
        <f t="shared" si="185"/>
        <v>#DIV/0!</v>
      </c>
      <c r="BD435" s="3" t="e">
        <f>IF('Entrada e Saida'!$H$11="TRADING",AW435/D435,AK435/D435)</f>
        <v>#DIV/0!</v>
      </c>
      <c r="BE435" s="3" t="e">
        <f t="shared" si="186"/>
        <v>#DIV/0!</v>
      </c>
      <c r="BF435" s="2" t="e">
        <f t="shared" si="187"/>
        <v>#DIV/0!</v>
      </c>
      <c r="BG435" s="3" t="e">
        <f>IF('Entrada e Saida'!$H$11="TRADING",AV435/D435,AN435/D435)</f>
        <v>#DIV/0!</v>
      </c>
      <c r="BH435" s="3" t="e">
        <f>IF('Entrada e Saida'!$H$11="TRADING",IF('Entrada e Saida'!$H$12="REAL",AR435/D435,0),AL435/D435)</f>
        <v>#DIV/0!</v>
      </c>
      <c r="BI435" s="3" t="e">
        <f>IF('Entrada e Saida'!$H$11="TRADING",IF('Entrada e Saida'!$H$12="REAL",AS435/D435,0),AM435/D435)</f>
        <v>#DIV/0!</v>
      </c>
      <c r="BJ435" s="3" t="e">
        <f>IF('Entrada e Saida'!$H$11="TRADING",AT435/D435,AO435/D435)</f>
        <v>#DIV/0!</v>
      </c>
      <c r="BK435" s="2" t="e">
        <f t="shared" si="188"/>
        <v>#DIV/0!</v>
      </c>
      <c r="BL435" s="2">
        <f>IF(O435&gt;0,IFERROR(IF('Entrada e Saida'!$H$11="DIRETA",0,(IF('Entrada e Saida'!$H$14="P.JURIDICA",(BD435*(1+O435)*N435)-((BD435/(1+M435))*'Entrada e Saida'!$G$65),((Produtos!N435-'Entrada e Saida'!$G$65)*Produtos!BD435)))),0),0)</f>
        <v>0</v>
      </c>
      <c r="BM435" s="2" t="e">
        <f t="shared" si="189"/>
        <v>#DIV/0!</v>
      </c>
    </row>
    <row r="436" spans="1:65" s="1" customFormat="1">
      <c r="A436" s="127"/>
      <c r="B436" s="114">
        <f>IFERROR(VLOOKUP(A436,'Master Modelo'!A:I,7,FALSE),0)</f>
        <v>0</v>
      </c>
      <c r="C436" s="116">
        <f>IFERROR(VLOOKUP(A436,'Master Modelo'!A:I,2,FALSE),0)</f>
        <v>0</v>
      </c>
      <c r="D436" s="146"/>
      <c r="E436" s="115">
        <f>IFERROR(VLOOKUP(A436,'Master Modelo'!A:I,9,FALSE),0)</f>
        <v>0</v>
      </c>
      <c r="F436" s="189">
        <f>IFERROR(VLOOKUP(A436,'Master Modelo'!A:I,8,FALSE),0)</f>
        <v>0</v>
      </c>
      <c r="G436" s="189">
        <f>IFERROR(VLOOKUP(A436,'Master Modelo'!A:K,11,FALSE),0)</f>
        <v>0</v>
      </c>
      <c r="H436" s="114" t="e">
        <f t="shared" si="172"/>
        <v>#DIV/0!</v>
      </c>
      <c r="I436" s="150">
        <f>IFERROR(VLOOKUP(A436,'Master Modelo'!A:I,3,FALSE),0)</f>
        <v>0</v>
      </c>
      <c r="J436" s="151">
        <f>IFERROR(VLOOKUP(A436,'Master Modelo'!A:I,5,FALSE),0)</f>
        <v>0</v>
      </c>
      <c r="K436" s="151">
        <f>IFERROR(VLOOKUP(A436,'Master Modelo'!A:I,6,FALSE),0)</f>
        <v>0</v>
      </c>
      <c r="L436" s="152" t="e">
        <f>VLOOKUP(A436,'Master Modelo'!A:J,10,FALSE)</f>
        <v>#N/A</v>
      </c>
      <c r="M436" s="150">
        <f>IFERROR(VLOOKUP(A436,'Master Modelo'!A:I,4,FALSE),0)</f>
        <v>0</v>
      </c>
      <c r="N436" s="128"/>
      <c r="O436" s="129"/>
      <c r="P436" s="9">
        <f t="shared" si="173"/>
        <v>0</v>
      </c>
      <c r="Q436" s="177">
        <f t="shared" si="171"/>
        <v>0</v>
      </c>
      <c r="R436" s="3">
        <f>D436*E436*'Entrada e Saida'!$K$8</f>
        <v>0</v>
      </c>
      <c r="S436" s="179" t="e">
        <f>'Entrada e Saida'!$H$21*'Entrada e Saida'!$K$8*(P436/(SUM(P:P)))</f>
        <v>#DIV/0!</v>
      </c>
      <c r="T436" s="179" t="e">
        <f>'Entrada e Saida'!$H$21*'Entrada e Saida'!$K$8*(Q436/(SUM(Q:Q)))</f>
        <v>#DIV/0!</v>
      </c>
      <c r="U436" s="179" t="e">
        <f>'Entrada e Saida'!$H$22*(P436/(SUM(P:P)))</f>
        <v>#DIV/0!</v>
      </c>
      <c r="V436" s="179" t="e">
        <f>'Entrada e Saida'!$H$22*(Q436/(SUM(Q:Q)))</f>
        <v>#DIV/0!</v>
      </c>
      <c r="W436" s="8" t="e">
        <f t="shared" si="174"/>
        <v>#DIV/0!</v>
      </c>
      <c r="X436" s="179" t="e">
        <f>'Entrada e Saida'!$H$26*(IF('Entrada e Saida'!$H$15="PESO",(P436/(SUM(P:P))),(Q436/(SUM(Q:Q)))))</f>
        <v>#DIV/0!</v>
      </c>
      <c r="Y436" s="179" t="e">
        <f>'Entrada e Saida'!$H$27*(IF('Entrada e Saida'!$H$15="PESO",(P436/(SUM(P:P))),(Q436/(SUM(Q:Q)))))</f>
        <v>#DIV/0!</v>
      </c>
      <c r="Z436" s="179" t="e">
        <f>'Entrada e Saida'!$H$28*(IF('Entrada e Saida'!$H$15="PESO",(P436/(SUM(P:P))),(Q436/(SUM(Q:Q)))))</f>
        <v>#DIV/0!</v>
      </c>
      <c r="AA436" s="10" t="e">
        <f t="shared" si="175"/>
        <v>#DIV/0!</v>
      </c>
      <c r="AB436" s="3" t="e">
        <f t="shared" si="176"/>
        <v>#DIV/0!</v>
      </c>
      <c r="AC436" s="3" t="e">
        <f t="shared" si="177"/>
        <v>#DIV/0!</v>
      </c>
      <c r="AD436" s="3" t="e">
        <f t="shared" si="178"/>
        <v>#DIV/0!</v>
      </c>
      <c r="AE436" s="9" t="e">
        <f t="shared" si="179"/>
        <v>#DIV/0!</v>
      </c>
      <c r="AF436" s="126">
        <f>IFERROR(D436*F436*L436*'Entrada e Saida'!$K$8,0)</f>
        <v>0</v>
      </c>
      <c r="AG436" s="3" t="e">
        <f>((W436+AA436+AB436+AC436+AD436+AE436+AF436)/(1-'Entrada e Saida'!$G$65))*'Entrada e Saida'!$I$66</f>
        <v>#DIV/0!</v>
      </c>
      <c r="AH436" s="8" t="e">
        <f t="shared" si="180"/>
        <v>#DIV/0!</v>
      </c>
      <c r="AI436" s="183" t="e">
        <f>'Entrada e Saida'!$K$51*(IF('Entrada e Saida'!$H$15="PESO",(P436/(SUM(P:P))),(Q436/(SUM(Q:Q)))))</f>
        <v>#DIV/0!</v>
      </c>
      <c r="AJ436" s="7">
        <f>(('Entrada e Saida'!$K$10-'Entrada e Saida'!$K$8)*E436*D436)</f>
        <v>0</v>
      </c>
      <c r="AK436" s="184" t="e">
        <f>IF('Entrada e Saida'!$H$15="PESO",W436+AA436+AH436+AI436+AJ436,W436+AA436+AH436+AI436+AJ436-S436+T436-U436+V436)</f>
        <v>#DIV/0!</v>
      </c>
      <c r="AL436" s="6" t="e">
        <f>IF('Entrada e Saida'!$H$12="REAL",AC436,0)</f>
        <v>#DIV/0!</v>
      </c>
      <c r="AM436" s="6" t="e">
        <f>IF('Entrada e Saida'!$H$12="REAL",AD436,0)</f>
        <v>#DIV/0!</v>
      </c>
      <c r="AN436" s="5" t="e">
        <f>IF('Entrada e Saida'!$H$13= "NÃO",AE436,0)</f>
        <v>#DIV/0!</v>
      </c>
      <c r="AO436" s="5" t="e">
        <f t="shared" si="181"/>
        <v>#DIV/0!</v>
      </c>
      <c r="AP436" s="4" t="e">
        <f t="shared" si="182"/>
        <v>#DIV/0!</v>
      </c>
      <c r="AQ436" s="3" t="e">
        <f>IF('Entrada e Saida'!$H$11="TRADING",AU436*'Custo Resumido'!D436,0)</f>
        <v>#DIV/0!</v>
      </c>
      <c r="AR436" s="3" t="e">
        <f>IF('Entrada e Saida'!$H$11="TRADING",AU436*'Entrada e Saida'!$G$63,0)</f>
        <v>#DIV/0!</v>
      </c>
      <c r="AS436" s="3" t="e">
        <f>IF('Entrada e Saida'!$H$11="TRADING",AU436*'Entrada e Saida'!$G$64,0)</f>
        <v>#DIV/0!</v>
      </c>
      <c r="AT436" s="3" t="e">
        <f>IF('Entrada e Saida'!$H$11="TRADING",AU436*'Entrada e Saida'!$G$65,0)</f>
        <v>#DIV/0!</v>
      </c>
      <c r="AU436" s="4" t="e">
        <f>IF('Entrada e Saida'!$H$11="TRADING",AP436/(1-(SUM('Entrada e Saida'!$G$63:$G$65)+'Custo Resumido'!D436)),0)</f>
        <v>#DIV/0!</v>
      </c>
      <c r="AV436" s="3" t="e">
        <f>IF('Entrada e Saida'!$H$13="NÃO",AU436*M436,0)</f>
        <v>#DIV/0!</v>
      </c>
      <c r="AW436" s="4" t="e">
        <f t="shared" si="183"/>
        <v>#DIV/0!</v>
      </c>
      <c r="AX436" s="3" t="e">
        <f>'Entrada e Saida'!$G$74*AU436</f>
        <v>#DIV/0!</v>
      </c>
      <c r="AY436" s="4" t="e">
        <f t="shared" si="184"/>
        <v>#DIV/0!</v>
      </c>
      <c r="AZ436" s="4" t="e">
        <f>AQ436+('Entrada e Saida'!$G$65-'Entrada e Saida'!$I$65)*AU436-AX436</f>
        <v>#DIV/0!</v>
      </c>
      <c r="BA436" s="3" t="e">
        <f>IF('Entrada e Saida'!$H$12="REAL",AZ436*'Entrada e Saida'!$G$81,AU436*'Entrada e Saida'!$G$81)</f>
        <v>#DIV/0!</v>
      </c>
      <c r="BB436" s="3" t="e">
        <f>IF('Entrada e Saida'!$H$12="REAL",AZ436*'Entrada e Saida'!$G$82,AU436*'Entrada e Saida'!$G$82)</f>
        <v>#DIV/0!</v>
      </c>
      <c r="BC436" s="4" t="e">
        <f t="shared" si="185"/>
        <v>#DIV/0!</v>
      </c>
      <c r="BD436" s="3" t="e">
        <f>IF('Entrada e Saida'!$H$11="TRADING",AW436/D436,AK436/D436)</f>
        <v>#DIV/0!</v>
      </c>
      <c r="BE436" s="3" t="e">
        <f t="shared" si="186"/>
        <v>#DIV/0!</v>
      </c>
      <c r="BF436" s="2" t="e">
        <f t="shared" si="187"/>
        <v>#DIV/0!</v>
      </c>
      <c r="BG436" s="3" t="e">
        <f>IF('Entrada e Saida'!$H$11="TRADING",AV436/D436,AN436/D436)</f>
        <v>#DIV/0!</v>
      </c>
      <c r="BH436" s="3" t="e">
        <f>IF('Entrada e Saida'!$H$11="TRADING",IF('Entrada e Saida'!$H$12="REAL",AR436/D436,0),AL436/D436)</f>
        <v>#DIV/0!</v>
      </c>
      <c r="BI436" s="3" t="e">
        <f>IF('Entrada e Saida'!$H$11="TRADING",IF('Entrada e Saida'!$H$12="REAL",AS436/D436,0),AM436/D436)</f>
        <v>#DIV/0!</v>
      </c>
      <c r="BJ436" s="3" t="e">
        <f>IF('Entrada e Saida'!$H$11="TRADING",AT436/D436,AO436/D436)</f>
        <v>#DIV/0!</v>
      </c>
      <c r="BK436" s="2" t="e">
        <f t="shared" si="188"/>
        <v>#DIV/0!</v>
      </c>
      <c r="BL436" s="2">
        <f>IF(O436&gt;0,IFERROR(IF('Entrada e Saida'!$H$11="DIRETA",0,(IF('Entrada e Saida'!$H$14="P.JURIDICA",(BD436*(1+O436)*N436)-((BD436/(1+M436))*'Entrada e Saida'!$G$65),((Produtos!N436-'Entrada e Saida'!$G$65)*Produtos!BD436)))),0),0)</f>
        <v>0</v>
      </c>
      <c r="BM436" s="2" t="e">
        <f t="shared" si="189"/>
        <v>#DIV/0!</v>
      </c>
    </row>
    <row r="437" spans="1:65" s="1" customFormat="1">
      <c r="A437" s="127"/>
      <c r="B437" s="114">
        <f>IFERROR(VLOOKUP(A437,'Master Modelo'!A:I,7,FALSE),0)</f>
        <v>0</v>
      </c>
      <c r="C437" s="116">
        <f>IFERROR(VLOOKUP(A437,'Master Modelo'!A:I,2,FALSE),0)</f>
        <v>0</v>
      </c>
      <c r="D437" s="146"/>
      <c r="E437" s="115">
        <f>IFERROR(VLOOKUP(A437,'Master Modelo'!A:I,9,FALSE),0)</f>
        <v>0</v>
      </c>
      <c r="F437" s="189">
        <f>IFERROR(VLOOKUP(A437,'Master Modelo'!A:I,8,FALSE),0)</f>
        <v>0</v>
      </c>
      <c r="G437" s="189">
        <f>IFERROR(VLOOKUP(A437,'Master Modelo'!A:K,11,FALSE),0)</f>
        <v>0</v>
      </c>
      <c r="H437" s="114" t="e">
        <f t="shared" si="172"/>
        <v>#DIV/0!</v>
      </c>
      <c r="I437" s="150">
        <f>IFERROR(VLOOKUP(A437,'Master Modelo'!A:I,3,FALSE),0)</f>
        <v>0</v>
      </c>
      <c r="J437" s="151">
        <f>IFERROR(VLOOKUP(A437,'Master Modelo'!A:I,5,FALSE),0)</f>
        <v>0</v>
      </c>
      <c r="K437" s="151">
        <f>IFERROR(VLOOKUP(A437,'Master Modelo'!A:I,6,FALSE),0)</f>
        <v>0</v>
      </c>
      <c r="L437" s="152" t="e">
        <f>VLOOKUP(A437,'Master Modelo'!A:J,10,FALSE)</f>
        <v>#N/A</v>
      </c>
      <c r="M437" s="150">
        <f>IFERROR(VLOOKUP(A437,'Master Modelo'!A:I,4,FALSE),0)</f>
        <v>0</v>
      </c>
      <c r="N437" s="128"/>
      <c r="O437" s="129"/>
      <c r="P437" s="9">
        <f t="shared" si="173"/>
        <v>0</v>
      </c>
      <c r="Q437" s="177">
        <f t="shared" si="171"/>
        <v>0</v>
      </c>
      <c r="R437" s="3">
        <f>D437*E437*'Entrada e Saida'!$K$8</f>
        <v>0</v>
      </c>
      <c r="S437" s="179" t="e">
        <f>'Entrada e Saida'!$H$21*'Entrada e Saida'!$K$8*(P437/(SUM(P:P)))</f>
        <v>#DIV/0!</v>
      </c>
      <c r="T437" s="179" t="e">
        <f>'Entrada e Saida'!$H$21*'Entrada e Saida'!$K$8*(Q437/(SUM(Q:Q)))</f>
        <v>#DIV/0!</v>
      </c>
      <c r="U437" s="179" t="e">
        <f>'Entrada e Saida'!$H$22*(P437/(SUM(P:P)))</f>
        <v>#DIV/0!</v>
      </c>
      <c r="V437" s="179" t="e">
        <f>'Entrada e Saida'!$H$22*(Q437/(SUM(Q:Q)))</f>
        <v>#DIV/0!</v>
      </c>
      <c r="W437" s="8" t="e">
        <f t="shared" si="174"/>
        <v>#DIV/0!</v>
      </c>
      <c r="X437" s="179" t="e">
        <f>'Entrada e Saida'!$H$26*(IF('Entrada e Saida'!$H$15="PESO",(P437/(SUM(P:P))),(Q437/(SUM(Q:Q)))))</f>
        <v>#DIV/0!</v>
      </c>
      <c r="Y437" s="179" t="e">
        <f>'Entrada e Saida'!$H$27*(IF('Entrada e Saida'!$H$15="PESO",(P437/(SUM(P:P))),(Q437/(SUM(Q:Q)))))</f>
        <v>#DIV/0!</v>
      </c>
      <c r="Z437" s="179" t="e">
        <f>'Entrada e Saida'!$H$28*(IF('Entrada e Saida'!$H$15="PESO",(P437/(SUM(P:P))),(Q437/(SUM(Q:Q)))))</f>
        <v>#DIV/0!</v>
      </c>
      <c r="AA437" s="10" t="e">
        <f t="shared" si="175"/>
        <v>#DIV/0!</v>
      </c>
      <c r="AB437" s="3" t="e">
        <f t="shared" si="176"/>
        <v>#DIV/0!</v>
      </c>
      <c r="AC437" s="3" t="e">
        <f t="shared" si="177"/>
        <v>#DIV/0!</v>
      </c>
      <c r="AD437" s="3" t="e">
        <f t="shared" si="178"/>
        <v>#DIV/0!</v>
      </c>
      <c r="AE437" s="9" t="e">
        <f t="shared" si="179"/>
        <v>#DIV/0!</v>
      </c>
      <c r="AF437" s="126">
        <f>IFERROR(D437*F437*L437*'Entrada e Saida'!$K$8,0)</f>
        <v>0</v>
      </c>
      <c r="AG437" s="3" t="e">
        <f>((W437+AA437+AB437+AC437+AD437+AE437+AF437)/(1-'Entrada e Saida'!$G$65))*'Entrada e Saida'!$I$66</f>
        <v>#DIV/0!</v>
      </c>
      <c r="AH437" s="8" t="e">
        <f t="shared" si="180"/>
        <v>#DIV/0!</v>
      </c>
      <c r="AI437" s="183" t="e">
        <f>'Entrada e Saida'!$K$51*(IF('Entrada e Saida'!$H$15="PESO",(P437/(SUM(P:P))),(Q437/(SUM(Q:Q)))))</f>
        <v>#DIV/0!</v>
      </c>
      <c r="AJ437" s="7">
        <f>(('Entrada e Saida'!$K$10-'Entrada e Saida'!$K$8)*E437*D437)</f>
        <v>0</v>
      </c>
      <c r="AK437" s="184" t="e">
        <f>IF('Entrada e Saida'!$H$15="PESO",W437+AA437+AH437+AI437+AJ437,W437+AA437+AH437+AI437+AJ437-S437+T437-U437+V437)</f>
        <v>#DIV/0!</v>
      </c>
      <c r="AL437" s="6" t="e">
        <f>IF('Entrada e Saida'!$H$12="REAL",AC437,0)</f>
        <v>#DIV/0!</v>
      </c>
      <c r="AM437" s="6" t="e">
        <f>IF('Entrada e Saida'!$H$12="REAL",AD437,0)</f>
        <v>#DIV/0!</v>
      </c>
      <c r="AN437" s="5" t="e">
        <f>IF('Entrada e Saida'!$H$13= "NÃO",AE437,0)</f>
        <v>#DIV/0!</v>
      </c>
      <c r="AO437" s="5" t="e">
        <f t="shared" si="181"/>
        <v>#DIV/0!</v>
      </c>
      <c r="AP437" s="4" t="e">
        <f t="shared" si="182"/>
        <v>#DIV/0!</v>
      </c>
      <c r="AQ437" s="3" t="e">
        <f>IF('Entrada e Saida'!$H$11="TRADING",AU437*'Custo Resumido'!D437,0)</f>
        <v>#DIV/0!</v>
      </c>
      <c r="AR437" s="3" t="e">
        <f>IF('Entrada e Saida'!$H$11="TRADING",AU437*'Entrada e Saida'!$G$63,0)</f>
        <v>#DIV/0!</v>
      </c>
      <c r="AS437" s="3" t="e">
        <f>IF('Entrada e Saida'!$H$11="TRADING",AU437*'Entrada e Saida'!$G$64,0)</f>
        <v>#DIV/0!</v>
      </c>
      <c r="AT437" s="3" t="e">
        <f>IF('Entrada e Saida'!$H$11="TRADING",AU437*'Entrada e Saida'!$G$65,0)</f>
        <v>#DIV/0!</v>
      </c>
      <c r="AU437" s="4" t="e">
        <f>IF('Entrada e Saida'!$H$11="TRADING",AP437/(1-(SUM('Entrada e Saida'!$G$63:$G$65)+'Custo Resumido'!D437)),0)</f>
        <v>#DIV/0!</v>
      </c>
      <c r="AV437" s="3" t="e">
        <f>IF('Entrada e Saida'!$H$13="NÃO",AU437*M437,0)</f>
        <v>#DIV/0!</v>
      </c>
      <c r="AW437" s="4" t="e">
        <f t="shared" si="183"/>
        <v>#DIV/0!</v>
      </c>
      <c r="AX437" s="3" t="e">
        <f>'Entrada e Saida'!$G$74*AU437</f>
        <v>#DIV/0!</v>
      </c>
      <c r="AY437" s="4" t="e">
        <f t="shared" si="184"/>
        <v>#DIV/0!</v>
      </c>
      <c r="AZ437" s="4" t="e">
        <f>AQ437+('Entrada e Saida'!$G$65-'Entrada e Saida'!$I$65)*AU437-AX437</f>
        <v>#DIV/0!</v>
      </c>
      <c r="BA437" s="3" t="e">
        <f>IF('Entrada e Saida'!$H$12="REAL",AZ437*'Entrada e Saida'!$G$81,AU437*'Entrada e Saida'!$G$81)</f>
        <v>#DIV/0!</v>
      </c>
      <c r="BB437" s="3" t="e">
        <f>IF('Entrada e Saida'!$H$12="REAL",AZ437*'Entrada e Saida'!$G$82,AU437*'Entrada e Saida'!$G$82)</f>
        <v>#DIV/0!</v>
      </c>
      <c r="BC437" s="4" t="e">
        <f t="shared" si="185"/>
        <v>#DIV/0!</v>
      </c>
      <c r="BD437" s="3" t="e">
        <f>IF('Entrada e Saida'!$H$11="TRADING",AW437/D437,AK437/D437)</f>
        <v>#DIV/0!</v>
      </c>
      <c r="BE437" s="3" t="e">
        <f t="shared" si="186"/>
        <v>#DIV/0!</v>
      </c>
      <c r="BF437" s="2" t="e">
        <f t="shared" si="187"/>
        <v>#DIV/0!</v>
      </c>
      <c r="BG437" s="3" t="e">
        <f>IF('Entrada e Saida'!$H$11="TRADING",AV437/D437,AN437/D437)</f>
        <v>#DIV/0!</v>
      </c>
      <c r="BH437" s="3" t="e">
        <f>IF('Entrada e Saida'!$H$11="TRADING",IF('Entrada e Saida'!$H$12="REAL",AR437/D437,0),AL437/D437)</f>
        <v>#DIV/0!</v>
      </c>
      <c r="BI437" s="3" t="e">
        <f>IF('Entrada e Saida'!$H$11="TRADING",IF('Entrada e Saida'!$H$12="REAL",AS437/D437,0),AM437/D437)</f>
        <v>#DIV/0!</v>
      </c>
      <c r="BJ437" s="3" t="e">
        <f>IF('Entrada e Saida'!$H$11="TRADING",AT437/D437,AO437/D437)</f>
        <v>#DIV/0!</v>
      </c>
      <c r="BK437" s="2" t="e">
        <f t="shared" si="188"/>
        <v>#DIV/0!</v>
      </c>
      <c r="BL437" s="2">
        <f>IF(O437&gt;0,IFERROR(IF('Entrada e Saida'!$H$11="DIRETA",0,(IF('Entrada e Saida'!$H$14="P.JURIDICA",(BD437*(1+O437)*N437)-((BD437/(1+M437))*'Entrada e Saida'!$G$65),((Produtos!N437-'Entrada e Saida'!$G$65)*Produtos!BD437)))),0),0)</f>
        <v>0</v>
      </c>
      <c r="BM437" s="2" t="e">
        <f t="shared" si="189"/>
        <v>#DIV/0!</v>
      </c>
    </row>
    <row r="438" spans="1:65" s="1" customFormat="1">
      <c r="A438" s="127"/>
      <c r="B438" s="114">
        <f>IFERROR(VLOOKUP(A438,'Master Modelo'!A:I,7,FALSE),0)</f>
        <v>0</v>
      </c>
      <c r="C438" s="116">
        <f>IFERROR(VLOOKUP(A438,'Master Modelo'!A:I,2,FALSE),0)</f>
        <v>0</v>
      </c>
      <c r="D438" s="146"/>
      <c r="E438" s="115">
        <f>IFERROR(VLOOKUP(A438,'Master Modelo'!A:I,9,FALSE),0)</f>
        <v>0</v>
      </c>
      <c r="F438" s="189">
        <f>IFERROR(VLOOKUP(A438,'Master Modelo'!A:I,8,FALSE),0)</f>
        <v>0</v>
      </c>
      <c r="G438" s="189">
        <f>IFERROR(VLOOKUP(A438,'Master Modelo'!A:K,11,FALSE),0)</f>
        <v>0</v>
      </c>
      <c r="H438" s="114" t="e">
        <f t="shared" si="172"/>
        <v>#DIV/0!</v>
      </c>
      <c r="I438" s="150">
        <f>IFERROR(VLOOKUP(A438,'Master Modelo'!A:I,3,FALSE),0)</f>
        <v>0</v>
      </c>
      <c r="J438" s="151">
        <f>IFERROR(VLOOKUP(A438,'Master Modelo'!A:I,5,FALSE),0)</f>
        <v>0</v>
      </c>
      <c r="K438" s="151">
        <f>IFERROR(VLOOKUP(A438,'Master Modelo'!A:I,6,FALSE),0)</f>
        <v>0</v>
      </c>
      <c r="L438" s="152" t="e">
        <f>VLOOKUP(A438,'Master Modelo'!A:J,10,FALSE)</f>
        <v>#N/A</v>
      </c>
      <c r="M438" s="150">
        <f>IFERROR(VLOOKUP(A438,'Master Modelo'!A:I,4,FALSE),0)</f>
        <v>0</v>
      </c>
      <c r="N438" s="128"/>
      <c r="O438" s="129"/>
      <c r="P438" s="9">
        <f t="shared" si="173"/>
        <v>0</v>
      </c>
      <c r="Q438" s="177">
        <f t="shared" si="171"/>
        <v>0</v>
      </c>
      <c r="R438" s="3">
        <f>D438*E438*'Entrada e Saida'!$K$8</f>
        <v>0</v>
      </c>
      <c r="S438" s="179" t="e">
        <f>'Entrada e Saida'!$H$21*'Entrada e Saida'!$K$8*(P438/(SUM(P:P)))</f>
        <v>#DIV/0!</v>
      </c>
      <c r="T438" s="179" t="e">
        <f>'Entrada e Saida'!$H$21*'Entrada e Saida'!$K$8*(Q438/(SUM(Q:Q)))</f>
        <v>#DIV/0!</v>
      </c>
      <c r="U438" s="179" t="e">
        <f>'Entrada e Saida'!$H$22*(P438/(SUM(P:P)))</f>
        <v>#DIV/0!</v>
      </c>
      <c r="V438" s="179" t="e">
        <f>'Entrada e Saida'!$H$22*(Q438/(SUM(Q:Q)))</f>
        <v>#DIV/0!</v>
      </c>
      <c r="W438" s="8" t="e">
        <f t="shared" si="174"/>
        <v>#DIV/0!</v>
      </c>
      <c r="X438" s="179" t="e">
        <f>'Entrada e Saida'!$H$26*(IF('Entrada e Saida'!$H$15="PESO",(P438/(SUM(P:P))),(Q438/(SUM(Q:Q)))))</f>
        <v>#DIV/0!</v>
      </c>
      <c r="Y438" s="179" t="e">
        <f>'Entrada e Saida'!$H$27*(IF('Entrada e Saida'!$H$15="PESO",(P438/(SUM(P:P))),(Q438/(SUM(Q:Q)))))</f>
        <v>#DIV/0!</v>
      </c>
      <c r="Z438" s="179" t="e">
        <f>'Entrada e Saida'!$H$28*(IF('Entrada e Saida'!$H$15="PESO",(P438/(SUM(P:P))),(Q438/(SUM(Q:Q)))))</f>
        <v>#DIV/0!</v>
      </c>
      <c r="AA438" s="10" t="e">
        <f t="shared" si="175"/>
        <v>#DIV/0!</v>
      </c>
      <c r="AB438" s="3" t="e">
        <f t="shared" si="176"/>
        <v>#DIV/0!</v>
      </c>
      <c r="AC438" s="3" t="e">
        <f t="shared" si="177"/>
        <v>#DIV/0!</v>
      </c>
      <c r="AD438" s="3" t="e">
        <f t="shared" si="178"/>
        <v>#DIV/0!</v>
      </c>
      <c r="AE438" s="9" t="e">
        <f t="shared" si="179"/>
        <v>#DIV/0!</v>
      </c>
      <c r="AF438" s="126">
        <f>IFERROR(D438*F438*L438*'Entrada e Saida'!$K$8,0)</f>
        <v>0</v>
      </c>
      <c r="AG438" s="3" t="e">
        <f>((W438+AA438+AB438+AC438+AD438+AE438+AF438)/(1-'Entrada e Saida'!$G$65))*'Entrada e Saida'!$I$66</f>
        <v>#DIV/0!</v>
      </c>
      <c r="AH438" s="8" t="e">
        <f t="shared" si="180"/>
        <v>#DIV/0!</v>
      </c>
      <c r="AI438" s="183" t="e">
        <f>'Entrada e Saida'!$K$51*(IF('Entrada e Saida'!$H$15="PESO",(P438/(SUM(P:P))),(Q438/(SUM(Q:Q)))))</f>
        <v>#DIV/0!</v>
      </c>
      <c r="AJ438" s="7">
        <f>(('Entrada e Saida'!$K$10-'Entrada e Saida'!$K$8)*E438*D438)</f>
        <v>0</v>
      </c>
      <c r="AK438" s="184" t="e">
        <f>IF('Entrada e Saida'!$H$15="PESO",W438+AA438+AH438+AI438+AJ438,W438+AA438+AH438+AI438+AJ438-S438+T438-U438+V438)</f>
        <v>#DIV/0!</v>
      </c>
      <c r="AL438" s="6" t="e">
        <f>IF('Entrada e Saida'!$H$12="REAL",AC438,0)</f>
        <v>#DIV/0!</v>
      </c>
      <c r="AM438" s="6" t="e">
        <f>IF('Entrada e Saida'!$H$12="REAL",AD438,0)</f>
        <v>#DIV/0!</v>
      </c>
      <c r="AN438" s="5" t="e">
        <f>IF('Entrada e Saida'!$H$13= "NÃO",AE438,0)</f>
        <v>#DIV/0!</v>
      </c>
      <c r="AO438" s="5" t="e">
        <f t="shared" si="181"/>
        <v>#DIV/0!</v>
      </c>
      <c r="AP438" s="4" t="e">
        <f t="shared" si="182"/>
        <v>#DIV/0!</v>
      </c>
      <c r="AQ438" s="3" t="e">
        <f>IF('Entrada e Saida'!$H$11="TRADING",AU438*'Custo Resumido'!D438,0)</f>
        <v>#DIV/0!</v>
      </c>
      <c r="AR438" s="3" t="e">
        <f>IF('Entrada e Saida'!$H$11="TRADING",AU438*'Entrada e Saida'!$G$63,0)</f>
        <v>#DIV/0!</v>
      </c>
      <c r="AS438" s="3" t="e">
        <f>IF('Entrada e Saida'!$H$11="TRADING",AU438*'Entrada e Saida'!$G$64,0)</f>
        <v>#DIV/0!</v>
      </c>
      <c r="AT438" s="3" t="e">
        <f>IF('Entrada e Saida'!$H$11="TRADING",AU438*'Entrada e Saida'!$G$65,0)</f>
        <v>#DIV/0!</v>
      </c>
      <c r="AU438" s="4" t="e">
        <f>IF('Entrada e Saida'!$H$11="TRADING",AP438/(1-(SUM('Entrada e Saida'!$G$63:$G$65)+'Custo Resumido'!D438)),0)</f>
        <v>#DIV/0!</v>
      </c>
      <c r="AV438" s="3" t="e">
        <f>IF('Entrada e Saida'!$H$13="NÃO",AU438*M438,0)</f>
        <v>#DIV/0!</v>
      </c>
      <c r="AW438" s="4" t="e">
        <f t="shared" si="183"/>
        <v>#DIV/0!</v>
      </c>
      <c r="AX438" s="3" t="e">
        <f>'Entrada e Saida'!$G$74*AU438</f>
        <v>#DIV/0!</v>
      </c>
      <c r="AY438" s="4" t="e">
        <f t="shared" si="184"/>
        <v>#DIV/0!</v>
      </c>
      <c r="AZ438" s="4" t="e">
        <f>AQ438+('Entrada e Saida'!$G$65-'Entrada e Saida'!$I$65)*AU438-AX438</f>
        <v>#DIV/0!</v>
      </c>
      <c r="BA438" s="3" t="e">
        <f>IF('Entrada e Saida'!$H$12="REAL",AZ438*'Entrada e Saida'!$G$81,AU438*'Entrada e Saida'!$G$81)</f>
        <v>#DIV/0!</v>
      </c>
      <c r="BB438" s="3" t="e">
        <f>IF('Entrada e Saida'!$H$12="REAL",AZ438*'Entrada e Saida'!$G$82,AU438*'Entrada e Saida'!$G$82)</f>
        <v>#DIV/0!</v>
      </c>
      <c r="BC438" s="4" t="e">
        <f t="shared" si="185"/>
        <v>#DIV/0!</v>
      </c>
      <c r="BD438" s="3" t="e">
        <f>IF('Entrada e Saida'!$H$11="TRADING",AW438/D438,AK438/D438)</f>
        <v>#DIV/0!</v>
      </c>
      <c r="BE438" s="3" t="e">
        <f t="shared" si="186"/>
        <v>#DIV/0!</v>
      </c>
      <c r="BF438" s="2" t="e">
        <f t="shared" si="187"/>
        <v>#DIV/0!</v>
      </c>
      <c r="BG438" s="3" t="e">
        <f>IF('Entrada e Saida'!$H$11="TRADING",AV438/D438,AN438/D438)</f>
        <v>#DIV/0!</v>
      </c>
      <c r="BH438" s="3" t="e">
        <f>IF('Entrada e Saida'!$H$11="TRADING",IF('Entrada e Saida'!$H$12="REAL",AR438/D438,0),AL438/D438)</f>
        <v>#DIV/0!</v>
      </c>
      <c r="BI438" s="3" t="e">
        <f>IF('Entrada e Saida'!$H$11="TRADING",IF('Entrada e Saida'!$H$12="REAL",AS438/D438,0),AM438/D438)</f>
        <v>#DIV/0!</v>
      </c>
      <c r="BJ438" s="3" t="e">
        <f>IF('Entrada e Saida'!$H$11="TRADING",AT438/D438,AO438/D438)</f>
        <v>#DIV/0!</v>
      </c>
      <c r="BK438" s="2" t="e">
        <f t="shared" si="188"/>
        <v>#DIV/0!</v>
      </c>
      <c r="BL438" s="2">
        <f>IF(O438&gt;0,IFERROR(IF('Entrada e Saida'!$H$11="DIRETA",0,(IF('Entrada e Saida'!$H$14="P.JURIDICA",(BD438*(1+O438)*N438)-((BD438/(1+M438))*'Entrada e Saida'!$G$65),((Produtos!N438-'Entrada e Saida'!$G$65)*Produtos!BD438)))),0),0)</f>
        <v>0</v>
      </c>
      <c r="BM438" s="2" t="e">
        <f t="shared" si="189"/>
        <v>#DIV/0!</v>
      </c>
    </row>
    <row r="439" spans="1:65" s="1" customFormat="1">
      <c r="A439" s="127"/>
      <c r="B439" s="114">
        <f>IFERROR(VLOOKUP(A439,'Master Modelo'!A:I,7,FALSE),0)</f>
        <v>0</v>
      </c>
      <c r="C439" s="116">
        <f>IFERROR(VLOOKUP(A439,'Master Modelo'!A:I,2,FALSE),0)</f>
        <v>0</v>
      </c>
      <c r="D439" s="146"/>
      <c r="E439" s="115">
        <f>IFERROR(VLOOKUP(A439,'Master Modelo'!A:I,9,FALSE),0)</f>
        <v>0</v>
      </c>
      <c r="F439" s="189">
        <f>IFERROR(VLOOKUP(A439,'Master Modelo'!A:I,8,FALSE),0)</f>
        <v>0</v>
      </c>
      <c r="G439" s="189">
        <f>IFERROR(VLOOKUP(A439,'Master Modelo'!A:K,11,FALSE),0)</f>
        <v>0</v>
      </c>
      <c r="H439" s="114" t="e">
        <f t="shared" si="172"/>
        <v>#DIV/0!</v>
      </c>
      <c r="I439" s="150">
        <f>IFERROR(VLOOKUP(A439,'Master Modelo'!A:I,3,FALSE),0)</f>
        <v>0</v>
      </c>
      <c r="J439" s="151">
        <f>IFERROR(VLOOKUP(A439,'Master Modelo'!A:I,5,FALSE),0)</f>
        <v>0</v>
      </c>
      <c r="K439" s="151">
        <f>IFERROR(VLOOKUP(A439,'Master Modelo'!A:I,6,FALSE),0)</f>
        <v>0</v>
      </c>
      <c r="L439" s="152" t="e">
        <f>VLOOKUP(A439,'Master Modelo'!A:J,10,FALSE)</f>
        <v>#N/A</v>
      </c>
      <c r="M439" s="150">
        <f>IFERROR(VLOOKUP(A439,'Master Modelo'!A:I,4,FALSE),0)</f>
        <v>0</v>
      </c>
      <c r="N439" s="128"/>
      <c r="O439" s="129"/>
      <c r="P439" s="9">
        <f t="shared" si="173"/>
        <v>0</v>
      </c>
      <c r="Q439" s="177">
        <f t="shared" si="171"/>
        <v>0</v>
      </c>
      <c r="R439" s="3">
        <f>D439*E439*'Entrada e Saida'!$K$8</f>
        <v>0</v>
      </c>
      <c r="S439" s="179" t="e">
        <f>'Entrada e Saida'!$H$21*'Entrada e Saida'!$K$8*(P439/(SUM(P:P)))</f>
        <v>#DIV/0!</v>
      </c>
      <c r="T439" s="179" t="e">
        <f>'Entrada e Saida'!$H$21*'Entrada e Saida'!$K$8*(Q439/(SUM(Q:Q)))</f>
        <v>#DIV/0!</v>
      </c>
      <c r="U439" s="179" t="e">
        <f>'Entrada e Saida'!$H$22*(P439/(SUM(P:P)))</f>
        <v>#DIV/0!</v>
      </c>
      <c r="V439" s="179" t="e">
        <f>'Entrada e Saida'!$H$22*(Q439/(SUM(Q:Q)))</f>
        <v>#DIV/0!</v>
      </c>
      <c r="W439" s="8" t="e">
        <f t="shared" si="174"/>
        <v>#DIV/0!</v>
      </c>
      <c r="X439" s="179" t="e">
        <f>'Entrada e Saida'!$H$26*(IF('Entrada e Saida'!$H$15="PESO",(P439/(SUM(P:P))),(Q439/(SUM(Q:Q)))))</f>
        <v>#DIV/0!</v>
      </c>
      <c r="Y439" s="179" t="e">
        <f>'Entrada e Saida'!$H$27*(IF('Entrada e Saida'!$H$15="PESO",(P439/(SUM(P:P))),(Q439/(SUM(Q:Q)))))</f>
        <v>#DIV/0!</v>
      </c>
      <c r="Z439" s="179" t="e">
        <f>'Entrada e Saida'!$H$28*(IF('Entrada e Saida'!$H$15="PESO",(P439/(SUM(P:P))),(Q439/(SUM(Q:Q)))))</f>
        <v>#DIV/0!</v>
      </c>
      <c r="AA439" s="10" t="e">
        <f t="shared" si="175"/>
        <v>#DIV/0!</v>
      </c>
      <c r="AB439" s="3" t="e">
        <f t="shared" si="176"/>
        <v>#DIV/0!</v>
      </c>
      <c r="AC439" s="3" t="e">
        <f t="shared" si="177"/>
        <v>#DIV/0!</v>
      </c>
      <c r="AD439" s="3" t="e">
        <f t="shared" si="178"/>
        <v>#DIV/0!</v>
      </c>
      <c r="AE439" s="9" t="e">
        <f t="shared" si="179"/>
        <v>#DIV/0!</v>
      </c>
      <c r="AF439" s="126">
        <f>IFERROR(D439*F439*L439*'Entrada e Saida'!$K$8,0)</f>
        <v>0</v>
      </c>
      <c r="AG439" s="3" t="e">
        <f>((W439+AA439+AB439+AC439+AD439+AE439+AF439)/(1-'Entrada e Saida'!$G$65))*'Entrada e Saida'!$I$66</f>
        <v>#DIV/0!</v>
      </c>
      <c r="AH439" s="8" t="e">
        <f t="shared" si="180"/>
        <v>#DIV/0!</v>
      </c>
      <c r="AI439" s="183" t="e">
        <f>'Entrada e Saida'!$K$51*(IF('Entrada e Saida'!$H$15="PESO",(P439/(SUM(P:P))),(Q439/(SUM(Q:Q)))))</f>
        <v>#DIV/0!</v>
      </c>
      <c r="AJ439" s="7">
        <f>(('Entrada e Saida'!$K$10-'Entrada e Saida'!$K$8)*E439*D439)</f>
        <v>0</v>
      </c>
      <c r="AK439" s="184" t="e">
        <f>IF('Entrada e Saida'!$H$15="PESO",W439+AA439+AH439+AI439+AJ439,W439+AA439+AH439+AI439+AJ439-S439+T439-U439+V439)</f>
        <v>#DIV/0!</v>
      </c>
      <c r="AL439" s="6" t="e">
        <f>IF('Entrada e Saida'!$H$12="REAL",AC439,0)</f>
        <v>#DIV/0!</v>
      </c>
      <c r="AM439" s="6" t="e">
        <f>IF('Entrada e Saida'!$H$12="REAL",AD439,0)</f>
        <v>#DIV/0!</v>
      </c>
      <c r="AN439" s="5" t="e">
        <f>IF('Entrada e Saida'!$H$13= "NÃO",AE439,0)</f>
        <v>#DIV/0!</v>
      </c>
      <c r="AO439" s="5" t="e">
        <f t="shared" si="181"/>
        <v>#DIV/0!</v>
      </c>
      <c r="AP439" s="4" t="e">
        <f t="shared" si="182"/>
        <v>#DIV/0!</v>
      </c>
      <c r="AQ439" s="3" t="e">
        <f>IF('Entrada e Saida'!$H$11="TRADING",AU439*'Custo Resumido'!D439,0)</f>
        <v>#DIV/0!</v>
      </c>
      <c r="AR439" s="3" t="e">
        <f>IF('Entrada e Saida'!$H$11="TRADING",AU439*'Entrada e Saida'!$G$63,0)</f>
        <v>#DIV/0!</v>
      </c>
      <c r="AS439" s="3" t="e">
        <f>IF('Entrada e Saida'!$H$11="TRADING",AU439*'Entrada e Saida'!$G$64,0)</f>
        <v>#DIV/0!</v>
      </c>
      <c r="AT439" s="3" t="e">
        <f>IF('Entrada e Saida'!$H$11="TRADING",AU439*'Entrada e Saida'!$G$65,0)</f>
        <v>#DIV/0!</v>
      </c>
      <c r="AU439" s="4" t="e">
        <f>IF('Entrada e Saida'!$H$11="TRADING",AP439/(1-(SUM('Entrada e Saida'!$G$63:$G$65)+'Custo Resumido'!D439)),0)</f>
        <v>#DIV/0!</v>
      </c>
      <c r="AV439" s="3" t="e">
        <f>IF('Entrada e Saida'!$H$13="NÃO",AU439*M439,0)</f>
        <v>#DIV/0!</v>
      </c>
      <c r="AW439" s="4" t="e">
        <f t="shared" si="183"/>
        <v>#DIV/0!</v>
      </c>
      <c r="AX439" s="3" t="e">
        <f>'Entrada e Saida'!$G$74*AU439</f>
        <v>#DIV/0!</v>
      </c>
      <c r="AY439" s="4" t="e">
        <f t="shared" si="184"/>
        <v>#DIV/0!</v>
      </c>
      <c r="AZ439" s="4" t="e">
        <f>AQ439+('Entrada e Saida'!$G$65-'Entrada e Saida'!$I$65)*AU439-AX439</f>
        <v>#DIV/0!</v>
      </c>
      <c r="BA439" s="3" t="e">
        <f>IF('Entrada e Saida'!$H$12="REAL",AZ439*'Entrada e Saida'!$G$81,AU439*'Entrada e Saida'!$G$81)</f>
        <v>#DIV/0!</v>
      </c>
      <c r="BB439" s="3" t="e">
        <f>IF('Entrada e Saida'!$H$12="REAL",AZ439*'Entrada e Saida'!$G$82,AU439*'Entrada e Saida'!$G$82)</f>
        <v>#DIV/0!</v>
      </c>
      <c r="BC439" s="4" t="e">
        <f t="shared" si="185"/>
        <v>#DIV/0!</v>
      </c>
      <c r="BD439" s="3" t="e">
        <f>IF('Entrada e Saida'!$H$11="TRADING",AW439/D439,AK439/D439)</f>
        <v>#DIV/0!</v>
      </c>
      <c r="BE439" s="3" t="e">
        <f t="shared" si="186"/>
        <v>#DIV/0!</v>
      </c>
      <c r="BF439" s="2" t="e">
        <f t="shared" si="187"/>
        <v>#DIV/0!</v>
      </c>
      <c r="BG439" s="3" t="e">
        <f>IF('Entrada e Saida'!$H$11="TRADING",AV439/D439,AN439/D439)</f>
        <v>#DIV/0!</v>
      </c>
      <c r="BH439" s="3" t="e">
        <f>IF('Entrada e Saida'!$H$11="TRADING",IF('Entrada e Saida'!$H$12="REAL",AR439/D439,0),AL439/D439)</f>
        <v>#DIV/0!</v>
      </c>
      <c r="BI439" s="3" t="e">
        <f>IF('Entrada e Saida'!$H$11="TRADING",IF('Entrada e Saida'!$H$12="REAL",AS439/D439,0),AM439/D439)</f>
        <v>#DIV/0!</v>
      </c>
      <c r="BJ439" s="3" t="e">
        <f>IF('Entrada e Saida'!$H$11="TRADING",AT439/D439,AO439/D439)</f>
        <v>#DIV/0!</v>
      </c>
      <c r="BK439" s="2" t="e">
        <f t="shared" si="188"/>
        <v>#DIV/0!</v>
      </c>
      <c r="BL439" s="2">
        <f>IF(O439&gt;0,IFERROR(IF('Entrada e Saida'!$H$11="DIRETA",0,(IF('Entrada e Saida'!$H$14="P.JURIDICA",(BD439*(1+O439)*N439)-((BD439/(1+M439))*'Entrada e Saida'!$G$65),((Produtos!N439-'Entrada e Saida'!$G$65)*Produtos!BD439)))),0),0)</f>
        <v>0</v>
      </c>
      <c r="BM439" s="2" t="e">
        <f t="shared" si="189"/>
        <v>#DIV/0!</v>
      </c>
    </row>
    <row r="440" spans="1:65" s="1" customFormat="1">
      <c r="A440" s="127"/>
      <c r="B440" s="114">
        <f>IFERROR(VLOOKUP(A440,'Master Modelo'!A:I,7,FALSE),0)</f>
        <v>0</v>
      </c>
      <c r="C440" s="116">
        <f>IFERROR(VLOOKUP(A440,'Master Modelo'!A:I,2,FALSE),0)</f>
        <v>0</v>
      </c>
      <c r="D440" s="146"/>
      <c r="E440" s="115">
        <f>IFERROR(VLOOKUP(A440,'Master Modelo'!A:I,9,FALSE),0)</f>
        <v>0</v>
      </c>
      <c r="F440" s="189">
        <f>IFERROR(VLOOKUP(A440,'Master Modelo'!A:I,8,FALSE),0)</f>
        <v>0</v>
      </c>
      <c r="G440" s="189">
        <f>IFERROR(VLOOKUP(A440,'Master Modelo'!A:K,11,FALSE),0)</f>
        <v>0</v>
      </c>
      <c r="H440" s="114" t="e">
        <f t="shared" si="172"/>
        <v>#DIV/0!</v>
      </c>
      <c r="I440" s="150">
        <f>IFERROR(VLOOKUP(A440,'Master Modelo'!A:I,3,FALSE),0)</f>
        <v>0</v>
      </c>
      <c r="J440" s="151">
        <f>IFERROR(VLOOKUP(A440,'Master Modelo'!A:I,5,FALSE),0)</f>
        <v>0</v>
      </c>
      <c r="K440" s="151">
        <f>IFERROR(VLOOKUP(A440,'Master Modelo'!A:I,6,FALSE),0)</f>
        <v>0</v>
      </c>
      <c r="L440" s="152" t="e">
        <f>VLOOKUP(A440,'Master Modelo'!A:J,10,FALSE)</f>
        <v>#N/A</v>
      </c>
      <c r="M440" s="150">
        <f>IFERROR(VLOOKUP(A440,'Master Modelo'!A:I,4,FALSE),0)</f>
        <v>0</v>
      </c>
      <c r="N440" s="128"/>
      <c r="O440" s="129"/>
      <c r="P440" s="9">
        <f t="shared" si="173"/>
        <v>0</v>
      </c>
      <c r="Q440" s="177">
        <f t="shared" si="171"/>
        <v>0</v>
      </c>
      <c r="R440" s="3">
        <f>D440*E440*'Entrada e Saida'!$K$8</f>
        <v>0</v>
      </c>
      <c r="S440" s="179" t="e">
        <f>'Entrada e Saida'!$H$21*'Entrada e Saida'!$K$8*(P440/(SUM(P:P)))</f>
        <v>#DIV/0!</v>
      </c>
      <c r="T440" s="179" t="e">
        <f>'Entrada e Saida'!$H$21*'Entrada e Saida'!$K$8*(Q440/(SUM(Q:Q)))</f>
        <v>#DIV/0!</v>
      </c>
      <c r="U440" s="179" t="e">
        <f>'Entrada e Saida'!$H$22*(P440/(SUM(P:P)))</f>
        <v>#DIV/0!</v>
      </c>
      <c r="V440" s="179" t="e">
        <f>'Entrada e Saida'!$H$22*(Q440/(SUM(Q:Q)))</f>
        <v>#DIV/0!</v>
      </c>
      <c r="W440" s="8" t="e">
        <f t="shared" si="174"/>
        <v>#DIV/0!</v>
      </c>
      <c r="X440" s="179" t="e">
        <f>'Entrada e Saida'!$H$26*(IF('Entrada e Saida'!$H$15="PESO",(P440/(SUM(P:P))),(Q440/(SUM(Q:Q)))))</f>
        <v>#DIV/0!</v>
      </c>
      <c r="Y440" s="179" t="e">
        <f>'Entrada e Saida'!$H$27*(IF('Entrada e Saida'!$H$15="PESO",(P440/(SUM(P:P))),(Q440/(SUM(Q:Q)))))</f>
        <v>#DIV/0!</v>
      </c>
      <c r="Z440" s="179" t="e">
        <f>'Entrada e Saida'!$H$28*(IF('Entrada e Saida'!$H$15="PESO",(P440/(SUM(P:P))),(Q440/(SUM(Q:Q)))))</f>
        <v>#DIV/0!</v>
      </c>
      <c r="AA440" s="10" t="e">
        <f t="shared" si="175"/>
        <v>#DIV/0!</v>
      </c>
      <c r="AB440" s="3" t="e">
        <f t="shared" si="176"/>
        <v>#DIV/0!</v>
      </c>
      <c r="AC440" s="3" t="e">
        <f t="shared" si="177"/>
        <v>#DIV/0!</v>
      </c>
      <c r="AD440" s="3" t="e">
        <f t="shared" si="178"/>
        <v>#DIV/0!</v>
      </c>
      <c r="AE440" s="9" t="e">
        <f t="shared" si="179"/>
        <v>#DIV/0!</v>
      </c>
      <c r="AF440" s="126">
        <f>IFERROR(D440*F440*L440*'Entrada e Saida'!$K$8,0)</f>
        <v>0</v>
      </c>
      <c r="AG440" s="3" t="e">
        <f>((W440+AA440+AB440+AC440+AD440+AE440+AF440)/(1-'Entrada e Saida'!$G$65))*'Entrada e Saida'!$I$66</f>
        <v>#DIV/0!</v>
      </c>
      <c r="AH440" s="8" t="e">
        <f t="shared" si="180"/>
        <v>#DIV/0!</v>
      </c>
      <c r="AI440" s="183" t="e">
        <f>'Entrada e Saida'!$K$51*(IF('Entrada e Saida'!$H$15="PESO",(P440/(SUM(P:P))),(Q440/(SUM(Q:Q)))))</f>
        <v>#DIV/0!</v>
      </c>
      <c r="AJ440" s="7">
        <f>(('Entrada e Saida'!$K$10-'Entrada e Saida'!$K$8)*E440*D440)</f>
        <v>0</v>
      </c>
      <c r="AK440" s="184" t="e">
        <f>IF('Entrada e Saida'!$H$15="PESO",W440+AA440+AH440+AI440+AJ440,W440+AA440+AH440+AI440+AJ440-S440+T440-U440+V440)</f>
        <v>#DIV/0!</v>
      </c>
      <c r="AL440" s="6" t="e">
        <f>IF('Entrada e Saida'!$H$12="REAL",AC440,0)</f>
        <v>#DIV/0!</v>
      </c>
      <c r="AM440" s="6" t="e">
        <f>IF('Entrada e Saida'!$H$12="REAL",AD440,0)</f>
        <v>#DIV/0!</v>
      </c>
      <c r="AN440" s="5" t="e">
        <f>IF('Entrada e Saida'!$H$13= "NÃO",AE440,0)</f>
        <v>#DIV/0!</v>
      </c>
      <c r="AO440" s="5" t="e">
        <f t="shared" si="181"/>
        <v>#DIV/0!</v>
      </c>
      <c r="AP440" s="4" t="e">
        <f t="shared" si="182"/>
        <v>#DIV/0!</v>
      </c>
      <c r="AQ440" s="3" t="e">
        <f>IF('Entrada e Saida'!$H$11="TRADING",AU440*'Custo Resumido'!D440,0)</f>
        <v>#DIV/0!</v>
      </c>
      <c r="AR440" s="3" t="e">
        <f>IF('Entrada e Saida'!$H$11="TRADING",AU440*'Entrada e Saida'!$G$63,0)</f>
        <v>#DIV/0!</v>
      </c>
      <c r="AS440" s="3" t="e">
        <f>IF('Entrada e Saida'!$H$11="TRADING",AU440*'Entrada e Saida'!$G$64,0)</f>
        <v>#DIV/0!</v>
      </c>
      <c r="AT440" s="3" t="e">
        <f>IF('Entrada e Saida'!$H$11="TRADING",AU440*'Entrada e Saida'!$G$65,0)</f>
        <v>#DIV/0!</v>
      </c>
      <c r="AU440" s="4" t="e">
        <f>IF('Entrada e Saida'!$H$11="TRADING",AP440/(1-(SUM('Entrada e Saida'!$G$63:$G$65)+'Custo Resumido'!D440)),0)</f>
        <v>#DIV/0!</v>
      </c>
      <c r="AV440" s="3" t="e">
        <f>IF('Entrada e Saida'!$H$13="NÃO",AU440*M440,0)</f>
        <v>#DIV/0!</v>
      </c>
      <c r="AW440" s="4" t="e">
        <f t="shared" si="183"/>
        <v>#DIV/0!</v>
      </c>
      <c r="AX440" s="3" t="e">
        <f>'Entrada e Saida'!$G$74*AU440</f>
        <v>#DIV/0!</v>
      </c>
      <c r="AY440" s="4" t="e">
        <f t="shared" si="184"/>
        <v>#DIV/0!</v>
      </c>
      <c r="AZ440" s="4" t="e">
        <f>AQ440+('Entrada e Saida'!$G$65-'Entrada e Saida'!$I$65)*AU440-AX440</f>
        <v>#DIV/0!</v>
      </c>
      <c r="BA440" s="3" t="e">
        <f>IF('Entrada e Saida'!$H$12="REAL",AZ440*'Entrada e Saida'!$G$81,AU440*'Entrada e Saida'!$G$81)</f>
        <v>#DIV/0!</v>
      </c>
      <c r="BB440" s="3" t="e">
        <f>IF('Entrada e Saida'!$H$12="REAL",AZ440*'Entrada e Saida'!$G$82,AU440*'Entrada e Saida'!$G$82)</f>
        <v>#DIV/0!</v>
      </c>
      <c r="BC440" s="4" t="e">
        <f t="shared" si="185"/>
        <v>#DIV/0!</v>
      </c>
      <c r="BD440" s="3" t="e">
        <f>IF('Entrada e Saida'!$H$11="TRADING",AW440/D440,AK440/D440)</f>
        <v>#DIV/0!</v>
      </c>
      <c r="BE440" s="3" t="e">
        <f t="shared" si="186"/>
        <v>#DIV/0!</v>
      </c>
      <c r="BF440" s="2" t="e">
        <f t="shared" si="187"/>
        <v>#DIV/0!</v>
      </c>
      <c r="BG440" s="3" t="e">
        <f>IF('Entrada e Saida'!$H$11="TRADING",AV440/D440,AN440/D440)</f>
        <v>#DIV/0!</v>
      </c>
      <c r="BH440" s="3" t="e">
        <f>IF('Entrada e Saida'!$H$11="TRADING",IF('Entrada e Saida'!$H$12="REAL",AR440/D440,0),AL440/D440)</f>
        <v>#DIV/0!</v>
      </c>
      <c r="BI440" s="3" t="e">
        <f>IF('Entrada e Saida'!$H$11="TRADING",IF('Entrada e Saida'!$H$12="REAL",AS440/D440,0),AM440/D440)</f>
        <v>#DIV/0!</v>
      </c>
      <c r="BJ440" s="3" t="e">
        <f>IF('Entrada e Saida'!$H$11="TRADING",AT440/D440,AO440/D440)</f>
        <v>#DIV/0!</v>
      </c>
      <c r="BK440" s="2" t="e">
        <f t="shared" si="188"/>
        <v>#DIV/0!</v>
      </c>
      <c r="BL440" s="2">
        <f>IF(O440&gt;0,IFERROR(IF('Entrada e Saida'!$H$11="DIRETA",0,(IF('Entrada e Saida'!$H$14="P.JURIDICA",(BD440*(1+O440)*N440)-((BD440/(1+M440))*'Entrada e Saida'!$G$65),((Produtos!N440-'Entrada e Saida'!$G$65)*Produtos!BD440)))),0),0)</f>
        <v>0</v>
      </c>
      <c r="BM440" s="2" t="e">
        <f t="shared" si="189"/>
        <v>#DIV/0!</v>
      </c>
    </row>
    <row r="441" spans="1:65" s="1" customFormat="1">
      <c r="A441" s="127"/>
      <c r="B441" s="114">
        <f>IFERROR(VLOOKUP(A441,'Master Modelo'!A:I,7,FALSE),0)</f>
        <v>0</v>
      </c>
      <c r="C441" s="116">
        <f>IFERROR(VLOOKUP(A441,'Master Modelo'!A:I,2,FALSE),0)</f>
        <v>0</v>
      </c>
      <c r="D441" s="146"/>
      <c r="E441" s="115">
        <f>IFERROR(VLOOKUP(A441,'Master Modelo'!A:I,9,FALSE),0)</f>
        <v>0</v>
      </c>
      <c r="F441" s="189">
        <f>IFERROR(VLOOKUP(A441,'Master Modelo'!A:I,8,FALSE),0)</f>
        <v>0</v>
      </c>
      <c r="G441" s="189">
        <f>IFERROR(VLOOKUP(A441,'Master Modelo'!A:K,11,FALSE),0)</f>
        <v>0</v>
      </c>
      <c r="H441" s="114" t="e">
        <f t="shared" si="172"/>
        <v>#DIV/0!</v>
      </c>
      <c r="I441" s="150">
        <f>IFERROR(VLOOKUP(A441,'Master Modelo'!A:I,3,FALSE),0)</f>
        <v>0</v>
      </c>
      <c r="J441" s="151">
        <f>IFERROR(VLOOKUP(A441,'Master Modelo'!A:I,5,FALSE),0)</f>
        <v>0</v>
      </c>
      <c r="K441" s="151">
        <f>IFERROR(VLOOKUP(A441,'Master Modelo'!A:I,6,FALSE),0)</f>
        <v>0</v>
      </c>
      <c r="L441" s="152" t="e">
        <f>VLOOKUP(A441,'Master Modelo'!A:J,10,FALSE)</f>
        <v>#N/A</v>
      </c>
      <c r="M441" s="150">
        <f>IFERROR(VLOOKUP(A441,'Master Modelo'!A:I,4,FALSE),0)</f>
        <v>0</v>
      </c>
      <c r="N441" s="128"/>
      <c r="O441" s="129"/>
      <c r="P441" s="9">
        <f t="shared" si="173"/>
        <v>0</v>
      </c>
      <c r="Q441" s="177">
        <f t="shared" si="171"/>
        <v>0</v>
      </c>
      <c r="R441" s="3">
        <f>D441*E441*'Entrada e Saida'!$K$8</f>
        <v>0</v>
      </c>
      <c r="S441" s="179" t="e">
        <f>'Entrada e Saida'!$H$21*'Entrada e Saida'!$K$8*(P441/(SUM(P:P)))</f>
        <v>#DIV/0!</v>
      </c>
      <c r="T441" s="179" t="e">
        <f>'Entrada e Saida'!$H$21*'Entrada e Saida'!$K$8*(Q441/(SUM(Q:Q)))</f>
        <v>#DIV/0!</v>
      </c>
      <c r="U441" s="179" t="e">
        <f>'Entrada e Saida'!$H$22*(P441/(SUM(P:P)))</f>
        <v>#DIV/0!</v>
      </c>
      <c r="V441" s="179" t="e">
        <f>'Entrada e Saida'!$H$22*(Q441/(SUM(Q:Q)))</f>
        <v>#DIV/0!</v>
      </c>
      <c r="W441" s="8" t="e">
        <f t="shared" si="174"/>
        <v>#DIV/0!</v>
      </c>
      <c r="X441" s="179" t="e">
        <f>'Entrada e Saida'!$H$26*(IF('Entrada e Saida'!$H$15="PESO",(P441/(SUM(P:P))),(Q441/(SUM(Q:Q)))))</f>
        <v>#DIV/0!</v>
      </c>
      <c r="Y441" s="179" t="e">
        <f>'Entrada e Saida'!$H$27*(IF('Entrada e Saida'!$H$15="PESO",(P441/(SUM(P:P))),(Q441/(SUM(Q:Q)))))</f>
        <v>#DIV/0!</v>
      </c>
      <c r="Z441" s="179" t="e">
        <f>'Entrada e Saida'!$H$28*(IF('Entrada e Saida'!$H$15="PESO",(P441/(SUM(P:P))),(Q441/(SUM(Q:Q)))))</f>
        <v>#DIV/0!</v>
      </c>
      <c r="AA441" s="10" t="e">
        <f t="shared" si="175"/>
        <v>#DIV/0!</v>
      </c>
      <c r="AB441" s="3" t="e">
        <f t="shared" si="176"/>
        <v>#DIV/0!</v>
      </c>
      <c r="AC441" s="3" t="e">
        <f t="shared" si="177"/>
        <v>#DIV/0!</v>
      </c>
      <c r="AD441" s="3" t="e">
        <f t="shared" si="178"/>
        <v>#DIV/0!</v>
      </c>
      <c r="AE441" s="9" t="e">
        <f t="shared" si="179"/>
        <v>#DIV/0!</v>
      </c>
      <c r="AF441" s="126">
        <f>IFERROR(D441*F441*L441*'Entrada e Saida'!$K$8,0)</f>
        <v>0</v>
      </c>
      <c r="AG441" s="3" t="e">
        <f>((W441+AA441+AB441+AC441+AD441+AE441+AF441)/(1-'Entrada e Saida'!$G$65))*'Entrada e Saida'!$I$66</f>
        <v>#DIV/0!</v>
      </c>
      <c r="AH441" s="8" t="e">
        <f t="shared" si="180"/>
        <v>#DIV/0!</v>
      </c>
      <c r="AI441" s="183" t="e">
        <f>'Entrada e Saida'!$K$51*(IF('Entrada e Saida'!$H$15="PESO",(P441/(SUM(P:P))),(Q441/(SUM(Q:Q)))))</f>
        <v>#DIV/0!</v>
      </c>
      <c r="AJ441" s="7">
        <f>(('Entrada e Saida'!$K$10-'Entrada e Saida'!$K$8)*E441*D441)</f>
        <v>0</v>
      </c>
      <c r="AK441" s="184" t="e">
        <f>IF('Entrada e Saida'!$H$15="PESO",W441+AA441+AH441+AI441+AJ441,W441+AA441+AH441+AI441+AJ441-S441+T441-U441+V441)</f>
        <v>#DIV/0!</v>
      </c>
      <c r="AL441" s="6" t="e">
        <f>IF('Entrada e Saida'!$H$12="REAL",AC441,0)</f>
        <v>#DIV/0!</v>
      </c>
      <c r="AM441" s="6" t="e">
        <f>IF('Entrada e Saida'!$H$12="REAL",AD441,0)</f>
        <v>#DIV/0!</v>
      </c>
      <c r="AN441" s="5" t="e">
        <f>IF('Entrada e Saida'!$H$13= "NÃO",AE441,0)</f>
        <v>#DIV/0!</v>
      </c>
      <c r="AO441" s="5" t="e">
        <f t="shared" si="181"/>
        <v>#DIV/0!</v>
      </c>
      <c r="AP441" s="4" t="e">
        <f t="shared" si="182"/>
        <v>#DIV/0!</v>
      </c>
      <c r="AQ441" s="3" t="e">
        <f>IF('Entrada e Saida'!$H$11="TRADING",AU441*'Custo Resumido'!D441,0)</f>
        <v>#DIV/0!</v>
      </c>
      <c r="AR441" s="3" t="e">
        <f>IF('Entrada e Saida'!$H$11="TRADING",AU441*'Entrada e Saida'!$G$63,0)</f>
        <v>#DIV/0!</v>
      </c>
      <c r="AS441" s="3" t="e">
        <f>IF('Entrada e Saida'!$H$11="TRADING",AU441*'Entrada e Saida'!$G$64,0)</f>
        <v>#DIV/0!</v>
      </c>
      <c r="AT441" s="3" t="e">
        <f>IF('Entrada e Saida'!$H$11="TRADING",AU441*'Entrada e Saida'!$G$65,0)</f>
        <v>#DIV/0!</v>
      </c>
      <c r="AU441" s="4" t="e">
        <f>IF('Entrada e Saida'!$H$11="TRADING",AP441/(1-(SUM('Entrada e Saida'!$G$63:$G$65)+'Custo Resumido'!D441)),0)</f>
        <v>#DIV/0!</v>
      </c>
      <c r="AV441" s="3" t="e">
        <f>IF('Entrada e Saida'!$H$13="NÃO",AU441*M441,0)</f>
        <v>#DIV/0!</v>
      </c>
      <c r="AW441" s="4" t="e">
        <f t="shared" si="183"/>
        <v>#DIV/0!</v>
      </c>
      <c r="AX441" s="3" t="e">
        <f>'Entrada e Saida'!$G$74*AU441</f>
        <v>#DIV/0!</v>
      </c>
      <c r="AY441" s="4" t="e">
        <f t="shared" si="184"/>
        <v>#DIV/0!</v>
      </c>
      <c r="AZ441" s="4" t="e">
        <f>AQ441+('Entrada e Saida'!$G$65-'Entrada e Saida'!$I$65)*AU441-AX441</f>
        <v>#DIV/0!</v>
      </c>
      <c r="BA441" s="3" t="e">
        <f>IF('Entrada e Saida'!$H$12="REAL",AZ441*'Entrada e Saida'!$G$81,AU441*'Entrada e Saida'!$G$81)</f>
        <v>#DIV/0!</v>
      </c>
      <c r="BB441" s="3" t="e">
        <f>IF('Entrada e Saida'!$H$12="REAL",AZ441*'Entrada e Saida'!$G$82,AU441*'Entrada e Saida'!$G$82)</f>
        <v>#DIV/0!</v>
      </c>
      <c r="BC441" s="4" t="e">
        <f t="shared" si="185"/>
        <v>#DIV/0!</v>
      </c>
      <c r="BD441" s="3" t="e">
        <f>IF('Entrada e Saida'!$H$11="TRADING",AW441/D441,AK441/D441)</f>
        <v>#DIV/0!</v>
      </c>
      <c r="BE441" s="3" t="e">
        <f t="shared" si="186"/>
        <v>#DIV/0!</v>
      </c>
      <c r="BF441" s="2" t="e">
        <f t="shared" si="187"/>
        <v>#DIV/0!</v>
      </c>
      <c r="BG441" s="3" t="e">
        <f>IF('Entrada e Saida'!$H$11="TRADING",AV441/D441,AN441/D441)</f>
        <v>#DIV/0!</v>
      </c>
      <c r="BH441" s="3" t="e">
        <f>IF('Entrada e Saida'!$H$11="TRADING",IF('Entrada e Saida'!$H$12="REAL",AR441/D441,0),AL441/D441)</f>
        <v>#DIV/0!</v>
      </c>
      <c r="BI441" s="3" t="e">
        <f>IF('Entrada e Saida'!$H$11="TRADING",IF('Entrada e Saida'!$H$12="REAL",AS441/D441,0),AM441/D441)</f>
        <v>#DIV/0!</v>
      </c>
      <c r="BJ441" s="3" t="e">
        <f>IF('Entrada e Saida'!$H$11="TRADING",AT441/D441,AO441/D441)</f>
        <v>#DIV/0!</v>
      </c>
      <c r="BK441" s="2" t="e">
        <f t="shared" si="188"/>
        <v>#DIV/0!</v>
      </c>
      <c r="BL441" s="2">
        <f>IF(O441&gt;0,IFERROR(IF('Entrada e Saida'!$H$11="DIRETA",0,(IF('Entrada e Saida'!$H$14="P.JURIDICA",(BD441*(1+O441)*N441)-((BD441/(1+M441))*'Entrada e Saida'!$G$65),((Produtos!N441-'Entrada e Saida'!$G$65)*Produtos!BD441)))),0),0)</f>
        <v>0</v>
      </c>
      <c r="BM441" s="2" t="e">
        <f t="shared" si="189"/>
        <v>#DIV/0!</v>
      </c>
    </row>
    <row r="442" spans="1:65" s="1" customFormat="1">
      <c r="A442" s="127"/>
      <c r="B442" s="114">
        <f>IFERROR(VLOOKUP(A442,'Master Modelo'!A:I,7,FALSE),0)</f>
        <v>0</v>
      </c>
      <c r="C442" s="116">
        <f>IFERROR(VLOOKUP(A442,'Master Modelo'!A:I,2,FALSE),0)</f>
        <v>0</v>
      </c>
      <c r="D442" s="146"/>
      <c r="E442" s="115">
        <f>IFERROR(VLOOKUP(A442,'Master Modelo'!A:I,9,FALSE),0)</f>
        <v>0</v>
      </c>
      <c r="F442" s="189">
        <f>IFERROR(VLOOKUP(A442,'Master Modelo'!A:I,8,FALSE),0)</f>
        <v>0</v>
      </c>
      <c r="G442" s="189">
        <f>IFERROR(VLOOKUP(A442,'Master Modelo'!A:K,11,FALSE),0)</f>
        <v>0</v>
      </c>
      <c r="H442" s="114" t="e">
        <f t="shared" si="172"/>
        <v>#DIV/0!</v>
      </c>
      <c r="I442" s="150">
        <f>IFERROR(VLOOKUP(A442,'Master Modelo'!A:I,3,FALSE),0)</f>
        <v>0</v>
      </c>
      <c r="J442" s="151">
        <f>IFERROR(VLOOKUP(A442,'Master Modelo'!A:I,5,FALSE),0)</f>
        <v>0</v>
      </c>
      <c r="K442" s="151">
        <f>IFERROR(VLOOKUP(A442,'Master Modelo'!A:I,6,FALSE),0)</f>
        <v>0</v>
      </c>
      <c r="L442" s="152" t="e">
        <f>VLOOKUP(A442,'Master Modelo'!A:J,10,FALSE)</f>
        <v>#N/A</v>
      </c>
      <c r="M442" s="150">
        <f>IFERROR(VLOOKUP(A442,'Master Modelo'!A:I,4,FALSE),0)</f>
        <v>0</v>
      </c>
      <c r="N442" s="128"/>
      <c r="O442" s="129"/>
      <c r="P442" s="9">
        <f t="shared" si="173"/>
        <v>0</v>
      </c>
      <c r="Q442" s="177">
        <f t="shared" si="171"/>
        <v>0</v>
      </c>
      <c r="R442" s="3">
        <f>D442*E442*'Entrada e Saida'!$K$8</f>
        <v>0</v>
      </c>
      <c r="S442" s="179" t="e">
        <f>'Entrada e Saida'!$H$21*'Entrada e Saida'!$K$8*(P442/(SUM(P:P)))</f>
        <v>#DIV/0!</v>
      </c>
      <c r="T442" s="179" t="e">
        <f>'Entrada e Saida'!$H$21*'Entrada e Saida'!$K$8*(Q442/(SUM(Q:Q)))</f>
        <v>#DIV/0!</v>
      </c>
      <c r="U442" s="179" t="e">
        <f>'Entrada e Saida'!$H$22*(P442/(SUM(P:P)))</f>
        <v>#DIV/0!</v>
      </c>
      <c r="V442" s="179" t="e">
        <f>'Entrada e Saida'!$H$22*(Q442/(SUM(Q:Q)))</f>
        <v>#DIV/0!</v>
      </c>
      <c r="W442" s="8" t="e">
        <f t="shared" si="174"/>
        <v>#DIV/0!</v>
      </c>
      <c r="X442" s="179" t="e">
        <f>'Entrada e Saida'!$H$26*(IF('Entrada e Saida'!$H$15="PESO",(P442/(SUM(P:P))),(Q442/(SUM(Q:Q)))))</f>
        <v>#DIV/0!</v>
      </c>
      <c r="Y442" s="179" t="e">
        <f>'Entrada e Saida'!$H$27*(IF('Entrada e Saida'!$H$15="PESO",(P442/(SUM(P:P))),(Q442/(SUM(Q:Q)))))</f>
        <v>#DIV/0!</v>
      </c>
      <c r="Z442" s="179" t="e">
        <f>'Entrada e Saida'!$H$28*(IF('Entrada e Saida'!$H$15="PESO",(P442/(SUM(P:P))),(Q442/(SUM(Q:Q)))))</f>
        <v>#DIV/0!</v>
      </c>
      <c r="AA442" s="10" t="e">
        <f t="shared" si="175"/>
        <v>#DIV/0!</v>
      </c>
      <c r="AB442" s="3" t="e">
        <f t="shared" si="176"/>
        <v>#DIV/0!</v>
      </c>
      <c r="AC442" s="3" t="e">
        <f t="shared" si="177"/>
        <v>#DIV/0!</v>
      </c>
      <c r="AD442" s="3" t="e">
        <f t="shared" si="178"/>
        <v>#DIV/0!</v>
      </c>
      <c r="AE442" s="9" t="e">
        <f t="shared" si="179"/>
        <v>#DIV/0!</v>
      </c>
      <c r="AF442" s="126">
        <f>IFERROR(D442*F442*L442*'Entrada e Saida'!$K$8,0)</f>
        <v>0</v>
      </c>
      <c r="AG442" s="3" t="e">
        <f>((W442+AA442+AB442+AC442+AD442+AE442+AF442)/(1-'Entrada e Saida'!$G$65))*'Entrada e Saida'!$I$66</f>
        <v>#DIV/0!</v>
      </c>
      <c r="AH442" s="8" t="e">
        <f t="shared" si="180"/>
        <v>#DIV/0!</v>
      </c>
      <c r="AI442" s="183" t="e">
        <f>'Entrada e Saida'!$K$51*(IF('Entrada e Saida'!$H$15="PESO",(P442/(SUM(P:P))),(Q442/(SUM(Q:Q)))))</f>
        <v>#DIV/0!</v>
      </c>
      <c r="AJ442" s="7">
        <f>(('Entrada e Saida'!$K$10-'Entrada e Saida'!$K$8)*E442*D442)</f>
        <v>0</v>
      </c>
      <c r="AK442" s="184" t="e">
        <f>IF('Entrada e Saida'!$H$15="PESO",W442+AA442+AH442+AI442+AJ442,W442+AA442+AH442+AI442+AJ442-S442+T442-U442+V442)</f>
        <v>#DIV/0!</v>
      </c>
      <c r="AL442" s="6" t="e">
        <f>IF('Entrada e Saida'!$H$12="REAL",AC442,0)</f>
        <v>#DIV/0!</v>
      </c>
      <c r="AM442" s="6" t="e">
        <f>IF('Entrada e Saida'!$H$12="REAL",AD442,0)</f>
        <v>#DIV/0!</v>
      </c>
      <c r="AN442" s="5" t="e">
        <f>IF('Entrada e Saida'!$H$13= "NÃO",AE442,0)</f>
        <v>#DIV/0!</v>
      </c>
      <c r="AO442" s="5" t="e">
        <f t="shared" si="181"/>
        <v>#DIV/0!</v>
      </c>
      <c r="AP442" s="4" t="e">
        <f t="shared" si="182"/>
        <v>#DIV/0!</v>
      </c>
      <c r="AQ442" s="3" t="e">
        <f>IF('Entrada e Saida'!$H$11="TRADING",AU442*'Custo Resumido'!D442,0)</f>
        <v>#DIV/0!</v>
      </c>
      <c r="AR442" s="3" t="e">
        <f>IF('Entrada e Saida'!$H$11="TRADING",AU442*'Entrada e Saida'!$G$63,0)</f>
        <v>#DIV/0!</v>
      </c>
      <c r="AS442" s="3" t="e">
        <f>IF('Entrada e Saida'!$H$11="TRADING",AU442*'Entrada e Saida'!$G$64,0)</f>
        <v>#DIV/0!</v>
      </c>
      <c r="AT442" s="3" t="e">
        <f>IF('Entrada e Saida'!$H$11="TRADING",AU442*'Entrada e Saida'!$G$65,0)</f>
        <v>#DIV/0!</v>
      </c>
      <c r="AU442" s="4" t="e">
        <f>IF('Entrada e Saida'!$H$11="TRADING",AP442/(1-(SUM('Entrada e Saida'!$G$63:$G$65)+'Custo Resumido'!D442)),0)</f>
        <v>#DIV/0!</v>
      </c>
      <c r="AV442" s="3" t="e">
        <f>IF('Entrada e Saida'!$H$13="NÃO",AU442*M442,0)</f>
        <v>#DIV/0!</v>
      </c>
      <c r="AW442" s="4" t="e">
        <f t="shared" si="183"/>
        <v>#DIV/0!</v>
      </c>
      <c r="AX442" s="3" t="e">
        <f>'Entrada e Saida'!$G$74*AU442</f>
        <v>#DIV/0!</v>
      </c>
      <c r="AY442" s="4" t="e">
        <f t="shared" si="184"/>
        <v>#DIV/0!</v>
      </c>
      <c r="AZ442" s="4" t="e">
        <f>AQ442+('Entrada e Saida'!$G$65-'Entrada e Saida'!$I$65)*AU442-AX442</f>
        <v>#DIV/0!</v>
      </c>
      <c r="BA442" s="3" t="e">
        <f>IF('Entrada e Saida'!$H$12="REAL",AZ442*'Entrada e Saida'!$G$81,AU442*'Entrada e Saida'!$G$81)</f>
        <v>#DIV/0!</v>
      </c>
      <c r="BB442" s="3" t="e">
        <f>IF('Entrada e Saida'!$H$12="REAL",AZ442*'Entrada e Saida'!$G$82,AU442*'Entrada e Saida'!$G$82)</f>
        <v>#DIV/0!</v>
      </c>
      <c r="BC442" s="4" t="e">
        <f t="shared" si="185"/>
        <v>#DIV/0!</v>
      </c>
      <c r="BD442" s="3" t="e">
        <f>IF('Entrada e Saida'!$H$11="TRADING",AW442/D442,AK442/D442)</f>
        <v>#DIV/0!</v>
      </c>
      <c r="BE442" s="3" t="e">
        <f t="shared" si="186"/>
        <v>#DIV/0!</v>
      </c>
      <c r="BF442" s="2" t="e">
        <f t="shared" si="187"/>
        <v>#DIV/0!</v>
      </c>
      <c r="BG442" s="3" t="e">
        <f>IF('Entrada e Saida'!$H$11="TRADING",AV442/D442,AN442/D442)</f>
        <v>#DIV/0!</v>
      </c>
      <c r="BH442" s="3" t="e">
        <f>IF('Entrada e Saida'!$H$11="TRADING",IF('Entrada e Saida'!$H$12="REAL",AR442/D442,0),AL442/D442)</f>
        <v>#DIV/0!</v>
      </c>
      <c r="BI442" s="3" t="e">
        <f>IF('Entrada e Saida'!$H$11="TRADING",IF('Entrada e Saida'!$H$12="REAL",AS442/D442,0),AM442/D442)</f>
        <v>#DIV/0!</v>
      </c>
      <c r="BJ442" s="3" t="e">
        <f>IF('Entrada e Saida'!$H$11="TRADING",AT442/D442,AO442/D442)</f>
        <v>#DIV/0!</v>
      </c>
      <c r="BK442" s="2" t="e">
        <f t="shared" si="188"/>
        <v>#DIV/0!</v>
      </c>
      <c r="BL442" s="2">
        <f>IF(O442&gt;0,IFERROR(IF('Entrada e Saida'!$H$11="DIRETA",0,(IF('Entrada e Saida'!$H$14="P.JURIDICA",(BD442*(1+O442)*N442)-((BD442/(1+M442))*'Entrada e Saida'!$G$65),((Produtos!N442-'Entrada e Saida'!$G$65)*Produtos!BD442)))),0),0)</f>
        <v>0</v>
      </c>
      <c r="BM442" s="2" t="e">
        <f t="shared" si="189"/>
        <v>#DIV/0!</v>
      </c>
    </row>
    <row r="443" spans="1:65" s="1" customFormat="1">
      <c r="A443" s="127"/>
      <c r="B443" s="114">
        <f>IFERROR(VLOOKUP(A443,'Master Modelo'!A:I,7,FALSE),0)</f>
        <v>0</v>
      </c>
      <c r="C443" s="116">
        <f>IFERROR(VLOOKUP(A443,'Master Modelo'!A:I,2,FALSE),0)</f>
        <v>0</v>
      </c>
      <c r="D443" s="146"/>
      <c r="E443" s="115">
        <f>IFERROR(VLOOKUP(A443,'Master Modelo'!A:I,9,FALSE),0)</f>
        <v>0</v>
      </c>
      <c r="F443" s="189">
        <f>IFERROR(VLOOKUP(A443,'Master Modelo'!A:I,8,FALSE),0)</f>
        <v>0</v>
      </c>
      <c r="G443" s="189">
        <f>IFERROR(VLOOKUP(A443,'Master Modelo'!A:K,11,FALSE),0)</f>
        <v>0</v>
      </c>
      <c r="H443" s="114" t="e">
        <f t="shared" si="172"/>
        <v>#DIV/0!</v>
      </c>
      <c r="I443" s="150">
        <f>IFERROR(VLOOKUP(A443,'Master Modelo'!A:I,3,FALSE),0)</f>
        <v>0</v>
      </c>
      <c r="J443" s="151">
        <f>IFERROR(VLOOKUP(A443,'Master Modelo'!A:I,5,FALSE),0)</f>
        <v>0</v>
      </c>
      <c r="K443" s="151">
        <f>IFERROR(VLOOKUP(A443,'Master Modelo'!A:I,6,FALSE),0)</f>
        <v>0</v>
      </c>
      <c r="L443" s="152" t="e">
        <f>VLOOKUP(A443,'Master Modelo'!A:J,10,FALSE)</f>
        <v>#N/A</v>
      </c>
      <c r="M443" s="150">
        <f>IFERROR(VLOOKUP(A443,'Master Modelo'!A:I,4,FALSE),0)</f>
        <v>0</v>
      </c>
      <c r="N443" s="128"/>
      <c r="O443" s="129"/>
      <c r="P443" s="9">
        <f t="shared" si="173"/>
        <v>0</v>
      </c>
      <c r="Q443" s="177">
        <f t="shared" si="171"/>
        <v>0</v>
      </c>
      <c r="R443" s="3">
        <f>D443*E443*'Entrada e Saida'!$K$8</f>
        <v>0</v>
      </c>
      <c r="S443" s="179" t="e">
        <f>'Entrada e Saida'!$H$21*'Entrada e Saida'!$K$8*(P443/(SUM(P:P)))</f>
        <v>#DIV/0!</v>
      </c>
      <c r="T443" s="179" t="e">
        <f>'Entrada e Saida'!$H$21*'Entrada e Saida'!$K$8*(Q443/(SUM(Q:Q)))</f>
        <v>#DIV/0!</v>
      </c>
      <c r="U443" s="179" t="e">
        <f>'Entrada e Saida'!$H$22*(P443/(SUM(P:P)))</f>
        <v>#DIV/0!</v>
      </c>
      <c r="V443" s="179" t="e">
        <f>'Entrada e Saida'!$H$22*(Q443/(SUM(Q:Q)))</f>
        <v>#DIV/0!</v>
      </c>
      <c r="W443" s="8" t="e">
        <f t="shared" si="174"/>
        <v>#DIV/0!</v>
      </c>
      <c r="X443" s="179" t="e">
        <f>'Entrada e Saida'!$H$26*(IF('Entrada e Saida'!$H$15="PESO",(P443/(SUM(P:P))),(Q443/(SUM(Q:Q)))))</f>
        <v>#DIV/0!</v>
      </c>
      <c r="Y443" s="179" t="e">
        <f>'Entrada e Saida'!$H$27*(IF('Entrada e Saida'!$H$15="PESO",(P443/(SUM(P:P))),(Q443/(SUM(Q:Q)))))</f>
        <v>#DIV/0!</v>
      </c>
      <c r="Z443" s="179" t="e">
        <f>'Entrada e Saida'!$H$28*(IF('Entrada e Saida'!$H$15="PESO",(P443/(SUM(P:P))),(Q443/(SUM(Q:Q)))))</f>
        <v>#DIV/0!</v>
      </c>
      <c r="AA443" s="10" t="e">
        <f t="shared" si="175"/>
        <v>#DIV/0!</v>
      </c>
      <c r="AB443" s="3" t="e">
        <f t="shared" si="176"/>
        <v>#DIV/0!</v>
      </c>
      <c r="AC443" s="3" t="e">
        <f t="shared" si="177"/>
        <v>#DIV/0!</v>
      </c>
      <c r="AD443" s="3" t="e">
        <f t="shared" si="178"/>
        <v>#DIV/0!</v>
      </c>
      <c r="AE443" s="9" t="e">
        <f t="shared" si="179"/>
        <v>#DIV/0!</v>
      </c>
      <c r="AF443" s="126">
        <f>IFERROR(D443*F443*L443*'Entrada e Saida'!$K$8,0)</f>
        <v>0</v>
      </c>
      <c r="AG443" s="3" t="e">
        <f>((W443+AA443+AB443+AC443+AD443+AE443+AF443)/(1-'Entrada e Saida'!$G$65))*'Entrada e Saida'!$I$66</f>
        <v>#DIV/0!</v>
      </c>
      <c r="AH443" s="8" t="e">
        <f t="shared" si="180"/>
        <v>#DIV/0!</v>
      </c>
      <c r="AI443" s="183" t="e">
        <f>'Entrada e Saida'!$K$51*(IF('Entrada e Saida'!$H$15="PESO",(P443/(SUM(P:P))),(Q443/(SUM(Q:Q)))))</f>
        <v>#DIV/0!</v>
      </c>
      <c r="AJ443" s="7">
        <f>(('Entrada e Saida'!$K$10-'Entrada e Saida'!$K$8)*E443*D443)</f>
        <v>0</v>
      </c>
      <c r="AK443" s="184" t="e">
        <f>IF('Entrada e Saida'!$H$15="PESO",W443+AA443+AH443+AI443+AJ443,W443+AA443+AH443+AI443+AJ443-S443+T443-U443+V443)</f>
        <v>#DIV/0!</v>
      </c>
      <c r="AL443" s="6" t="e">
        <f>IF('Entrada e Saida'!$H$12="REAL",AC443,0)</f>
        <v>#DIV/0!</v>
      </c>
      <c r="AM443" s="6" t="e">
        <f>IF('Entrada e Saida'!$H$12="REAL",AD443,0)</f>
        <v>#DIV/0!</v>
      </c>
      <c r="AN443" s="5" t="e">
        <f>IF('Entrada e Saida'!$H$13= "NÃO",AE443,0)</f>
        <v>#DIV/0!</v>
      </c>
      <c r="AO443" s="5" t="e">
        <f t="shared" si="181"/>
        <v>#DIV/0!</v>
      </c>
      <c r="AP443" s="4" t="e">
        <f t="shared" si="182"/>
        <v>#DIV/0!</v>
      </c>
      <c r="AQ443" s="3" t="e">
        <f>IF('Entrada e Saida'!$H$11="TRADING",AU443*'Custo Resumido'!D443,0)</f>
        <v>#DIV/0!</v>
      </c>
      <c r="AR443" s="3" t="e">
        <f>IF('Entrada e Saida'!$H$11="TRADING",AU443*'Entrada e Saida'!$G$63,0)</f>
        <v>#DIV/0!</v>
      </c>
      <c r="AS443" s="3" t="e">
        <f>IF('Entrada e Saida'!$H$11="TRADING",AU443*'Entrada e Saida'!$G$64,0)</f>
        <v>#DIV/0!</v>
      </c>
      <c r="AT443" s="3" t="e">
        <f>IF('Entrada e Saida'!$H$11="TRADING",AU443*'Entrada e Saida'!$G$65,0)</f>
        <v>#DIV/0!</v>
      </c>
      <c r="AU443" s="4" t="e">
        <f>IF('Entrada e Saida'!$H$11="TRADING",AP443/(1-(SUM('Entrada e Saida'!$G$63:$G$65)+'Custo Resumido'!D443)),0)</f>
        <v>#DIV/0!</v>
      </c>
      <c r="AV443" s="3" t="e">
        <f>IF('Entrada e Saida'!$H$13="NÃO",AU443*M443,0)</f>
        <v>#DIV/0!</v>
      </c>
      <c r="AW443" s="4" t="e">
        <f t="shared" si="183"/>
        <v>#DIV/0!</v>
      </c>
      <c r="AX443" s="3" t="e">
        <f>'Entrada e Saida'!$G$74*AU443</f>
        <v>#DIV/0!</v>
      </c>
      <c r="AY443" s="4" t="e">
        <f t="shared" si="184"/>
        <v>#DIV/0!</v>
      </c>
      <c r="AZ443" s="4" t="e">
        <f>AQ443+('Entrada e Saida'!$G$65-'Entrada e Saida'!$I$65)*AU443-AX443</f>
        <v>#DIV/0!</v>
      </c>
      <c r="BA443" s="3" t="e">
        <f>IF('Entrada e Saida'!$H$12="REAL",AZ443*'Entrada e Saida'!$G$81,AU443*'Entrada e Saida'!$G$81)</f>
        <v>#DIV/0!</v>
      </c>
      <c r="BB443" s="3" t="e">
        <f>IF('Entrada e Saida'!$H$12="REAL",AZ443*'Entrada e Saida'!$G$82,AU443*'Entrada e Saida'!$G$82)</f>
        <v>#DIV/0!</v>
      </c>
      <c r="BC443" s="4" t="e">
        <f t="shared" si="185"/>
        <v>#DIV/0!</v>
      </c>
      <c r="BD443" s="3" t="e">
        <f>IF('Entrada e Saida'!$H$11="TRADING",AW443/D443,AK443/D443)</f>
        <v>#DIV/0!</v>
      </c>
      <c r="BE443" s="3" t="e">
        <f t="shared" si="186"/>
        <v>#DIV/0!</v>
      </c>
      <c r="BF443" s="2" t="e">
        <f t="shared" si="187"/>
        <v>#DIV/0!</v>
      </c>
      <c r="BG443" s="3" t="e">
        <f>IF('Entrada e Saida'!$H$11="TRADING",AV443/D443,AN443/D443)</f>
        <v>#DIV/0!</v>
      </c>
      <c r="BH443" s="3" t="e">
        <f>IF('Entrada e Saida'!$H$11="TRADING",IF('Entrada e Saida'!$H$12="REAL",AR443/D443,0),AL443/D443)</f>
        <v>#DIV/0!</v>
      </c>
      <c r="BI443" s="3" t="e">
        <f>IF('Entrada e Saida'!$H$11="TRADING",IF('Entrada e Saida'!$H$12="REAL",AS443/D443,0),AM443/D443)</f>
        <v>#DIV/0!</v>
      </c>
      <c r="BJ443" s="3" t="e">
        <f>IF('Entrada e Saida'!$H$11="TRADING",AT443/D443,AO443/D443)</f>
        <v>#DIV/0!</v>
      </c>
      <c r="BK443" s="2" t="e">
        <f t="shared" si="188"/>
        <v>#DIV/0!</v>
      </c>
      <c r="BL443" s="2">
        <f>IF(O443&gt;0,IFERROR(IF('Entrada e Saida'!$H$11="DIRETA",0,(IF('Entrada e Saida'!$H$14="P.JURIDICA",(BD443*(1+O443)*N443)-((BD443/(1+M443))*'Entrada e Saida'!$G$65),((Produtos!N443-'Entrada e Saida'!$G$65)*Produtos!BD443)))),0),0)</f>
        <v>0</v>
      </c>
      <c r="BM443" s="2" t="e">
        <f t="shared" si="189"/>
        <v>#DIV/0!</v>
      </c>
    </row>
    <row r="444" spans="1:65" s="1" customFormat="1">
      <c r="A444" s="127"/>
      <c r="B444" s="114">
        <f>IFERROR(VLOOKUP(A444,'Master Modelo'!A:I,7,FALSE),0)</f>
        <v>0</v>
      </c>
      <c r="C444" s="116">
        <f>IFERROR(VLOOKUP(A444,'Master Modelo'!A:I,2,FALSE),0)</f>
        <v>0</v>
      </c>
      <c r="D444" s="146"/>
      <c r="E444" s="115">
        <f>IFERROR(VLOOKUP(A444,'Master Modelo'!A:I,9,FALSE),0)</f>
        <v>0</v>
      </c>
      <c r="F444" s="189">
        <f>IFERROR(VLOOKUP(A444,'Master Modelo'!A:I,8,FALSE),0)</f>
        <v>0</v>
      </c>
      <c r="G444" s="189">
        <f>IFERROR(VLOOKUP(A444,'Master Modelo'!A:K,11,FALSE),0)</f>
        <v>0</v>
      </c>
      <c r="H444" s="114" t="e">
        <f t="shared" si="172"/>
        <v>#DIV/0!</v>
      </c>
      <c r="I444" s="150">
        <f>IFERROR(VLOOKUP(A444,'Master Modelo'!A:I,3,FALSE),0)</f>
        <v>0</v>
      </c>
      <c r="J444" s="151">
        <f>IFERROR(VLOOKUP(A444,'Master Modelo'!A:I,5,FALSE),0)</f>
        <v>0</v>
      </c>
      <c r="K444" s="151">
        <f>IFERROR(VLOOKUP(A444,'Master Modelo'!A:I,6,FALSE),0)</f>
        <v>0</v>
      </c>
      <c r="L444" s="152" t="e">
        <f>VLOOKUP(A444,'Master Modelo'!A:J,10,FALSE)</f>
        <v>#N/A</v>
      </c>
      <c r="M444" s="150">
        <f>IFERROR(VLOOKUP(A444,'Master Modelo'!A:I,4,FALSE),0)</f>
        <v>0</v>
      </c>
      <c r="N444" s="128"/>
      <c r="O444" s="129"/>
      <c r="P444" s="9">
        <f t="shared" si="173"/>
        <v>0</v>
      </c>
      <c r="Q444" s="177">
        <f t="shared" si="171"/>
        <v>0</v>
      </c>
      <c r="R444" s="3">
        <f>D444*E444*'Entrada e Saida'!$K$8</f>
        <v>0</v>
      </c>
      <c r="S444" s="179" t="e">
        <f>'Entrada e Saida'!$H$21*'Entrada e Saida'!$K$8*(P444/(SUM(P:P)))</f>
        <v>#DIV/0!</v>
      </c>
      <c r="T444" s="179" t="e">
        <f>'Entrada e Saida'!$H$21*'Entrada e Saida'!$K$8*(Q444/(SUM(Q:Q)))</f>
        <v>#DIV/0!</v>
      </c>
      <c r="U444" s="179" t="e">
        <f>'Entrada e Saida'!$H$22*(P444/(SUM(P:P)))</f>
        <v>#DIV/0!</v>
      </c>
      <c r="V444" s="179" t="e">
        <f>'Entrada e Saida'!$H$22*(Q444/(SUM(Q:Q)))</f>
        <v>#DIV/0!</v>
      </c>
      <c r="W444" s="8" t="e">
        <f t="shared" si="174"/>
        <v>#DIV/0!</v>
      </c>
      <c r="X444" s="179" t="e">
        <f>'Entrada e Saida'!$H$26*(IF('Entrada e Saida'!$H$15="PESO",(P444/(SUM(P:P))),(Q444/(SUM(Q:Q)))))</f>
        <v>#DIV/0!</v>
      </c>
      <c r="Y444" s="179" t="e">
        <f>'Entrada e Saida'!$H$27*(IF('Entrada e Saida'!$H$15="PESO",(P444/(SUM(P:P))),(Q444/(SUM(Q:Q)))))</f>
        <v>#DIV/0!</v>
      </c>
      <c r="Z444" s="179" t="e">
        <f>'Entrada e Saida'!$H$28*(IF('Entrada e Saida'!$H$15="PESO",(P444/(SUM(P:P))),(Q444/(SUM(Q:Q)))))</f>
        <v>#DIV/0!</v>
      </c>
      <c r="AA444" s="10" t="e">
        <f t="shared" si="175"/>
        <v>#DIV/0!</v>
      </c>
      <c r="AB444" s="3" t="e">
        <f t="shared" si="176"/>
        <v>#DIV/0!</v>
      </c>
      <c r="AC444" s="3" t="e">
        <f t="shared" si="177"/>
        <v>#DIV/0!</v>
      </c>
      <c r="AD444" s="3" t="e">
        <f t="shared" si="178"/>
        <v>#DIV/0!</v>
      </c>
      <c r="AE444" s="9" t="e">
        <f t="shared" si="179"/>
        <v>#DIV/0!</v>
      </c>
      <c r="AF444" s="126">
        <f>IFERROR(D444*F444*L444*'Entrada e Saida'!$K$8,0)</f>
        <v>0</v>
      </c>
      <c r="AG444" s="3" t="e">
        <f>((W444+AA444+AB444+AC444+AD444+AE444+AF444)/(1-'Entrada e Saida'!$G$65))*'Entrada e Saida'!$I$66</f>
        <v>#DIV/0!</v>
      </c>
      <c r="AH444" s="8" t="e">
        <f t="shared" si="180"/>
        <v>#DIV/0!</v>
      </c>
      <c r="AI444" s="183" t="e">
        <f>'Entrada e Saida'!$K$51*(IF('Entrada e Saida'!$H$15="PESO",(P444/(SUM(P:P))),(Q444/(SUM(Q:Q)))))</f>
        <v>#DIV/0!</v>
      </c>
      <c r="AJ444" s="7">
        <f>(('Entrada e Saida'!$K$10-'Entrada e Saida'!$K$8)*E444*D444)</f>
        <v>0</v>
      </c>
      <c r="AK444" s="184" t="e">
        <f>IF('Entrada e Saida'!$H$15="PESO",W444+AA444+AH444+AI444+AJ444,W444+AA444+AH444+AI444+AJ444-S444+T444-U444+V444)</f>
        <v>#DIV/0!</v>
      </c>
      <c r="AL444" s="6" t="e">
        <f>IF('Entrada e Saida'!$H$12="REAL",AC444,0)</f>
        <v>#DIV/0!</v>
      </c>
      <c r="AM444" s="6" t="e">
        <f>IF('Entrada e Saida'!$H$12="REAL",AD444,0)</f>
        <v>#DIV/0!</v>
      </c>
      <c r="AN444" s="5" t="e">
        <f>IF('Entrada e Saida'!$H$13= "NÃO",AE444,0)</f>
        <v>#DIV/0!</v>
      </c>
      <c r="AO444" s="5" t="e">
        <f t="shared" si="181"/>
        <v>#DIV/0!</v>
      </c>
      <c r="AP444" s="4" t="e">
        <f t="shared" si="182"/>
        <v>#DIV/0!</v>
      </c>
      <c r="AQ444" s="3" t="e">
        <f>IF('Entrada e Saida'!$H$11="TRADING",AU444*'Custo Resumido'!D444,0)</f>
        <v>#DIV/0!</v>
      </c>
      <c r="AR444" s="3" t="e">
        <f>IF('Entrada e Saida'!$H$11="TRADING",AU444*'Entrada e Saida'!$G$63,0)</f>
        <v>#DIV/0!</v>
      </c>
      <c r="AS444" s="3" t="e">
        <f>IF('Entrada e Saida'!$H$11="TRADING",AU444*'Entrada e Saida'!$G$64,0)</f>
        <v>#DIV/0!</v>
      </c>
      <c r="AT444" s="3" t="e">
        <f>IF('Entrada e Saida'!$H$11="TRADING",AU444*'Entrada e Saida'!$G$65,0)</f>
        <v>#DIV/0!</v>
      </c>
      <c r="AU444" s="4" t="e">
        <f>IF('Entrada e Saida'!$H$11="TRADING",AP444/(1-(SUM('Entrada e Saida'!$G$63:$G$65)+'Custo Resumido'!D444)),0)</f>
        <v>#DIV/0!</v>
      </c>
      <c r="AV444" s="3" t="e">
        <f>IF('Entrada e Saida'!$H$13="NÃO",AU444*M444,0)</f>
        <v>#DIV/0!</v>
      </c>
      <c r="AW444" s="4" t="e">
        <f t="shared" si="183"/>
        <v>#DIV/0!</v>
      </c>
      <c r="AX444" s="3" t="e">
        <f>'Entrada e Saida'!$G$74*AU444</f>
        <v>#DIV/0!</v>
      </c>
      <c r="AY444" s="4" t="e">
        <f t="shared" si="184"/>
        <v>#DIV/0!</v>
      </c>
      <c r="AZ444" s="4" t="e">
        <f>AQ444+('Entrada e Saida'!$G$65-'Entrada e Saida'!$I$65)*AU444-AX444</f>
        <v>#DIV/0!</v>
      </c>
      <c r="BA444" s="3" t="e">
        <f>IF('Entrada e Saida'!$H$12="REAL",AZ444*'Entrada e Saida'!$G$81,AU444*'Entrada e Saida'!$G$81)</f>
        <v>#DIV/0!</v>
      </c>
      <c r="BB444" s="3" t="e">
        <f>IF('Entrada e Saida'!$H$12="REAL",AZ444*'Entrada e Saida'!$G$82,AU444*'Entrada e Saida'!$G$82)</f>
        <v>#DIV/0!</v>
      </c>
      <c r="BC444" s="4" t="e">
        <f t="shared" si="185"/>
        <v>#DIV/0!</v>
      </c>
      <c r="BD444" s="3" t="e">
        <f>IF('Entrada e Saida'!$H$11="TRADING",AW444/D444,AK444/D444)</f>
        <v>#DIV/0!</v>
      </c>
      <c r="BE444" s="3" t="e">
        <f t="shared" si="186"/>
        <v>#DIV/0!</v>
      </c>
      <c r="BF444" s="2" t="e">
        <f t="shared" si="187"/>
        <v>#DIV/0!</v>
      </c>
      <c r="BG444" s="3" t="e">
        <f>IF('Entrada e Saida'!$H$11="TRADING",AV444/D444,AN444/D444)</f>
        <v>#DIV/0!</v>
      </c>
      <c r="BH444" s="3" t="e">
        <f>IF('Entrada e Saida'!$H$11="TRADING",IF('Entrada e Saida'!$H$12="REAL",AR444/D444,0),AL444/D444)</f>
        <v>#DIV/0!</v>
      </c>
      <c r="BI444" s="3" t="e">
        <f>IF('Entrada e Saida'!$H$11="TRADING",IF('Entrada e Saida'!$H$12="REAL",AS444/D444,0),AM444/D444)</f>
        <v>#DIV/0!</v>
      </c>
      <c r="BJ444" s="3" t="e">
        <f>IF('Entrada e Saida'!$H$11="TRADING",AT444/D444,AO444/D444)</f>
        <v>#DIV/0!</v>
      </c>
      <c r="BK444" s="2" t="e">
        <f t="shared" si="188"/>
        <v>#DIV/0!</v>
      </c>
      <c r="BL444" s="2">
        <f>IF(O444&gt;0,IFERROR(IF('Entrada e Saida'!$H$11="DIRETA",0,(IF('Entrada e Saida'!$H$14="P.JURIDICA",(BD444*(1+O444)*N444)-((BD444/(1+M444))*'Entrada e Saida'!$G$65),((Produtos!N444-'Entrada e Saida'!$G$65)*Produtos!BD444)))),0),0)</f>
        <v>0</v>
      </c>
      <c r="BM444" s="2" t="e">
        <f t="shared" si="189"/>
        <v>#DIV/0!</v>
      </c>
    </row>
    <row r="445" spans="1:65" s="1" customFormat="1">
      <c r="A445" s="127"/>
      <c r="B445" s="114">
        <f>IFERROR(VLOOKUP(A445,'Master Modelo'!A:I,7,FALSE),0)</f>
        <v>0</v>
      </c>
      <c r="C445" s="116">
        <f>IFERROR(VLOOKUP(A445,'Master Modelo'!A:I,2,FALSE),0)</f>
        <v>0</v>
      </c>
      <c r="D445" s="146"/>
      <c r="E445" s="115">
        <f>IFERROR(VLOOKUP(A445,'Master Modelo'!A:I,9,FALSE),0)</f>
        <v>0</v>
      </c>
      <c r="F445" s="189">
        <f>IFERROR(VLOOKUP(A445,'Master Modelo'!A:I,8,FALSE),0)</f>
        <v>0</v>
      </c>
      <c r="G445" s="189">
        <f>IFERROR(VLOOKUP(A445,'Master Modelo'!A:K,11,FALSE),0)</f>
        <v>0</v>
      </c>
      <c r="H445" s="114" t="e">
        <f t="shared" si="172"/>
        <v>#DIV/0!</v>
      </c>
      <c r="I445" s="150">
        <f>IFERROR(VLOOKUP(A445,'Master Modelo'!A:I,3,FALSE),0)</f>
        <v>0</v>
      </c>
      <c r="J445" s="151">
        <f>IFERROR(VLOOKUP(A445,'Master Modelo'!A:I,5,FALSE),0)</f>
        <v>0</v>
      </c>
      <c r="K445" s="151">
        <f>IFERROR(VLOOKUP(A445,'Master Modelo'!A:I,6,FALSE),0)</f>
        <v>0</v>
      </c>
      <c r="L445" s="152" t="e">
        <f>VLOOKUP(A445,'Master Modelo'!A:J,10,FALSE)</f>
        <v>#N/A</v>
      </c>
      <c r="M445" s="150">
        <f>IFERROR(VLOOKUP(A445,'Master Modelo'!A:I,4,FALSE),0)</f>
        <v>0</v>
      </c>
      <c r="N445" s="128"/>
      <c r="O445" s="129"/>
      <c r="P445" s="9">
        <f t="shared" si="173"/>
        <v>0</v>
      </c>
      <c r="Q445" s="177">
        <f t="shared" si="171"/>
        <v>0</v>
      </c>
      <c r="R445" s="3">
        <f>D445*E445*'Entrada e Saida'!$K$8</f>
        <v>0</v>
      </c>
      <c r="S445" s="179" t="e">
        <f>'Entrada e Saida'!$H$21*'Entrada e Saida'!$K$8*(P445/(SUM(P:P)))</f>
        <v>#DIV/0!</v>
      </c>
      <c r="T445" s="179" t="e">
        <f>'Entrada e Saida'!$H$21*'Entrada e Saida'!$K$8*(Q445/(SUM(Q:Q)))</f>
        <v>#DIV/0!</v>
      </c>
      <c r="U445" s="179" t="e">
        <f>'Entrada e Saida'!$H$22*(P445/(SUM(P:P)))</f>
        <v>#DIV/0!</v>
      </c>
      <c r="V445" s="179" t="e">
        <f>'Entrada e Saida'!$H$22*(Q445/(SUM(Q:Q)))</f>
        <v>#DIV/0!</v>
      </c>
      <c r="W445" s="8" t="e">
        <f t="shared" si="174"/>
        <v>#DIV/0!</v>
      </c>
      <c r="X445" s="179" t="e">
        <f>'Entrada e Saida'!$H$26*(IF('Entrada e Saida'!$H$15="PESO",(P445/(SUM(P:P))),(Q445/(SUM(Q:Q)))))</f>
        <v>#DIV/0!</v>
      </c>
      <c r="Y445" s="179" t="e">
        <f>'Entrada e Saida'!$H$27*(IF('Entrada e Saida'!$H$15="PESO",(P445/(SUM(P:P))),(Q445/(SUM(Q:Q)))))</f>
        <v>#DIV/0!</v>
      </c>
      <c r="Z445" s="179" t="e">
        <f>'Entrada e Saida'!$H$28*(IF('Entrada e Saida'!$H$15="PESO",(P445/(SUM(P:P))),(Q445/(SUM(Q:Q)))))</f>
        <v>#DIV/0!</v>
      </c>
      <c r="AA445" s="10" t="e">
        <f t="shared" si="175"/>
        <v>#DIV/0!</v>
      </c>
      <c r="AB445" s="3" t="e">
        <f t="shared" si="176"/>
        <v>#DIV/0!</v>
      </c>
      <c r="AC445" s="3" t="e">
        <f t="shared" si="177"/>
        <v>#DIV/0!</v>
      </c>
      <c r="AD445" s="3" t="e">
        <f t="shared" si="178"/>
        <v>#DIV/0!</v>
      </c>
      <c r="AE445" s="9" t="e">
        <f t="shared" si="179"/>
        <v>#DIV/0!</v>
      </c>
      <c r="AF445" s="126">
        <f>IFERROR(D445*F445*L445*'Entrada e Saida'!$K$8,0)</f>
        <v>0</v>
      </c>
      <c r="AG445" s="3" t="e">
        <f>((W445+AA445+AB445+AC445+AD445+AE445+AF445)/(1-'Entrada e Saida'!$G$65))*'Entrada e Saida'!$I$66</f>
        <v>#DIV/0!</v>
      </c>
      <c r="AH445" s="8" t="e">
        <f t="shared" si="180"/>
        <v>#DIV/0!</v>
      </c>
      <c r="AI445" s="183" t="e">
        <f>'Entrada e Saida'!$K$51*(IF('Entrada e Saida'!$H$15="PESO",(P445/(SUM(P:P))),(Q445/(SUM(Q:Q)))))</f>
        <v>#DIV/0!</v>
      </c>
      <c r="AJ445" s="7">
        <f>(('Entrada e Saida'!$K$10-'Entrada e Saida'!$K$8)*E445*D445)</f>
        <v>0</v>
      </c>
      <c r="AK445" s="184" t="e">
        <f>IF('Entrada e Saida'!$H$15="PESO",W445+AA445+AH445+AI445+AJ445,W445+AA445+AH445+AI445+AJ445-S445+T445-U445+V445)</f>
        <v>#DIV/0!</v>
      </c>
      <c r="AL445" s="6" t="e">
        <f>IF('Entrada e Saida'!$H$12="REAL",AC445,0)</f>
        <v>#DIV/0!</v>
      </c>
      <c r="AM445" s="6" t="e">
        <f>IF('Entrada e Saida'!$H$12="REAL",AD445,0)</f>
        <v>#DIV/0!</v>
      </c>
      <c r="AN445" s="5" t="e">
        <f>IF('Entrada e Saida'!$H$13= "NÃO",AE445,0)</f>
        <v>#DIV/0!</v>
      </c>
      <c r="AO445" s="5" t="e">
        <f t="shared" si="181"/>
        <v>#DIV/0!</v>
      </c>
      <c r="AP445" s="4" t="e">
        <f t="shared" si="182"/>
        <v>#DIV/0!</v>
      </c>
      <c r="AQ445" s="3" t="e">
        <f>IF('Entrada e Saida'!$H$11="TRADING",AU445*'Custo Resumido'!D445,0)</f>
        <v>#DIV/0!</v>
      </c>
      <c r="AR445" s="3" t="e">
        <f>IF('Entrada e Saida'!$H$11="TRADING",AU445*'Entrada e Saida'!$G$63,0)</f>
        <v>#DIV/0!</v>
      </c>
      <c r="AS445" s="3" t="e">
        <f>IF('Entrada e Saida'!$H$11="TRADING",AU445*'Entrada e Saida'!$G$64,0)</f>
        <v>#DIV/0!</v>
      </c>
      <c r="AT445" s="3" t="e">
        <f>IF('Entrada e Saida'!$H$11="TRADING",AU445*'Entrada e Saida'!$G$65,0)</f>
        <v>#DIV/0!</v>
      </c>
      <c r="AU445" s="4" t="e">
        <f>IF('Entrada e Saida'!$H$11="TRADING",AP445/(1-(SUM('Entrada e Saida'!$G$63:$G$65)+'Custo Resumido'!D445)),0)</f>
        <v>#DIV/0!</v>
      </c>
      <c r="AV445" s="3" t="e">
        <f>IF('Entrada e Saida'!$H$13="NÃO",AU445*M445,0)</f>
        <v>#DIV/0!</v>
      </c>
      <c r="AW445" s="4" t="e">
        <f t="shared" si="183"/>
        <v>#DIV/0!</v>
      </c>
      <c r="AX445" s="3" t="e">
        <f>'Entrada e Saida'!$G$74*AU445</f>
        <v>#DIV/0!</v>
      </c>
      <c r="AY445" s="4" t="e">
        <f t="shared" si="184"/>
        <v>#DIV/0!</v>
      </c>
      <c r="AZ445" s="4" t="e">
        <f>AQ445+('Entrada e Saida'!$G$65-'Entrada e Saida'!$I$65)*AU445-AX445</f>
        <v>#DIV/0!</v>
      </c>
      <c r="BA445" s="3" t="e">
        <f>IF('Entrada e Saida'!$H$12="REAL",AZ445*'Entrada e Saida'!$G$81,AU445*'Entrada e Saida'!$G$81)</f>
        <v>#DIV/0!</v>
      </c>
      <c r="BB445" s="3" t="e">
        <f>IF('Entrada e Saida'!$H$12="REAL",AZ445*'Entrada e Saida'!$G$82,AU445*'Entrada e Saida'!$G$82)</f>
        <v>#DIV/0!</v>
      </c>
      <c r="BC445" s="4" t="e">
        <f t="shared" si="185"/>
        <v>#DIV/0!</v>
      </c>
      <c r="BD445" s="3" t="e">
        <f>IF('Entrada e Saida'!$H$11="TRADING",AW445/D445,AK445/D445)</f>
        <v>#DIV/0!</v>
      </c>
      <c r="BE445" s="3" t="e">
        <f t="shared" si="186"/>
        <v>#DIV/0!</v>
      </c>
      <c r="BF445" s="2" t="e">
        <f t="shared" si="187"/>
        <v>#DIV/0!</v>
      </c>
      <c r="BG445" s="3" t="e">
        <f>IF('Entrada e Saida'!$H$11="TRADING",AV445/D445,AN445/D445)</f>
        <v>#DIV/0!</v>
      </c>
      <c r="BH445" s="3" t="e">
        <f>IF('Entrada e Saida'!$H$11="TRADING",IF('Entrada e Saida'!$H$12="REAL",AR445/D445,0),AL445/D445)</f>
        <v>#DIV/0!</v>
      </c>
      <c r="BI445" s="3" t="e">
        <f>IF('Entrada e Saida'!$H$11="TRADING",IF('Entrada e Saida'!$H$12="REAL",AS445/D445,0),AM445/D445)</f>
        <v>#DIV/0!</v>
      </c>
      <c r="BJ445" s="3" t="e">
        <f>IF('Entrada e Saida'!$H$11="TRADING",AT445/D445,AO445/D445)</f>
        <v>#DIV/0!</v>
      </c>
      <c r="BK445" s="2" t="e">
        <f t="shared" si="188"/>
        <v>#DIV/0!</v>
      </c>
      <c r="BL445" s="2">
        <f>IF(O445&gt;0,IFERROR(IF('Entrada e Saida'!$H$11="DIRETA",0,(IF('Entrada e Saida'!$H$14="P.JURIDICA",(BD445*(1+O445)*N445)-((BD445/(1+M445))*'Entrada e Saida'!$G$65),((Produtos!N445-'Entrada e Saida'!$G$65)*Produtos!BD445)))),0),0)</f>
        <v>0</v>
      </c>
      <c r="BM445" s="2" t="e">
        <f t="shared" si="189"/>
        <v>#DIV/0!</v>
      </c>
    </row>
    <row r="446" spans="1:65" s="1" customFormat="1">
      <c r="A446" s="127"/>
      <c r="B446" s="114">
        <f>IFERROR(VLOOKUP(A446,'Master Modelo'!A:I,7,FALSE),0)</f>
        <v>0</v>
      </c>
      <c r="C446" s="116">
        <f>IFERROR(VLOOKUP(A446,'Master Modelo'!A:I,2,FALSE),0)</f>
        <v>0</v>
      </c>
      <c r="D446" s="146"/>
      <c r="E446" s="115">
        <f>IFERROR(VLOOKUP(A446,'Master Modelo'!A:I,9,FALSE),0)</f>
        <v>0</v>
      </c>
      <c r="F446" s="189">
        <f>IFERROR(VLOOKUP(A446,'Master Modelo'!A:I,8,FALSE),0)</f>
        <v>0</v>
      </c>
      <c r="G446" s="189">
        <f>IFERROR(VLOOKUP(A446,'Master Modelo'!A:K,11,FALSE),0)</f>
        <v>0</v>
      </c>
      <c r="H446" s="114" t="e">
        <f t="shared" si="172"/>
        <v>#DIV/0!</v>
      </c>
      <c r="I446" s="150">
        <f>IFERROR(VLOOKUP(A446,'Master Modelo'!A:I,3,FALSE),0)</f>
        <v>0</v>
      </c>
      <c r="J446" s="151">
        <f>IFERROR(VLOOKUP(A446,'Master Modelo'!A:I,5,FALSE),0)</f>
        <v>0</v>
      </c>
      <c r="K446" s="151">
        <f>IFERROR(VLOOKUP(A446,'Master Modelo'!A:I,6,FALSE),0)</f>
        <v>0</v>
      </c>
      <c r="L446" s="152" t="e">
        <f>VLOOKUP(A446,'Master Modelo'!A:J,10,FALSE)</f>
        <v>#N/A</v>
      </c>
      <c r="M446" s="150">
        <f>IFERROR(VLOOKUP(A446,'Master Modelo'!A:I,4,FALSE),0)</f>
        <v>0</v>
      </c>
      <c r="N446" s="128"/>
      <c r="O446" s="129"/>
      <c r="P446" s="9">
        <f t="shared" si="173"/>
        <v>0</v>
      </c>
      <c r="Q446" s="177">
        <f t="shared" si="171"/>
        <v>0</v>
      </c>
      <c r="R446" s="3">
        <f>D446*E446*'Entrada e Saida'!$K$8</f>
        <v>0</v>
      </c>
      <c r="S446" s="179" t="e">
        <f>'Entrada e Saida'!$H$21*'Entrada e Saida'!$K$8*(P446/(SUM(P:P)))</f>
        <v>#DIV/0!</v>
      </c>
      <c r="T446" s="179" t="e">
        <f>'Entrada e Saida'!$H$21*'Entrada e Saida'!$K$8*(Q446/(SUM(Q:Q)))</f>
        <v>#DIV/0!</v>
      </c>
      <c r="U446" s="179" t="e">
        <f>'Entrada e Saida'!$H$22*(P446/(SUM(P:P)))</f>
        <v>#DIV/0!</v>
      </c>
      <c r="V446" s="179" t="e">
        <f>'Entrada e Saida'!$H$22*(Q446/(SUM(Q:Q)))</f>
        <v>#DIV/0!</v>
      </c>
      <c r="W446" s="8" t="e">
        <f t="shared" si="174"/>
        <v>#DIV/0!</v>
      </c>
      <c r="X446" s="179" t="e">
        <f>'Entrada e Saida'!$H$26*(IF('Entrada e Saida'!$H$15="PESO",(P446/(SUM(P:P))),(Q446/(SUM(Q:Q)))))</f>
        <v>#DIV/0!</v>
      </c>
      <c r="Y446" s="179" t="e">
        <f>'Entrada e Saida'!$H$27*(IF('Entrada e Saida'!$H$15="PESO",(P446/(SUM(P:P))),(Q446/(SUM(Q:Q)))))</f>
        <v>#DIV/0!</v>
      </c>
      <c r="Z446" s="179" t="e">
        <f>'Entrada e Saida'!$H$28*(IF('Entrada e Saida'!$H$15="PESO",(P446/(SUM(P:P))),(Q446/(SUM(Q:Q)))))</f>
        <v>#DIV/0!</v>
      </c>
      <c r="AA446" s="10" t="e">
        <f t="shared" si="175"/>
        <v>#DIV/0!</v>
      </c>
      <c r="AB446" s="3" t="e">
        <f t="shared" si="176"/>
        <v>#DIV/0!</v>
      </c>
      <c r="AC446" s="3" t="e">
        <f t="shared" si="177"/>
        <v>#DIV/0!</v>
      </c>
      <c r="AD446" s="3" t="e">
        <f t="shared" si="178"/>
        <v>#DIV/0!</v>
      </c>
      <c r="AE446" s="9" t="e">
        <f t="shared" si="179"/>
        <v>#DIV/0!</v>
      </c>
      <c r="AF446" s="126">
        <f>IFERROR(D446*F446*L446*'Entrada e Saida'!$K$8,0)</f>
        <v>0</v>
      </c>
      <c r="AG446" s="3" t="e">
        <f>((W446+AA446+AB446+AC446+AD446+AE446+AF446)/(1-'Entrada e Saida'!$G$65))*'Entrada e Saida'!$I$66</f>
        <v>#DIV/0!</v>
      </c>
      <c r="AH446" s="8" t="e">
        <f t="shared" si="180"/>
        <v>#DIV/0!</v>
      </c>
      <c r="AI446" s="183" t="e">
        <f>'Entrada e Saida'!$K$51*(IF('Entrada e Saida'!$H$15="PESO",(P446/(SUM(P:P))),(Q446/(SUM(Q:Q)))))</f>
        <v>#DIV/0!</v>
      </c>
      <c r="AJ446" s="7">
        <f>(('Entrada e Saida'!$K$10-'Entrada e Saida'!$K$8)*E446*D446)</f>
        <v>0</v>
      </c>
      <c r="AK446" s="184" t="e">
        <f>IF('Entrada e Saida'!$H$15="PESO",W446+AA446+AH446+AI446+AJ446,W446+AA446+AH446+AI446+AJ446-S446+T446-U446+V446)</f>
        <v>#DIV/0!</v>
      </c>
      <c r="AL446" s="6" t="e">
        <f>IF('Entrada e Saida'!$H$12="REAL",AC446,0)</f>
        <v>#DIV/0!</v>
      </c>
      <c r="AM446" s="6" t="e">
        <f>IF('Entrada e Saida'!$H$12="REAL",AD446,0)</f>
        <v>#DIV/0!</v>
      </c>
      <c r="AN446" s="5" t="e">
        <f>IF('Entrada e Saida'!$H$13= "NÃO",AE446,0)</f>
        <v>#DIV/0!</v>
      </c>
      <c r="AO446" s="5" t="e">
        <f t="shared" si="181"/>
        <v>#DIV/0!</v>
      </c>
      <c r="AP446" s="4" t="e">
        <f t="shared" si="182"/>
        <v>#DIV/0!</v>
      </c>
      <c r="AQ446" s="3" t="e">
        <f>IF('Entrada e Saida'!$H$11="TRADING",AU446*'Custo Resumido'!D446,0)</f>
        <v>#DIV/0!</v>
      </c>
      <c r="AR446" s="3" t="e">
        <f>IF('Entrada e Saida'!$H$11="TRADING",AU446*'Entrada e Saida'!$G$63,0)</f>
        <v>#DIV/0!</v>
      </c>
      <c r="AS446" s="3" t="e">
        <f>IF('Entrada e Saida'!$H$11="TRADING",AU446*'Entrada e Saida'!$G$64,0)</f>
        <v>#DIV/0!</v>
      </c>
      <c r="AT446" s="3" t="e">
        <f>IF('Entrada e Saida'!$H$11="TRADING",AU446*'Entrada e Saida'!$G$65,0)</f>
        <v>#DIV/0!</v>
      </c>
      <c r="AU446" s="4" t="e">
        <f>IF('Entrada e Saida'!$H$11="TRADING",AP446/(1-(SUM('Entrada e Saida'!$G$63:$G$65)+'Custo Resumido'!D446)),0)</f>
        <v>#DIV/0!</v>
      </c>
      <c r="AV446" s="3" t="e">
        <f>IF('Entrada e Saida'!$H$13="NÃO",AU446*M446,0)</f>
        <v>#DIV/0!</v>
      </c>
      <c r="AW446" s="4" t="e">
        <f t="shared" si="183"/>
        <v>#DIV/0!</v>
      </c>
      <c r="AX446" s="3" t="e">
        <f>'Entrada e Saida'!$G$74*AU446</f>
        <v>#DIV/0!</v>
      </c>
      <c r="AY446" s="4" t="e">
        <f t="shared" si="184"/>
        <v>#DIV/0!</v>
      </c>
      <c r="AZ446" s="4" t="e">
        <f>AQ446+('Entrada e Saida'!$G$65-'Entrada e Saida'!$I$65)*AU446-AX446</f>
        <v>#DIV/0!</v>
      </c>
      <c r="BA446" s="3" t="e">
        <f>IF('Entrada e Saida'!$H$12="REAL",AZ446*'Entrada e Saida'!$G$81,AU446*'Entrada e Saida'!$G$81)</f>
        <v>#DIV/0!</v>
      </c>
      <c r="BB446" s="3" t="e">
        <f>IF('Entrada e Saida'!$H$12="REAL",AZ446*'Entrada e Saida'!$G$82,AU446*'Entrada e Saida'!$G$82)</f>
        <v>#DIV/0!</v>
      </c>
      <c r="BC446" s="4" t="e">
        <f t="shared" si="185"/>
        <v>#DIV/0!</v>
      </c>
      <c r="BD446" s="3" t="e">
        <f>IF('Entrada e Saida'!$H$11="TRADING",AW446/D446,AK446/D446)</f>
        <v>#DIV/0!</v>
      </c>
      <c r="BE446" s="3" t="e">
        <f t="shared" si="186"/>
        <v>#DIV/0!</v>
      </c>
      <c r="BF446" s="2" t="e">
        <f t="shared" si="187"/>
        <v>#DIV/0!</v>
      </c>
      <c r="BG446" s="3" t="e">
        <f>IF('Entrada e Saida'!$H$11="TRADING",AV446/D446,AN446/D446)</f>
        <v>#DIV/0!</v>
      </c>
      <c r="BH446" s="3" t="e">
        <f>IF('Entrada e Saida'!$H$11="TRADING",IF('Entrada e Saida'!$H$12="REAL",AR446/D446,0),AL446/D446)</f>
        <v>#DIV/0!</v>
      </c>
      <c r="BI446" s="3" t="e">
        <f>IF('Entrada e Saida'!$H$11="TRADING",IF('Entrada e Saida'!$H$12="REAL",AS446/D446,0),AM446/D446)</f>
        <v>#DIV/0!</v>
      </c>
      <c r="BJ446" s="3" t="e">
        <f>IF('Entrada e Saida'!$H$11="TRADING",AT446/D446,AO446/D446)</f>
        <v>#DIV/0!</v>
      </c>
      <c r="BK446" s="2" t="e">
        <f t="shared" si="188"/>
        <v>#DIV/0!</v>
      </c>
      <c r="BL446" s="2">
        <f>IF(O446&gt;0,IFERROR(IF('Entrada e Saida'!$H$11="DIRETA",0,(IF('Entrada e Saida'!$H$14="P.JURIDICA",(BD446*(1+O446)*N446)-((BD446/(1+M446))*'Entrada e Saida'!$G$65),((Produtos!N446-'Entrada e Saida'!$G$65)*Produtos!BD446)))),0),0)</f>
        <v>0</v>
      </c>
      <c r="BM446" s="2" t="e">
        <f t="shared" si="189"/>
        <v>#DIV/0!</v>
      </c>
    </row>
    <row r="447" spans="1:65" s="1" customFormat="1">
      <c r="A447" s="127"/>
      <c r="B447" s="114">
        <f>IFERROR(VLOOKUP(A447,'Master Modelo'!A:I,7,FALSE),0)</f>
        <v>0</v>
      </c>
      <c r="C447" s="116">
        <f>IFERROR(VLOOKUP(A447,'Master Modelo'!A:I,2,FALSE),0)</f>
        <v>0</v>
      </c>
      <c r="D447" s="146"/>
      <c r="E447" s="115">
        <f>IFERROR(VLOOKUP(A447,'Master Modelo'!A:I,9,FALSE),0)</f>
        <v>0</v>
      </c>
      <c r="F447" s="189">
        <f>IFERROR(VLOOKUP(A447,'Master Modelo'!A:I,8,FALSE),0)</f>
        <v>0</v>
      </c>
      <c r="G447" s="189">
        <f>IFERROR(VLOOKUP(A447,'Master Modelo'!A:K,11,FALSE),0)</f>
        <v>0</v>
      </c>
      <c r="H447" s="114" t="e">
        <f t="shared" si="172"/>
        <v>#DIV/0!</v>
      </c>
      <c r="I447" s="150">
        <f>IFERROR(VLOOKUP(A447,'Master Modelo'!A:I,3,FALSE),0)</f>
        <v>0</v>
      </c>
      <c r="J447" s="151">
        <f>IFERROR(VLOOKUP(A447,'Master Modelo'!A:I,5,FALSE),0)</f>
        <v>0</v>
      </c>
      <c r="K447" s="151">
        <f>IFERROR(VLOOKUP(A447,'Master Modelo'!A:I,6,FALSE),0)</f>
        <v>0</v>
      </c>
      <c r="L447" s="152" t="e">
        <f>VLOOKUP(A447,'Master Modelo'!A:J,10,FALSE)</f>
        <v>#N/A</v>
      </c>
      <c r="M447" s="150">
        <f>IFERROR(VLOOKUP(A447,'Master Modelo'!A:I,4,FALSE),0)</f>
        <v>0</v>
      </c>
      <c r="N447" s="128"/>
      <c r="O447" s="129"/>
      <c r="P447" s="9">
        <f t="shared" si="173"/>
        <v>0</v>
      </c>
      <c r="Q447" s="177">
        <f t="shared" si="171"/>
        <v>0</v>
      </c>
      <c r="R447" s="3">
        <f>D447*E447*'Entrada e Saida'!$K$8</f>
        <v>0</v>
      </c>
      <c r="S447" s="179" t="e">
        <f>'Entrada e Saida'!$H$21*'Entrada e Saida'!$K$8*(P447/(SUM(P:P)))</f>
        <v>#DIV/0!</v>
      </c>
      <c r="T447" s="179" t="e">
        <f>'Entrada e Saida'!$H$21*'Entrada e Saida'!$K$8*(Q447/(SUM(Q:Q)))</f>
        <v>#DIV/0!</v>
      </c>
      <c r="U447" s="179" t="e">
        <f>'Entrada e Saida'!$H$22*(P447/(SUM(P:P)))</f>
        <v>#DIV/0!</v>
      </c>
      <c r="V447" s="179" t="e">
        <f>'Entrada e Saida'!$H$22*(Q447/(SUM(Q:Q)))</f>
        <v>#DIV/0!</v>
      </c>
      <c r="W447" s="8" t="e">
        <f t="shared" si="174"/>
        <v>#DIV/0!</v>
      </c>
      <c r="X447" s="179" t="e">
        <f>'Entrada e Saida'!$H$26*(IF('Entrada e Saida'!$H$15="PESO",(P447/(SUM(P:P))),(Q447/(SUM(Q:Q)))))</f>
        <v>#DIV/0!</v>
      </c>
      <c r="Y447" s="179" t="e">
        <f>'Entrada e Saida'!$H$27*(IF('Entrada e Saida'!$H$15="PESO",(P447/(SUM(P:P))),(Q447/(SUM(Q:Q)))))</f>
        <v>#DIV/0!</v>
      </c>
      <c r="Z447" s="179" t="e">
        <f>'Entrada e Saida'!$H$28*(IF('Entrada e Saida'!$H$15="PESO",(P447/(SUM(P:P))),(Q447/(SUM(Q:Q)))))</f>
        <v>#DIV/0!</v>
      </c>
      <c r="AA447" s="10" t="e">
        <f t="shared" si="175"/>
        <v>#DIV/0!</v>
      </c>
      <c r="AB447" s="3" t="e">
        <f t="shared" si="176"/>
        <v>#DIV/0!</v>
      </c>
      <c r="AC447" s="3" t="e">
        <f t="shared" si="177"/>
        <v>#DIV/0!</v>
      </c>
      <c r="AD447" s="3" t="e">
        <f t="shared" si="178"/>
        <v>#DIV/0!</v>
      </c>
      <c r="AE447" s="9" t="e">
        <f t="shared" si="179"/>
        <v>#DIV/0!</v>
      </c>
      <c r="AF447" s="126">
        <f>IFERROR(D447*F447*L447*'Entrada e Saida'!$K$8,0)</f>
        <v>0</v>
      </c>
      <c r="AG447" s="3" t="e">
        <f>((W447+AA447+AB447+AC447+AD447+AE447+AF447)/(1-'Entrada e Saida'!$G$65))*'Entrada e Saida'!$I$66</f>
        <v>#DIV/0!</v>
      </c>
      <c r="AH447" s="8" t="e">
        <f t="shared" si="180"/>
        <v>#DIV/0!</v>
      </c>
      <c r="AI447" s="183" t="e">
        <f>'Entrada e Saida'!$K$51*(IF('Entrada e Saida'!$H$15="PESO",(P447/(SUM(P:P))),(Q447/(SUM(Q:Q)))))</f>
        <v>#DIV/0!</v>
      </c>
      <c r="AJ447" s="7">
        <f>(('Entrada e Saida'!$K$10-'Entrada e Saida'!$K$8)*E447*D447)</f>
        <v>0</v>
      </c>
      <c r="AK447" s="184" t="e">
        <f>IF('Entrada e Saida'!$H$15="PESO",W447+AA447+AH447+AI447+AJ447,W447+AA447+AH447+AI447+AJ447-S447+T447-U447+V447)</f>
        <v>#DIV/0!</v>
      </c>
      <c r="AL447" s="6" t="e">
        <f>IF('Entrada e Saida'!$H$12="REAL",AC447,0)</f>
        <v>#DIV/0!</v>
      </c>
      <c r="AM447" s="6" t="e">
        <f>IF('Entrada e Saida'!$H$12="REAL",AD447,0)</f>
        <v>#DIV/0!</v>
      </c>
      <c r="AN447" s="5" t="e">
        <f>IF('Entrada e Saida'!$H$13= "NÃO",AE447,0)</f>
        <v>#DIV/0!</v>
      </c>
      <c r="AO447" s="5" t="e">
        <f t="shared" si="181"/>
        <v>#DIV/0!</v>
      </c>
      <c r="AP447" s="4" t="e">
        <f t="shared" si="182"/>
        <v>#DIV/0!</v>
      </c>
      <c r="AQ447" s="3" t="e">
        <f>IF('Entrada e Saida'!$H$11="TRADING",AU447*'Custo Resumido'!D447,0)</f>
        <v>#DIV/0!</v>
      </c>
      <c r="AR447" s="3" t="e">
        <f>IF('Entrada e Saida'!$H$11="TRADING",AU447*'Entrada e Saida'!$G$63,0)</f>
        <v>#DIV/0!</v>
      </c>
      <c r="AS447" s="3" t="e">
        <f>IF('Entrada e Saida'!$H$11="TRADING",AU447*'Entrada e Saida'!$G$64,0)</f>
        <v>#DIV/0!</v>
      </c>
      <c r="AT447" s="3" t="e">
        <f>IF('Entrada e Saida'!$H$11="TRADING",AU447*'Entrada e Saida'!$G$65,0)</f>
        <v>#DIV/0!</v>
      </c>
      <c r="AU447" s="4" t="e">
        <f>IF('Entrada e Saida'!$H$11="TRADING",AP447/(1-(SUM('Entrada e Saida'!$G$63:$G$65)+'Custo Resumido'!D447)),0)</f>
        <v>#DIV/0!</v>
      </c>
      <c r="AV447" s="3" t="e">
        <f>IF('Entrada e Saida'!$H$13="NÃO",AU447*M447,0)</f>
        <v>#DIV/0!</v>
      </c>
      <c r="AW447" s="4" t="e">
        <f t="shared" si="183"/>
        <v>#DIV/0!</v>
      </c>
      <c r="AX447" s="3" t="e">
        <f>'Entrada e Saida'!$G$74*AU447</f>
        <v>#DIV/0!</v>
      </c>
      <c r="AY447" s="4" t="e">
        <f t="shared" si="184"/>
        <v>#DIV/0!</v>
      </c>
      <c r="AZ447" s="4" t="e">
        <f>AQ447+('Entrada e Saida'!$G$65-'Entrada e Saida'!$I$65)*AU447-AX447</f>
        <v>#DIV/0!</v>
      </c>
      <c r="BA447" s="3" t="e">
        <f>IF('Entrada e Saida'!$H$12="REAL",AZ447*'Entrada e Saida'!$G$81,AU447*'Entrada e Saida'!$G$81)</f>
        <v>#DIV/0!</v>
      </c>
      <c r="BB447" s="3" t="e">
        <f>IF('Entrada e Saida'!$H$12="REAL",AZ447*'Entrada e Saida'!$G$82,AU447*'Entrada e Saida'!$G$82)</f>
        <v>#DIV/0!</v>
      </c>
      <c r="BC447" s="4" t="e">
        <f t="shared" si="185"/>
        <v>#DIV/0!</v>
      </c>
      <c r="BD447" s="3" t="e">
        <f>IF('Entrada e Saida'!$H$11="TRADING",AW447/D447,AK447/D447)</f>
        <v>#DIV/0!</v>
      </c>
      <c r="BE447" s="3" t="e">
        <f t="shared" si="186"/>
        <v>#DIV/0!</v>
      </c>
      <c r="BF447" s="2" t="e">
        <f t="shared" si="187"/>
        <v>#DIV/0!</v>
      </c>
      <c r="BG447" s="3" t="e">
        <f>IF('Entrada e Saida'!$H$11="TRADING",AV447/D447,AN447/D447)</f>
        <v>#DIV/0!</v>
      </c>
      <c r="BH447" s="3" t="e">
        <f>IF('Entrada e Saida'!$H$11="TRADING",IF('Entrada e Saida'!$H$12="REAL",AR447/D447,0),AL447/D447)</f>
        <v>#DIV/0!</v>
      </c>
      <c r="BI447" s="3" t="e">
        <f>IF('Entrada e Saida'!$H$11="TRADING",IF('Entrada e Saida'!$H$12="REAL",AS447/D447,0),AM447/D447)</f>
        <v>#DIV/0!</v>
      </c>
      <c r="BJ447" s="3" t="e">
        <f>IF('Entrada e Saida'!$H$11="TRADING",AT447/D447,AO447/D447)</f>
        <v>#DIV/0!</v>
      </c>
      <c r="BK447" s="2" t="e">
        <f t="shared" si="188"/>
        <v>#DIV/0!</v>
      </c>
      <c r="BL447" s="2">
        <f>IF(O447&gt;0,IFERROR(IF('Entrada e Saida'!$H$11="DIRETA",0,(IF('Entrada e Saida'!$H$14="P.JURIDICA",(BD447*(1+O447)*N447)-((BD447/(1+M447))*'Entrada e Saida'!$G$65),((Produtos!N447-'Entrada e Saida'!$G$65)*Produtos!BD447)))),0),0)</f>
        <v>0</v>
      </c>
      <c r="BM447" s="2" t="e">
        <f t="shared" si="189"/>
        <v>#DIV/0!</v>
      </c>
    </row>
    <row r="448" spans="1:65" s="1" customFormat="1">
      <c r="A448" s="127"/>
      <c r="B448" s="114">
        <f>IFERROR(VLOOKUP(A448,'Master Modelo'!A:I,7,FALSE),0)</f>
        <v>0</v>
      </c>
      <c r="C448" s="116">
        <f>IFERROR(VLOOKUP(A448,'Master Modelo'!A:I,2,FALSE),0)</f>
        <v>0</v>
      </c>
      <c r="D448" s="146"/>
      <c r="E448" s="115">
        <f>IFERROR(VLOOKUP(A448,'Master Modelo'!A:I,9,FALSE),0)</f>
        <v>0</v>
      </c>
      <c r="F448" s="189">
        <f>IFERROR(VLOOKUP(A448,'Master Modelo'!A:I,8,FALSE),0)</f>
        <v>0</v>
      </c>
      <c r="G448" s="189">
        <f>IFERROR(VLOOKUP(A448,'Master Modelo'!A:K,11,FALSE),0)</f>
        <v>0</v>
      </c>
      <c r="H448" s="114" t="e">
        <f t="shared" si="172"/>
        <v>#DIV/0!</v>
      </c>
      <c r="I448" s="150">
        <f>IFERROR(VLOOKUP(A448,'Master Modelo'!A:I,3,FALSE),0)</f>
        <v>0</v>
      </c>
      <c r="J448" s="151">
        <f>IFERROR(VLOOKUP(A448,'Master Modelo'!A:I,5,FALSE),0)</f>
        <v>0</v>
      </c>
      <c r="K448" s="151">
        <f>IFERROR(VLOOKUP(A448,'Master Modelo'!A:I,6,FALSE),0)</f>
        <v>0</v>
      </c>
      <c r="L448" s="152" t="e">
        <f>VLOOKUP(A448,'Master Modelo'!A:J,10,FALSE)</f>
        <v>#N/A</v>
      </c>
      <c r="M448" s="150">
        <f>IFERROR(VLOOKUP(A448,'Master Modelo'!A:I,4,FALSE),0)</f>
        <v>0</v>
      </c>
      <c r="N448" s="128"/>
      <c r="O448" s="129"/>
      <c r="P448" s="9">
        <f t="shared" si="173"/>
        <v>0</v>
      </c>
      <c r="Q448" s="177">
        <f t="shared" si="171"/>
        <v>0</v>
      </c>
      <c r="R448" s="3">
        <f>D448*E448*'Entrada e Saida'!$K$8</f>
        <v>0</v>
      </c>
      <c r="S448" s="179" t="e">
        <f>'Entrada e Saida'!$H$21*'Entrada e Saida'!$K$8*(P448/(SUM(P:P)))</f>
        <v>#DIV/0!</v>
      </c>
      <c r="T448" s="179" t="e">
        <f>'Entrada e Saida'!$H$21*'Entrada e Saida'!$K$8*(Q448/(SUM(Q:Q)))</f>
        <v>#DIV/0!</v>
      </c>
      <c r="U448" s="179" t="e">
        <f>'Entrada e Saida'!$H$22*(P448/(SUM(P:P)))</f>
        <v>#DIV/0!</v>
      </c>
      <c r="V448" s="179" t="e">
        <f>'Entrada e Saida'!$H$22*(Q448/(SUM(Q:Q)))</f>
        <v>#DIV/0!</v>
      </c>
      <c r="W448" s="8" t="e">
        <f t="shared" si="174"/>
        <v>#DIV/0!</v>
      </c>
      <c r="X448" s="179" t="e">
        <f>'Entrada e Saida'!$H$26*(IF('Entrada e Saida'!$H$15="PESO",(P448/(SUM(P:P))),(Q448/(SUM(Q:Q)))))</f>
        <v>#DIV/0!</v>
      </c>
      <c r="Y448" s="179" t="e">
        <f>'Entrada e Saida'!$H$27*(IF('Entrada e Saida'!$H$15="PESO",(P448/(SUM(P:P))),(Q448/(SUM(Q:Q)))))</f>
        <v>#DIV/0!</v>
      </c>
      <c r="Z448" s="179" t="e">
        <f>'Entrada e Saida'!$H$28*(IF('Entrada e Saida'!$H$15="PESO",(P448/(SUM(P:P))),(Q448/(SUM(Q:Q)))))</f>
        <v>#DIV/0!</v>
      </c>
      <c r="AA448" s="10" t="e">
        <f t="shared" si="175"/>
        <v>#DIV/0!</v>
      </c>
      <c r="AB448" s="3" t="e">
        <f t="shared" si="176"/>
        <v>#DIV/0!</v>
      </c>
      <c r="AC448" s="3" t="e">
        <f t="shared" si="177"/>
        <v>#DIV/0!</v>
      </c>
      <c r="AD448" s="3" t="e">
        <f t="shared" si="178"/>
        <v>#DIV/0!</v>
      </c>
      <c r="AE448" s="9" t="e">
        <f t="shared" si="179"/>
        <v>#DIV/0!</v>
      </c>
      <c r="AF448" s="126">
        <f>IFERROR(D448*F448*L448*'Entrada e Saida'!$K$8,0)</f>
        <v>0</v>
      </c>
      <c r="AG448" s="3" t="e">
        <f>((W448+AA448+AB448+AC448+AD448+AE448+AF448)/(1-'Entrada e Saida'!$G$65))*'Entrada e Saida'!$I$66</f>
        <v>#DIV/0!</v>
      </c>
      <c r="AH448" s="8" t="e">
        <f t="shared" si="180"/>
        <v>#DIV/0!</v>
      </c>
      <c r="AI448" s="183" t="e">
        <f>'Entrada e Saida'!$K$51*(IF('Entrada e Saida'!$H$15="PESO",(P448/(SUM(P:P))),(Q448/(SUM(Q:Q)))))</f>
        <v>#DIV/0!</v>
      </c>
      <c r="AJ448" s="7">
        <f>(('Entrada e Saida'!$K$10-'Entrada e Saida'!$K$8)*E448*D448)</f>
        <v>0</v>
      </c>
      <c r="AK448" s="184" t="e">
        <f>IF('Entrada e Saida'!$H$15="PESO",W448+AA448+AH448+AI448+AJ448,W448+AA448+AH448+AI448+AJ448-S448+T448-U448+V448)</f>
        <v>#DIV/0!</v>
      </c>
      <c r="AL448" s="6" t="e">
        <f>IF('Entrada e Saida'!$H$12="REAL",AC448,0)</f>
        <v>#DIV/0!</v>
      </c>
      <c r="AM448" s="6" t="e">
        <f>IF('Entrada e Saida'!$H$12="REAL",AD448,0)</f>
        <v>#DIV/0!</v>
      </c>
      <c r="AN448" s="5" t="e">
        <f>IF('Entrada e Saida'!$H$13= "NÃO",AE448,0)</f>
        <v>#DIV/0!</v>
      </c>
      <c r="AO448" s="5" t="e">
        <f t="shared" si="181"/>
        <v>#DIV/0!</v>
      </c>
      <c r="AP448" s="4" t="e">
        <f t="shared" si="182"/>
        <v>#DIV/0!</v>
      </c>
      <c r="AQ448" s="3" t="e">
        <f>IF('Entrada e Saida'!$H$11="TRADING",AU448*'Custo Resumido'!D448,0)</f>
        <v>#DIV/0!</v>
      </c>
      <c r="AR448" s="3" t="e">
        <f>IF('Entrada e Saida'!$H$11="TRADING",AU448*'Entrada e Saida'!$G$63,0)</f>
        <v>#DIV/0!</v>
      </c>
      <c r="AS448" s="3" t="e">
        <f>IF('Entrada e Saida'!$H$11="TRADING",AU448*'Entrada e Saida'!$G$64,0)</f>
        <v>#DIV/0!</v>
      </c>
      <c r="AT448" s="3" t="e">
        <f>IF('Entrada e Saida'!$H$11="TRADING",AU448*'Entrada e Saida'!$G$65,0)</f>
        <v>#DIV/0!</v>
      </c>
      <c r="AU448" s="4" t="e">
        <f>IF('Entrada e Saida'!$H$11="TRADING",AP448/(1-(SUM('Entrada e Saida'!$G$63:$G$65)+'Custo Resumido'!D448)),0)</f>
        <v>#DIV/0!</v>
      </c>
      <c r="AV448" s="3" t="e">
        <f>IF('Entrada e Saida'!$H$13="NÃO",AU448*M448,0)</f>
        <v>#DIV/0!</v>
      </c>
      <c r="AW448" s="4" t="e">
        <f t="shared" si="183"/>
        <v>#DIV/0!</v>
      </c>
      <c r="AX448" s="3" t="e">
        <f>'Entrada e Saida'!$G$74*AU448</f>
        <v>#DIV/0!</v>
      </c>
      <c r="AY448" s="4" t="e">
        <f t="shared" si="184"/>
        <v>#DIV/0!</v>
      </c>
      <c r="AZ448" s="4" t="e">
        <f>AQ448+('Entrada e Saida'!$G$65-'Entrada e Saida'!$I$65)*AU448-AX448</f>
        <v>#DIV/0!</v>
      </c>
      <c r="BA448" s="3" t="e">
        <f>IF('Entrada e Saida'!$H$12="REAL",AZ448*'Entrada e Saida'!$G$81,AU448*'Entrada e Saida'!$G$81)</f>
        <v>#DIV/0!</v>
      </c>
      <c r="BB448" s="3" t="e">
        <f>IF('Entrada e Saida'!$H$12="REAL",AZ448*'Entrada e Saida'!$G$82,AU448*'Entrada e Saida'!$G$82)</f>
        <v>#DIV/0!</v>
      </c>
      <c r="BC448" s="4" t="e">
        <f t="shared" si="185"/>
        <v>#DIV/0!</v>
      </c>
      <c r="BD448" s="3" t="e">
        <f>IF('Entrada e Saida'!$H$11="TRADING",AW448/D448,AK448/D448)</f>
        <v>#DIV/0!</v>
      </c>
      <c r="BE448" s="3" t="e">
        <f t="shared" si="186"/>
        <v>#DIV/0!</v>
      </c>
      <c r="BF448" s="2" t="e">
        <f t="shared" si="187"/>
        <v>#DIV/0!</v>
      </c>
      <c r="BG448" s="3" t="e">
        <f>IF('Entrada e Saida'!$H$11="TRADING",AV448/D448,AN448/D448)</f>
        <v>#DIV/0!</v>
      </c>
      <c r="BH448" s="3" t="e">
        <f>IF('Entrada e Saida'!$H$11="TRADING",IF('Entrada e Saida'!$H$12="REAL",AR448/D448,0),AL448/D448)</f>
        <v>#DIV/0!</v>
      </c>
      <c r="BI448" s="3" t="e">
        <f>IF('Entrada e Saida'!$H$11="TRADING",IF('Entrada e Saida'!$H$12="REAL",AS448/D448,0),AM448/D448)</f>
        <v>#DIV/0!</v>
      </c>
      <c r="BJ448" s="3" t="e">
        <f>IF('Entrada e Saida'!$H$11="TRADING",AT448/D448,AO448/D448)</f>
        <v>#DIV/0!</v>
      </c>
      <c r="BK448" s="2" t="e">
        <f t="shared" si="188"/>
        <v>#DIV/0!</v>
      </c>
      <c r="BL448" s="2">
        <f>IF(O448&gt;0,IFERROR(IF('Entrada e Saida'!$H$11="DIRETA",0,(IF('Entrada e Saida'!$H$14="P.JURIDICA",(BD448*(1+O448)*N448)-((BD448/(1+M448))*'Entrada e Saida'!$G$65),((Produtos!N448-'Entrada e Saida'!$G$65)*Produtos!BD448)))),0),0)</f>
        <v>0</v>
      </c>
      <c r="BM448" s="2" t="e">
        <f t="shared" si="189"/>
        <v>#DIV/0!</v>
      </c>
    </row>
    <row r="449" spans="1:65" s="1" customFormat="1">
      <c r="A449" s="127"/>
      <c r="B449" s="114">
        <f>IFERROR(VLOOKUP(A449,'Master Modelo'!A:I,7,FALSE),0)</f>
        <v>0</v>
      </c>
      <c r="C449" s="116">
        <f>IFERROR(VLOOKUP(A449,'Master Modelo'!A:I,2,FALSE),0)</f>
        <v>0</v>
      </c>
      <c r="D449" s="146"/>
      <c r="E449" s="115">
        <f>IFERROR(VLOOKUP(A449,'Master Modelo'!A:I,9,FALSE),0)</f>
        <v>0</v>
      </c>
      <c r="F449" s="189">
        <f>IFERROR(VLOOKUP(A449,'Master Modelo'!A:I,8,FALSE),0)</f>
        <v>0</v>
      </c>
      <c r="G449" s="189">
        <f>IFERROR(VLOOKUP(A449,'Master Modelo'!A:K,11,FALSE),0)</f>
        <v>0</v>
      </c>
      <c r="H449" s="114" t="e">
        <f t="shared" si="172"/>
        <v>#DIV/0!</v>
      </c>
      <c r="I449" s="150">
        <f>IFERROR(VLOOKUP(A449,'Master Modelo'!A:I,3,FALSE),0)</f>
        <v>0</v>
      </c>
      <c r="J449" s="151">
        <f>IFERROR(VLOOKUP(A449,'Master Modelo'!A:I,5,FALSE),0)</f>
        <v>0</v>
      </c>
      <c r="K449" s="151">
        <f>IFERROR(VLOOKUP(A449,'Master Modelo'!A:I,6,FALSE),0)</f>
        <v>0</v>
      </c>
      <c r="L449" s="152" t="e">
        <f>VLOOKUP(A449,'Master Modelo'!A:J,10,FALSE)</f>
        <v>#N/A</v>
      </c>
      <c r="M449" s="150">
        <f>IFERROR(VLOOKUP(A449,'Master Modelo'!A:I,4,FALSE),0)</f>
        <v>0</v>
      </c>
      <c r="N449" s="128"/>
      <c r="O449" s="129"/>
      <c r="P449" s="9">
        <f t="shared" si="173"/>
        <v>0</v>
      </c>
      <c r="Q449" s="177">
        <f t="shared" ref="Q449:Q498" si="190">D449*G449</f>
        <v>0</v>
      </c>
      <c r="R449" s="3">
        <f>D449*E449*'Entrada e Saida'!$K$8</f>
        <v>0</v>
      </c>
      <c r="S449" s="179" t="e">
        <f>'Entrada e Saida'!$H$21*'Entrada e Saida'!$K$8*(P449/(SUM(P:P)))</f>
        <v>#DIV/0!</v>
      </c>
      <c r="T449" s="179" t="e">
        <f>'Entrada e Saida'!$H$21*'Entrada e Saida'!$K$8*(Q449/(SUM(Q:Q)))</f>
        <v>#DIV/0!</v>
      </c>
      <c r="U449" s="179" t="e">
        <f>'Entrada e Saida'!$H$22*(P449/(SUM(P:P)))</f>
        <v>#DIV/0!</v>
      </c>
      <c r="V449" s="179" t="e">
        <f>'Entrada e Saida'!$H$22*(Q449/(SUM(Q:Q)))</f>
        <v>#DIV/0!</v>
      </c>
      <c r="W449" s="8" t="e">
        <f t="shared" si="174"/>
        <v>#DIV/0!</v>
      </c>
      <c r="X449" s="179" t="e">
        <f>'Entrada e Saida'!$H$26*(IF('Entrada e Saida'!$H$15="PESO",(P449/(SUM(P:P))),(Q449/(SUM(Q:Q)))))</f>
        <v>#DIV/0!</v>
      </c>
      <c r="Y449" s="179" t="e">
        <f>'Entrada e Saida'!$H$27*(IF('Entrada e Saida'!$H$15="PESO",(P449/(SUM(P:P))),(Q449/(SUM(Q:Q)))))</f>
        <v>#DIV/0!</v>
      </c>
      <c r="Z449" s="179" t="e">
        <f>'Entrada e Saida'!$H$28*(IF('Entrada e Saida'!$H$15="PESO",(P449/(SUM(P:P))),(Q449/(SUM(Q:Q)))))</f>
        <v>#DIV/0!</v>
      </c>
      <c r="AA449" s="10" t="e">
        <f t="shared" si="175"/>
        <v>#DIV/0!</v>
      </c>
      <c r="AB449" s="3" t="e">
        <f t="shared" si="176"/>
        <v>#DIV/0!</v>
      </c>
      <c r="AC449" s="3" t="e">
        <f t="shared" si="177"/>
        <v>#DIV/0!</v>
      </c>
      <c r="AD449" s="3" t="e">
        <f t="shared" si="178"/>
        <v>#DIV/0!</v>
      </c>
      <c r="AE449" s="9" t="e">
        <f t="shared" si="179"/>
        <v>#DIV/0!</v>
      </c>
      <c r="AF449" s="126">
        <f>IFERROR(D449*F449*L449*'Entrada e Saida'!$K$8,0)</f>
        <v>0</v>
      </c>
      <c r="AG449" s="3" t="e">
        <f>((W449+AA449+AB449+AC449+AD449+AE449+AF449)/(1-'Entrada e Saida'!$G$65))*'Entrada e Saida'!$I$66</f>
        <v>#DIV/0!</v>
      </c>
      <c r="AH449" s="8" t="e">
        <f t="shared" si="180"/>
        <v>#DIV/0!</v>
      </c>
      <c r="AI449" s="183" t="e">
        <f>'Entrada e Saida'!$K$51*(IF('Entrada e Saida'!$H$15="PESO",(P449/(SUM(P:P))),(Q449/(SUM(Q:Q)))))</f>
        <v>#DIV/0!</v>
      </c>
      <c r="AJ449" s="7">
        <f>(('Entrada e Saida'!$K$10-'Entrada e Saida'!$K$8)*E449*D449)</f>
        <v>0</v>
      </c>
      <c r="AK449" s="184" t="e">
        <f>IF('Entrada e Saida'!$H$15="PESO",W449+AA449+AH449+AI449+AJ449,W449+AA449+AH449+AI449+AJ449-S449+T449-U449+V449)</f>
        <v>#DIV/0!</v>
      </c>
      <c r="AL449" s="6" t="e">
        <f>IF('Entrada e Saida'!$H$12="REAL",AC449,0)</f>
        <v>#DIV/0!</v>
      </c>
      <c r="AM449" s="6" t="e">
        <f>IF('Entrada e Saida'!$H$12="REAL",AD449,0)</f>
        <v>#DIV/0!</v>
      </c>
      <c r="AN449" s="5" t="e">
        <f>IF('Entrada e Saida'!$H$13= "NÃO",AE449,0)</f>
        <v>#DIV/0!</v>
      </c>
      <c r="AO449" s="5" t="e">
        <f t="shared" si="181"/>
        <v>#DIV/0!</v>
      </c>
      <c r="AP449" s="4" t="e">
        <f t="shared" si="182"/>
        <v>#DIV/0!</v>
      </c>
      <c r="AQ449" s="3" t="e">
        <f>IF('Entrada e Saida'!$H$11="TRADING",AU449*'Custo Resumido'!D449,0)</f>
        <v>#DIV/0!</v>
      </c>
      <c r="AR449" s="3" t="e">
        <f>IF('Entrada e Saida'!$H$11="TRADING",AU449*'Entrada e Saida'!$G$63,0)</f>
        <v>#DIV/0!</v>
      </c>
      <c r="AS449" s="3" t="e">
        <f>IF('Entrada e Saida'!$H$11="TRADING",AU449*'Entrada e Saida'!$G$64,0)</f>
        <v>#DIV/0!</v>
      </c>
      <c r="AT449" s="3" t="e">
        <f>IF('Entrada e Saida'!$H$11="TRADING",AU449*'Entrada e Saida'!$G$65,0)</f>
        <v>#DIV/0!</v>
      </c>
      <c r="AU449" s="4" t="e">
        <f>IF('Entrada e Saida'!$H$11="TRADING",AP449/(1-(SUM('Entrada e Saida'!$G$63:$G$65)+'Custo Resumido'!D449)),0)</f>
        <v>#DIV/0!</v>
      </c>
      <c r="AV449" s="3" t="e">
        <f>IF('Entrada e Saida'!$H$13="NÃO",AU449*M449,0)</f>
        <v>#DIV/0!</v>
      </c>
      <c r="AW449" s="4" t="e">
        <f t="shared" si="183"/>
        <v>#DIV/0!</v>
      </c>
      <c r="AX449" s="3" t="e">
        <f>'Entrada e Saida'!$G$74*AU449</f>
        <v>#DIV/0!</v>
      </c>
      <c r="AY449" s="4" t="e">
        <f t="shared" si="184"/>
        <v>#DIV/0!</v>
      </c>
      <c r="AZ449" s="4" t="e">
        <f>AQ449+('Entrada e Saida'!$G$65-'Entrada e Saida'!$I$65)*AU449-AX449</f>
        <v>#DIV/0!</v>
      </c>
      <c r="BA449" s="3" t="e">
        <f>IF('Entrada e Saida'!$H$12="REAL",AZ449*'Entrada e Saida'!$G$81,AU449*'Entrada e Saida'!$G$81)</f>
        <v>#DIV/0!</v>
      </c>
      <c r="BB449" s="3" t="e">
        <f>IF('Entrada e Saida'!$H$12="REAL",AZ449*'Entrada e Saida'!$G$82,AU449*'Entrada e Saida'!$G$82)</f>
        <v>#DIV/0!</v>
      </c>
      <c r="BC449" s="4" t="e">
        <f t="shared" si="185"/>
        <v>#DIV/0!</v>
      </c>
      <c r="BD449" s="3" t="e">
        <f>IF('Entrada e Saida'!$H$11="TRADING",AW449/D449,AK449/D449)</f>
        <v>#DIV/0!</v>
      </c>
      <c r="BE449" s="3" t="e">
        <f t="shared" si="186"/>
        <v>#DIV/0!</v>
      </c>
      <c r="BF449" s="2" t="e">
        <f t="shared" si="187"/>
        <v>#DIV/0!</v>
      </c>
      <c r="BG449" s="3" t="e">
        <f>IF('Entrada e Saida'!$H$11="TRADING",AV449/D449,AN449/D449)</f>
        <v>#DIV/0!</v>
      </c>
      <c r="BH449" s="3" t="e">
        <f>IF('Entrada e Saida'!$H$11="TRADING",IF('Entrada e Saida'!$H$12="REAL",AR449/D449,0),AL449/D449)</f>
        <v>#DIV/0!</v>
      </c>
      <c r="BI449" s="3" t="e">
        <f>IF('Entrada e Saida'!$H$11="TRADING",IF('Entrada e Saida'!$H$12="REAL",AS449/D449,0),AM449/D449)</f>
        <v>#DIV/0!</v>
      </c>
      <c r="BJ449" s="3" t="e">
        <f>IF('Entrada e Saida'!$H$11="TRADING",AT449/D449,AO449/D449)</f>
        <v>#DIV/0!</v>
      </c>
      <c r="BK449" s="2" t="e">
        <f t="shared" si="188"/>
        <v>#DIV/0!</v>
      </c>
      <c r="BL449" s="2">
        <f>IF(O449&gt;0,IFERROR(IF('Entrada e Saida'!$H$11="DIRETA",0,(IF('Entrada e Saida'!$H$14="P.JURIDICA",(BD449*(1+O449)*N449)-((BD449/(1+M449))*'Entrada e Saida'!$G$65),((Produtos!N449-'Entrada e Saida'!$G$65)*Produtos!BD449)))),0),0)</f>
        <v>0</v>
      </c>
      <c r="BM449" s="2" t="e">
        <f t="shared" si="189"/>
        <v>#DIV/0!</v>
      </c>
    </row>
    <row r="450" spans="1:65" s="1" customFormat="1">
      <c r="A450" s="127"/>
      <c r="B450" s="114">
        <f>IFERROR(VLOOKUP(A450,'Master Modelo'!A:I,7,FALSE),0)</f>
        <v>0</v>
      </c>
      <c r="C450" s="116">
        <f>IFERROR(VLOOKUP(A450,'Master Modelo'!A:I,2,FALSE),0)</f>
        <v>0</v>
      </c>
      <c r="D450" s="146"/>
      <c r="E450" s="115">
        <f>IFERROR(VLOOKUP(A450,'Master Modelo'!A:I,9,FALSE),0)</f>
        <v>0</v>
      </c>
      <c r="F450" s="189">
        <f>IFERROR(VLOOKUP(A450,'Master Modelo'!A:I,8,FALSE),0)</f>
        <v>0</v>
      </c>
      <c r="G450" s="189">
        <f>IFERROR(VLOOKUP(A450,'Master Modelo'!A:K,11,FALSE),0)</f>
        <v>0</v>
      </c>
      <c r="H450" s="114" t="e">
        <f t="shared" si="172"/>
        <v>#DIV/0!</v>
      </c>
      <c r="I450" s="150">
        <f>IFERROR(VLOOKUP(A450,'Master Modelo'!A:I,3,FALSE),0)</f>
        <v>0</v>
      </c>
      <c r="J450" s="151">
        <f>IFERROR(VLOOKUP(A450,'Master Modelo'!A:I,5,FALSE),0)</f>
        <v>0</v>
      </c>
      <c r="K450" s="151">
        <f>IFERROR(VLOOKUP(A450,'Master Modelo'!A:I,6,FALSE),0)</f>
        <v>0</v>
      </c>
      <c r="L450" s="152" t="e">
        <f>VLOOKUP(A450,'Master Modelo'!A:J,10,FALSE)</f>
        <v>#N/A</v>
      </c>
      <c r="M450" s="150">
        <f>IFERROR(VLOOKUP(A450,'Master Modelo'!A:I,4,FALSE),0)</f>
        <v>0</v>
      </c>
      <c r="N450" s="128"/>
      <c r="O450" s="129"/>
      <c r="P450" s="9">
        <f t="shared" si="173"/>
        <v>0</v>
      </c>
      <c r="Q450" s="177">
        <f t="shared" si="190"/>
        <v>0</v>
      </c>
      <c r="R450" s="3">
        <f>D450*E450*'Entrada e Saida'!$K$8</f>
        <v>0</v>
      </c>
      <c r="S450" s="179" t="e">
        <f>'Entrada e Saida'!$H$21*'Entrada e Saida'!$K$8*(P450/(SUM(P:P)))</f>
        <v>#DIV/0!</v>
      </c>
      <c r="T450" s="179" t="e">
        <f>'Entrada e Saida'!$H$21*'Entrada e Saida'!$K$8*(Q450/(SUM(Q:Q)))</f>
        <v>#DIV/0!</v>
      </c>
      <c r="U450" s="179" t="e">
        <f>'Entrada e Saida'!$H$22*(P450/(SUM(P:P)))</f>
        <v>#DIV/0!</v>
      </c>
      <c r="V450" s="179" t="e">
        <f>'Entrada e Saida'!$H$22*(Q450/(SUM(Q:Q)))</f>
        <v>#DIV/0!</v>
      </c>
      <c r="W450" s="8" t="e">
        <f t="shared" si="174"/>
        <v>#DIV/0!</v>
      </c>
      <c r="X450" s="179" t="e">
        <f>'Entrada e Saida'!$H$26*(IF('Entrada e Saida'!$H$15="PESO",(P450/(SUM(P:P))),(Q450/(SUM(Q:Q)))))</f>
        <v>#DIV/0!</v>
      </c>
      <c r="Y450" s="179" t="e">
        <f>'Entrada e Saida'!$H$27*(IF('Entrada e Saida'!$H$15="PESO",(P450/(SUM(P:P))),(Q450/(SUM(Q:Q)))))</f>
        <v>#DIV/0!</v>
      </c>
      <c r="Z450" s="179" t="e">
        <f>'Entrada e Saida'!$H$28*(IF('Entrada e Saida'!$H$15="PESO",(P450/(SUM(P:P))),(Q450/(SUM(Q:Q)))))</f>
        <v>#DIV/0!</v>
      </c>
      <c r="AA450" s="10" t="e">
        <f t="shared" si="175"/>
        <v>#DIV/0!</v>
      </c>
      <c r="AB450" s="3" t="e">
        <f t="shared" si="176"/>
        <v>#DIV/0!</v>
      </c>
      <c r="AC450" s="3" t="e">
        <f t="shared" si="177"/>
        <v>#DIV/0!</v>
      </c>
      <c r="AD450" s="3" t="e">
        <f t="shared" si="178"/>
        <v>#DIV/0!</v>
      </c>
      <c r="AE450" s="9" t="e">
        <f t="shared" si="179"/>
        <v>#DIV/0!</v>
      </c>
      <c r="AF450" s="126">
        <f>IFERROR(D450*F450*L450*'Entrada e Saida'!$K$8,0)</f>
        <v>0</v>
      </c>
      <c r="AG450" s="3" t="e">
        <f>((W450+AA450+AB450+AC450+AD450+AE450+AF450)/(1-'Entrada e Saida'!$G$65))*'Entrada e Saida'!$I$66</f>
        <v>#DIV/0!</v>
      </c>
      <c r="AH450" s="8" t="e">
        <f t="shared" si="180"/>
        <v>#DIV/0!</v>
      </c>
      <c r="AI450" s="183" t="e">
        <f>'Entrada e Saida'!$K$51*(IF('Entrada e Saida'!$H$15="PESO",(P450/(SUM(P:P))),(Q450/(SUM(Q:Q)))))</f>
        <v>#DIV/0!</v>
      </c>
      <c r="AJ450" s="7">
        <f>(('Entrada e Saida'!$K$10-'Entrada e Saida'!$K$8)*E450*D450)</f>
        <v>0</v>
      </c>
      <c r="AK450" s="184" t="e">
        <f>IF('Entrada e Saida'!$H$15="PESO",W450+AA450+AH450+AI450+AJ450,W450+AA450+AH450+AI450+AJ450-S450+T450-U450+V450)</f>
        <v>#DIV/0!</v>
      </c>
      <c r="AL450" s="6" t="e">
        <f>IF('Entrada e Saida'!$H$12="REAL",AC450,0)</f>
        <v>#DIV/0!</v>
      </c>
      <c r="AM450" s="6" t="e">
        <f>IF('Entrada e Saida'!$H$12="REAL",AD450,0)</f>
        <v>#DIV/0!</v>
      </c>
      <c r="AN450" s="5" t="e">
        <f>IF('Entrada e Saida'!$H$13= "NÃO",AE450,0)</f>
        <v>#DIV/0!</v>
      </c>
      <c r="AO450" s="5" t="e">
        <f t="shared" si="181"/>
        <v>#DIV/0!</v>
      </c>
      <c r="AP450" s="4" t="e">
        <f t="shared" si="182"/>
        <v>#DIV/0!</v>
      </c>
      <c r="AQ450" s="3" t="e">
        <f>IF('Entrada e Saida'!$H$11="TRADING",AU450*'Custo Resumido'!D450,0)</f>
        <v>#DIV/0!</v>
      </c>
      <c r="AR450" s="3" t="e">
        <f>IF('Entrada e Saida'!$H$11="TRADING",AU450*'Entrada e Saida'!$G$63,0)</f>
        <v>#DIV/0!</v>
      </c>
      <c r="AS450" s="3" t="e">
        <f>IF('Entrada e Saida'!$H$11="TRADING",AU450*'Entrada e Saida'!$G$64,0)</f>
        <v>#DIV/0!</v>
      </c>
      <c r="AT450" s="3" t="e">
        <f>IF('Entrada e Saida'!$H$11="TRADING",AU450*'Entrada e Saida'!$G$65,0)</f>
        <v>#DIV/0!</v>
      </c>
      <c r="AU450" s="4" t="e">
        <f>IF('Entrada e Saida'!$H$11="TRADING",AP450/(1-(SUM('Entrada e Saida'!$G$63:$G$65)+'Custo Resumido'!D450)),0)</f>
        <v>#DIV/0!</v>
      </c>
      <c r="AV450" s="3" t="e">
        <f>IF('Entrada e Saida'!$H$13="NÃO",AU450*M450,0)</f>
        <v>#DIV/0!</v>
      </c>
      <c r="AW450" s="4" t="e">
        <f t="shared" si="183"/>
        <v>#DIV/0!</v>
      </c>
      <c r="AX450" s="3" t="e">
        <f>'Entrada e Saida'!$G$74*AU450</f>
        <v>#DIV/0!</v>
      </c>
      <c r="AY450" s="4" t="e">
        <f t="shared" si="184"/>
        <v>#DIV/0!</v>
      </c>
      <c r="AZ450" s="4" t="e">
        <f>AQ450+('Entrada e Saida'!$G$65-'Entrada e Saida'!$I$65)*AU450-AX450</f>
        <v>#DIV/0!</v>
      </c>
      <c r="BA450" s="3" t="e">
        <f>IF('Entrada e Saida'!$H$12="REAL",AZ450*'Entrada e Saida'!$G$81,AU450*'Entrada e Saida'!$G$81)</f>
        <v>#DIV/0!</v>
      </c>
      <c r="BB450" s="3" t="e">
        <f>IF('Entrada e Saida'!$H$12="REAL",AZ450*'Entrada e Saida'!$G$82,AU450*'Entrada e Saida'!$G$82)</f>
        <v>#DIV/0!</v>
      </c>
      <c r="BC450" s="4" t="e">
        <f t="shared" si="185"/>
        <v>#DIV/0!</v>
      </c>
      <c r="BD450" s="3" t="e">
        <f>IF('Entrada e Saida'!$H$11="TRADING",AW450/D450,AK450/D450)</f>
        <v>#DIV/0!</v>
      </c>
      <c r="BE450" s="3" t="e">
        <f t="shared" si="186"/>
        <v>#DIV/0!</v>
      </c>
      <c r="BF450" s="2" t="e">
        <f t="shared" si="187"/>
        <v>#DIV/0!</v>
      </c>
      <c r="BG450" s="3" t="e">
        <f>IF('Entrada e Saida'!$H$11="TRADING",AV450/D450,AN450/D450)</f>
        <v>#DIV/0!</v>
      </c>
      <c r="BH450" s="3" t="e">
        <f>IF('Entrada e Saida'!$H$11="TRADING",IF('Entrada e Saida'!$H$12="REAL",AR450/D450,0),AL450/D450)</f>
        <v>#DIV/0!</v>
      </c>
      <c r="BI450" s="3" t="e">
        <f>IF('Entrada e Saida'!$H$11="TRADING",IF('Entrada e Saida'!$H$12="REAL",AS450/D450,0),AM450/D450)</f>
        <v>#DIV/0!</v>
      </c>
      <c r="BJ450" s="3" t="e">
        <f>IF('Entrada e Saida'!$H$11="TRADING",AT450/D450,AO450/D450)</f>
        <v>#DIV/0!</v>
      </c>
      <c r="BK450" s="2" t="e">
        <f t="shared" si="188"/>
        <v>#DIV/0!</v>
      </c>
      <c r="BL450" s="2">
        <f>IF(O450&gt;0,IFERROR(IF('Entrada e Saida'!$H$11="DIRETA",0,(IF('Entrada e Saida'!$H$14="P.JURIDICA",(BD450*(1+O450)*N450)-((BD450/(1+M450))*'Entrada e Saida'!$G$65),((Produtos!N450-'Entrada e Saida'!$G$65)*Produtos!BD450)))),0),0)</f>
        <v>0</v>
      </c>
      <c r="BM450" s="2" t="e">
        <f t="shared" si="189"/>
        <v>#DIV/0!</v>
      </c>
    </row>
    <row r="451" spans="1:65" s="1" customFormat="1">
      <c r="A451" s="127"/>
      <c r="B451" s="114">
        <f>IFERROR(VLOOKUP(A451,'Master Modelo'!A:I,7,FALSE),0)</f>
        <v>0</v>
      </c>
      <c r="C451" s="116">
        <f>IFERROR(VLOOKUP(A451,'Master Modelo'!A:I,2,FALSE),0)</f>
        <v>0</v>
      </c>
      <c r="D451" s="146"/>
      <c r="E451" s="115">
        <f>IFERROR(VLOOKUP(A451,'Master Modelo'!A:I,9,FALSE),0)</f>
        <v>0</v>
      </c>
      <c r="F451" s="189">
        <f>IFERROR(VLOOKUP(A451,'Master Modelo'!A:I,8,FALSE),0)</f>
        <v>0</v>
      </c>
      <c r="G451" s="189">
        <f>IFERROR(VLOOKUP(A451,'Master Modelo'!A:K,11,FALSE),0)</f>
        <v>0</v>
      </c>
      <c r="H451" s="114" t="e">
        <f t="shared" si="172"/>
        <v>#DIV/0!</v>
      </c>
      <c r="I451" s="150">
        <f>IFERROR(VLOOKUP(A451,'Master Modelo'!A:I,3,FALSE),0)</f>
        <v>0</v>
      </c>
      <c r="J451" s="151">
        <f>IFERROR(VLOOKUP(A451,'Master Modelo'!A:I,5,FALSE),0)</f>
        <v>0</v>
      </c>
      <c r="K451" s="151">
        <f>IFERROR(VLOOKUP(A451,'Master Modelo'!A:I,6,FALSE),0)</f>
        <v>0</v>
      </c>
      <c r="L451" s="152" t="e">
        <f>VLOOKUP(A451,'Master Modelo'!A:J,10,FALSE)</f>
        <v>#N/A</v>
      </c>
      <c r="M451" s="150">
        <f>IFERROR(VLOOKUP(A451,'Master Modelo'!A:I,4,FALSE),0)</f>
        <v>0</v>
      </c>
      <c r="N451" s="128"/>
      <c r="O451" s="129"/>
      <c r="P451" s="9">
        <f t="shared" si="173"/>
        <v>0</v>
      </c>
      <c r="Q451" s="177">
        <f t="shared" si="190"/>
        <v>0</v>
      </c>
      <c r="R451" s="3">
        <f>D451*E451*'Entrada e Saida'!$K$8</f>
        <v>0</v>
      </c>
      <c r="S451" s="179" t="e">
        <f>'Entrada e Saida'!$H$21*'Entrada e Saida'!$K$8*(P451/(SUM(P:P)))</f>
        <v>#DIV/0!</v>
      </c>
      <c r="T451" s="179" t="e">
        <f>'Entrada e Saida'!$H$21*'Entrada e Saida'!$K$8*(Q451/(SUM(Q:Q)))</f>
        <v>#DIV/0!</v>
      </c>
      <c r="U451" s="179" t="e">
        <f>'Entrada e Saida'!$H$22*(P451/(SUM(P:P)))</f>
        <v>#DIV/0!</v>
      </c>
      <c r="V451" s="179" t="e">
        <f>'Entrada e Saida'!$H$22*(Q451/(SUM(Q:Q)))</f>
        <v>#DIV/0!</v>
      </c>
      <c r="W451" s="8" t="e">
        <f t="shared" si="174"/>
        <v>#DIV/0!</v>
      </c>
      <c r="X451" s="179" t="e">
        <f>'Entrada e Saida'!$H$26*(IF('Entrada e Saida'!$H$15="PESO",(P451/(SUM(P:P))),(Q451/(SUM(Q:Q)))))</f>
        <v>#DIV/0!</v>
      </c>
      <c r="Y451" s="179" t="e">
        <f>'Entrada e Saida'!$H$27*(IF('Entrada e Saida'!$H$15="PESO",(P451/(SUM(P:P))),(Q451/(SUM(Q:Q)))))</f>
        <v>#DIV/0!</v>
      </c>
      <c r="Z451" s="179" t="e">
        <f>'Entrada e Saida'!$H$28*(IF('Entrada e Saida'!$H$15="PESO",(P451/(SUM(P:P))),(Q451/(SUM(Q:Q)))))</f>
        <v>#DIV/0!</v>
      </c>
      <c r="AA451" s="10" t="e">
        <f t="shared" si="175"/>
        <v>#DIV/0!</v>
      </c>
      <c r="AB451" s="3" t="e">
        <f t="shared" si="176"/>
        <v>#DIV/0!</v>
      </c>
      <c r="AC451" s="3" t="e">
        <f t="shared" si="177"/>
        <v>#DIV/0!</v>
      </c>
      <c r="AD451" s="3" t="e">
        <f t="shared" si="178"/>
        <v>#DIV/0!</v>
      </c>
      <c r="AE451" s="9" t="e">
        <f t="shared" si="179"/>
        <v>#DIV/0!</v>
      </c>
      <c r="AF451" s="126">
        <f>IFERROR(D451*F451*L451*'Entrada e Saida'!$K$8,0)</f>
        <v>0</v>
      </c>
      <c r="AG451" s="3" t="e">
        <f>((W451+AA451+AB451+AC451+AD451+AE451+AF451)/(1-'Entrada e Saida'!$G$65))*'Entrada e Saida'!$I$66</f>
        <v>#DIV/0!</v>
      </c>
      <c r="AH451" s="8" t="e">
        <f t="shared" si="180"/>
        <v>#DIV/0!</v>
      </c>
      <c r="AI451" s="183" t="e">
        <f>'Entrada e Saida'!$K$51*(IF('Entrada e Saida'!$H$15="PESO",(P451/(SUM(P:P))),(Q451/(SUM(Q:Q)))))</f>
        <v>#DIV/0!</v>
      </c>
      <c r="AJ451" s="7">
        <f>(('Entrada e Saida'!$K$10-'Entrada e Saida'!$K$8)*E451*D451)</f>
        <v>0</v>
      </c>
      <c r="AK451" s="184" t="e">
        <f>IF('Entrada e Saida'!$H$15="PESO",W451+AA451+AH451+AI451+AJ451,W451+AA451+AH451+AI451+AJ451-S451+T451-U451+V451)</f>
        <v>#DIV/0!</v>
      </c>
      <c r="AL451" s="6" t="e">
        <f>IF('Entrada e Saida'!$H$12="REAL",AC451,0)</f>
        <v>#DIV/0!</v>
      </c>
      <c r="AM451" s="6" t="e">
        <f>IF('Entrada e Saida'!$H$12="REAL",AD451,0)</f>
        <v>#DIV/0!</v>
      </c>
      <c r="AN451" s="5" t="e">
        <f>IF('Entrada e Saida'!$H$13= "NÃO",AE451,0)</f>
        <v>#DIV/0!</v>
      </c>
      <c r="AO451" s="5" t="e">
        <f t="shared" si="181"/>
        <v>#DIV/0!</v>
      </c>
      <c r="AP451" s="4" t="e">
        <f t="shared" si="182"/>
        <v>#DIV/0!</v>
      </c>
      <c r="AQ451" s="3" t="e">
        <f>IF('Entrada e Saida'!$H$11="TRADING",AU451*'Custo Resumido'!D451,0)</f>
        <v>#DIV/0!</v>
      </c>
      <c r="AR451" s="3" t="e">
        <f>IF('Entrada e Saida'!$H$11="TRADING",AU451*'Entrada e Saida'!$G$63,0)</f>
        <v>#DIV/0!</v>
      </c>
      <c r="AS451" s="3" t="e">
        <f>IF('Entrada e Saida'!$H$11="TRADING",AU451*'Entrada e Saida'!$G$64,0)</f>
        <v>#DIV/0!</v>
      </c>
      <c r="AT451" s="3" t="e">
        <f>IF('Entrada e Saida'!$H$11="TRADING",AU451*'Entrada e Saida'!$G$65,0)</f>
        <v>#DIV/0!</v>
      </c>
      <c r="AU451" s="4" t="e">
        <f>IF('Entrada e Saida'!$H$11="TRADING",AP451/(1-(SUM('Entrada e Saida'!$G$63:$G$65)+'Custo Resumido'!D451)),0)</f>
        <v>#DIV/0!</v>
      </c>
      <c r="AV451" s="3" t="e">
        <f>IF('Entrada e Saida'!$H$13="NÃO",AU451*M451,0)</f>
        <v>#DIV/0!</v>
      </c>
      <c r="AW451" s="4" t="e">
        <f t="shared" si="183"/>
        <v>#DIV/0!</v>
      </c>
      <c r="AX451" s="3" t="e">
        <f>'Entrada e Saida'!$G$74*AU451</f>
        <v>#DIV/0!</v>
      </c>
      <c r="AY451" s="4" t="e">
        <f t="shared" si="184"/>
        <v>#DIV/0!</v>
      </c>
      <c r="AZ451" s="4" t="e">
        <f>AQ451+('Entrada e Saida'!$G$65-'Entrada e Saida'!$I$65)*AU451-AX451</f>
        <v>#DIV/0!</v>
      </c>
      <c r="BA451" s="3" t="e">
        <f>IF('Entrada e Saida'!$H$12="REAL",AZ451*'Entrada e Saida'!$G$81,AU451*'Entrada e Saida'!$G$81)</f>
        <v>#DIV/0!</v>
      </c>
      <c r="BB451" s="3" t="e">
        <f>IF('Entrada e Saida'!$H$12="REAL",AZ451*'Entrada e Saida'!$G$82,AU451*'Entrada e Saida'!$G$82)</f>
        <v>#DIV/0!</v>
      </c>
      <c r="BC451" s="4" t="e">
        <f t="shared" si="185"/>
        <v>#DIV/0!</v>
      </c>
      <c r="BD451" s="3" t="e">
        <f>IF('Entrada e Saida'!$H$11="TRADING",AW451/D451,AK451/D451)</f>
        <v>#DIV/0!</v>
      </c>
      <c r="BE451" s="3" t="e">
        <f t="shared" si="186"/>
        <v>#DIV/0!</v>
      </c>
      <c r="BF451" s="2" t="e">
        <f t="shared" si="187"/>
        <v>#DIV/0!</v>
      </c>
      <c r="BG451" s="3" t="e">
        <f>IF('Entrada e Saida'!$H$11="TRADING",AV451/D451,AN451/D451)</f>
        <v>#DIV/0!</v>
      </c>
      <c r="BH451" s="3" t="e">
        <f>IF('Entrada e Saida'!$H$11="TRADING",IF('Entrada e Saida'!$H$12="REAL",AR451/D451,0),AL451/D451)</f>
        <v>#DIV/0!</v>
      </c>
      <c r="BI451" s="3" t="e">
        <f>IF('Entrada e Saida'!$H$11="TRADING",IF('Entrada e Saida'!$H$12="REAL",AS451/D451,0),AM451/D451)</f>
        <v>#DIV/0!</v>
      </c>
      <c r="BJ451" s="3" t="e">
        <f>IF('Entrada e Saida'!$H$11="TRADING",AT451/D451,AO451/D451)</f>
        <v>#DIV/0!</v>
      </c>
      <c r="BK451" s="2" t="e">
        <f t="shared" si="188"/>
        <v>#DIV/0!</v>
      </c>
      <c r="BL451" s="2">
        <f>IF(O451&gt;0,IFERROR(IF('Entrada e Saida'!$H$11="DIRETA",0,(IF('Entrada e Saida'!$H$14="P.JURIDICA",(BD451*(1+O451)*N451)-((BD451/(1+M451))*'Entrada e Saida'!$G$65),((Produtos!N451-'Entrada e Saida'!$G$65)*Produtos!BD451)))),0),0)</f>
        <v>0</v>
      </c>
      <c r="BM451" s="2" t="e">
        <f t="shared" si="189"/>
        <v>#DIV/0!</v>
      </c>
    </row>
    <row r="452" spans="1:65" s="1" customFormat="1">
      <c r="A452" s="127"/>
      <c r="B452" s="114">
        <f>IFERROR(VLOOKUP(A452,'Master Modelo'!A:I,7,FALSE),0)</f>
        <v>0</v>
      </c>
      <c r="C452" s="116">
        <f>IFERROR(VLOOKUP(A452,'Master Modelo'!A:I,2,FALSE),0)</f>
        <v>0</v>
      </c>
      <c r="D452" s="146"/>
      <c r="E452" s="115">
        <f>IFERROR(VLOOKUP(A452,'Master Modelo'!A:I,9,FALSE),0)</f>
        <v>0</v>
      </c>
      <c r="F452" s="189">
        <f>IFERROR(VLOOKUP(A452,'Master Modelo'!A:I,8,FALSE),0)</f>
        <v>0</v>
      </c>
      <c r="G452" s="189">
        <f>IFERROR(VLOOKUP(A452,'Master Modelo'!A:K,11,FALSE),0)</f>
        <v>0</v>
      </c>
      <c r="H452" s="114" t="e">
        <f t="shared" si="172"/>
        <v>#DIV/0!</v>
      </c>
      <c r="I452" s="150">
        <f>IFERROR(VLOOKUP(A452,'Master Modelo'!A:I,3,FALSE),0)</f>
        <v>0</v>
      </c>
      <c r="J452" s="151">
        <f>IFERROR(VLOOKUP(A452,'Master Modelo'!A:I,5,FALSE),0)</f>
        <v>0</v>
      </c>
      <c r="K452" s="151">
        <f>IFERROR(VLOOKUP(A452,'Master Modelo'!A:I,6,FALSE),0)</f>
        <v>0</v>
      </c>
      <c r="L452" s="152" t="e">
        <f>VLOOKUP(A452,'Master Modelo'!A:J,10,FALSE)</f>
        <v>#N/A</v>
      </c>
      <c r="M452" s="150">
        <f>IFERROR(VLOOKUP(A452,'Master Modelo'!A:I,4,FALSE),0)</f>
        <v>0</v>
      </c>
      <c r="N452" s="128"/>
      <c r="O452" s="129"/>
      <c r="P452" s="9">
        <f t="shared" si="173"/>
        <v>0</v>
      </c>
      <c r="Q452" s="177">
        <f t="shared" si="190"/>
        <v>0</v>
      </c>
      <c r="R452" s="3">
        <f>D452*E452*'Entrada e Saida'!$K$8</f>
        <v>0</v>
      </c>
      <c r="S452" s="179" t="e">
        <f>'Entrada e Saida'!$H$21*'Entrada e Saida'!$K$8*(P452/(SUM(P:P)))</f>
        <v>#DIV/0!</v>
      </c>
      <c r="T452" s="179" t="e">
        <f>'Entrada e Saida'!$H$21*'Entrada e Saida'!$K$8*(Q452/(SUM(Q:Q)))</f>
        <v>#DIV/0!</v>
      </c>
      <c r="U452" s="179" t="e">
        <f>'Entrada e Saida'!$H$22*(P452/(SUM(P:P)))</f>
        <v>#DIV/0!</v>
      </c>
      <c r="V452" s="179" t="e">
        <f>'Entrada e Saida'!$H$22*(Q452/(SUM(Q:Q)))</f>
        <v>#DIV/0!</v>
      </c>
      <c r="W452" s="8" t="e">
        <f t="shared" si="174"/>
        <v>#DIV/0!</v>
      </c>
      <c r="X452" s="179" t="e">
        <f>'Entrada e Saida'!$H$26*(IF('Entrada e Saida'!$H$15="PESO",(P452/(SUM(P:P))),(Q452/(SUM(Q:Q)))))</f>
        <v>#DIV/0!</v>
      </c>
      <c r="Y452" s="179" t="e">
        <f>'Entrada e Saida'!$H$27*(IF('Entrada e Saida'!$H$15="PESO",(P452/(SUM(P:P))),(Q452/(SUM(Q:Q)))))</f>
        <v>#DIV/0!</v>
      </c>
      <c r="Z452" s="179" t="e">
        <f>'Entrada e Saida'!$H$28*(IF('Entrada e Saida'!$H$15="PESO",(P452/(SUM(P:P))),(Q452/(SUM(Q:Q)))))</f>
        <v>#DIV/0!</v>
      </c>
      <c r="AA452" s="10" t="e">
        <f t="shared" si="175"/>
        <v>#DIV/0!</v>
      </c>
      <c r="AB452" s="3" t="e">
        <f t="shared" si="176"/>
        <v>#DIV/0!</v>
      </c>
      <c r="AC452" s="3" t="e">
        <f t="shared" si="177"/>
        <v>#DIV/0!</v>
      </c>
      <c r="AD452" s="3" t="e">
        <f t="shared" si="178"/>
        <v>#DIV/0!</v>
      </c>
      <c r="AE452" s="9" t="e">
        <f t="shared" si="179"/>
        <v>#DIV/0!</v>
      </c>
      <c r="AF452" s="126">
        <f>IFERROR(D452*F452*L452*'Entrada e Saida'!$K$8,0)</f>
        <v>0</v>
      </c>
      <c r="AG452" s="3" t="e">
        <f>((W452+AA452+AB452+AC452+AD452+AE452+AF452)/(1-'Entrada e Saida'!$G$65))*'Entrada e Saida'!$I$66</f>
        <v>#DIV/0!</v>
      </c>
      <c r="AH452" s="8" t="e">
        <f t="shared" si="180"/>
        <v>#DIV/0!</v>
      </c>
      <c r="AI452" s="183" t="e">
        <f>'Entrada e Saida'!$K$51*(IF('Entrada e Saida'!$H$15="PESO",(P452/(SUM(P:P))),(Q452/(SUM(Q:Q)))))</f>
        <v>#DIV/0!</v>
      </c>
      <c r="AJ452" s="7">
        <f>(('Entrada e Saida'!$K$10-'Entrada e Saida'!$K$8)*E452*D452)</f>
        <v>0</v>
      </c>
      <c r="AK452" s="184" t="e">
        <f>IF('Entrada e Saida'!$H$15="PESO",W452+AA452+AH452+AI452+AJ452,W452+AA452+AH452+AI452+AJ452-S452+T452-U452+V452)</f>
        <v>#DIV/0!</v>
      </c>
      <c r="AL452" s="6" t="e">
        <f>IF('Entrada e Saida'!$H$12="REAL",AC452,0)</f>
        <v>#DIV/0!</v>
      </c>
      <c r="AM452" s="6" t="e">
        <f>IF('Entrada e Saida'!$H$12="REAL",AD452,0)</f>
        <v>#DIV/0!</v>
      </c>
      <c r="AN452" s="5" t="e">
        <f>IF('Entrada e Saida'!$H$13= "NÃO",AE452,0)</f>
        <v>#DIV/0!</v>
      </c>
      <c r="AO452" s="5" t="e">
        <f t="shared" si="181"/>
        <v>#DIV/0!</v>
      </c>
      <c r="AP452" s="4" t="e">
        <f t="shared" si="182"/>
        <v>#DIV/0!</v>
      </c>
      <c r="AQ452" s="3" t="e">
        <f>IF('Entrada e Saida'!$H$11="TRADING",AU452*'Custo Resumido'!D452,0)</f>
        <v>#DIV/0!</v>
      </c>
      <c r="AR452" s="3" t="e">
        <f>IF('Entrada e Saida'!$H$11="TRADING",AU452*'Entrada e Saida'!$G$63,0)</f>
        <v>#DIV/0!</v>
      </c>
      <c r="AS452" s="3" t="e">
        <f>IF('Entrada e Saida'!$H$11="TRADING",AU452*'Entrada e Saida'!$G$64,0)</f>
        <v>#DIV/0!</v>
      </c>
      <c r="AT452" s="3" t="e">
        <f>IF('Entrada e Saida'!$H$11="TRADING",AU452*'Entrada e Saida'!$G$65,0)</f>
        <v>#DIV/0!</v>
      </c>
      <c r="AU452" s="4" t="e">
        <f>IF('Entrada e Saida'!$H$11="TRADING",AP452/(1-(SUM('Entrada e Saida'!$G$63:$G$65)+'Custo Resumido'!D452)),0)</f>
        <v>#DIV/0!</v>
      </c>
      <c r="AV452" s="3" t="e">
        <f>IF('Entrada e Saida'!$H$13="NÃO",AU452*M452,0)</f>
        <v>#DIV/0!</v>
      </c>
      <c r="AW452" s="4" t="e">
        <f t="shared" si="183"/>
        <v>#DIV/0!</v>
      </c>
      <c r="AX452" s="3" t="e">
        <f>'Entrada e Saida'!$G$74*AU452</f>
        <v>#DIV/0!</v>
      </c>
      <c r="AY452" s="4" t="e">
        <f t="shared" si="184"/>
        <v>#DIV/0!</v>
      </c>
      <c r="AZ452" s="4" t="e">
        <f>AQ452+('Entrada e Saida'!$G$65-'Entrada e Saida'!$I$65)*AU452-AX452</f>
        <v>#DIV/0!</v>
      </c>
      <c r="BA452" s="3" t="e">
        <f>IF('Entrada e Saida'!$H$12="REAL",AZ452*'Entrada e Saida'!$G$81,AU452*'Entrada e Saida'!$G$81)</f>
        <v>#DIV/0!</v>
      </c>
      <c r="BB452" s="3" t="e">
        <f>IF('Entrada e Saida'!$H$12="REAL",AZ452*'Entrada e Saida'!$G$82,AU452*'Entrada e Saida'!$G$82)</f>
        <v>#DIV/0!</v>
      </c>
      <c r="BC452" s="4" t="e">
        <f t="shared" si="185"/>
        <v>#DIV/0!</v>
      </c>
      <c r="BD452" s="3" t="e">
        <f>IF('Entrada e Saida'!$H$11="TRADING",AW452/D452,AK452/D452)</f>
        <v>#DIV/0!</v>
      </c>
      <c r="BE452" s="3" t="e">
        <f t="shared" si="186"/>
        <v>#DIV/0!</v>
      </c>
      <c r="BF452" s="2" t="e">
        <f t="shared" si="187"/>
        <v>#DIV/0!</v>
      </c>
      <c r="BG452" s="3" t="e">
        <f>IF('Entrada e Saida'!$H$11="TRADING",AV452/D452,AN452/D452)</f>
        <v>#DIV/0!</v>
      </c>
      <c r="BH452" s="3" t="e">
        <f>IF('Entrada e Saida'!$H$11="TRADING",IF('Entrada e Saida'!$H$12="REAL",AR452/D452,0),AL452/D452)</f>
        <v>#DIV/0!</v>
      </c>
      <c r="BI452" s="3" t="e">
        <f>IF('Entrada e Saida'!$H$11="TRADING",IF('Entrada e Saida'!$H$12="REAL",AS452/D452,0),AM452/D452)</f>
        <v>#DIV/0!</v>
      </c>
      <c r="BJ452" s="3" t="e">
        <f>IF('Entrada e Saida'!$H$11="TRADING",AT452/D452,AO452/D452)</f>
        <v>#DIV/0!</v>
      </c>
      <c r="BK452" s="2" t="e">
        <f t="shared" si="188"/>
        <v>#DIV/0!</v>
      </c>
      <c r="BL452" s="2">
        <f>IF(O452&gt;0,IFERROR(IF('Entrada e Saida'!$H$11="DIRETA",0,(IF('Entrada e Saida'!$H$14="P.JURIDICA",(BD452*(1+O452)*N452)-((BD452/(1+M452))*'Entrada e Saida'!$G$65),((Produtos!N452-'Entrada e Saida'!$G$65)*Produtos!BD452)))),0),0)</f>
        <v>0</v>
      </c>
      <c r="BM452" s="2" t="e">
        <f t="shared" si="189"/>
        <v>#DIV/0!</v>
      </c>
    </row>
    <row r="453" spans="1:65" s="1" customFormat="1">
      <c r="A453" s="127"/>
      <c r="B453" s="114">
        <f>IFERROR(VLOOKUP(A453,'Master Modelo'!A:I,7,FALSE),0)</f>
        <v>0</v>
      </c>
      <c r="C453" s="116">
        <f>IFERROR(VLOOKUP(A453,'Master Modelo'!A:I,2,FALSE),0)</f>
        <v>0</v>
      </c>
      <c r="D453" s="146"/>
      <c r="E453" s="115">
        <f>IFERROR(VLOOKUP(A453,'Master Modelo'!A:I,9,FALSE),0)</f>
        <v>0</v>
      </c>
      <c r="F453" s="189">
        <f>IFERROR(VLOOKUP(A453,'Master Modelo'!A:I,8,FALSE),0)</f>
        <v>0</v>
      </c>
      <c r="G453" s="189">
        <f>IFERROR(VLOOKUP(A453,'Master Modelo'!A:K,11,FALSE),0)</f>
        <v>0</v>
      </c>
      <c r="H453" s="114" t="e">
        <f t="shared" si="172"/>
        <v>#DIV/0!</v>
      </c>
      <c r="I453" s="150">
        <f>IFERROR(VLOOKUP(A453,'Master Modelo'!A:I,3,FALSE),0)</f>
        <v>0</v>
      </c>
      <c r="J453" s="151">
        <f>IFERROR(VLOOKUP(A453,'Master Modelo'!A:I,5,FALSE),0)</f>
        <v>0</v>
      </c>
      <c r="K453" s="151">
        <f>IFERROR(VLOOKUP(A453,'Master Modelo'!A:I,6,FALSE),0)</f>
        <v>0</v>
      </c>
      <c r="L453" s="152" t="e">
        <f>VLOOKUP(A453,'Master Modelo'!A:J,10,FALSE)</f>
        <v>#N/A</v>
      </c>
      <c r="M453" s="150">
        <f>IFERROR(VLOOKUP(A453,'Master Modelo'!A:I,4,FALSE),0)</f>
        <v>0</v>
      </c>
      <c r="N453" s="128"/>
      <c r="O453" s="129"/>
      <c r="P453" s="9">
        <f t="shared" si="173"/>
        <v>0</v>
      </c>
      <c r="Q453" s="177">
        <f t="shared" si="190"/>
        <v>0</v>
      </c>
      <c r="R453" s="3">
        <f>D453*E453*'Entrada e Saida'!$K$8</f>
        <v>0</v>
      </c>
      <c r="S453" s="179" t="e">
        <f>'Entrada e Saida'!$H$21*'Entrada e Saida'!$K$8*(P453/(SUM(P:P)))</f>
        <v>#DIV/0!</v>
      </c>
      <c r="T453" s="179" t="e">
        <f>'Entrada e Saida'!$H$21*'Entrada e Saida'!$K$8*(Q453/(SUM(Q:Q)))</f>
        <v>#DIV/0!</v>
      </c>
      <c r="U453" s="179" t="e">
        <f>'Entrada e Saida'!$H$22*(P453/(SUM(P:P)))</f>
        <v>#DIV/0!</v>
      </c>
      <c r="V453" s="179" t="e">
        <f>'Entrada e Saida'!$H$22*(Q453/(SUM(Q:Q)))</f>
        <v>#DIV/0!</v>
      </c>
      <c r="W453" s="8" t="e">
        <f t="shared" si="174"/>
        <v>#DIV/0!</v>
      </c>
      <c r="X453" s="179" t="e">
        <f>'Entrada e Saida'!$H$26*(IF('Entrada e Saida'!$H$15="PESO",(P453/(SUM(P:P))),(Q453/(SUM(Q:Q)))))</f>
        <v>#DIV/0!</v>
      </c>
      <c r="Y453" s="179" t="e">
        <f>'Entrada e Saida'!$H$27*(IF('Entrada e Saida'!$H$15="PESO",(P453/(SUM(P:P))),(Q453/(SUM(Q:Q)))))</f>
        <v>#DIV/0!</v>
      </c>
      <c r="Z453" s="179" t="e">
        <f>'Entrada e Saida'!$H$28*(IF('Entrada e Saida'!$H$15="PESO",(P453/(SUM(P:P))),(Q453/(SUM(Q:Q)))))</f>
        <v>#DIV/0!</v>
      </c>
      <c r="AA453" s="10" t="e">
        <f t="shared" si="175"/>
        <v>#DIV/0!</v>
      </c>
      <c r="AB453" s="3" t="e">
        <f t="shared" si="176"/>
        <v>#DIV/0!</v>
      </c>
      <c r="AC453" s="3" t="e">
        <f t="shared" si="177"/>
        <v>#DIV/0!</v>
      </c>
      <c r="AD453" s="3" t="e">
        <f t="shared" si="178"/>
        <v>#DIV/0!</v>
      </c>
      <c r="AE453" s="9" t="e">
        <f t="shared" si="179"/>
        <v>#DIV/0!</v>
      </c>
      <c r="AF453" s="126">
        <f>IFERROR(D453*F453*L453*'Entrada e Saida'!$K$8,0)</f>
        <v>0</v>
      </c>
      <c r="AG453" s="3" t="e">
        <f>((W453+AA453+AB453+AC453+AD453+AE453+AF453)/(1-'Entrada e Saida'!$G$65))*'Entrada e Saida'!$I$66</f>
        <v>#DIV/0!</v>
      </c>
      <c r="AH453" s="8" t="e">
        <f t="shared" si="180"/>
        <v>#DIV/0!</v>
      </c>
      <c r="AI453" s="183" t="e">
        <f>'Entrada e Saida'!$K$51*(IF('Entrada e Saida'!$H$15="PESO",(P453/(SUM(P:P))),(Q453/(SUM(Q:Q)))))</f>
        <v>#DIV/0!</v>
      </c>
      <c r="AJ453" s="7">
        <f>(('Entrada e Saida'!$K$10-'Entrada e Saida'!$K$8)*E453*D453)</f>
        <v>0</v>
      </c>
      <c r="AK453" s="184" t="e">
        <f>IF('Entrada e Saida'!$H$15="PESO",W453+AA453+AH453+AI453+AJ453,W453+AA453+AH453+AI453+AJ453-S453+T453-U453+V453)</f>
        <v>#DIV/0!</v>
      </c>
      <c r="AL453" s="6" t="e">
        <f>IF('Entrada e Saida'!$H$12="REAL",AC453,0)</f>
        <v>#DIV/0!</v>
      </c>
      <c r="AM453" s="6" t="e">
        <f>IF('Entrada e Saida'!$H$12="REAL",AD453,0)</f>
        <v>#DIV/0!</v>
      </c>
      <c r="AN453" s="5" t="e">
        <f>IF('Entrada e Saida'!$H$13= "NÃO",AE453,0)</f>
        <v>#DIV/0!</v>
      </c>
      <c r="AO453" s="5" t="e">
        <f t="shared" si="181"/>
        <v>#DIV/0!</v>
      </c>
      <c r="AP453" s="4" t="e">
        <f t="shared" si="182"/>
        <v>#DIV/0!</v>
      </c>
      <c r="AQ453" s="3" t="e">
        <f>IF('Entrada e Saida'!$H$11="TRADING",AU453*'Custo Resumido'!D453,0)</f>
        <v>#DIV/0!</v>
      </c>
      <c r="AR453" s="3" t="e">
        <f>IF('Entrada e Saida'!$H$11="TRADING",AU453*'Entrada e Saida'!$G$63,0)</f>
        <v>#DIV/0!</v>
      </c>
      <c r="AS453" s="3" t="e">
        <f>IF('Entrada e Saida'!$H$11="TRADING",AU453*'Entrada e Saida'!$G$64,0)</f>
        <v>#DIV/0!</v>
      </c>
      <c r="AT453" s="3" t="e">
        <f>IF('Entrada e Saida'!$H$11="TRADING",AU453*'Entrada e Saida'!$G$65,0)</f>
        <v>#DIV/0!</v>
      </c>
      <c r="AU453" s="4" t="e">
        <f>IF('Entrada e Saida'!$H$11="TRADING",AP453/(1-(SUM('Entrada e Saida'!$G$63:$G$65)+'Custo Resumido'!D453)),0)</f>
        <v>#DIV/0!</v>
      </c>
      <c r="AV453" s="3" t="e">
        <f>IF('Entrada e Saida'!$H$13="NÃO",AU453*M453,0)</f>
        <v>#DIV/0!</v>
      </c>
      <c r="AW453" s="4" t="e">
        <f t="shared" si="183"/>
        <v>#DIV/0!</v>
      </c>
      <c r="AX453" s="3" t="e">
        <f>'Entrada e Saida'!$G$74*AU453</f>
        <v>#DIV/0!</v>
      </c>
      <c r="AY453" s="4" t="e">
        <f t="shared" si="184"/>
        <v>#DIV/0!</v>
      </c>
      <c r="AZ453" s="4" t="e">
        <f>AQ453+('Entrada e Saida'!$G$65-'Entrada e Saida'!$I$65)*AU453-AX453</f>
        <v>#DIV/0!</v>
      </c>
      <c r="BA453" s="3" t="e">
        <f>IF('Entrada e Saida'!$H$12="REAL",AZ453*'Entrada e Saida'!$G$81,AU453*'Entrada e Saida'!$G$81)</f>
        <v>#DIV/0!</v>
      </c>
      <c r="BB453" s="3" t="e">
        <f>IF('Entrada e Saida'!$H$12="REAL",AZ453*'Entrada e Saida'!$G$82,AU453*'Entrada e Saida'!$G$82)</f>
        <v>#DIV/0!</v>
      </c>
      <c r="BC453" s="4" t="e">
        <f t="shared" si="185"/>
        <v>#DIV/0!</v>
      </c>
      <c r="BD453" s="3" t="e">
        <f>IF('Entrada e Saida'!$H$11="TRADING",AW453/D453,AK453/D453)</f>
        <v>#DIV/0!</v>
      </c>
      <c r="BE453" s="3" t="e">
        <f t="shared" si="186"/>
        <v>#DIV/0!</v>
      </c>
      <c r="BF453" s="2" t="e">
        <f t="shared" si="187"/>
        <v>#DIV/0!</v>
      </c>
      <c r="BG453" s="3" t="e">
        <f>IF('Entrada e Saida'!$H$11="TRADING",AV453/D453,AN453/D453)</f>
        <v>#DIV/0!</v>
      </c>
      <c r="BH453" s="3" t="e">
        <f>IF('Entrada e Saida'!$H$11="TRADING",IF('Entrada e Saida'!$H$12="REAL",AR453/D453,0),AL453/D453)</f>
        <v>#DIV/0!</v>
      </c>
      <c r="BI453" s="3" t="e">
        <f>IF('Entrada e Saida'!$H$11="TRADING",IF('Entrada e Saida'!$H$12="REAL",AS453/D453,0),AM453/D453)</f>
        <v>#DIV/0!</v>
      </c>
      <c r="BJ453" s="3" t="e">
        <f>IF('Entrada e Saida'!$H$11="TRADING",AT453/D453,AO453/D453)</f>
        <v>#DIV/0!</v>
      </c>
      <c r="BK453" s="2" t="e">
        <f t="shared" si="188"/>
        <v>#DIV/0!</v>
      </c>
      <c r="BL453" s="2">
        <f>IF(O453&gt;0,IFERROR(IF('Entrada e Saida'!$H$11="DIRETA",0,(IF('Entrada e Saida'!$H$14="P.JURIDICA",(BD453*(1+O453)*N453)-((BD453/(1+M453))*'Entrada e Saida'!$G$65),((Produtos!N453-'Entrada e Saida'!$G$65)*Produtos!BD453)))),0),0)</f>
        <v>0</v>
      </c>
      <c r="BM453" s="2" t="e">
        <f t="shared" si="189"/>
        <v>#DIV/0!</v>
      </c>
    </row>
    <row r="454" spans="1:65" s="1" customFormat="1">
      <c r="A454" s="127"/>
      <c r="B454" s="114">
        <f>IFERROR(VLOOKUP(A454,'Master Modelo'!A:I,7,FALSE),0)</f>
        <v>0</v>
      </c>
      <c r="C454" s="116">
        <f>IFERROR(VLOOKUP(A454,'Master Modelo'!A:I,2,FALSE),0)</f>
        <v>0</v>
      </c>
      <c r="D454" s="146"/>
      <c r="E454" s="115">
        <f>IFERROR(VLOOKUP(A454,'Master Modelo'!A:I,9,FALSE),0)</f>
        <v>0</v>
      </c>
      <c r="F454" s="189">
        <f>IFERROR(VLOOKUP(A454,'Master Modelo'!A:I,8,FALSE),0)</f>
        <v>0</v>
      </c>
      <c r="G454" s="189">
        <f>IFERROR(VLOOKUP(A454,'Master Modelo'!A:K,11,FALSE),0)</f>
        <v>0</v>
      </c>
      <c r="H454" s="114" t="e">
        <f t="shared" si="172"/>
        <v>#DIV/0!</v>
      </c>
      <c r="I454" s="150">
        <f>IFERROR(VLOOKUP(A454,'Master Modelo'!A:I,3,FALSE),0)</f>
        <v>0</v>
      </c>
      <c r="J454" s="151">
        <f>IFERROR(VLOOKUP(A454,'Master Modelo'!A:I,5,FALSE),0)</f>
        <v>0</v>
      </c>
      <c r="K454" s="151">
        <f>IFERROR(VLOOKUP(A454,'Master Modelo'!A:I,6,FALSE),0)</f>
        <v>0</v>
      </c>
      <c r="L454" s="152" t="e">
        <f>VLOOKUP(A454,'Master Modelo'!A:J,10,FALSE)</f>
        <v>#N/A</v>
      </c>
      <c r="M454" s="150">
        <f>IFERROR(VLOOKUP(A454,'Master Modelo'!A:I,4,FALSE),0)</f>
        <v>0</v>
      </c>
      <c r="N454" s="128"/>
      <c r="O454" s="129"/>
      <c r="P454" s="9">
        <f t="shared" si="173"/>
        <v>0</v>
      </c>
      <c r="Q454" s="177">
        <f t="shared" si="190"/>
        <v>0</v>
      </c>
      <c r="R454" s="3">
        <f>D454*E454*'Entrada e Saida'!$K$8</f>
        <v>0</v>
      </c>
      <c r="S454" s="179" t="e">
        <f>'Entrada e Saida'!$H$21*'Entrada e Saida'!$K$8*(P454/(SUM(P:P)))</f>
        <v>#DIV/0!</v>
      </c>
      <c r="T454" s="179" t="e">
        <f>'Entrada e Saida'!$H$21*'Entrada e Saida'!$K$8*(Q454/(SUM(Q:Q)))</f>
        <v>#DIV/0!</v>
      </c>
      <c r="U454" s="179" t="e">
        <f>'Entrada e Saida'!$H$22*(P454/(SUM(P:P)))</f>
        <v>#DIV/0!</v>
      </c>
      <c r="V454" s="179" t="e">
        <f>'Entrada e Saida'!$H$22*(Q454/(SUM(Q:Q)))</f>
        <v>#DIV/0!</v>
      </c>
      <c r="W454" s="8" t="e">
        <f t="shared" si="174"/>
        <v>#DIV/0!</v>
      </c>
      <c r="X454" s="179" t="e">
        <f>'Entrada e Saida'!$H$26*(IF('Entrada e Saida'!$H$15="PESO",(P454/(SUM(P:P))),(Q454/(SUM(Q:Q)))))</f>
        <v>#DIV/0!</v>
      </c>
      <c r="Y454" s="179" t="e">
        <f>'Entrada e Saida'!$H$27*(IF('Entrada e Saida'!$H$15="PESO",(P454/(SUM(P:P))),(Q454/(SUM(Q:Q)))))</f>
        <v>#DIV/0!</v>
      </c>
      <c r="Z454" s="179" t="e">
        <f>'Entrada e Saida'!$H$28*(IF('Entrada e Saida'!$H$15="PESO",(P454/(SUM(P:P))),(Q454/(SUM(Q:Q)))))</f>
        <v>#DIV/0!</v>
      </c>
      <c r="AA454" s="10" t="e">
        <f t="shared" si="175"/>
        <v>#DIV/0!</v>
      </c>
      <c r="AB454" s="3" t="e">
        <f t="shared" si="176"/>
        <v>#DIV/0!</v>
      </c>
      <c r="AC454" s="3" t="e">
        <f t="shared" si="177"/>
        <v>#DIV/0!</v>
      </c>
      <c r="AD454" s="3" t="e">
        <f t="shared" si="178"/>
        <v>#DIV/0!</v>
      </c>
      <c r="AE454" s="9" t="e">
        <f t="shared" si="179"/>
        <v>#DIV/0!</v>
      </c>
      <c r="AF454" s="126">
        <f>IFERROR(D454*F454*L454*'Entrada e Saida'!$K$8,0)</f>
        <v>0</v>
      </c>
      <c r="AG454" s="3" t="e">
        <f>((W454+AA454+AB454+AC454+AD454+AE454+AF454)/(1-'Entrada e Saida'!$G$65))*'Entrada e Saida'!$I$66</f>
        <v>#DIV/0!</v>
      </c>
      <c r="AH454" s="8" t="e">
        <f t="shared" si="180"/>
        <v>#DIV/0!</v>
      </c>
      <c r="AI454" s="183" t="e">
        <f>'Entrada e Saida'!$K$51*(IF('Entrada e Saida'!$H$15="PESO",(P454/(SUM(P:P))),(Q454/(SUM(Q:Q)))))</f>
        <v>#DIV/0!</v>
      </c>
      <c r="AJ454" s="7">
        <f>(('Entrada e Saida'!$K$10-'Entrada e Saida'!$K$8)*E454*D454)</f>
        <v>0</v>
      </c>
      <c r="AK454" s="184" t="e">
        <f>IF('Entrada e Saida'!$H$15="PESO",W454+AA454+AH454+AI454+AJ454,W454+AA454+AH454+AI454+AJ454-S454+T454-U454+V454)</f>
        <v>#DIV/0!</v>
      </c>
      <c r="AL454" s="6" t="e">
        <f>IF('Entrada e Saida'!$H$12="REAL",AC454,0)</f>
        <v>#DIV/0!</v>
      </c>
      <c r="AM454" s="6" t="e">
        <f>IF('Entrada e Saida'!$H$12="REAL",AD454,0)</f>
        <v>#DIV/0!</v>
      </c>
      <c r="AN454" s="5" t="e">
        <f>IF('Entrada e Saida'!$H$13= "NÃO",AE454,0)</f>
        <v>#DIV/0!</v>
      </c>
      <c r="AO454" s="5" t="e">
        <f t="shared" si="181"/>
        <v>#DIV/0!</v>
      </c>
      <c r="AP454" s="4" t="e">
        <f t="shared" si="182"/>
        <v>#DIV/0!</v>
      </c>
      <c r="AQ454" s="3" t="e">
        <f>IF('Entrada e Saida'!$H$11="TRADING",AU454*'Custo Resumido'!D454,0)</f>
        <v>#DIV/0!</v>
      </c>
      <c r="AR454" s="3" t="e">
        <f>IF('Entrada e Saida'!$H$11="TRADING",AU454*'Entrada e Saida'!$G$63,0)</f>
        <v>#DIV/0!</v>
      </c>
      <c r="AS454" s="3" t="e">
        <f>IF('Entrada e Saida'!$H$11="TRADING",AU454*'Entrada e Saida'!$G$64,0)</f>
        <v>#DIV/0!</v>
      </c>
      <c r="AT454" s="3" t="e">
        <f>IF('Entrada e Saida'!$H$11="TRADING",AU454*'Entrada e Saida'!$G$65,0)</f>
        <v>#DIV/0!</v>
      </c>
      <c r="AU454" s="4" t="e">
        <f>IF('Entrada e Saida'!$H$11="TRADING",AP454/(1-(SUM('Entrada e Saida'!$G$63:$G$65)+'Custo Resumido'!D454)),0)</f>
        <v>#DIV/0!</v>
      </c>
      <c r="AV454" s="3" t="e">
        <f>IF('Entrada e Saida'!$H$13="NÃO",AU454*M454,0)</f>
        <v>#DIV/0!</v>
      </c>
      <c r="AW454" s="4" t="e">
        <f t="shared" si="183"/>
        <v>#DIV/0!</v>
      </c>
      <c r="AX454" s="3" t="e">
        <f>'Entrada e Saida'!$G$74*AU454</f>
        <v>#DIV/0!</v>
      </c>
      <c r="AY454" s="4" t="e">
        <f t="shared" si="184"/>
        <v>#DIV/0!</v>
      </c>
      <c r="AZ454" s="4" t="e">
        <f>AQ454+('Entrada e Saida'!$G$65-'Entrada e Saida'!$I$65)*AU454-AX454</f>
        <v>#DIV/0!</v>
      </c>
      <c r="BA454" s="3" t="e">
        <f>IF('Entrada e Saida'!$H$12="REAL",AZ454*'Entrada e Saida'!$G$81,AU454*'Entrada e Saida'!$G$81)</f>
        <v>#DIV/0!</v>
      </c>
      <c r="BB454" s="3" t="e">
        <f>IF('Entrada e Saida'!$H$12="REAL",AZ454*'Entrada e Saida'!$G$82,AU454*'Entrada e Saida'!$G$82)</f>
        <v>#DIV/0!</v>
      </c>
      <c r="BC454" s="4" t="e">
        <f t="shared" si="185"/>
        <v>#DIV/0!</v>
      </c>
      <c r="BD454" s="3" t="e">
        <f>IF('Entrada e Saida'!$H$11="TRADING",AW454/D454,AK454/D454)</f>
        <v>#DIV/0!</v>
      </c>
      <c r="BE454" s="3" t="e">
        <f t="shared" si="186"/>
        <v>#DIV/0!</v>
      </c>
      <c r="BF454" s="2" t="e">
        <f t="shared" si="187"/>
        <v>#DIV/0!</v>
      </c>
      <c r="BG454" s="3" t="e">
        <f>IF('Entrada e Saida'!$H$11="TRADING",AV454/D454,AN454/D454)</f>
        <v>#DIV/0!</v>
      </c>
      <c r="BH454" s="3" t="e">
        <f>IF('Entrada e Saida'!$H$11="TRADING",IF('Entrada e Saida'!$H$12="REAL",AR454/D454,0),AL454/D454)</f>
        <v>#DIV/0!</v>
      </c>
      <c r="BI454" s="3" t="e">
        <f>IF('Entrada e Saida'!$H$11="TRADING",IF('Entrada e Saida'!$H$12="REAL",AS454/D454,0),AM454/D454)</f>
        <v>#DIV/0!</v>
      </c>
      <c r="BJ454" s="3" t="e">
        <f>IF('Entrada e Saida'!$H$11="TRADING",AT454/D454,AO454/D454)</f>
        <v>#DIV/0!</v>
      </c>
      <c r="BK454" s="2" t="e">
        <f t="shared" si="188"/>
        <v>#DIV/0!</v>
      </c>
      <c r="BL454" s="2">
        <f>IF(O454&gt;0,IFERROR(IF('Entrada e Saida'!$H$11="DIRETA",0,(IF('Entrada e Saida'!$H$14="P.JURIDICA",(BD454*(1+O454)*N454)-((BD454/(1+M454))*'Entrada e Saida'!$G$65),((Produtos!N454-'Entrada e Saida'!$G$65)*Produtos!BD454)))),0),0)</f>
        <v>0</v>
      </c>
      <c r="BM454" s="2" t="e">
        <f t="shared" si="189"/>
        <v>#DIV/0!</v>
      </c>
    </row>
    <row r="455" spans="1:65" s="1" customFormat="1">
      <c r="A455" s="127"/>
      <c r="B455" s="114">
        <f>IFERROR(VLOOKUP(A455,'Master Modelo'!A:I,7,FALSE),0)</f>
        <v>0</v>
      </c>
      <c r="C455" s="116">
        <f>IFERROR(VLOOKUP(A455,'Master Modelo'!A:I,2,FALSE),0)</f>
        <v>0</v>
      </c>
      <c r="D455" s="146"/>
      <c r="E455" s="115">
        <f>IFERROR(VLOOKUP(A455,'Master Modelo'!A:I,9,FALSE),0)</f>
        <v>0</v>
      </c>
      <c r="F455" s="189">
        <f>IFERROR(VLOOKUP(A455,'Master Modelo'!A:I,8,FALSE),0)</f>
        <v>0</v>
      </c>
      <c r="G455" s="189">
        <f>IFERROR(VLOOKUP(A455,'Master Modelo'!A:K,11,FALSE),0)</f>
        <v>0</v>
      </c>
      <c r="H455" s="114" t="e">
        <f t="shared" si="172"/>
        <v>#DIV/0!</v>
      </c>
      <c r="I455" s="150">
        <f>IFERROR(VLOOKUP(A455,'Master Modelo'!A:I,3,FALSE),0)</f>
        <v>0</v>
      </c>
      <c r="J455" s="151">
        <f>IFERROR(VLOOKUP(A455,'Master Modelo'!A:I,5,FALSE),0)</f>
        <v>0</v>
      </c>
      <c r="K455" s="151">
        <f>IFERROR(VLOOKUP(A455,'Master Modelo'!A:I,6,FALSE),0)</f>
        <v>0</v>
      </c>
      <c r="L455" s="152" t="e">
        <f>VLOOKUP(A455,'Master Modelo'!A:J,10,FALSE)</f>
        <v>#N/A</v>
      </c>
      <c r="M455" s="150">
        <f>IFERROR(VLOOKUP(A455,'Master Modelo'!A:I,4,FALSE),0)</f>
        <v>0</v>
      </c>
      <c r="N455" s="128"/>
      <c r="O455" s="129"/>
      <c r="P455" s="9">
        <f t="shared" si="173"/>
        <v>0</v>
      </c>
      <c r="Q455" s="177">
        <f t="shared" si="190"/>
        <v>0</v>
      </c>
      <c r="R455" s="3">
        <f>D455*E455*'Entrada e Saida'!$K$8</f>
        <v>0</v>
      </c>
      <c r="S455" s="179" t="e">
        <f>'Entrada e Saida'!$H$21*'Entrada e Saida'!$K$8*(P455/(SUM(P:P)))</f>
        <v>#DIV/0!</v>
      </c>
      <c r="T455" s="179" t="e">
        <f>'Entrada e Saida'!$H$21*'Entrada e Saida'!$K$8*(Q455/(SUM(Q:Q)))</f>
        <v>#DIV/0!</v>
      </c>
      <c r="U455" s="179" t="e">
        <f>'Entrada e Saida'!$H$22*(P455/(SUM(P:P)))</f>
        <v>#DIV/0!</v>
      </c>
      <c r="V455" s="179" t="e">
        <f>'Entrada e Saida'!$H$22*(Q455/(SUM(Q:Q)))</f>
        <v>#DIV/0!</v>
      </c>
      <c r="W455" s="8" t="e">
        <f t="shared" si="174"/>
        <v>#DIV/0!</v>
      </c>
      <c r="X455" s="179" t="e">
        <f>'Entrada e Saida'!$H$26*(IF('Entrada e Saida'!$H$15="PESO",(P455/(SUM(P:P))),(Q455/(SUM(Q:Q)))))</f>
        <v>#DIV/0!</v>
      </c>
      <c r="Y455" s="179" t="e">
        <f>'Entrada e Saida'!$H$27*(IF('Entrada e Saida'!$H$15="PESO",(P455/(SUM(P:P))),(Q455/(SUM(Q:Q)))))</f>
        <v>#DIV/0!</v>
      </c>
      <c r="Z455" s="179" t="e">
        <f>'Entrada e Saida'!$H$28*(IF('Entrada e Saida'!$H$15="PESO",(P455/(SUM(P:P))),(Q455/(SUM(Q:Q)))))</f>
        <v>#DIV/0!</v>
      </c>
      <c r="AA455" s="10" t="e">
        <f t="shared" si="175"/>
        <v>#DIV/0!</v>
      </c>
      <c r="AB455" s="3" t="e">
        <f t="shared" si="176"/>
        <v>#DIV/0!</v>
      </c>
      <c r="AC455" s="3" t="e">
        <f t="shared" si="177"/>
        <v>#DIV/0!</v>
      </c>
      <c r="AD455" s="3" t="e">
        <f t="shared" si="178"/>
        <v>#DIV/0!</v>
      </c>
      <c r="AE455" s="9" t="e">
        <f t="shared" si="179"/>
        <v>#DIV/0!</v>
      </c>
      <c r="AF455" s="126">
        <f>IFERROR(D455*F455*L455*'Entrada e Saida'!$K$8,0)</f>
        <v>0</v>
      </c>
      <c r="AG455" s="3" t="e">
        <f>((W455+AA455+AB455+AC455+AD455+AE455+AF455)/(1-'Entrada e Saida'!$G$65))*'Entrada e Saida'!$I$66</f>
        <v>#DIV/0!</v>
      </c>
      <c r="AH455" s="8" t="e">
        <f t="shared" si="180"/>
        <v>#DIV/0!</v>
      </c>
      <c r="AI455" s="183" t="e">
        <f>'Entrada e Saida'!$K$51*(IF('Entrada e Saida'!$H$15="PESO",(P455/(SUM(P:P))),(Q455/(SUM(Q:Q)))))</f>
        <v>#DIV/0!</v>
      </c>
      <c r="AJ455" s="7">
        <f>(('Entrada e Saida'!$K$10-'Entrada e Saida'!$K$8)*E455*D455)</f>
        <v>0</v>
      </c>
      <c r="AK455" s="184" t="e">
        <f>IF('Entrada e Saida'!$H$15="PESO",W455+AA455+AH455+AI455+AJ455,W455+AA455+AH455+AI455+AJ455-S455+T455-U455+V455)</f>
        <v>#DIV/0!</v>
      </c>
      <c r="AL455" s="6" t="e">
        <f>IF('Entrada e Saida'!$H$12="REAL",AC455,0)</f>
        <v>#DIV/0!</v>
      </c>
      <c r="AM455" s="6" t="e">
        <f>IF('Entrada e Saida'!$H$12="REAL",AD455,0)</f>
        <v>#DIV/0!</v>
      </c>
      <c r="AN455" s="5" t="e">
        <f>IF('Entrada e Saida'!$H$13= "NÃO",AE455,0)</f>
        <v>#DIV/0!</v>
      </c>
      <c r="AO455" s="5" t="e">
        <f t="shared" si="181"/>
        <v>#DIV/0!</v>
      </c>
      <c r="AP455" s="4" t="e">
        <f t="shared" si="182"/>
        <v>#DIV/0!</v>
      </c>
      <c r="AQ455" s="3" t="e">
        <f>IF('Entrada e Saida'!$H$11="TRADING",AU455*'Custo Resumido'!D455,0)</f>
        <v>#DIV/0!</v>
      </c>
      <c r="AR455" s="3" t="e">
        <f>IF('Entrada e Saida'!$H$11="TRADING",AU455*'Entrada e Saida'!$G$63,0)</f>
        <v>#DIV/0!</v>
      </c>
      <c r="AS455" s="3" t="e">
        <f>IF('Entrada e Saida'!$H$11="TRADING",AU455*'Entrada e Saida'!$G$64,0)</f>
        <v>#DIV/0!</v>
      </c>
      <c r="AT455" s="3" t="e">
        <f>IF('Entrada e Saida'!$H$11="TRADING",AU455*'Entrada e Saida'!$G$65,0)</f>
        <v>#DIV/0!</v>
      </c>
      <c r="AU455" s="4" t="e">
        <f>IF('Entrada e Saida'!$H$11="TRADING",AP455/(1-(SUM('Entrada e Saida'!$G$63:$G$65)+'Custo Resumido'!D455)),0)</f>
        <v>#DIV/0!</v>
      </c>
      <c r="AV455" s="3" t="e">
        <f>IF('Entrada e Saida'!$H$13="NÃO",AU455*M455,0)</f>
        <v>#DIV/0!</v>
      </c>
      <c r="AW455" s="4" t="e">
        <f t="shared" si="183"/>
        <v>#DIV/0!</v>
      </c>
      <c r="AX455" s="3" t="e">
        <f>'Entrada e Saida'!$G$74*AU455</f>
        <v>#DIV/0!</v>
      </c>
      <c r="AY455" s="4" t="e">
        <f t="shared" si="184"/>
        <v>#DIV/0!</v>
      </c>
      <c r="AZ455" s="4" t="e">
        <f>AQ455+('Entrada e Saida'!$G$65-'Entrada e Saida'!$I$65)*AU455-AX455</f>
        <v>#DIV/0!</v>
      </c>
      <c r="BA455" s="3" t="e">
        <f>IF('Entrada e Saida'!$H$12="REAL",AZ455*'Entrada e Saida'!$G$81,AU455*'Entrada e Saida'!$G$81)</f>
        <v>#DIV/0!</v>
      </c>
      <c r="BB455" s="3" t="e">
        <f>IF('Entrada e Saida'!$H$12="REAL",AZ455*'Entrada e Saida'!$G$82,AU455*'Entrada e Saida'!$G$82)</f>
        <v>#DIV/0!</v>
      </c>
      <c r="BC455" s="4" t="e">
        <f t="shared" si="185"/>
        <v>#DIV/0!</v>
      </c>
      <c r="BD455" s="3" t="e">
        <f>IF('Entrada e Saida'!$H$11="TRADING",AW455/D455,AK455/D455)</f>
        <v>#DIV/0!</v>
      </c>
      <c r="BE455" s="3" t="e">
        <f t="shared" si="186"/>
        <v>#DIV/0!</v>
      </c>
      <c r="BF455" s="2" t="e">
        <f t="shared" si="187"/>
        <v>#DIV/0!</v>
      </c>
      <c r="BG455" s="3" t="e">
        <f>IF('Entrada e Saida'!$H$11="TRADING",AV455/D455,AN455/D455)</f>
        <v>#DIV/0!</v>
      </c>
      <c r="BH455" s="3" t="e">
        <f>IF('Entrada e Saida'!$H$11="TRADING",IF('Entrada e Saida'!$H$12="REAL",AR455/D455,0),AL455/D455)</f>
        <v>#DIV/0!</v>
      </c>
      <c r="BI455" s="3" t="e">
        <f>IF('Entrada e Saida'!$H$11="TRADING",IF('Entrada e Saida'!$H$12="REAL",AS455/D455,0),AM455/D455)</f>
        <v>#DIV/0!</v>
      </c>
      <c r="BJ455" s="3" t="e">
        <f>IF('Entrada e Saida'!$H$11="TRADING",AT455/D455,AO455/D455)</f>
        <v>#DIV/0!</v>
      </c>
      <c r="BK455" s="2" t="e">
        <f t="shared" si="188"/>
        <v>#DIV/0!</v>
      </c>
      <c r="BL455" s="2">
        <f>IF(O455&gt;0,IFERROR(IF('Entrada e Saida'!$H$11="DIRETA",0,(IF('Entrada e Saida'!$H$14="P.JURIDICA",(BD455*(1+O455)*N455)-((BD455/(1+M455))*'Entrada e Saida'!$G$65),((Produtos!N455-'Entrada e Saida'!$G$65)*Produtos!BD455)))),0),0)</f>
        <v>0</v>
      </c>
      <c r="BM455" s="2" t="e">
        <f t="shared" si="189"/>
        <v>#DIV/0!</v>
      </c>
    </row>
    <row r="456" spans="1:65" s="1" customFormat="1">
      <c r="A456" s="127"/>
      <c r="B456" s="114">
        <f>IFERROR(VLOOKUP(A456,'Master Modelo'!A:I,7,FALSE),0)</f>
        <v>0</v>
      </c>
      <c r="C456" s="116">
        <f>IFERROR(VLOOKUP(A456,'Master Modelo'!A:I,2,FALSE),0)</f>
        <v>0</v>
      </c>
      <c r="D456" s="146"/>
      <c r="E456" s="115">
        <f>IFERROR(VLOOKUP(A456,'Master Modelo'!A:I,9,FALSE),0)</f>
        <v>0</v>
      </c>
      <c r="F456" s="189">
        <f>IFERROR(VLOOKUP(A456,'Master Modelo'!A:I,8,FALSE),0)</f>
        <v>0</v>
      </c>
      <c r="G456" s="189">
        <f>IFERROR(VLOOKUP(A456,'Master Modelo'!A:K,11,FALSE),0)</f>
        <v>0</v>
      </c>
      <c r="H456" s="114" t="e">
        <f t="shared" si="172"/>
        <v>#DIV/0!</v>
      </c>
      <c r="I456" s="150">
        <f>IFERROR(VLOOKUP(A456,'Master Modelo'!A:I,3,FALSE),0)</f>
        <v>0</v>
      </c>
      <c r="J456" s="151">
        <f>IFERROR(VLOOKUP(A456,'Master Modelo'!A:I,5,FALSE),0)</f>
        <v>0</v>
      </c>
      <c r="K456" s="151">
        <f>IFERROR(VLOOKUP(A456,'Master Modelo'!A:I,6,FALSE),0)</f>
        <v>0</v>
      </c>
      <c r="L456" s="152" t="e">
        <f>VLOOKUP(A456,'Master Modelo'!A:J,10,FALSE)</f>
        <v>#N/A</v>
      </c>
      <c r="M456" s="150">
        <f>IFERROR(VLOOKUP(A456,'Master Modelo'!A:I,4,FALSE),0)</f>
        <v>0</v>
      </c>
      <c r="N456" s="128"/>
      <c r="O456" s="129"/>
      <c r="P456" s="9">
        <f t="shared" si="173"/>
        <v>0</v>
      </c>
      <c r="Q456" s="177">
        <f t="shared" si="190"/>
        <v>0</v>
      </c>
      <c r="R456" s="3">
        <f>D456*E456*'Entrada e Saida'!$K$8</f>
        <v>0</v>
      </c>
      <c r="S456" s="179" t="e">
        <f>'Entrada e Saida'!$H$21*'Entrada e Saida'!$K$8*(P456/(SUM(P:P)))</f>
        <v>#DIV/0!</v>
      </c>
      <c r="T456" s="179" t="e">
        <f>'Entrada e Saida'!$H$21*'Entrada e Saida'!$K$8*(Q456/(SUM(Q:Q)))</f>
        <v>#DIV/0!</v>
      </c>
      <c r="U456" s="179" t="e">
        <f>'Entrada e Saida'!$H$22*(P456/(SUM(P:P)))</f>
        <v>#DIV/0!</v>
      </c>
      <c r="V456" s="179" t="e">
        <f>'Entrada e Saida'!$H$22*(Q456/(SUM(Q:Q)))</f>
        <v>#DIV/0!</v>
      </c>
      <c r="W456" s="8" t="e">
        <f t="shared" si="174"/>
        <v>#DIV/0!</v>
      </c>
      <c r="X456" s="179" t="e">
        <f>'Entrada e Saida'!$H$26*(IF('Entrada e Saida'!$H$15="PESO",(P456/(SUM(P:P))),(Q456/(SUM(Q:Q)))))</f>
        <v>#DIV/0!</v>
      </c>
      <c r="Y456" s="179" t="e">
        <f>'Entrada e Saida'!$H$27*(IF('Entrada e Saida'!$H$15="PESO",(P456/(SUM(P:P))),(Q456/(SUM(Q:Q)))))</f>
        <v>#DIV/0!</v>
      </c>
      <c r="Z456" s="179" t="e">
        <f>'Entrada e Saida'!$H$28*(IF('Entrada e Saida'!$H$15="PESO",(P456/(SUM(P:P))),(Q456/(SUM(Q:Q)))))</f>
        <v>#DIV/0!</v>
      </c>
      <c r="AA456" s="10" t="e">
        <f t="shared" si="175"/>
        <v>#DIV/0!</v>
      </c>
      <c r="AB456" s="3" t="e">
        <f t="shared" si="176"/>
        <v>#DIV/0!</v>
      </c>
      <c r="AC456" s="3" t="e">
        <f t="shared" si="177"/>
        <v>#DIV/0!</v>
      </c>
      <c r="AD456" s="3" t="e">
        <f t="shared" si="178"/>
        <v>#DIV/0!</v>
      </c>
      <c r="AE456" s="9" t="e">
        <f t="shared" si="179"/>
        <v>#DIV/0!</v>
      </c>
      <c r="AF456" s="126">
        <f>IFERROR(D456*F456*L456*'Entrada e Saida'!$K$8,0)</f>
        <v>0</v>
      </c>
      <c r="AG456" s="3" t="e">
        <f>((W456+AA456+AB456+AC456+AD456+AE456+AF456)/(1-'Entrada e Saida'!$G$65))*'Entrada e Saida'!$I$66</f>
        <v>#DIV/0!</v>
      </c>
      <c r="AH456" s="8" t="e">
        <f t="shared" si="180"/>
        <v>#DIV/0!</v>
      </c>
      <c r="AI456" s="183" t="e">
        <f>'Entrada e Saida'!$K$51*(IF('Entrada e Saida'!$H$15="PESO",(P456/(SUM(P:P))),(Q456/(SUM(Q:Q)))))</f>
        <v>#DIV/0!</v>
      </c>
      <c r="AJ456" s="7">
        <f>(('Entrada e Saida'!$K$10-'Entrada e Saida'!$K$8)*E456*D456)</f>
        <v>0</v>
      </c>
      <c r="AK456" s="184" t="e">
        <f>IF('Entrada e Saida'!$H$15="PESO",W456+AA456+AH456+AI456+AJ456,W456+AA456+AH456+AI456+AJ456-S456+T456-U456+V456)</f>
        <v>#DIV/0!</v>
      </c>
      <c r="AL456" s="6" t="e">
        <f>IF('Entrada e Saida'!$H$12="REAL",AC456,0)</f>
        <v>#DIV/0!</v>
      </c>
      <c r="AM456" s="6" t="e">
        <f>IF('Entrada e Saida'!$H$12="REAL",AD456,0)</f>
        <v>#DIV/0!</v>
      </c>
      <c r="AN456" s="5" t="e">
        <f>IF('Entrada e Saida'!$H$13= "NÃO",AE456,0)</f>
        <v>#DIV/0!</v>
      </c>
      <c r="AO456" s="5" t="e">
        <f t="shared" si="181"/>
        <v>#DIV/0!</v>
      </c>
      <c r="AP456" s="4" t="e">
        <f t="shared" si="182"/>
        <v>#DIV/0!</v>
      </c>
      <c r="AQ456" s="3" t="e">
        <f>IF('Entrada e Saida'!$H$11="TRADING",AU456*'Custo Resumido'!D456,0)</f>
        <v>#DIV/0!</v>
      </c>
      <c r="AR456" s="3" t="e">
        <f>IF('Entrada e Saida'!$H$11="TRADING",AU456*'Entrada e Saida'!$G$63,0)</f>
        <v>#DIV/0!</v>
      </c>
      <c r="AS456" s="3" t="e">
        <f>IF('Entrada e Saida'!$H$11="TRADING",AU456*'Entrada e Saida'!$G$64,0)</f>
        <v>#DIV/0!</v>
      </c>
      <c r="AT456" s="3" t="e">
        <f>IF('Entrada e Saida'!$H$11="TRADING",AU456*'Entrada e Saida'!$G$65,0)</f>
        <v>#DIV/0!</v>
      </c>
      <c r="AU456" s="4" t="e">
        <f>IF('Entrada e Saida'!$H$11="TRADING",AP456/(1-(SUM('Entrada e Saida'!$G$63:$G$65)+'Custo Resumido'!D456)),0)</f>
        <v>#DIV/0!</v>
      </c>
      <c r="AV456" s="3" t="e">
        <f>IF('Entrada e Saida'!$H$13="NÃO",AU456*M456,0)</f>
        <v>#DIV/0!</v>
      </c>
      <c r="AW456" s="4" t="e">
        <f t="shared" si="183"/>
        <v>#DIV/0!</v>
      </c>
      <c r="AX456" s="3" t="e">
        <f>'Entrada e Saida'!$G$74*AU456</f>
        <v>#DIV/0!</v>
      </c>
      <c r="AY456" s="4" t="e">
        <f t="shared" si="184"/>
        <v>#DIV/0!</v>
      </c>
      <c r="AZ456" s="4" t="e">
        <f>AQ456+('Entrada e Saida'!$G$65-'Entrada e Saida'!$I$65)*AU456-AX456</f>
        <v>#DIV/0!</v>
      </c>
      <c r="BA456" s="3" t="e">
        <f>IF('Entrada e Saida'!$H$12="REAL",AZ456*'Entrada e Saida'!$G$81,AU456*'Entrada e Saida'!$G$81)</f>
        <v>#DIV/0!</v>
      </c>
      <c r="BB456" s="3" t="e">
        <f>IF('Entrada e Saida'!$H$12="REAL",AZ456*'Entrada e Saida'!$G$82,AU456*'Entrada e Saida'!$G$82)</f>
        <v>#DIV/0!</v>
      </c>
      <c r="BC456" s="4" t="e">
        <f t="shared" si="185"/>
        <v>#DIV/0!</v>
      </c>
      <c r="BD456" s="3" t="e">
        <f>IF('Entrada e Saida'!$H$11="TRADING",AW456/D456,AK456/D456)</f>
        <v>#DIV/0!</v>
      </c>
      <c r="BE456" s="3" t="e">
        <f t="shared" si="186"/>
        <v>#DIV/0!</v>
      </c>
      <c r="BF456" s="2" t="e">
        <f t="shared" si="187"/>
        <v>#DIV/0!</v>
      </c>
      <c r="BG456" s="3" t="e">
        <f>IF('Entrada e Saida'!$H$11="TRADING",AV456/D456,AN456/D456)</f>
        <v>#DIV/0!</v>
      </c>
      <c r="BH456" s="3" t="e">
        <f>IF('Entrada e Saida'!$H$11="TRADING",IF('Entrada e Saida'!$H$12="REAL",AR456/D456,0),AL456/D456)</f>
        <v>#DIV/0!</v>
      </c>
      <c r="BI456" s="3" t="e">
        <f>IF('Entrada e Saida'!$H$11="TRADING",IF('Entrada e Saida'!$H$12="REAL",AS456/D456,0),AM456/D456)</f>
        <v>#DIV/0!</v>
      </c>
      <c r="BJ456" s="3" t="e">
        <f>IF('Entrada e Saida'!$H$11="TRADING",AT456/D456,AO456/D456)</f>
        <v>#DIV/0!</v>
      </c>
      <c r="BK456" s="2" t="e">
        <f t="shared" si="188"/>
        <v>#DIV/0!</v>
      </c>
      <c r="BL456" s="2">
        <f>IF(O456&gt;0,IFERROR(IF('Entrada e Saida'!$H$11="DIRETA",0,(IF('Entrada e Saida'!$H$14="P.JURIDICA",(BD456*(1+O456)*N456)-((BD456/(1+M456))*'Entrada e Saida'!$G$65),((Produtos!N456-'Entrada e Saida'!$G$65)*Produtos!BD456)))),0),0)</f>
        <v>0</v>
      </c>
      <c r="BM456" s="2" t="e">
        <f t="shared" si="189"/>
        <v>#DIV/0!</v>
      </c>
    </row>
    <row r="457" spans="1:65" s="1" customFormat="1">
      <c r="A457" s="127"/>
      <c r="B457" s="114">
        <f>IFERROR(VLOOKUP(A457,'Master Modelo'!A:I,7,FALSE),0)</f>
        <v>0</v>
      </c>
      <c r="C457" s="116">
        <f>IFERROR(VLOOKUP(A457,'Master Modelo'!A:I,2,FALSE),0)</f>
        <v>0</v>
      </c>
      <c r="D457" s="146"/>
      <c r="E457" s="115">
        <f>IFERROR(VLOOKUP(A457,'Master Modelo'!A:I,9,FALSE),0)</f>
        <v>0</v>
      </c>
      <c r="F457" s="189">
        <f>IFERROR(VLOOKUP(A457,'Master Modelo'!A:I,8,FALSE),0)</f>
        <v>0</v>
      </c>
      <c r="G457" s="189">
        <f>IFERROR(VLOOKUP(A457,'Master Modelo'!A:K,11,FALSE),0)</f>
        <v>0</v>
      </c>
      <c r="H457" s="114" t="e">
        <f t="shared" si="172"/>
        <v>#DIV/0!</v>
      </c>
      <c r="I457" s="150">
        <f>IFERROR(VLOOKUP(A457,'Master Modelo'!A:I,3,FALSE),0)</f>
        <v>0</v>
      </c>
      <c r="J457" s="151">
        <f>IFERROR(VLOOKUP(A457,'Master Modelo'!A:I,5,FALSE),0)</f>
        <v>0</v>
      </c>
      <c r="K457" s="151">
        <f>IFERROR(VLOOKUP(A457,'Master Modelo'!A:I,6,FALSE),0)</f>
        <v>0</v>
      </c>
      <c r="L457" s="152" t="e">
        <f>VLOOKUP(A457,'Master Modelo'!A:J,10,FALSE)</f>
        <v>#N/A</v>
      </c>
      <c r="M457" s="150">
        <f>IFERROR(VLOOKUP(A457,'Master Modelo'!A:I,4,FALSE),0)</f>
        <v>0</v>
      </c>
      <c r="N457" s="128"/>
      <c r="O457" s="129"/>
      <c r="P457" s="9">
        <f t="shared" si="173"/>
        <v>0</v>
      </c>
      <c r="Q457" s="177">
        <f t="shared" si="190"/>
        <v>0</v>
      </c>
      <c r="R457" s="3">
        <f>D457*E457*'Entrada e Saida'!$K$8</f>
        <v>0</v>
      </c>
      <c r="S457" s="179" t="e">
        <f>'Entrada e Saida'!$H$21*'Entrada e Saida'!$K$8*(P457/(SUM(P:P)))</f>
        <v>#DIV/0!</v>
      </c>
      <c r="T457" s="179" t="e">
        <f>'Entrada e Saida'!$H$21*'Entrada e Saida'!$K$8*(Q457/(SUM(Q:Q)))</f>
        <v>#DIV/0!</v>
      </c>
      <c r="U457" s="179" t="e">
        <f>'Entrada e Saida'!$H$22*(P457/(SUM(P:P)))</f>
        <v>#DIV/0!</v>
      </c>
      <c r="V457" s="179" t="e">
        <f>'Entrada e Saida'!$H$22*(Q457/(SUM(Q:Q)))</f>
        <v>#DIV/0!</v>
      </c>
      <c r="W457" s="8" t="e">
        <f t="shared" si="174"/>
        <v>#DIV/0!</v>
      </c>
      <c r="X457" s="179" t="e">
        <f>'Entrada e Saida'!$H$26*(IF('Entrada e Saida'!$H$15="PESO",(P457/(SUM(P:P))),(Q457/(SUM(Q:Q)))))</f>
        <v>#DIV/0!</v>
      </c>
      <c r="Y457" s="179" t="e">
        <f>'Entrada e Saida'!$H$27*(IF('Entrada e Saida'!$H$15="PESO",(P457/(SUM(P:P))),(Q457/(SUM(Q:Q)))))</f>
        <v>#DIV/0!</v>
      </c>
      <c r="Z457" s="179" t="e">
        <f>'Entrada e Saida'!$H$28*(IF('Entrada e Saida'!$H$15="PESO",(P457/(SUM(P:P))),(Q457/(SUM(Q:Q)))))</f>
        <v>#DIV/0!</v>
      </c>
      <c r="AA457" s="10" t="e">
        <f t="shared" si="175"/>
        <v>#DIV/0!</v>
      </c>
      <c r="AB457" s="3" t="e">
        <f t="shared" si="176"/>
        <v>#DIV/0!</v>
      </c>
      <c r="AC457" s="3" t="e">
        <f t="shared" si="177"/>
        <v>#DIV/0!</v>
      </c>
      <c r="AD457" s="3" t="e">
        <f t="shared" si="178"/>
        <v>#DIV/0!</v>
      </c>
      <c r="AE457" s="9" t="e">
        <f t="shared" si="179"/>
        <v>#DIV/0!</v>
      </c>
      <c r="AF457" s="126">
        <f>IFERROR(D457*F457*L457*'Entrada e Saida'!$K$8,0)</f>
        <v>0</v>
      </c>
      <c r="AG457" s="3" t="e">
        <f>((W457+AA457+AB457+AC457+AD457+AE457+AF457)/(1-'Entrada e Saida'!$G$65))*'Entrada e Saida'!$I$66</f>
        <v>#DIV/0!</v>
      </c>
      <c r="AH457" s="8" t="e">
        <f t="shared" si="180"/>
        <v>#DIV/0!</v>
      </c>
      <c r="AI457" s="183" t="e">
        <f>'Entrada e Saida'!$K$51*(IF('Entrada e Saida'!$H$15="PESO",(P457/(SUM(P:P))),(Q457/(SUM(Q:Q)))))</f>
        <v>#DIV/0!</v>
      </c>
      <c r="AJ457" s="7">
        <f>(('Entrada e Saida'!$K$10-'Entrada e Saida'!$K$8)*E457*D457)</f>
        <v>0</v>
      </c>
      <c r="AK457" s="184" t="e">
        <f>IF('Entrada e Saida'!$H$15="PESO",W457+AA457+AH457+AI457+AJ457,W457+AA457+AH457+AI457+AJ457-S457+T457-U457+V457)</f>
        <v>#DIV/0!</v>
      </c>
      <c r="AL457" s="6" t="e">
        <f>IF('Entrada e Saida'!$H$12="REAL",AC457,0)</f>
        <v>#DIV/0!</v>
      </c>
      <c r="AM457" s="6" t="e">
        <f>IF('Entrada e Saida'!$H$12="REAL",AD457,0)</f>
        <v>#DIV/0!</v>
      </c>
      <c r="AN457" s="5" t="e">
        <f>IF('Entrada e Saida'!$H$13= "NÃO",AE457,0)</f>
        <v>#DIV/0!</v>
      </c>
      <c r="AO457" s="5" t="e">
        <f t="shared" si="181"/>
        <v>#DIV/0!</v>
      </c>
      <c r="AP457" s="4" t="e">
        <f t="shared" si="182"/>
        <v>#DIV/0!</v>
      </c>
      <c r="AQ457" s="3" t="e">
        <f>IF('Entrada e Saida'!$H$11="TRADING",AU457*'Custo Resumido'!D457,0)</f>
        <v>#DIV/0!</v>
      </c>
      <c r="AR457" s="3" t="e">
        <f>IF('Entrada e Saida'!$H$11="TRADING",AU457*'Entrada e Saida'!$G$63,0)</f>
        <v>#DIV/0!</v>
      </c>
      <c r="AS457" s="3" t="e">
        <f>IF('Entrada e Saida'!$H$11="TRADING",AU457*'Entrada e Saida'!$G$64,0)</f>
        <v>#DIV/0!</v>
      </c>
      <c r="AT457" s="3" t="e">
        <f>IF('Entrada e Saida'!$H$11="TRADING",AU457*'Entrada e Saida'!$G$65,0)</f>
        <v>#DIV/0!</v>
      </c>
      <c r="AU457" s="4" t="e">
        <f>IF('Entrada e Saida'!$H$11="TRADING",AP457/(1-(SUM('Entrada e Saida'!$G$63:$G$65)+'Custo Resumido'!D457)),0)</f>
        <v>#DIV/0!</v>
      </c>
      <c r="AV457" s="3" t="e">
        <f>IF('Entrada e Saida'!$H$13="NÃO",AU457*M457,0)</f>
        <v>#DIV/0!</v>
      </c>
      <c r="AW457" s="4" t="e">
        <f t="shared" si="183"/>
        <v>#DIV/0!</v>
      </c>
      <c r="AX457" s="3" t="e">
        <f>'Entrada e Saida'!$G$74*AU457</f>
        <v>#DIV/0!</v>
      </c>
      <c r="AY457" s="4" t="e">
        <f t="shared" si="184"/>
        <v>#DIV/0!</v>
      </c>
      <c r="AZ457" s="4" t="e">
        <f>AQ457+('Entrada e Saida'!$G$65-'Entrada e Saida'!$I$65)*AU457-AX457</f>
        <v>#DIV/0!</v>
      </c>
      <c r="BA457" s="3" t="e">
        <f>IF('Entrada e Saida'!$H$12="REAL",AZ457*'Entrada e Saida'!$G$81,AU457*'Entrada e Saida'!$G$81)</f>
        <v>#DIV/0!</v>
      </c>
      <c r="BB457" s="3" t="e">
        <f>IF('Entrada e Saida'!$H$12="REAL",AZ457*'Entrada e Saida'!$G$82,AU457*'Entrada e Saida'!$G$82)</f>
        <v>#DIV/0!</v>
      </c>
      <c r="BC457" s="4" t="e">
        <f t="shared" si="185"/>
        <v>#DIV/0!</v>
      </c>
      <c r="BD457" s="3" t="e">
        <f>IF('Entrada e Saida'!$H$11="TRADING",AW457/D457,AK457/D457)</f>
        <v>#DIV/0!</v>
      </c>
      <c r="BE457" s="3" t="e">
        <f t="shared" si="186"/>
        <v>#DIV/0!</v>
      </c>
      <c r="BF457" s="2" t="e">
        <f t="shared" si="187"/>
        <v>#DIV/0!</v>
      </c>
      <c r="BG457" s="3" t="e">
        <f>IF('Entrada e Saida'!$H$11="TRADING",AV457/D457,AN457/D457)</f>
        <v>#DIV/0!</v>
      </c>
      <c r="BH457" s="3" t="e">
        <f>IF('Entrada e Saida'!$H$11="TRADING",IF('Entrada e Saida'!$H$12="REAL",AR457/D457,0),AL457/D457)</f>
        <v>#DIV/0!</v>
      </c>
      <c r="BI457" s="3" t="e">
        <f>IF('Entrada e Saida'!$H$11="TRADING",IF('Entrada e Saida'!$H$12="REAL",AS457/D457,0),AM457/D457)</f>
        <v>#DIV/0!</v>
      </c>
      <c r="BJ457" s="3" t="e">
        <f>IF('Entrada e Saida'!$H$11="TRADING",AT457/D457,AO457/D457)</f>
        <v>#DIV/0!</v>
      </c>
      <c r="BK457" s="2" t="e">
        <f t="shared" si="188"/>
        <v>#DIV/0!</v>
      </c>
      <c r="BL457" s="2">
        <f>IF(O457&gt;0,IFERROR(IF('Entrada e Saida'!$H$11="DIRETA",0,(IF('Entrada e Saida'!$H$14="P.JURIDICA",(BD457*(1+O457)*N457)-((BD457/(1+M457))*'Entrada e Saida'!$G$65),((Produtos!N457-'Entrada e Saida'!$G$65)*Produtos!BD457)))),0),0)</f>
        <v>0</v>
      </c>
      <c r="BM457" s="2" t="e">
        <f t="shared" si="189"/>
        <v>#DIV/0!</v>
      </c>
    </row>
    <row r="458" spans="1:65" s="1" customFormat="1">
      <c r="A458" s="127"/>
      <c r="B458" s="114">
        <f>IFERROR(VLOOKUP(A458,'Master Modelo'!A:I,7,FALSE),0)</f>
        <v>0</v>
      </c>
      <c r="C458" s="116">
        <f>IFERROR(VLOOKUP(A458,'Master Modelo'!A:I,2,FALSE),0)</f>
        <v>0</v>
      </c>
      <c r="D458" s="146"/>
      <c r="E458" s="115">
        <f>IFERROR(VLOOKUP(A458,'Master Modelo'!A:I,9,FALSE),0)</f>
        <v>0</v>
      </c>
      <c r="F458" s="189">
        <f>IFERROR(VLOOKUP(A458,'Master Modelo'!A:I,8,FALSE),0)</f>
        <v>0</v>
      </c>
      <c r="G458" s="189">
        <f>IFERROR(VLOOKUP(A458,'Master Modelo'!A:K,11,FALSE),0)</f>
        <v>0</v>
      </c>
      <c r="H458" s="114" t="e">
        <f t="shared" si="172"/>
        <v>#DIV/0!</v>
      </c>
      <c r="I458" s="150">
        <f>IFERROR(VLOOKUP(A458,'Master Modelo'!A:I,3,FALSE),0)</f>
        <v>0</v>
      </c>
      <c r="J458" s="151">
        <f>IFERROR(VLOOKUP(A458,'Master Modelo'!A:I,5,FALSE),0)</f>
        <v>0</v>
      </c>
      <c r="K458" s="151">
        <f>IFERROR(VLOOKUP(A458,'Master Modelo'!A:I,6,FALSE),0)</f>
        <v>0</v>
      </c>
      <c r="L458" s="152" t="e">
        <f>VLOOKUP(A458,'Master Modelo'!A:J,10,FALSE)</f>
        <v>#N/A</v>
      </c>
      <c r="M458" s="150">
        <f>IFERROR(VLOOKUP(A458,'Master Modelo'!A:I,4,FALSE),0)</f>
        <v>0</v>
      </c>
      <c r="N458" s="128"/>
      <c r="O458" s="129"/>
      <c r="P458" s="9">
        <f t="shared" si="173"/>
        <v>0</v>
      </c>
      <c r="Q458" s="177">
        <f t="shared" si="190"/>
        <v>0</v>
      </c>
      <c r="R458" s="3">
        <f>D458*E458*'Entrada e Saida'!$K$8</f>
        <v>0</v>
      </c>
      <c r="S458" s="179" t="e">
        <f>'Entrada e Saida'!$H$21*'Entrada e Saida'!$K$8*(P458/(SUM(P:P)))</f>
        <v>#DIV/0!</v>
      </c>
      <c r="T458" s="179" t="e">
        <f>'Entrada e Saida'!$H$21*'Entrada e Saida'!$K$8*(Q458/(SUM(Q:Q)))</f>
        <v>#DIV/0!</v>
      </c>
      <c r="U458" s="179" t="e">
        <f>'Entrada e Saida'!$H$22*(P458/(SUM(P:P)))</f>
        <v>#DIV/0!</v>
      </c>
      <c r="V458" s="179" t="e">
        <f>'Entrada e Saida'!$H$22*(Q458/(SUM(Q:Q)))</f>
        <v>#DIV/0!</v>
      </c>
      <c r="W458" s="8" t="e">
        <f t="shared" si="174"/>
        <v>#DIV/0!</v>
      </c>
      <c r="X458" s="179" t="e">
        <f>'Entrada e Saida'!$H$26*(IF('Entrada e Saida'!$H$15="PESO",(P458/(SUM(P:P))),(Q458/(SUM(Q:Q)))))</f>
        <v>#DIV/0!</v>
      </c>
      <c r="Y458" s="179" t="e">
        <f>'Entrada e Saida'!$H$27*(IF('Entrada e Saida'!$H$15="PESO",(P458/(SUM(P:P))),(Q458/(SUM(Q:Q)))))</f>
        <v>#DIV/0!</v>
      </c>
      <c r="Z458" s="179" t="e">
        <f>'Entrada e Saida'!$H$28*(IF('Entrada e Saida'!$H$15="PESO",(P458/(SUM(P:P))),(Q458/(SUM(Q:Q)))))</f>
        <v>#DIV/0!</v>
      </c>
      <c r="AA458" s="10" t="e">
        <f t="shared" si="175"/>
        <v>#DIV/0!</v>
      </c>
      <c r="AB458" s="3" t="e">
        <f t="shared" si="176"/>
        <v>#DIV/0!</v>
      </c>
      <c r="AC458" s="3" t="e">
        <f t="shared" si="177"/>
        <v>#DIV/0!</v>
      </c>
      <c r="AD458" s="3" t="e">
        <f t="shared" si="178"/>
        <v>#DIV/0!</v>
      </c>
      <c r="AE458" s="9" t="e">
        <f t="shared" si="179"/>
        <v>#DIV/0!</v>
      </c>
      <c r="AF458" s="126">
        <f>IFERROR(D458*F458*L458*'Entrada e Saida'!$K$8,0)</f>
        <v>0</v>
      </c>
      <c r="AG458" s="3" t="e">
        <f>((W458+AA458+AB458+AC458+AD458+AE458+AF458)/(1-'Entrada e Saida'!$G$65))*'Entrada e Saida'!$I$66</f>
        <v>#DIV/0!</v>
      </c>
      <c r="AH458" s="8" t="e">
        <f t="shared" si="180"/>
        <v>#DIV/0!</v>
      </c>
      <c r="AI458" s="183" t="e">
        <f>'Entrada e Saida'!$K$51*(IF('Entrada e Saida'!$H$15="PESO",(P458/(SUM(P:P))),(Q458/(SUM(Q:Q)))))</f>
        <v>#DIV/0!</v>
      </c>
      <c r="AJ458" s="7">
        <f>(('Entrada e Saida'!$K$10-'Entrada e Saida'!$K$8)*E458*D458)</f>
        <v>0</v>
      </c>
      <c r="AK458" s="184" t="e">
        <f>IF('Entrada e Saida'!$H$15="PESO",W458+AA458+AH458+AI458+AJ458,W458+AA458+AH458+AI458+AJ458-S458+T458-U458+V458)</f>
        <v>#DIV/0!</v>
      </c>
      <c r="AL458" s="6" t="e">
        <f>IF('Entrada e Saida'!$H$12="REAL",AC458,0)</f>
        <v>#DIV/0!</v>
      </c>
      <c r="AM458" s="6" t="e">
        <f>IF('Entrada e Saida'!$H$12="REAL",AD458,0)</f>
        <v>#DIV/0!</v>
      </c>
      <c r="AN458" s="5" t="e">
        <f>IF('Entrada e Saida'!$H$13= "NÃO",AE458,0)</f>
        <v>#DIV/0!</v>
      </c>
      <c r="AO458" s="5" t="e">
        <f t="shared" si="181"/>
        <v>#DIV/0!</v>
      </c>
      <c r="AP458" s="4" t="e">
        <f t="shared" si="182"/>
        <v>#DIV/0!</v>
      </c>
      <c r="AQ458" s="3" t="e">
        <f>IF('Entrada e Saida'!$H$11="TRADING",AU458*'Custo Resumido'!D458,0)</f>
        <v>#DIV/0!</v>
      </c>
      <c r="AR458" s="3" t="e">
        <f>IF('Entrada e Saida'!$H$11="TRADING",AU458*'Entrada e Saida'!$G$63,0)</f>
        <v>#DIV/0!</v>
      </c>
      <c r="AS458" s="3" t="e">
        <f>IF('Entrada e Saida'!$H$11="TRADING",AU458*'Entrada e Saida'!$G$64,0)</f>
        <v>#DIV/0!</v>
      </c>
      <c r="AT458" s="3" t="e">
        <f>IF('Entrada e Saida'!$H$11="TRADING",AU458*'Entrada e Saida'!$G$65,0)</f>
        <v>#DIV/0!</v>
      </c>
      <c r="AU458" s="4" t="e">
        <f>IF('Entrada e Saida'!$H$11="TRADING",AP458/(1-(SUM('Entrada e Saida'!$G$63:$G$65)+'Custo Resumido'!D458)),0)</f>
        <v>#DIV/0!</v>
      </c>
      <c r="AV458" s="3" t="e">
        <f>IF('Entrada e Saida'!$H$13="NÃO",AU458*M458,0)</f>
        <v>#DIV/0!</v>
      </c>
      <c r="AW458" s="4" t="e">
        <f t="shared" si="183"/>
        <v>#DIV/0!</v>
      </c>
      <c r="AX458" s="3" t="e">
        <f>'Entrada e Saida'!$G$74*AU458</f>
        <v>#DIV/0!</v>
      </c>
      <c r="AY458" s="4" t="e">
        <f t="shared" si="184"/>
        <v>#DIV/0!</v>
      </c>
      <c r="AZ458" s="4" t="e">
        <f>AQ458+('Entrada e Saida'!$G$65-'Entrada e Saida'!$I$65)*AU458-AX458</f>
        <v>#DIV/0!</v>
      </c>
      <c r="BA458" s="3" t="e">
        <f>IF('Entrada e Saida'!$H$12="REAL",AZ458*'Entrada e Saida'!$G$81,AU458*'Entrada e Saida'!$G$81)</f>
        <v>#DIV/0!</v>
      </c>
      <c r="BB458" s="3" t="e">
        <f>IF('Entrada e Saida'!$H$12="REAL",AZ458*'Entrada e Saida'!$G$82,AU458*'Entrada e Saida'!$G$82)</f>
        <v>#DIV/0!</v>
      </c>
      <c r="BC458" s="4" t="e">
        <f t="shared" si="185"/>
        <v>#DIV/0!</v>
      </c>
      <c r="BD458" s="3" t="e">
        <f>IF('Entrada e Saida'!$H$11="TRADING",AW458/D458,AK458/D458)</f>
        <v>#DIV/0!</v>
      </c>
      <c r="BE458" s="3" t="e">
        <f t="shared" si="186"/>
        <v>#DIV/0!</v>
      </c>
      <c r="BF458" s="2" t="e">
        <f t="shared" si="187"/>
        <v>#DIV/0!</v>
      </c>
      <c r="BG458" s="3" t="e">
        <f>IF('Entrada e Saida'!$H$11="TRADING",AV458/D458,AN458/D458)</f>
        <v>#DIV/0!</v>
      </c>
      <c r="BH458" s="3" t="e">
        <f>IF('Entrada e Saida'!$H$11="TRADING",IF('Entrada e Saida'!$H$12="REAL",AR458/D458,0),AL458/D458)</f>
        <v>#DIV/0!</v>
      </c>
      <c r="BI458" s="3" t="e">
        <f>IF('Entrada e Saida'!$H$11="TRADING",IF('Entrada e Saida'!$H$12="REAL",AS458/D458,0),AM458/D458)</f>
        <v>#DIV/0!</v>
      </c>
      <c r="BJ458" s="3" t="e">
        <f>IF('Entrada e Saida'!$H$11="TRADING",AT458/D458,AO458/D458)</f>
        <v>#DIV/0!</v>
      </c>
      <c r="BK458" s="2" t="e">
        <f t="shared" si="188"/>
        <v>#DIV/0!</v>
      </c>
      <c r="BL458" s="2">
        <f>IF(O458&gt;0,IFERROR(IF('Entrada e Saida'!$H$11="DIRETA",0,(IF('Entrada e Saida'!$H$14="P.JURIDICA",(BD458*(1+O458)*N458)-((BD458/(1+M458))*'Entrada e Saida'!$G$65),((Produtos!N458-'Entrada e Saida'!$G$65)*Produtos!BD458)))),0),0)</f>
        <v>0</v>
      </c>
      <c r="BM458" s="2" t="e">
        <f t="shared" si="189"/>
        <v>#DIV/0!</v>
      </c>
    </row>
    <row r="459" spans="1:65" s="1" customFormat="1">
      <c r="A459" s="127"/>
      <c r="B459" s="114">
        <f>IFERROR(VLOOKUP(A459,'Master Modelo'!A:I,7,FALSE),0)</f>
        <v>0</v>
      </c>
      <c r="C459" s="116">
        <f>IFERROR(VLOOKUP(A459,'Master Modelo'!A:I,2,FALSE),0)</f>
        <v>0</v>
      </c>
      <c r="D459" s="146"/>
      <c r="E459" s="115">
        <f>IFERROR(VLOOKUP(A459,'Master Modelo'!A:I,9,FALSE),0)</f>
        <v>0</v>
      </c>
      <c r="F459" s="189">
        <f>IFERROR(VLOOKUP(A459,'Master Modelo'!A:I,8,FALSE),0)</f>
        <v>0</v>
      </c>
      <c r="G459" s="189">
        <f>IFERROR(VLOOKUP(A459,'Master Modelo'!A:K,11,FALSE),0)</f>
        <v>0</v>
      </c>
      <c r="H459" s="114" t="e">
        <f t="shared" si="172"/>
        <v>#DIV/0!</v>
      </c>
      <c r="I459" s="150">
        <f>IFERROR(VLOOKUP(A459,'Master Modelo'!A:I,3,FALSE),0)</f>
        <v>0</v>
      </c>
      <c r="J459" s="151">
        <f>IFERROR(VLOOKUP(A459,'Master Modelo'!A:I,5,FALSE),0)</f>
        <v>0</v>
      </c>
      <c r="K459" s="151">
        <f>IFERROR(VLOOKUP(A459,'Master Modelo'!A:I,6,FALSE),0)</f>
        <v>0</v>
      </c>
      <c r="L459" s="152" t="e">
        <f>VLOOKUP(A459,'Master Modelo'!A:J,10,FALSE)</f>
        <v>#N/A</v>
      </c>
      <c r="M459" s="150">
        <f>IFERROR(VLOOKUP(A459,'Master Modelo'!A:I,4,FALSE),0)</f>
        <v>0</v>
      </c>
      <c r="N459" s="128"/>
      <c r="O459" s="129"/>
      <c r="P459" s="9">
        <f t="shared" si="173"/>
        <v>0</v>
      </c>
      <c r="Q459" s="177">
        <f t="shared" si="190"/>
        <v>0</v>
      </c>
      <c r="R459" s="3">
        <f>D459*E459*'Entrada e Saida'!$K$8</f>
        <v>0</v>
      </c>
      <c r="S459" s="179" t="e">
        <f>'Entrada e Saida'!$H$21*'Entrada e Saida'!$K$8*(P459/(SUM(P:P)))</f>
        <v>#DIV/0!</v>
      </c>
      <c r="T459" s="179" t="e">
        <f>'Entrada e Saida'!$H$21*'Entrada e Saida'!$K$8*(Q459/(SUM(Q:Q)))</f>
        <v>#DIV/0!</v>
      </c>
      <c r="U459" s="179" t="e">
        <f>'Entrada e Saida'!$H$22*(P459/(SUM(P:P)))</f>
        <v>#DIV/0!</v>
      </c>
      <c r="V459" s="179" t="e">
        <f>'Entrada e Saida'!$H$22*(Q459/(SUM(Q:Q)))</f>
        <v>#DIV/0!</v>
      </c>
      <c r="W459" s="8" t="e">
        <f t="shared" si="174"/>
        <v>#DIV/0!</v>
      </c>
      <c r="X459" s="179" t="e">
        <f>'Entrada e Saida'!$H$26*(IF('Entrada e Saida'!$H$15="PESO",(P459/(SUM(P:P))),(Q459/(SUM(Q:Q)))))</f>
        <v>#DIV/0!</v>
      </c>
      <c r="Y459" s="179" t="e">
        <f>'Entrada e Saida'!$H$27*(IF('Entrada e Saida'!$H$15="PESO",(P459/(SUM(P:P))),(Q459/(SUM(Q:Q)))))</f>
        <v>#DIV/0!</v>
      </c>
      <c r="Z459" s="179" t="e">
        <f>'Entrada e Saida'!$H$28*(IF('Entrada e Saida'!$H$15="PESO",(P459/(SUM(P:P))),(Q459/(SUM(Q:Q)))))</f>
        <v>#DIV/0!</v>
      </c>
      <c r="AA459" s="10" t="e">
        <f t="shared" si="175"/>
        <v>#DIV/0!</v>
      </c>
      <c r="AB459" s="3" t="e">
        <f t="shared" si="176"/>
        <v>#DIV/0!</v>
      </c>
      <c r="AC459" s="3" t="e">
        <f t="shared" si="177"/>
        <v>#DIV/0!</v>
      </c>
      <c r="AD459" s="3" t="e">
        <f t="shared" si="178"/>
        <v>#DIV/0!</v>
      </c>
      <c r="AE459" s="9" t="e">
        <f t="shared" si="179"/>
        <v>#DIV/0!</v>
      </c>
      <c r="AF459" s="126">
        <f>IFERROR(D459*F459*L459*'Entrada e Saida'!$K$8,0)</f>
        <v>0</v>
      </c>
      <c r="AG459" s="3" t="e">
        <f>((W459+AA459+AB459+AC459+AD459+AE459+AF459)/(1-'Entrada e Saida'!$G$65))*'Entrada e Saida'!$I$66</f>
        <v>#DIV/0!</v>
      </c>
      <c r="AH459" s="8" t="e">
        <f t="shared" si="180"/>
        <v>#DIV/0!</v>
      </c>
      <c r="AI459" s="183" t="e">
        <f>'Entrada e Saida'!$K$51*(IF('Entrada e Saida'!$H$15="PESO",(P459/(SUM(P:P))),(Q459/(SUM(Q:Q)))))</f>
        <v>#DIV/0!</v>
      </c>
      <c r="AJ459" s="7">
        <f>(('Entrada e Saida'!$K$10-'Entrada e Saida'!$K$8)*E459*D459)</f>
        <v>0</v>
      </c>
      <c r="AK459" s="184" t="e">
        <f>IF('Entrada e Saida'!$H$15="PESO",W459+AA459+AH459+AI459+AJ459,W459+AA459+AH459+AI459+AJ459-S459+T459-U459+V459)</f>
        <v>#DIV/0!</v>
      </c>
      <c r="AL459" s="6" t="e">
        <f>IF('Entrada e Saida'!$H$12="REAL",AC459,0)</f>
        <v>#DIV/0!</v>
      </c>
      <c r="AM459" s="6" t="e">
        <f>IF('Entrada e Saida'!$H$12="REAL",AD459,0)</f>
        <v>#DIV/0!</v>
      </c>
      <c r="AN459" s="5" t="e">
        <f>IF('Entrada e Saida'!$H$13= "NÃO",AE459,0)</f>
        <v>#DIV/0!</v>
      </c>
      <c r="AO459" s="5" t="e">
        <f t="shared" si="181"/>
        <v>#DIV/0!</v>
      </c>
      <c r="AP459" s="4" t="e">
        <f t="shared" si="182"/>
        <v>#DIV/0!</v>
      </c>
      <c r="AQ459" s="3" t="e">
        <f>IF('Entrada e Saida'!$H$11="TRADING",AU459*'Custo Resumido'!D459,0)</f>
        <v>#DIV/0!</v>
      </c>
      <c r="AR459" s="3" t="e">
        <f>IF('Entrada e Saida'!$H$11="TRADING",AU459*'Entrada e Saida'!$G$63,0)</f>
        <v>#DIV/0!</v>
      </c>
      <c r="AS459" s="3" t="e">
        <f>IF('Entrada e Saida'!$H$11="TRADING",AU459*'Entrada e Saida'!$G$64,0)</f>
        <v>#DIV/0!</v>
      </c>
      <c r="AT459" s="3" t="e">
        <f>IF('Entrada e Saida'!$H$11="TRADING",AU459*'Entrada e Saida'!$G$65,0)</f>
        <v>#DIV/0!</v>
      </c>
      <c r="AU459" s="4" t="e">
        <f>IF('Entrada e Saida'!$H$11="TRADING",AP459/(1-(SUM('Entrada e Saida'!$G$63:$G$65)+'Custo Resumido'!D459)),0)</f>
        <v>#DIV/0!</v>
      </c>
      <c r="AV459" s="3" t="e">
        <f>IF('Entrada e Saida'!$H$13="NÃO",AU459*M459,0)</f>
        <v>#DIV/0!</v>
      </c>
      <c r="AW459" s="4" t="e">
        <f t="shared" si="183"/>
        <v>#DIV/0!</v>
      </c>
      <c r="AX459" s="3" t="e">
        <f>'Entrada e Saida'!$G$74*AU459</f>
        <v>#DIV/0!</v>
      </c>
      <c r="AY459" s="4" t="e">
        <f t="shared" si="184"/>
        <v>#DIV/0!</v>
      </c>
      <c r="AZ459" s="4" t="e">
        <f>AQ459+('Entrada e Saida'!$G$65-'Entrada e Saida'!$I$65)*AU459-AX459</f>
        <v>#DIV/0!</v>
      </c>
      <c r="BA459" s="3" t="e">
        <f>IF('Entrada e Saida'!$H$12="REAL",AZ459*'Entrada e Saida'!$G$81,AU459*'Entrada e Saida'!$G$81)</f>
        <v>#DIV/0!</v>
      </c>
      <c r="BB459" s="3" t="e">
        <f>IF('Entrada e Saida'!$H$12="REAL",AZ459*'Entrada e Saida'!$G$82,AU459*'Entrada e Saida'!$G$82)</f>
        <v>#DIV/0!</v>
      </c>
      <c r="BC459" s="4" t="e">
        <f t="shared" si="185"/>
        <v>#DIV/0!</v>
      </c>
      <c r="BD459" s="3" t="e">
        <f>IF('Entrada e Saida'!$H$11="TRADING",AW459/D459,AK459/D459)</f>
        <v>#DIV/0!</v>
      </c>
      <c r="BE459" s="3" t="e">
        <f t="shared" si="186"/>
        <v>#DIV/0!</v>
      </c>
      <c r="BF459" s="2" t="e">
        <f t="shared" si="187"/>
        <v>#DIV/0!</v>
      </c>
      <c r="BG459" s="3" t="e">
        <f>IF('Entrada e Saida'!$H$11="TRADING",AV459/D459,AN459/D459)</f>
        <v>#DIV/0!</v>
      </c>
      <c r="BH459" s="3" t="e">
        <f>IF('Entrada e Saida'!$H$11="TRADING",IF('Entrada e Saida'!$H$12="REAL",AR459/D459,0),AL459/D459)</f>
        <v>#DIV/0!</v>
      </c>
      <c r="BI459" s="3" t="e">
        <f>IF('Entrada e Saida'!$H$11="TRADING",IF('Entrada e Saida'!$H$12="REAL",AS459/D459,0),AM459/D459)</f>
        <v>#DIV/0!</v>
      </c>
      <c r="BJ459" s="3" t="e">
        <f>IF('Entrada e Saida'!$H$11="TRADING",AT459/D459,AO459/D459)</f>
        <v>#DIV/0!</v>
      </c>
      <c r="BK459" s="2" t="e">
        <f t="shared" si="188"/>
        <v>#DIV/0!</v>
      </c>
      <c r="BL459" s="2">
        <f>IF(O459&gt;0,IFERROR(IF('Entrada e Saida'!$H$11="DIRETA",0,(IF('Entrada e Saida'!$H$14="P.JURIDICA",(BD459*(1+O459)*N459)-((BD459/(1+M459))*'Entrada e Saida'!$G$65),((Produtos!N459-'Entrada e Saida'!$G$65)*Produtos!BD459)))),0),0)</f>
        <v>0</v>
      </c>
      <c r="BM459" s="2" t="e">
        <f t="shared" si="189"/>
        <v>#DIV/0!</v>
      </c>
    </row>
    <row r="460" spans="1:65" s="1" customFormat="1">
      <c r="A460" s="127"/>
      <c r="B460" s="114">
        <f>IFERROR(VLOOKUP(A460,'Master Modelo'!A:I,7,FALSE),0)</f>
        <v>0</v>
      </c>
      <c r="C460" s="116">
        <f>IFERROR(VLOOKUP(A460,'Master Modelo'!A:I,2,FALSE),0)</f>
        <v>0</v>
      </c>
      <c r="D460" s="146"/>
      <c r="E460" s="115">
        <f>IFERROR(VLOOKUP(A460,'Master Modelo'!A:I,9,FALSE),0)</f>
        <v>0</v>
      </c>
      <c r="F460" s="189">
        <f>IFERROR(VLOOKUP(A460,'Master Modelo'!A:I,8,FALSE),0)</f>
        <v>0</v>
      </c>
      <c r="G460" s="189">
        <f>IFERROR(VLOOKUP(A460,'Master Modelo'!A:K,11,FALSE),0)</f>
        <v>0</v>
      </c>
      <c r="H460" s="114" t="e">
        <f t="shared" si="172"/>
        <v>#DIV/0!</v>
      </c>
      <c r="I460" s="150">
        <f>IFERROR(VLOOKUP(A460,'Master Modelo'!A:I,3,FALSE),0)</f>
        <v>0</v>
      </c>
      <c r="J460" s="151">
        <f>IFERROR(VLOOKUP(A460,'Master Modelo'!A:I,5,FALSE),0)</f>
        <v>0</v>
      </c>
      <c r="K460" s="151">
        <f>IFERROR(VLOOKUP(A460,'Master Modelo'!A:I,6,FALSE),0)</f>
        <v>0</v>
      </c>
      <c r="L460" s="152" t="e">
        <f>VLOOKUP(A460,'Master Modelo'!A:J,10,FALSE)</f>
        <v>#N/A</v>
      </c>
      <c r="M460" s="150">
        <f>IFERROR(VLOOKUP(A460,'Master Modelo'!A:I,4,FALSE),0)</f>
        <v>0</v>
      </c>
      <c r="N460" s="128"/>
      <c r="O460" s="129"/>
      <c r="P460" s="9">
        <f t="shared" si="173"/>
        <v>0</v>
      </c>
      <c r="Q460" s="177">
        <f t="shared" si="190"/>
        <v>0</v>
      </c>
      <c r="R460" s="3">
        <f>D460*E460*'Entrada e Saida'!$K$8</f>
        <v>0</v>
      </c>
      <c r="S460" s="179" t="e">
        <f>'Entrada e Saida'!$H$21*'Entrada e Saida'!$K$8*(P460/(SUM(P:P)))</f>
        <v>#DIV/0!</v>
      </c>
      <c r="T460" s="179" t="e">
        <f>'Entrada e Saida'!$H$21*'Entrada e Saida'!$K$8*(Q460/(SUM(Q:Q)))</f>
        <v>#DIV/0!</v>
      </c>
      <c r="U460" s="179" t="e">
        <f>'Entrada e Saida'!$H$22*(P460/(SUM(P:P)))</f>
        <v>#DIV/0!</v>
      </c>
      <c r="V460" s="179" t="e">
        <f>'Entrada e Saida'!$H$22*(Q460/(SUM(Q:Q)))</f>
        <v>#DIV/0!</v>
      </c>
      <c r="W460" s="8" t="e">
        <f t="shared" si="174"/>
        <v>#DIV/0!</v>
      </c>
      <c r="X460" s="179" t="e">
        <f>'Entrada e Saida'!$H$26*(IF('Entrada e Saida'!$H$15="PESO",(P460/(SUM(P:P))),(Q460/(SUM(Q:Q)))))</f>
        <v>#DIV/0!</v>
      </c>
      <c r="Y460" s="179" t="e">
        <f>'Entrada e Saida'!$H$27*(IF('Entrada e Saida'!$H$15="PESO",(P460/(SUM(P:P))),(Q460/(SUM(Q:Q)))))</f>
        <v>#DIV/0!</v>
      </c>
      <c r="Z460" s="179" t="e">
        <f>'Entrada e Saida'!$H$28*(IF('Entrada e Saida'!$H$15="PESO",(P460/(SUM(P:P))),(Q460/(SUM(Q:Q)))))</f>
        <v>#DIV/0!</v>
      </c>
      <c r="AA460" s="10" t="e">
        <f t="shared" si="175"/>
        <v>#DIV/0!</v>
      </c>
      <c r="AB460" s="3" t="e">
        <f t="shared" si="176"/>
        <v>#DIV/0!</v>
      </c>
      <c r="AC460" s="3" t="e">
        <f t="shared" si="177"/>
        <v>#DIV/0!</v>
      </c>
      <c r="AD460" s="3" t="e">
        <f t="shared" si="178"/>
        <v>#DIV/0!</v>
      </c>
      <c r="AE460" s="9" t="e">
        <f t="shared" si="179"/>
        <v>#DIV/0!</v>
      </c>
      <c r="AF460" s="126">
        <f>IFERROR(D460*F460*L460*'Entrada e Saida'!$K$8,0)</f>
        <v>0</v>
      </c>
      <c r="AG460" s="3" t="e">
        <f>((W460+AA460+AB460+AC460+AD460+AE460+AF460)/(1-'Entrada e Saida'!$G$65))*'Entrada e Saida'!$I$66</f>
        <v>#DIV/0!</v>
      </c>
      <c r="AH460" s="8" t="e">
        <f t="shared" si="180"/>
        <v>#DIV/0!</v>
      </c>
      <c r="AI460" s="183" t="e">
        <f>'Entrada e Saida'!$K$51*(IF('Entrada e Saida'!$H$15="PESO",(P460/(SUM(P:P))),(Q460/(SUM(Q:Q)))))</f>
        <v>#DIV/0!</v>
      </c>
      <c r="AJ460" s="7">
        <f>(('Entrada e Saida'!$K$10-'Entrada e Saida'!$K$8)*E460*D460)</f>
        <v>0</v>
      </c>
      <c r="AK460" s="184" t="e">
        <f>IF('Entrada e Saida'!$H$15="PESO",W460+AA460+AH460+AI460+AJ460,W460+AA460+AH460+AI460+AJ460-S460+T460-U460+V460)</f>
        <v>#DIV/0!</v>
      </c>
      <c r="AL460" s="6" t="e">
        <f>IF('Entrada e Saida'!$H$12="REAL",AC460,0)</f>
        <v>#DIV/0!</v>
      </c>
      <c r="AM460" s="6" t="e">
        <f>IF('Entrada e Saida'!$H$12="REAL",AD460,0)</f>
        <v>#DIV/0!</v>
      </c>
      <c r="AN460" s="5" t="e">
        <f>IF('Entrada e Saida'!$H$13= "NÃO",AE460,0)</f>
        <v>#DIV/0!</v>
      </c>
      <c r="AO460" s="5" t="e">
        <f t="shared" si="181"/>
        <v>#DIV/0!</v>
      </c>
      <c r="AP460" s="4" t="e">
        <f t="shared" si="182"/>
        <v>#DIV/0!</v>
      </c>
      <c r="AQ460" s="3" t="e">
        <f>IF('Entrada e Saida'!$H$11="TRADING",AU460*'Custo Resumido'!D460,0)</f>
        <v>#DIV/0!</v>
      </c>
      <c r="AR460" s="3" t="e">
        <f>IF('Entrada e Saida'!$H$11="TRADING",AU460*'Entrada e Saida'!$G$63,0)</f>
        <v>#DIV/0!</v>
      </c>
      <c r="AS460" s="3" t="e">
        <f>IF('Entrada e Saida'!$H$11="TRADING",AU460*'Entrada e Saida'!$G$64,0)</f>
        <v>#DIV/0!</v>
      </c>
      <c r="AT460" s="3" t="e">
        <f>IF('Entrada e Saida'!$H$11="TRADING",AU460*'Entrada e Saida'!$G$65,0)</f>
        <v>#DIV/0!</v>
      </c>
      <c r="AU460" s="4" t="e">
        <f>IF('Entrada e Saida'!$H$11="TRADING",AP460/(1-(SUM('Entrada e Saida'!$G$63:$G$65)+'Custo Resumido'!D460)),0)</f>
        <v>#DIV/0!</v>
      </c>
      <c r="AV460" s="3" t="e">
        <f>IF('Entrada e Saida'!$H$13="NÃO",AU460*M460,0)</f>
        <v>#DIV/0!</v>
      </c>
      <c r="AW460" s="4" t="e">
        <f t="shared" si="183"/>
        <v>#DIV/0!</v>
      </c>
      <c r="AX460" s="3" t="e">
        <f>'Entrada e Saida'!$G$74*AU460</f>
        <v>#DIV/0!</v>
      </c>
      <c r="AY460" s="4" t="e">
        <f t="shared" si="184"/>
        <v>#DIV/0!</v>
      </c>
      <c r="AZ460" s="4" t="e">
        <f>AQ460+('Entrada e Saida'!$G$65-'Entrada e Saida'!$I$65)*AU460-AX460</f>
        <v>#DIV/0!</v>
      </c>
      <c r="BA460" s="3" t="e">
        <f>IF('Entrada e Saida'!$H$12="REAL",AZ460*'Entrada e Saida'!$G$81,AU460*'Entrada e Saida'!$G$81)</f>
        <v>#DIV/0!</v>
      </c>
      <c r="BB460" s="3" t="e">
        <f>IF('Entrada e Saida'!$H$12="REAL",AZ460*'Entrada e Saida'!$G$82,AU460*'Entrada e Saida'!$G$82)</f>
        <v>#DIV/0!</v>
      </c>
      <c r="BC460" s="4" t="e">
        <f t="shared" si="185"/>
        <v>#DIV/0!</v>
      </c>
      <c r="BD460" s="3" t="e">
        <f>IF('Entrada e Saida'!$H$11="TRADING",AW460/D460,AK460/D460)</f>
        <v>#DIV/0!</v>
      </c>
      <c r="BE460" s="3" t="e">
        <f t="shared" si="186"/>
        <v>#DIV/0!</v>
      </c>
      <c r="BF460" s="2" t="e">
        <f t="shared" si="187"/>
        <v>#DIV/0!</v>
      </c>
      <c r="BG460" s="3" t="e">
        <f>IF('Entrada e Saida'!$H$11="TRADING",AV460/D460,AN460/D460)</f>
        <v>#DIV/0!</v>
      </c>
      <c r="BH460" s="3" t="e">
        <f>IF('Entrada e Saida'!$H$11="TRADING",IF('Entrada e Saida'!$H$12="REAL",AR460/D460,0),AL460/D460)</f>
        <v>#DIV/0!</v>
      </c>
      <c r="BI460" s="3" t="e">
        <f>IF('Entrada e Saida'!$H$11="TRADING",IF('Entrada e Saida'!$H$12="REAL",AS460/D460,0),AM460/D460)</f>
        <v>#DIV/0!</v>
      </c>
      <c r="BJ460" s="3" t="e">
        <f>IF('Entrada e Saida'!$H$11="TRADING",AT460/D460,AO460/D460)</f>
        <v>#DIV/0!</v>
      </c>
      <c r="BK460" s="2" t="e">
        <f t="shared" si="188"/>
        <v>#DIV/0!</v>
      </c>
      <c r="BL460" s="2">
        <f>IF(O460&gt;0,IFERROR(IF('Entrada e Saida'!$H$11="DIRETA",0,(IF('Entrada e Saida'!$H$14="P.JURIDICA",(BD460*(1+O460)*N460)-((BD460/(1+M460))*'Entrada e Saida'!$G$65),((Produtos!N460-'Entrada e Saida'!$G$65)*Produtos!BD460)))),0),0)</f>
        <v>0</v>
      </c>
      <c r="BM460" s="2" t="e">
        <f t="shared" si="189"/>
        <v>#DIV/0!</v>
      </c>
    </row>
    <row r="461" spans="1:65" s="1" customFormat="1">
      <c r="A461" s="127"/>
      <c r="B461" s="114">
        <f>IFERROR(VLOOKUP(A461,'Master Modelo'!A:I,7,FALSE),0)</f>
        <v>0</v>
      </c>
      <c r="C461" s="116">
        <f>IFERROR(VLOOKUP(A461,'Master Modelo'!A:I,2,FALSE),0)</f>
        <v>0</v>
      </c>
      <c r="D461" s="146"/>
      <c r="E461" s="115">
        <f>IFERROR(VLOOKUP(A461,'Master Modelo'!A:I,9,FALSE),0)</f>
        <v>0</v>
      </c>
      <c r="F461" s="189">
        <f>IFERROR(VLOOKUP(A461,'Master Modelo'!A:I,8,FALSE),0)</f>
        <v>0</v>
      </c>
      <c r="G461" s="189">
        <f>IFERROR(VLOOKUP(A461,'Master Modelo'!A:K,11,FALSE),0)</f>
        <v>0</v>
      </c>
      <c r="H461" s="114" t="e">
        <f t="shared" ref="H461:H498" si="191">(D461*E461)/(D461*F461)</f>
        <v>#DIV/0!</v>
      </c>
      <c r="I461" s="150">
        <f>IFERROR(VLOOKUP(A461,'Master Modelo'!A:I,3,FALSE),0)</f>
        <v>0</v>
      </c>
      <c r="J461" s="151">
        <f>IFERROR(VLOOKUP(A461,'Master Modelo'!A:I,5,FALSE),0)</f>
        <v>0</v>
      </c>
      <c r="K461" s="151">
        <f>IFERROR(VLOOKUP(A461,'Master Modelo'!A:I,6,FALSE),0)</f>
        <v>0</v>
      </c>
      <c r="L461" s="152" t="e">
        <f>VLOOKUP(A461,'Master Modelo'!A:J,10,FALSE)</f>
        <v>#N/A</v>
      </c>
      <c r="M461" s="150">
        <f>IFERROR(VLOOKUP(A461,'Master Modelo'!A:I,4,FALSE),0)</f>
        <v>0</v>
      </c>
      <c r="N461" s="128"/>
      <c r="O461" s="129"/>
      <c r="P461" s="9">
        <f t="shared" ref="P461:P498" si="192">D461*F461</f>
        <v>0</v>
      </c>
      <c r="Q461" s="177">
        <f t="shared" si="190"/>
        <v>0</v>
      </c>
      <c r="R461" s="3">
        <f>D461*E461*'Entrada e Saida'!$K$8</f>
        <v>0</v>
      </c>
      <c r="S461" s="179" t="e">
        <f>'Entrada e Saida'!$H$21*'Entrada e Saida'!$K$8*(P461/(SUM(P:P)))</f>
        <v>#DIV/0!</v>
      </c>
      <c r="T461" s="179" t="e">
        <f>'Entrada e Saida'!$H$21*'Entrada e Saida'!$K$8*(Q461/(SUM(Q:Q)))</f>
        <v>#DIV/0!</v>
      </c>
      <c r="U461" s="179" t="e">
        <f>'Entrada e Saida'!$H$22*(P461/(SUM(P:P)))</f>
        <v>#DIV/0!</v>
      </c>
      <c r="V461" s="179" t="e">
        <f>'Entrada e Saida'!$H$22*(Q461/(SUM(Q:Q)))</f>
        <v>#DIV/0!</v>
      </c>
      <c r="W461" s="8" t="e">
        <f t="shared" ref="W461:W498" si="193">R461+S461+U461</f>
        <v>#DIV/0!</v>
      </c>
      <c r="X461" s="179" t="e">
        <f>'Entrada e Saida'!$H$26*(IF('Entrada e Saida'!$H$15="PESO",(P461/(SUM(P:P))),(Q461/(SUM(Q:Q)))))</f>
        <v>#DIV/0!</v>
      </c>
      <c r="Y461" s="179" t="e">
        <f>'Entrada e Saida'!$H$27*(IF('Entrada e Saida'!$H$15="PESO",(P461/(SUM(P:P))),(Q461/(SUM(Q:Q)))))</f>
        <v>#DIV/0!</v>
      </c>
      <c r="Z461" s="179" t="e">
        <f>'Entrada e Saida'!$H$28*(IF('Entrada e Saida'!$H$15="PESO",(P461/(SUM(P:P))),(Q461/(SUM(Q:Q)))))</f>
        <v>#DIV/0!</v>
      </c>
      <c r="AA461" s="10" t="e">
        <f t="shared" ref="AA461:AA498" si="194">X461+Y461+Z461</f>
        <v>#DIV/0!</v>
      </c>
      <c r="AB461" s="3" t="e">
        <f t="shared" ref="AB461:AB498" si="195">W461*I461</f>
        <v>#DIV/0!</v>
      </c>
      <c r="AC461" s="3" t="e">
        <f t="shared" ref="AC461:AC498" si="196">W461*J461</f>
        <v>#DIV/0!</v>
      </c>
      <c r="AD461" s="3" t="e">
        <f t="shared" ref="AD461:AD498" si="197">W461*K461</f>
        <v>#DIV/0!</v>
      </c>
      <c r="AE461" s="9" t="e">
        <f t="shared" ref="AE461:AE498" si="198">(W461+AB461)*M461</f>
        <v>#DIV/0!</v>
      </c>
      <c r="AF461" s="126">
        <f>IFERROR(D461*F461*L461*'Entrada e Saida'!$K$8,0)</f>
        <v>0</v>
      </c>
      <c r="AG461" s="3" t="e">
        <f>((W461+AA461+AB461+AC461+AD461+AE461+AF461)/(1-'Entrada e Saida'!$G$65))*'Entrada e Saida'!$I$66</f>
        <v>#DIV/0!</v>
      </c>
      <c r="AH461" s="8" t="e">
        <f t="shared" ref="AH461:AH498" si="199">SUM(AB461:AG461)</f>
        <v>#DIV/0!</v>
      </c>
      <c r="AI461" s="183" t="e">
        <f>'Entrada e Saida'!$K$51*(IF('Entrada e Saida'!$H$15="PESO",(P461/(SUM(P:P))),(Q461/(SUM(Q:Q)))))</f>
        <v>#DIV/0!</v>
      </c>
      <c r="AJ461" s="7">
        <f>(('Entrada e Saida'!$K$10-'Entrada e Saida'!$K$8)*E461*D461)</f>
        <v>0</v>
      </c>
      <c r="AK461" s="184" t="e">
        <f>IF('Entrada e Saida'!$H$15="PESO",W461+AA461+AH461+AI461+AJ461,W461+AA461+AH461+AI461+AJ461-S461+T461-U461+V461)</f>
        <v>#DIV/0!</v>
      </c>
      <c r="AL461" s="6" t="e">
        <f>IF('Entrada e Saida'!$H$12="REAL",AC461,0)</f>
        <v>#DIV/0!</v>
      </c>
      <c r="AM461" s="6" t="e">
        <f>IF('Entrada e Saida'!$H$12="REAL",AD461,0)</f>
        <v>#DIV/0!</v>
      </c>
      <c r="AN461" s="5" t="e">
        <f>IF('Entrada e Saida'!$H$13= "NÃO",AE461,0)</f>
        <v>#DIV/0!</v>
      </c>
      <c r="AO461" s="5" t="e">
        <f t="shared" ref="AO461:AO498" si="200">AG461</f>
        <v>#DIV/0!</v>
      </c>
      <c r="AP461" s="4" t="e">
        <f t="shared" ref="AP461:AP498" si="201">AK461-SUM(AL461:AO461)</f>
        <v>#DIV/0!</v>
      </c>
      <c r="AQ461" s="3" t="e">
        <f>IF('Entrada e Saida'!$H$11="TRADING",AU461*'Custo Resumido'!D461,0)</f>
        <v>#DIV/0!</v>
      </c>
      <c r="AR461" s="3" t="e">
        <f>IF('Entrada e Saida'!$H$11="TRADING",AU461*'Entrada e Saida'!$G$63,0)</f>
        <v>#DIV/0!</v>
      </c>
      <c r="AS461" s="3" t="e">
        <f>IF('Entrada e Saida'!$H$11="TRADING",AU461*'Entrada e Saida'!$G$64,0)</f>
        <v>#DIV/0!</v>
      </c>
      <c r="AT461" s="3" t="e">
        <f>IF('Entrada e Saida'!$H$11="TRADING",AU461*'Entrada e Saida'!$G$65,0)</f>
        <v>#DIV/0!</v>
      </c>
      <c r="AU461" s="4" t="e">
        <f>IF('Entrada e Saida'!$H$11="TRADING",AP461/(1-(SUM('Entrada e Saida'!$G$63:$G$65)+'Custo Resumido'!D461)),0)</f>
        <v>#DIV/0!</v>
      </c>
      <c r="AV461" s="3" t="e">
        <f>IF('Entrada e Saida'!$H$13="NÃO",AU461*M461,0)</f>
        <v>#DIV/0!</v>
      </c>
      <c r="AW461" s="4" t="e">
        <f t="shared" ref="AW461:AW498" si="202">AU461+AV461</f>
        <v>#DIV/0!</v>
      </c>
      <c r="AX461" s="3" t="e">
        <f>'Entrada e Saida'!$G$74*AU461</f>
        <v>#DIV/0!</v>
      </c>
      <c r="AY461" s="4" t="e">
        <f t="shared" ref="AY461:AY498" si="203">AW461-AX461</f>
        <v>#DIV/0!</v>
      </c>
      <c r="AZ461" s="4" t="e">
        <f>AQ461+('Entrada e Saida'!$G$65-'Entrada e Saida'!$I$65)*AU461-AX461</f>
        <v>#DIV/0!</v>
      </c>
      <c r="BA461" s="3" t="e">
        <f>IF('Entrada e Saida'!$H$12="REAL",AZ461*'Entrada e Saida'!$G$81,AU461*'Entrada e Saida'!$G$81)</f>
        <v>#DIV/0!</v>
      </c>
      <c r="BB461" s="3" t="e">
        <f>IF('Entrada e Saida'!$H$12="REAL",AZ461*'Entrada e Saida'!$G$82,AU461*'Entrada e Saida'!$G$82)</f>
        <v>#DIV/0!</v>
      </c>
      <c r="BC461" s="4" t="e">
        <f t="shared" ref="BC461:BC498" si="204">AZ461-BA461-BB461</f>
        <v>#DIV/0!</v>
      </c>
      <c r="BD461" s="3" t="e">
        <f>IF('Entrada e Saida'!$H$11="TRADING",AW461/D461,AK461/D461)</f>
        <v>#DIV/0!</v>
      </c>
      <c r="BE461" s="3" t="e">
        <f t="shared" ref="BE461:BE498" si="205">AX461/D461</f>
        <v>#DIV/0!</v>
      </c>
      <c r="BF461" s="2" t="e">
        <f t="shared" ref="BF461:BF498" si="206">BD461-BE461</f>
        <v>#DIV/0!</v>
      </c>
      <c r="BG461" s="3" t="e">
        <f>IF('Entrada e Saida'!$H$11="TRADING",AV461/D461,AN461/D461)</f>
        <v>#DIV/0!</v>
      </c>
      <c r="BH461" s="3" t="e">
        <f>IF('Entrada e Saida'!$H$11="TRADING",IF('Entrada e Saida'!$H$12="REAL",AR461/D461,0),AL461/D461)</f>
        <v>#DIV/0!</v>
      </c>
      <c r="BI461" s="3" t="e">
        <f>IF('Entrada e Saida'!$H$11="TRADING",IF('Entrada e Saida'!$H$12="REAL",AS461/D461,0),AM461/D461)</f>
        <v>#DIV/0!</v>
      </c>
      <c r="BJ461" s="3" t="e">
        <f>IF('Entrada e Saida'!$H$11="TRADING",AT461/D461,AO461/D461)</f>
        <v>#DIV/0!</v>
      </c>
      <c r="BK461" s="2" t="e">
        <f t="shared" ref="BK461:BK498" si="207">BF461-SUM(BG461:BJ461)</f>
        <v>#DIV/0!</v>
      </c>
      <c r="BL461" s="2">
        <f>IF(O461&gt;0,IFERROR(IF('Entrada e Saida'!$H$11="DIRETA",0,(IF('Entrada e Saida'!$H$14="P.JURIDICA",(BD461*(1+O461)*N461)-((BD461/(1+M461))*'Entrada e Saida'!$G$65),((Produtos!N461-'Entrada e Saida'!$G$65)*Produtos!BD461)))),0),0)</f>
        <v>0</v>
      </c>
      <c r="BM461" s="2" t="e">
        <f t="shared" ref="BM461:BM498" si="208">BF461+BL461</f>
        <v>#DIV/0!</v>
      </c>
    </row>
    <row r="462" spans="1:65" s="1" customFormat="1">
      <c r="A462" s="127"/>
      <c r="B462" s="114">
        <f>IFERROR(VLOOKUP(A462,'Master Modelo'!A:I,7,FALSE),0)</f>
        <v>0</v>
      </c>
      <c r="C462" s="116">
        <f>IFERROR(VLOOKUP(A462,'Master Modelo'!A:I,2,FALSE),0)</f>
        <v>0</v>
      </c>
      <c r="D462" s="146"/>
      <c r="E462" s="115">
        <f>IFERROR(VLOOKUP(A462,'Master Modelo'!A:I,9,FALSE),0)</f>
        <v>0</v>
      </c>
      <c r="F462" s="189">
        <f>IFERROR(VLOOKUP(A462,'Master Modelo'!A:I,8,FALSE),0)</f>
        <v>0</v>
      </c>
      <c r="G462" s="189">
        <f>IFERROR(VLOOKUP(A462,'Master Modelo'!A:K,11,FALSE),0)</f>
        <v>0</v>
      </c>
      <c r="H462" s="114" t="e">
        <f t="shared" si="191"/>
        <v>#DIV/0!</v>
      </c>
      <c r="I462" s="150">
        <f>IFERROR(VLOOKUP(A462,'Master Modelo'!A:I,3,FALSE),0)</f>
        <v>0</v>
      </c>
      <c r="J462" s="151">
        <f>IFERROR(VLOOKUP(A462,'Master Modelo'!A:I,5,FALSE),0)</f>
        <v>0</v>
      </c>
      <c r="K462" s="151">
        <f>IFERROR(VLOOKUP(A462,'Master Modelo'!A:I,6,FALSE),0)</f>
        <v>0</v>
      </c>
      <c r="L462" s="152" t="e">
        <f>VLOOKUP(A462,'Master Modelo'!A:J,10,FALSE)</f>
        <v>#N/A</v>
      </c>
      <c r="M462" s="150">
        <f>IFERROR(VLOOKUP(A462,'Master Modelo'!A:I,4,FALSE),0)</f>
        <v>0</v>
      </c>
      <c r="N462" s="128"/>
      <c r="O462" s="129"/>
      <c r="P462" s="9">
        <f t="shared" si="192"/>
        <v>0</v>
      </c>
      <c r="Q462" s="177">
        <f t="shared" si="190"/>
        <v>0</v>
      </c>
      <c r="R462" s="3">
        <f>D462*E462*'Entrada e Saida'!$K$8</f>
        <v>0</v>
      </c>
      <c r="S462" s="179" t="e">
        <f>'Entrada e Saida'!$H$21*'Entrada e Saida'!$K$8*(P462/(SUM(P:P)))</f>
        <v>#DIV/0!</v>
      </c>
      <c r="T462" s="179" t="e">
        <f>'Entrada e Saida'!$H$21*'Entrada e Saida'!$K$8*(Q462/(SUM(Q:Q)))</f>
        <v>#DIV/0!</v>
      </c>
      <c r="U462" s="179" t="e">
        <f>'Entrada e Saida'!$H$22*(P462/(SUM(P:P)))</f>
        <v>#DIV/0!</v>
      </c>
      <c r="V462" s="179" t="e">
        <f>'Entrada e Saida'!$H$22*(Q462/(SUM(Q:Q)))</f>
        <v>#DIV/0!</v>
      </c>
      <c r="W462" s="8" t="e">
        <f t="shared" si="193"/>
        <v>#DIV/0!</v>
      </c>
      <c r="X462" s="179" t="e">
        <f>'Entrada e Saida'!$H$26*(IF('Entrada e Saida'!$H$15="PESO",(P462/(SUM(P:P))),(Q462/(SUM(Q:Q)))))</f>
        <v>#DIV/0!</v>
      </c>
      <c r="Y462" s="179" t="e">
        <f>'Entrada e Saida'!$H$27*(IF('Entrada e Saida'!$H$15="PESO",(P462/(SUM(P:P))),(Q462/(SUM(Q:Q)))))</f>
        <v>#DIV/0!</v>
      </c>
      <c r="Z462" s="179" t="e">
        <f>'Entrada e Saida'!$H$28*(IF('Entrada e Saida'!$H$15="PESO",(P462/(SUM(P:P))),(Q462/(SUM(Q:Q)))))</f>
        <v>#DIV/0!</v>
      </c>
      <c r="AA462" s="10" t="e">
        <f t="shared" si="194"/>
        <v>#DIV/0!</v>
      </c>
      <c r="AB462" s="3" t="e">
        <f t="shared" si="195"/>
        <v>#DIV/0!</v>
      </c>
      <c r="AC462" s="3" t="e">
        <f t="shared" si="196"/>
        <v>#DIV/0!</v>
      </c>
      <c r="AD462" s="3" t="e">
        <f t="shared" si="197"/>
        <v>#DIV/0!</v>
      </c>
      <c r="AE462" s="9" t="e">
        <f t="shared" si="198"/>
        <v>#DIV/0!</v>
      </c>
      <c r="AF462" s="126">
        <f>IFERROR(D462*F462*L462*'Entrada e Saida'!$K$8,0)</f>
        <v>0</v>
      </c>
      <c r="AG462" s="3" t="e">
        <f>((W462+AA462+AB462+AC462+AD462+AE462+AF462)/(1-'Entrada e Saida'!$G$65))*'Entrada e Saida'!$I$66</f>
        <v>#DIV/0!</v>
      </c>
      <c r="AH462" s="8" t="e">
        <f t="shared" si="199"/>
        <v>#DIV/0!</v>
      </c>
      <c r="AI462" s="183" t="e">
        <f>'Entrada e Saida'!$K$51*(IF('Entrada e Saida'!$H$15="PESO",(P462/(SUM(P:P))),(Q462/(SUM(Q:Q)))))</f>
        <v>#DIV/0!</v>
      </c>
      <c r="AJ462" s="7">
        <f>(('Entrada e Saida'!$K$10-'Entrada e Saida'!$K$8)*E462*D462)</f>
        <v>0</v>
      </c>
      <c r="AK462" s="184" t="e">
        <f>IF('Entrada e Saida'!$H$15="PESO",W462+AA462+AH462+AI462+AJ462,W462+AA462+AH462+AI462+AJ462-S462+T462-U462+V462)</f>
        <v>#DIV/0!</v>
      </c>
      <c r="AL462" s="6" t="e">
        <f>IF('Entrada e Saida'!$H$12="REAL",AC462,0)</f>
        <v>#DIV/0!</v>
      </c>
      <c r="AM462" s="6" t="e">
        <f>IF('Entrada e Saida'!$H$12="REAL",AD462,0)</f>
        <v>#DIV/0!</v>
      </c>
      <c r="AN462" s="5" t="e">
        <f>IF('Entrada e Saida'!$H$13= "NÃO",AE462,0)</f>
        <v>#DIV/0!</v>
      </c>
      <c r="AO462" s="5" t="e">
        <f t="shared" si="200"/>
        <v>#DIV/0!</v>
      </c>
      <c r="AP462" s="4" t="e">
        <f t="shared" si="201"/>
        <v>#DIV/0!</v>
      </c>
      <c r="AQ462" s="3" t="e">
        <f>IF('Entrada e Saida'!$H$11="TRADING",AU462*'Custo Resumido'!D462,0)</f>
        <v>#DIV/0!</v>
      </c>
      <c r="AR462" s="3" t="e">
        <f>IF('Entrada e Saida'!$H$11="TRADING",AU462*'Entrada e Saida'!$G$63,0)</f>
        <v>#DIV/0!</v>
      </c>
      <c r="AS462" s="3" t="e">
        <f>IF('Entrada e Saida'!$H$11="TRADING",AU462*'Entrada e Saida'!$G$64,0)</f>
        <v>#DIV/0!</v>
      </c>
      <c r="AT462" s="3" t="e">
        <f>IF('Entrada e Saida'!$H$11="TRADING",AU462*'Entrada e Saida'!$G$65,0)</f>
        <v>#DIV/0!</v>
      </c>
      <c r="AU462" s="4" t="e">
        <f>IF('Entrada e Saida'!$H$11="TRADING",AP462/(1-(SUM('Entrada e Saida'!$G$63:$G$65)+'Custo Resumido'!D462)),0)</f>
        <v>#DIV/0!</v>
      </c>
      <c r="AV462" s="3" t="e">
        <f>IF('Entrada e Saida'!$H$13="NÃO",AU462*M462,0)</f>
        <v>#DIV/0!</v>
      </c>
      <c r="AW462" s="4" t="e">
        <f t="shared" si="202"/>
        <v>#DIV/0!</v>
      </c>
      <c r="AX462" s="3" t="e">
        <f>'Entrada e Saida'!$G$74*AU462</f>
        <v>#DIV/0!</v>
      </c>
      <c r="AY462" s="4" t="e">
        <f t="shared" si="203"/>
        <v>#DIV/0!</v>
      </c>
      <c r="AZ462" s="4" t="e">
        <f>AQ462+('Entrada e Saida'!$G$65-'Entrada e Saida'!$I$65)*AU462-AX462</f>
        <v>#DIV/0!</v>
      </c>
      <c r="BA462" s="3" t="e">
        <f>IF('Entrada e Saida'!$H$12="REAL",AZ462*'Entrada e Saida'!$G$81,AU462*'Entrada e Saida'!$G$81)</f>
        <v>#DIV/0!</v>
      </c>
      <c r="BB462" s="3" t="e">
        <f>IF('Entrada e Saida'!$H$12="REAL",AZ462*'Entrada e Saida'!$G$82,AU462*'Entrada e Saida'!$G$82)</f>
        <v>#DIV/0!</v>
      </c>
      <c r="BC462" s="4" t="e">
        <f t="shared" si="204"/>
        <v>#DIV/0!</v>
      </c>
      <c r="BD462" s="3" t="e">
        <f>IF('Entrada e Saida'!$H$11="TRADING",AW462/D462,AK462/D462)</f>
        <v>#DIV/0!</v>
      </c>
      <c r="BE462" s="3" t="e">
        <f t="shared" si="205"/>
        <v>#DIV/0!</v>
      </c>
      <c r="BF462" s="2" t="e">
        <f t="shared" si="206"/>
        <v>#DIV/0!</v>
      </c>
      <c r="BG462" s="3" t="e">
        <f>IF('Entrada e Saida'!$H$11="TRADING",AV462/D462,AN462/D462)</f>
        <v>#DIV/0!</v>
      </c>
      <c r="BH462" s="3" t="e">
        <f>IF('Entrada e Saida'!$H$11="TRADING",IF('Entrada e Saida'!$H$12="REAL",AR462/D462,0),AL462/D462)</f>
        <v>#DIV/0!</v>
      </c>
      <c r="BI462" s="3" t="e">
        <f>IF('Entrada e Saida'!$H$11="TRADING",IF('Entrada e Saida'!$H$12="REAL",AS462/D462,0),AM462/D462)</f>
        <v>#DIV/0!</v>
      </c>
      <c r="BJ462" s="3" t="e">
        <f>IF('Entrada e Saida'!$H$11="TRADING",AT462/D462,AO462/D462)</f>
        <v>#DIV/0!</v>
      </c>
      <c r="BK462" s="2" t="e">
        <f t="shared" si="207"/>
        <v>#DIV/0!</v>
      </c>
      <c r="BL462" s="2">
        <f>IF(O462&gt;0,IFERROR(IF('Entrada e Saida'!$H$11="DIRETA",0,(IF('Entrada e Saida'!$H$14="P.JURIDICA",(BD462*(1+O462)*N462)-((BD462/(1+M462))*'Entrada e Saida'!$G$65),((Produtos!N462-'Entrada e Saida'!$G$65)*Produtos!BD462)))),0),0)</f>
        <v>0</v>
      </c>
      <c r="BM462" s="2" t="e">
        <f t="shared" si="208"/>
        <v>#DIV/0!</v>
      </c>
    </row>
    <row r="463" spans="1:65" s="1" customFormat="1">
      <c r="A463" s="127"/>
      <c r="B463" s="114">
        <f>IFERROR(VLOOKUP(A463,'Master Modelo'!A:I,7,FALSE),0)</f>
        <v>0</v>
      </c>
      <c r="C463" s="116">
        <f>IFERROR(VLOOKUP(A463,'Master Modelo'!A:I,2,FALSE),0)</f>
        <v>0</v>
      </c>
      <c r="D463" s="146"/>
      <c r="E463" s="115">
        <f>IFERROR(VLOOKUP(A463,'Master Modelo'!A:I,9,FALSE),0)</f>
        <v>0</v>
      </c>
      <c r="F463" s="189">
        <f>IFERROR(VLOOKUP(A463,'Master Modelo'!A:I,8,FALSE),0)</f>
        <v>0</v>
      </c>
      <c r="G463" s="189">
        <f>IFERROR(VLOOKUP(A463,'Master Modelo'!A:K,11,FALSE),0)</f>
        <v>0</v>
      </c>
      <c r="H463" s="114" t="e">
        <f t="shared" si="191"/>
        <v>#DIV/0!</v>
      </c>
      <c r="I463" s="150">
        <f>IFERROR(VLOOKUP(A463,'Master Modelo'!A:I,3,FALSE),0)</f>
        <v>0</v>
      </c>
      <c r="J463" s="151">
        <f>IFERROR(VLOOKUP(A463,'Master Modelo'!A:I,5,FALSE),0)</f>
        <v>0</v>
      </c>
      <c r="K463" s="151">
        <f>IFERROR(VLOOKUP(A463,'Master Modelo'!A:I,6,FALSE),0)</f>
        <v>0</v>
      </c>
      <c r="L463" s="152" t="e">
        <f>VLOOKUP(A463,'Master Modelo'!A:J,10,FALSE)</f>
        <v>#N/A</v>
      </c>
      <c r="M463" s="150">
        <f>IFERROR(VLOOKUP(A463,'Master Modelo'!A:I,4,FALSE),0)</f>
        <v>0</v>
      </c>
      <c r="N463" s="128"/>
      <c r="O463" s="129"/>
      <c r="P463" s="9">
        <f t="shared" si="192"/>
        <v>0</v>
      </c>
      <c r="Q463" s="177">
        <f t="shared" si="190"/>
        <v>0</v>
      </c>
      <c r="R463" s="3">
        <f>D463*E463*'Entrada e Saida'!$K$8</f>
        <v>0</v>
      </c>
      <c r="S463" s="179" t="e">
        <f>'Entrada e Saida'!$H$21*'Entrada e Saida'!$K$8*(P463/(SUM(P:P)))</f>
        <v>#DIV/0!</v>
      </c>
      <c r="T463" s="179" t="e">
        <f>'Entrada e Saida'!$H$21*'Entrada e Saida'!$K$8*(Q463/(SUM(Q:Q)))</f>
        <v>#DIV/0!</v>
      </c>
      <c r="U463" s="179" t="e">
        <f>'Entrada e Saida'!$H$22*(P463/(SUM(P:P)))</f>
        <v>#DIV/0!</v>
      </c>
      <c r="V463" s="179" t="e">
        <f>'Entrada e Saida'!$H$22*(Q463/(SUM(Q:Q)))</f>
        <v>#DIV/0!</v>
      </c>
      <c r="W463" s="8" t="e">
        <f t="shared" si="193"/>
        <v>#DIV/0!</v>
      </c>
      <c r="X463" s="179" t="e">
        <f>'Entrada e Saida'!$H$26*(IF('Entrada e Saida'!$H$15="PESO",(P463/(SUM(P:P))),(Q463/(SUM(Q:Q)))))</f>
        <v>#DIV/0!</v>
      </c>
      <c r="Y463" s="179" t="e">
        <f>'Entrada e Saida'!$H$27*(IF('Entrada e Saida'!$H$15="PESO",(P463/(SUM(P:P))),(Q463/(SUM(Q:Q)))))</f>
        <v>#DIV/0!</v>
      </c>
      <c r="Z463" s="179" t="e">
        <f>'Entrada e Saida'!$H$28*(IF('Entrada e Saida'!$H$15="PESO",(P463/(SUM(P:P))),(Q463/(SUM(Q:Q)))))</f>
        <v>#DIV/0!</v>
      </c>
      <c r="AA463" s="10" t="e">
        <f t="shared" si="194"/>
        <v>#DIV/0!</v>
      </c>
      <c r="AB463" s="3" t="e">
        <f t="shared" si="195"/>
        <v>#DIV/0!</v>
      </c>
      <c r="AC463" s="3" t="e">
        <f t="shared" si="196"/>
        <v>#DIV/0!</v>
      </c>
      <c r="AD463" s="3" t="e">
        <f t="shared" si="197"/>
        <v>#DIV/0!</v>
      </c>
      <c r="AE463" s="9" t="e">
        <f t="shared" si="198"/>
        <v>#DIV/0!</v>
      </c>
      <c r="AF463" s="126">
        <f>IFERROR(D463*F463*L463*'Entrada e Saida'!$K$8,0)</f>
        <v>0</v>
      </c>
      <c r="AG463" s="3" t="e">
        <f>((W463+AA463+AB463+AC463+AD463+AE463+AF463)/(1-'Entrada e Saida'!$G$65))*'Entrada e Saida'!$I$66</f>
        <v>#DIV/0!</v>
      </c>
      <c r="AH463" s="8" t="e">
        <f t="shared" si="199"/>
        <v>#DIV/0!</v>
      </c>
      <c r="AI463" s="183" t="e">
        <f>'Entrada e Saida'!$K$51*(IF('Entrada e Saida'!$H$15="PESO",(P463/(SUM(P:P))),(Q463/(SUM(Q:Q)))))</f>
        <v>#DIV/0!</v>
      </c>
      <c r="AJ463" s="7">
        <f>(('Entrada e Saida'!$K$10-'Entrada e Saida'!$K$8)*E463*D463)</f>
        <v>0</v>
      </c>
      <c r="AK463" s="184" t="e">
        <f>IF('Entrada e Saida'!$H$15="PESO",W463+AA463+AH463+AI463+AJ463,W463+AA463+AH463+AI463+AJ463-S463+T463-U463+V463)</f>
        <v>#DIV/0!</v>
      </c>
      <c r="AL463" s="6" t="e">
        <f>IF('Entrada e Saida'!$H$12="REAL",AC463,0)</f>
        <v>#DIV/0!</v>
      </c>
      <c r="AM463" s="6" t="e">
        <f>IF('Entrada e Saida'!$H$12="REAL",AD463,0)</f>
        <v>#DIV/0!</v>
      </c>
      <c r="AN463" s="5" t="e">
        <f>IF('Entrada e Saida'!$H$13= "NÃO",AE463,0)</f>
        <v>#DIV/0!</v>
      </c>
      <c r="AO463" s="5" t="e">
        <f t="shared" si="200"/>
        <v>#DIV/0!</v>
      </c>
      <c r="AP463" s="4" t="e">
        <f t="shared" si="201"/>
        <v>#DIV/0!</v>
      </c>
      <c r="AQ463" s="3" t="e">
        <f>IF('Entrada e Saida'!$H$11="TRADING",AU463*'Custo Resumido'!D463,0)</f>
        <v>#DIV/0!</v>
      </c>
      <c r="AR463" s="3" t="e">
        <f>IF('Entrada e Saida'!$H$11="TRADING",AU463*'Entrada e Saida'!$G$63,0)</f>
        <v>#DIV/0!</v>
      </c>
      <c r="AS463" s="3" t="e">
        <f>IF('Entrada e Saida'!$H$11="TRADING",AU463*'Entrada e Saida'!$G$64,0)</f>
        <v>#DIV/0!</v>
      </c>
      <c r="AT463" s="3" t="e">
        <f>IF('Entrada e Saida'!$H$11="TRADING",AU463*'Entrada e Saida'!$G$65,0)</f>
        <v>#DIV/0!</v>
      </c>
      <c r="AU463" s="4" t="e">
        <f>IF('Entrada e Saida'!$H$11="TRADING",AP463/(1-(SUM('Entrada e Saida'!$G$63:$G$65)+'Custo Resumido'!D463)),0)</f>
        <v>#DIV/0!</v>
      </c>
      <c r="AV463" s="3" t="e">
        <f>IF('Entrada e Saida'!$H$13="NÃO",AU463*M463,0)</f>
        <v>#DIV/0!</v>
      </c>
      <c r="AW463" s="4" t="e">
        <f t="shared" si="202"/>
        <v>#DIV/0!</v>
      </c>
      <c r="AX463" s="3" t="e">
        <f>'Entrada e Saida'!$G$74*AU463</f>
        <v>#DIV/0!</v>
      </c>
      <c r="AY463" s="4" t="e">
        <f t="shared" si="203"/>
        <v>#DIV/0!</v>
      </c>
      <c r="AZ463" s="4" t="e">
        <f>AQ463+('Entrada e Saida'!$G$65-'Entrada e Saida'!$I$65)*AU463-AX463</f>
        <v>#DIV/0!</v>
      </c>
      <c r="BA463" s="3" t="e">
        <f>IF('Entrada e Saida'!$H$12="REAL",AZ463*'Entrada e Saida'!$G$81,AU463*'Entrada e Saida'!$G$81)</f>
        <v>#DIV/0!</v>
      </c>
      <c r="BB463" s="3" t="e">
        <f>IF('Entrada e Saida'!$H$12="REAL",AZ463*'Entrada e Saida'!$G$82,AU463*'Entrada e Saida'!$G$82)</f>
        <v>#DIV/0!</v>
      </c>
      <c r="BC463" s="4" t="e">
        <f t="shared" si="204"/>
        <v>#DIV/0!</v>
      </c>
      <c r="BD463" s="3" t="e">
        <f>IF('Entrada e Saida'!$H$11="TRADING",AW463/D463,AK463/D463)</f>
        <v>#DIV/0!</v>
      </c>
      <c r="BE463" s="3" t="e">
        <f t="shared" si="205"/>
        <v>#DIV/0!</v>
      </c>
      <c r="BF463" s="2" t="e">
        <f t="shared" si="206"/>
        <v>#DIV/0!</v>
      </c>
      <c r="BG463" s="3" t="e">
        <f>IF('Entrada e Saida'!$H$11="TRADING",AV463/D463,AN463/D463)</f>
        <v>#DIV/0!</v>
      </c>
      <c r="BH463" s="3" t="e">
        <f>IF('Entrada e Saida'!$H$11="TRADING",IF('Entrada e Saida'!$H$12="REAL",AR463/D463,0),AL463/D463)</f>
        <v>#DIV/0!</v>
      </c>
      <c r="BI463" s="3" t="e">
        <f>IF('Entrada e Saida'!$H$11="TRADING",IF('Entrada e Saida'!$H$12="REAL",AS463/D463,0),AM463/D463)</f>
        <v>#DIV/0!</v>
      </c>
      <c r="BJ463" s="3" t="e">
        <f>IF('Entrada e Saida'!$H$11="TRADING",AT463/D463,AO463/D463)</f>
        <v>#DIV/0!</v>
      </c>
      <c r="BK463" s="2" t="e">
        <f t="shared" si="207"/>
        <v>#DIV/0!</v>
      </c>
      <c r="BL463" s="2">
        <f>IF(O463&gt;0,IFERROR(IF('Entrada e Saida'!$H$11="DIRETA",0,(IF('Entrada e Saida'!$H$14="P.JURIDICA",(BD463*(1+O463)*N463)-((BD463/(1+M463))*'Entrada e Saida'!$G$65),((Produtos!N463-'Entrada e Saida'!$G$65)*Produtos!BD463)))),0),0)</f>
        <v>0</v>
      </c>
      <c r="BM463" s="2" t="e">
        <f t="shared" si="208"/>
        <v>#DIV/0!</v>
      </c>
    </row>
    <row r="464" spans="1:65" s="1" customFormat="1">
      <c r="A464" s="127"/>
      <c r="B464" s="114">
        <f>IFERROR(VLOOKUP(A464,'Master Modelo'!A:I,7,FALSE),0)</f>
        <v>0</v>
      </c>
      <c r="C464" s="116">
        <f>IFERROR(VLOOKUP(A464,'Master Modelo'!A:I,2,FALSE),0)</f>
        <v>0</v>
      </c>
      <c r="D464" s="146"/>
      <c r="E464" s="115">
        <f>IFERROR(VLOOKUP(A464,'Master Modelo'!A:I,9,FALSE),0)</f>
        <v>0</v>
      </c>
      <c r="F464" s="189">
        <f>IFERROR(VLOOKUP(A464,'Master Modelo'!A:I,8,FALSE),0)</f>
        <v>0</v>
      </c>
      <c r="G464" s="189">
        <f>IFERROR(VLOOKUP(A464,'Master Modelo'!A:K,11,FALSE),0)</f>
        <v>0</v>
      </c>
      <c r="H464" s="114" t="e">
        <f t="shared" si="191"/>
        <v>#DIV/0!</v>
      </c>
      <c r="I464" s="150">
        <f>IFERROR(VLOOKUP(A464,'Master Modelo'!A:I,3,FALSE),0)</f>
        <v>0</v>
      </c>
      <c r="J464" s="151">
        <f>IFERROR(VLOOKUP(A464,'Master Modelo'!A:I,5,FALSE),0)</f>
        <v>0</v>
      </c>
      <c r="K464" s="151">
        <f>IFERROR(VLOOKUP(A464,'Master Modelo'!A:I,6,FALSE),0)</f>
        <v>0</v>
      </c>
      <c r="L464" s="152" t="e">
        <f>VLOOKUP(A464,'Master Modelo'!A:J,10,FALSE)</f>
        <v>#N/A</v>
      </c>
      <c r="M464" s="150">
        <f>IFERROR(VLOOKUP(A464,'Master Modelo'!A:I,4,FALSE),0)</f>
        <v>0</v>
      </c>
      <c r="N464" s="128"/>
      <c r="O464" s="129"/>
      <c r="P464" s="9">
        <f t="shared" si="192"/>
        <v>0</v>
      </c>
      <c r="Q464" s="177">
        <f t="shared" si="190"/>
        <v>0</v>
      </c>
      <c r="R464" s="3">
        <f>D464*E464*'Entrada e Saida'!$K$8</f>
        <v>0</v>
      </c>
      <c r="S464" s="179" t="e">
        <f>'Entrada e Saida'!$H$21*'Entrada e Saida'!$K$8*(P464/(SUM(P:P)))</f>
        <v>#DIV/0!</v>
      </c>
      <c r="T464" s="179" t="e">
        <f>'Entrada e Saida'!$H$21*'Entrada e Saida'!$K$8*(Q464/(SUM(Q:Q)))</f>
        <v>#DIV/0!</v>
      </c>
      <c r="U464" s="179" t="e">
        <f>'Entrada e Saida'!$H$22*(P464/(SUM(P:P)))</f>
        <v>#DIV/0!</v>
      </c>
      <c r="V464" s="179" t="e">
        <f>'Entrada e Saida'!$H$22*(Q464/(SUM(Q:Q)))</f>
        <v>#DIV/0!</v>
      </c>
      <c r="W464" s="8" t="e">
        <f t="shared" si="193"/>
        <v>#DIV/0!</v>
      </c>
      <c r="X464" s="179" t="e">
        <f>'Entrada e Saida'!$H$26*(IF('Entrada e Saida'!$H$15="PESO",(P464/(SUM(P:P))),(Q464/(SUM(Q:Q)))))</f>
        <v>#DIV/0!</v>
      </c>
      <c r="Y464" s="179" t="e">
        <f>'Entrada e Saida'!$H$27*(IF('Entrada e Saida'!$H$15="PESO",(P464/(SUM(P:P))),(Q464/(SUM(Q:Q)))))</f>
        <v>#DIV/0!</v>
      </c>
      <c r="Z464" s="179" t="e">
        <f>'Entrada e Saida'!$H$28*(IF('Entrada e Saida'!$H$15="PESO",(P464/(SUM(P:P))),(Q464/(SUM(Q:Q)))))</f>
        <v>#DIV/0!</v>
      </c>
      <c r="AA464" s="10" t="e">
        <f t="shared" si="194"/>
        <v>#DIV/0!</v>
      </c>
      <c r="AB464" s="3" t="e">
        <f t="shared" si="195"/>
        <v>#DIV/0!</v>
      </c>
      <c r="AC464" s="3" t="e">
        <f t="shared" si="196"/>
        <v>#DIV/0!</v>
      </c>
      <c r="AD464" s="3" t="e">
        <f t="shared" si="197"/>
        <v>#DIV/0!</v>
      </c>
      <c r="AE464" s="9" t="e">
        <f t="shared" si="198"/>
        <v>#DIV/0!</v>
      </c>
      <c r="AF464" s="126">
        <f>IFERROR(D464*F464*L464*'Entrada e Saida'!$K$8,0)</f>
        <v>0</v>
      </c>
      <c r="AG464" s="3" t="e">
        <f>((W464+AA464+AB464+AC464+AD464+AE464+AF464)/(1-'Entrada e Saida'!$G$65))*'Entrada e Saida'!$I$66</f>
        <v>#DIV/0!</v>
      </c>
      <c r="AH464" s="8" t="e">
        <f t="shared" si="199"/>
        <v>#DIV/0!</v>
      </c>
      <c r="AI464" s="183" t="e">
        <f>'Entrada e Saida'!$K$51*(IF('Entrada e Saida'!$H$15="PESO",(P464/(SUM(P:P))),(Q464/(SUM(Q:Q)))))</f>
        <v>#DIV/0!</v>
      </c>
      <c r="AJ464" s="7">
        <f>(('Entrada e Saida'!$K$10-'Entrada e Saida'!$K$8)*E464*D464)</f>
        <v>0</v>
      </c>
      <c r="AK464" s="184" t="e">
        <f>IF('Entrada e Saida'!$H$15="PESO",W464+AA464+AH464+AI464+AJ464,W464+AA464+AH464+AI464+AJ464-S464+T464-U464+V464)</f>
        <v>#DIV/0!</v>
      </c>
      <c r="AL464" s="6" t="e">
        <f>IF('Entrada e Saida'!$H$12="REAL",AC464,0)</f>
        <v>#DIV/0!</v>
      </c>
      <c r="AM464" s="6" t="e">
        <f>IF('Entrada e Saida'!$H$12="REAL",AD464,0)</f>
        <v>#DIV/0!</v>
      </c>
      <c r="AN464" s="5" t="e">
        <f>IF('Entrada e Saida'!$H$13= "NÃO",AE464,0)</f>
        <v>#DIV/0!</v>
      </c>
      <c r="AO464" s="5" t="e">
        <f t="shared" si="200"/>
        <v>#DIV/0!</v>
      </c>
      <c r="AP464" s="4" t="e">
        <f t="shared" si="201"/>
        <v>#DIV/0!</v>
      </c>
      <c r="AQ464" s="3" t="e">
        <f>IF('Entrada e Saida'!$H$11="TRADING",AU464*'Custo Resumido'!D464,0)</f>
        <v>#DIV/0!</v>
      </c>
      <c r="AR464" s="3" t="e">
        <f>IF('Entrada e Saida'!$H$11="TRADING",AU464*'Entrada e Saida'!$G$63,0)</f>
        <v>#DIV/0!</v>
      </c>
      <c r="AS464" s="3" t="e">
        <f>IF('Entrada e Saida'!$H$11="TRADING",AU464*'Entrada e Saida'!$G$64,0)</f>
        <v>#DIV/0!</v>
      </c>
      <c r="AT464" s="3" t="e">
        <f>IF('Entrada e Saida'!$H$11="TRADING",AU464*'Entrada e Saida'!$G$65,0)</f>
        <v>#DIV/0!</v>
      </c>
      <c r="AU464" s="4" t="e">
        <f>IF('Entrada e Saida'!$H$11="TRADING",AP464/(1-(SUM('Entrada e Saida'!$G$63:$G$65)+'Custo Resumido'!D464)),0)</f>
        <v>#DIV/0!</v>
      </c>
      <c r="AV464" s="3" t="e">
        <f>IF('Entrada e Saida'!$H$13="NÃO",AU464*M464,0)</f>
        <v>#DIV/0!</v>
      </c>
      <c r="AW464" s="4" t="e">
        <f t="shared" si="202"/>
        <v>#DIV/0!</v>
      </c>
      <c r="AX464" s="3" t="e">
        <f>'Entrada e Saida'!$G$74*AU464</f>
        <v>#DIV/0!</v>
      </c>
      <c r="AY464" s="4" t="e">
        <f t="shared" si="203"/>
        <v>#DIV/0!</v>
      </c>
      <c r="AZ464" s="4" t="e">
        <f>AQ464+('Entrada e Saida'!$G$65-'Entrada e Saida'!$I$65)*AU464-AX464</f>
        <v>#DIV/0!</v>
      </c>
      <c r="BA464" s="3" t="e">
        <f>IF('Entrada e Saida'!$H$12="REAL",AZ464*'Entrada e Saida'!$G$81,AU464*'Entrada e Saida'!$G$81)</f>
        <v>#DIV/0!</v>
      </c>
      <c r="BB464" s="3" t="e">
        <f>IF('Entrada e Saida'!$H$12="REAL",AZ464*'Entrada e Saida'!$G$82,AU464*'Entrada e Saida'!$G$82)</f>
        <v>#DIV/0!</v>
      </c>
      <c r="BC464" s="4" t="e">
        <f t="shared" si="204"/>
        <v>#DIV/0!</v>
      </c>
      <c r="BD464" s="3" t="e">
        <f>IF('Entrada e Saida'!$H$11="TRADING",AW464/D464,AK464/D464)</f>
        <v>#DIV/0!</v>
      </c>
      <c r="BE464" s="3" t="e">
        <f t="shared" si="205"/>
        <v>#DIV/0!</v>
      </c>
      <c r="BF464" s="2" t="e">
        <f t="shared" si="206"/>
        <v>#DIV/0!</v>
      </c>
      <c r="BG464" s="3" t="e">
        <f>IF('Entrada e Saida'!$H$11="TRADING",AV464/D464,AN464/D464)</f>
        <v>#DIV/0!</v>
      </c>
      <c r="BH464" s="3" t="e">
        <f>IF('Entrada e Saida'!$H$11="TRADING",IF('Entrada e Saida'!$H$12="REAL",AR464/D464,0),AL464/D464)</f>
        <v>#DIV/0!</v>
      </c>
      <c r="BI464" s="3" t="e">
        <f>IF('Entrada e Saida'!$H$11="TRADING",IF('Entrada e Saida'!$H$12="REAL",AS464/D464,0),AM464/D464)</f>
        <v>#DIV/0!</v>
      </c>
      <c r="BJ464" s="3" t="e">
        <f>IF('Entrada e Saida'!$H$11="TRADING",AT464/D464,AO464/D464)</f>
        <v>#DIV/0!</v>
      </c>
      <c r="BK464" s="2" t="e">
        <f t="shared" si="207"/>
        <v>#DIV/0!</v>
      </c>
      <c r="BL464" s="2">
        <f>IF(O464&gt;0,IFERROR(IF('Entrada e Saida'!$H$11="DIRETA",0,(IF('Entrada e Saida'!$H$14="P.JURIDICA",(BD464*(1+O464)*N464)-((BD464/(1+M464))*'Entrada e Saida'!$G$65),((Produtos!N464-'Entrada e Saida'!$G$65)*Produtos!BD464)))),0),0)</f>
        <v>0</v>
      </c>
      <c r="BM464" s="2" t="e">
        <f t="shared" si="208"/>
        <v>#DIV/0!</v>
      </c>
    </row>
    <row r="465" spans="1:65" s="1" customFormat="1">
      <c r="A465" s="127"/>
      <c r="B465" s="114">
        <f>IFERROR(VLOOKUP(A465,'Master Modelo'!A:I,7,FALSE),0)</f>
        <v>0</v>
      </c>
      <c r="C465" s="116">
        <f>IFERROR(VLOOKUP(A465,'Master Modelo'!A:I,2,FALSE),0)</f>
        <v>0</v>
      </c>
      <c r="D465" s="146"/>
      <c r="E465" s="115">
        <f>IFERROR(VLOOKUP(A465,'Master Modelo'!A:I,9,FALSE),0)</f>
        <v>0</v>
      </c>
      <c r="F465" s="189">
        <f>IFERROR(VLOOKUP(A465,'Master Modelo'!A:I,8,FALSE),0)</f>
        <v>0</v>
      </c>
      <c r="G465" s="189">
        <f>IFERROR(VLOOKUP(A465,'Master Modelo'!A:K,11,FALSE),0)</f>
        <v>0</v>
      </c>
      <c r="H465" s="114" t="e">
        <f t="shared" si="191"/>
        <v>#DIV/0!</v>
      </c>
      <c r="I465" s="150">
        <f>IFERROR(VLOOKUP(A465,'Master Modelo'!A:I,3,FALSE),0)</f>
        <v>0</v>
      </c>
      <c r="J465" s="151">
        <f>IFERROR(VLOOKUP(A465,'Master Modelo'!A:I,5,FALSE),0)</f>
        <v>0</v>
      </c>
      <c r="K465" s="151">
        <f>IFERROR(VLOOKUP(A465,'Master Modelo'!A:I,6,FALSE),0)</f>
        <v>0</v>
      </c>
      <c r="L465" s="152" t="e">
        <f>VLOOKUP(A465,'Master Modelo'!A:J,10,FALSE)</f>
        <v>#N/A</v>
      </c>
      <c r="M465" s="150">
        <f>IFERROR(VLOOKUP(A465,'Master Modelo'!A:I,4,FALSE),0)</f>
        <v>0</v>
      </c>
      <c r="N465" s="128"/>
      <c r="O465" s="129"/>
      <c r="P465" s="9">
        <f t="shared" si="192"/>
        <v>0</v>
      </c>
      <c r="Q465" s="177">
        <f t="shared" si="190"/>
        <v>0</v>
      </c>
      <c r="R465" s="3">
        <f>D465*E465*'Entrada e Saida'!$K$8</f>
        <v>0</v>
      </c>
      <c r="S465" s="179" t="e">
        <f>'Entrada e Saida'!$H$21*'Entrada e Saida'!$K$8*(P465/(SUM(P:P)))</f>
        <v>#DIV/0!</v>
      </c>
      <c r="T465" s="179" t="e">
        <f>'Entrada e Saida'!$H$21*'Entrada e Saida'!$K$8*(Q465/(SUM(Q:Q)))</f>
        <v>#DIV/0!</v>
      </c>
      <c r="U465" s="179" t="e">
        <f>'Entrada e Saida'!$H$22*(P465/(SUM(P:P)))</f>
        <v>#DIV/0!</v>
      </c>
      <c r="V465" s="179" t="e">
        <f>'Entrada e Saida'!$H$22*(Q465/(SUM(Q:Q)))</f>
        <v>#DIV/0!</v>
      </c>
      <c r="W465" s="8" t="e">
        <f t="shared" si="193"/>
        <v>#DIV/0!</v>
      </c>
      <c r="X465" s="179" t="e">
        <f>'Entrada e Saida'!$H$26*(IF('Entrada e Saida'!$H$15="PESO",(P465/(SUM(P:P))),(Q465/(SUM(Q:Q)))))</f>
        <v>#DIV/0!</v>
      </c>
      <c r="Y465" s="179" t="e">
        <f>'Entrada e Saida'!$H$27*(IF('Entrada e Saida'!$H$15="PESO",(P465/(SUM(P:P))),(Q465/(SUM(Q:Q)))))</f>
        <v>#DIV/0!</v>
      </c>
      <c r="Z465" s="179" t="e">
        <f>'Entrada e Saida'!$H$28*(IF('Entrada e Saida'!$H$15="PESO",(P465/(SUM(P:P))),(Q465/(SUM(Q:Q)))))</f>
        <v>#DIV/0!</v>
      </c>
      <c r="AA465" s="10" t="e">
        <f t="shared" si="194"/>
        <v>#DIV/0!</v>
      </c>
      <c r="AB465" s="3" t="e">
        <f t="shared" si="195"/>
        <v>#DIV/0!</v>
      </c>
      <c r="AC465" s="3" t="e">
        <f t="shared" si="196"/>
        <v>#DIV/0!</v>
      </c>
      <c r="AD465" s="3" t="e">
        <f t="shared" si="197"/>
        <v>#DIV/0!</v>
      </c>
      <c r="AE465" s="9" t="e">
        <f t="shared" si="198"/>
        <v>#DIV/0!</v>
      </c>
      <c r="AF465" s="126">
        <f>IFERROR(D465*F465*L465*'Entrada e Saida'!$K$8,0)</f>
        <v>0</v>
      </c>
      <c r="AG465" s="3" t="e">
        <f>((W465+AA465+AB465+AC465+AD465+AE465+AF465)/(1-'Entrada e Saida'!$G$65))*'Entrada e Saida'!$I$66</f>
        <v>#DIV/0!</v>
      </c>
      <c r="AH465" s="8" t="e">
        <f t="shared" si="199"/>
        <v>#DIV/0!</v>
      </c>
      <c r="AI465" s="183" t="e">
        <f>'Entrada e Saida'!$K$51*(IF('Entrada e Saida'!$H$15="PESO",(P465/(SUM(P:P))),(Q465/(SUM(Q:Q)))))</f>
        <v>#DIV/0!</v>
      </c>
      <c r="AJ465" s="7">
        <f>(('Entrada e Saida'!$K$10-'Entrada e Saida'!$K$8)*E465*D465)</f>
        <v>0</v>
      </c>
      <c r="AK465" s="184" t="e">
        <f>IF('Entrada e Saida'!$H$15="PESO",W465+AA465+AH465+AI465+AJ465,W465+AA465+AH465+AI465+AJ465-S465+T465-U465+V465)</f>
        <v>#DIV/0!</v>
      </c>
      <c r="AL465" s="6" t="e">
        <f>IF('Entrada e Saida'!$H$12="REAL",AC465,0)</f>
        <v>#DIV/0!</v>
      </c>
      <c r="AM465" s="6" t="e">
        <f>IF('Entrada e Saida'!$H$12="REAL",AD465,0)</f>
        <v>#DIV/0!</v>
      </c>
      <c r="AN465" s="5" t="e">
        <f>IF('Entrada e Saida'!$H$13= "NÃO",AE465,0)</f>
        <v>#DIV/0!</v>
      </c>
      <c r="AO465" s="5" t="e">
        <f t="shared" si="200"/>
        <v>#DIV/0!</v>
      </c>
      <c r="AP465" s="4" t="e">
        <f t="shared" si="201"/>
        <v>#DIV/0!</v>
      </c>
      <c r="AQ465" s="3" t="e">
        <f>IF('Entrada e Saida'!$H$11="TRADING",AU465*'Custo Resumido'!D465,0)</f>
        <v>#DIV/0!</v>
      </c>
      <c r="AR465" s="3" t="e">
        <f>IF('Entrada e Saida'!$H$11="TRADING",AU465*'Entrada e Saida'!$G$63,0)</f>
        <v>#DIV/0!</v>
      </c>
      <c r="AS465" s="3" t="e">
        <f>IF('Entrada e Saida'!$H$11="TRADING",AU465*'Entrada e Saida'!$G$64,0)</f>
        <v>#DIV/0!</v>
      </c>
      <c r="AT465" s="3" t="e">
        <f>IF('Entrada e Saida'!$H$11="TRADING",AU465*'Entrada e Saida'!$G$65,0)</f>
        <v>#DIV/0!</v>
      </c>
      <c r="AU465" s="4" t="e">
        <f>IF('Entrada e Saida'!$H$11="TRADING",AP465/(1-(SUM('Entrada e Saida'!$G$63:$G$65)+'Custo Resumido'!D465)),0)</f>
        <v>#DIV/0!</v>
      </c>
      <c r="AV465" s="3" t="e">
        <f>IF('Entrada e Saida'!$H$13="NÃO",AU465*M465,0)</f>
        <v>#DIV/0!</v>
      </c>
      <c r="AW465" s="4" t="e">
        <f t="shared" si="202"/>
        <v>#DIV/0!</v>
      </c>
      <c r="AX465" s="3" t="e">
        <f>'Entrada e Saida'!$G$74*AU465</f>
        <v>#DIV/0!</v>
      </c>
      <c r="AY465" s="4" t="e">
        <f t="shared" si="203"/>
        <v>#DIV/0!</v>
      </c>
      <c r="AZ465" s="4" t="e">
        <f>AQ465+('Entrada e Saida'!$G$65-'Entrada e Saida'!$I$65)*AU465-AX465</f>
        <v>#DIV/0!</v>
      </c>
      <c r="BA465" s="3" t="e">
        <f>IF('Entrada e Saida'!$H$12="REAL",AZ465*'Entrada e Saida'!$G$81,AU465*'Entrada e Saida'!$G$81)</f>
        <v>#DIV/0!</v>
      </c>
      <c r="BB465" s="3" t="e">
        <f>IF('Entrada e Saida'!$H$12="REAL",AZ465*'Entrada e Saida'!$G$82,AU465*'Entrada e Saida'!$G$82)</f>
        <v>#DIV/0!</v>
      </c>
      <c r="BC465" s="4" t="e">
        <f t="shared" si="204"/>
        <v>#DIV/0!</v>
      </c>
      <c r="BD465" s="3" t="e">
        <f>IF('Entrada e Saida'!$H$11="TRADING",AW465/D465,AK465/D465)</f>
        <v>#DIV/0!</v>
      </c>
      <c r="BE465" s="3" t="e">
        <f t="shared" si="205"/>
        <v>#DIV/0!</v>
      </c>
      <c r="BF465" s="2" t="e">
        <f t="shared" si="206"/>
        <v>#DIV/0!</v>
      </c>
      <c r="BG465" s="3" t="e">
        <f>IF('Entrada e Saida'!$H$11="TRADING",AV465/D465,AN465/D465)</f>
        <v>#DIV/0!</v>
      </c>
      <c r="BH465" s="3" t="e">
        <f>IF('Entrada e Saida'!$H$11="TRADING",IF('Entrada e Saida'!$H$12="REAL",AR465/D465,0),AL465/D465)</f>
        <v>#DIV/0!</v>
      </c>
      <c r="BI465" s="3" t="e">
        <f>IF('Entrada e Saida'!$H$11="TRADING",IF('Entrada e Saida'!$H$12="REAL",AS465/D465,0),AM465/D465)</f>
        <v>#DIV/0!</v>
      </c>
      <c r="BJ465" s="3" t="e">
        <f>IF('Entrada e Saida'!$H$11="TRADING",AT465/D465,AO465/D465)</f>
        <v>#DIV/0!</v>
      </c>
      <c r="BK465" s="2" t="e">
        <f t="shared" si="207"/>
        <v>#DIV/0!</v>
      </c>
      <c r="BL465" s="2">
        <f>IF(O465&gt;0,IFERROR(IF('Entrada e Saida'!$H$11="DIRETA",0,(IF('Entrada e Saida'!$H$14="P.JURIDICA",(BD465*(1+O465)*N465)-((BD465/(1+M465))*'Entrada e Saida'!$G$65),((Produtos!N465-'Entrada e Saida'!$G$65)*Produtos!BD465)))),0),0)</f>
        <v>0</v>
      </c>
      <c r="BM465" s="2" t="e">
        <f t="shared" si="208"/>
        <v>#DIV/0!</v>
      </c>
    </row>
    <row r="466" spans="1:65" s="1" customFormat="1">
      <c r="A466" s="127"/>
      <c r="B466" s="114">
        <f>IFERROR(VLOOKUP(A466,'Master Modelo'!A:I,7,FALSE),0)</f>
        <v>0</v>
      </c>
      <c r="C466" s="116">
        <f>IFERROR(VLOOKUP(A466,'Master Modelo'!A:I,2,FALSE),0)</f>
        <v>0</v>
      </c>
      <c r="D466" s="146"/>
      <c r="E466" s="115">
        <f>IFERROR(VLOOKUP(A466,'Master Modelo'!A:I,9,FALSE),0)</f>
        <v>0</v>
      </c>
      <c r="F466" s="189">
        <f>IFERROR(VLOOKUP(A466,'Master Modelo'!A:I,8,FALSE),0)</f>
        <v>0</v>
      </c>
      <c r="G466" s="189">
        <f>IFERROR(VLOOKUP(A466,'Master Modelo'!A:K,11,FALSE),0)</f>
        <v>0</v>
      </c>
      <c r="H466" s="114" t="e">
        <f t="shared" si="191"/>
        <v>#DIV/0!</v>
      </c>
      <c r="I466" s="150">
        <f>IFERROR(VLOOKUP(A466,'Master Modelo'!A:I,3,FALSE),0)</f>
        <v>0</v>
      </c>
      <c r="J466" s="151">
        <f>IFERROR(VLOOKUP(A466,'Master Modelo'!A:I,5,FALSE),0)</f>
        <v>0</v>
      </c>
      <c r="K466" s="151">
        <f>IFERROR(VLOOKUP(A466,'Master Modelo'!A:I,6,FALSE),0)</f>
        <v>0</v>
      </c>
      <c r="L466" s="152" t="e">
        <f>VLOOKUP(A466,'Master Modelo'!A:J,10,FALSE)</f>
        <v>#N/A</v>
      </c>
      <c r="M466" s="150">
        <f>IFERROR(VLOOKUP(A466,'Master Modelo'!A:I,4,FALSE),0)</f>
        <v>0</v>
      </c>
      <c r="N466" s="128"/>
      <c r="O466" s="129"/>
      <c r="P466" s="9">
        <f t="shared" si="192"/>
        <v>0</v>
      </c>
      <c r="Q466" s="177">
        <f t="shared" si="190"/>
        <v>0</v>
      </c>
      <c r="R466" s="3">
        <f>D466*E466*'Entrada e Saida'!$K$8</f>
        <v>0</v>
      </c>
      <c r="S466" s="179" t="e">
        <f>'Entrada e Saida'!$H$21*'Entrada e Saida'!$K$8*(P466/(SUM(P:P)))</f>
        <v>#DIV/0!</v>
      </c>
      <c r="T466" s="179" t="e">
        <f>'Entrada e Saida'!$H$21*'Entrada e Saida'!$K$8*(Q466/(SUM(Q:Q)))</f>
        <v>#DIV/0!</v>
      </c>
      <c r="U466" s="179" t="e">
        <f>'Entrada e Saida'!$H$22*(P466/(SUM(P:P)))</f>
        <v>#DIV/0!</v>
      </c>
      <c r="V466" s="179" t="e">
        <f>'Entrada e Saida'!$H$22*(Q466/(SUM(Q:Q)))</f>
        <v>#DIV/0!</v>
      </c>
      <c r="W466" s="8" t="e">
        <f t="shared" si="193"/>
        <v>#DIV/0!</v>
      </c>
      <c r="X466" s="179" t="e">
        <f>'Entrada e Saida'!$H$26*(IF('Entrada e Saida'!$H$15="PESO",(P466/(SUM(P:P))),(Q466/(SUM(Q:Q)))))</f>
        <v>#DIV/0!</v>
      </c>
      <c r="Y466" s="179" t="e">
        <f>'Entrada e Saida'!$H$27*(IF('Entrada e Saida'!$H$15="PESO",(P466/(SUM(P:P))),(Q466/(SUM(Q:Q)))))</f>
        <v>#DIV/0!</v>
      </c>
      <c r="Z466" s="179" t="e">
        <f>'Entrada e Saida'!$H$28*(IF('Entrada e Saida'!$H$15="PESO",(P466/(SUM(P:P))),(Q466/(SUM(Q:Q)))))</f>
        <v>#DIV/0!</v>
      </c>
      <c r="AA466" s="10" t="e">
        <f t="shared" si="194"/>
        <v>#DIV/0!</v>
      </c>
      <c r="AB466" s="3" t="e">
        <f t="shared" si="195"/>
        <v>#DIV/0!</v>
      </c>
      <c r="AC466" s="3" t="e">
        <f t="shared" si="196"/>
        <v>#DIV/0!</v>
      </c>
      <c r="AD466" s="3" t="e">
        <f t="shared" si="197"/>
        <v>#DIV/0!</v>
      </c>
      <c r="AE466" s="9" t="e">
        <f t="shared" si="198"/>
        <v>#DIV/0!</v>
      </c>
      <c r="AF466" s="126">
        <f>IFERROR(D466*F466*L466*'Entrada e Saida'!$K$8,0)</f>
        <v>0</v>
      </c>
      <c r="AG466" s="3" t="e">
        <f>((W466+AA466+AB466+AC466+AD466+AE466+AF466)/(1-'Entrada e Saida'!$G$65))*'Entrada e Saida'!$I$66</f>
        <v>#DIV/0!</v>
      </c>
      <c r="AH466" s="8" t="e">
        <f t="shared" si="199"/>
        <v>#DIV/0!</v>
      </c>
      <c r="AI466" s="183" t="e">
        <f>'Entrada e Saida'!$K$51*(IF('Entrada e Saida'!$H$15="PESO",(P466/(SUM(P:P))),(Q466/(SUM(Q:Q)))))</f>
        <v>#DIV/0!</v>
      </c>
      <c r="AJ466" s="7">
        <f>(('Entrada e Saida'!$K$10-'Entrada e Saida'!$K$8)*E466*D466)</f>
        <v>0</v>
      </c>
      <c r="AK466" s="184" t="e">
        <f>IF('Entrada e Saida'!$H$15="PESO",W466+AA466+AH466+AI466+AJ466,W466+AA466+AH466+AI466+AJ466-S466+T466-U466+V466)</f>
        <v>#DIV/0!</v>
      </c>
      <c r="AL466" s="6" t="e">
        <f>IF('Entrada e Saida'!$H$12="REAL",AC466,0)</f>
        <v>#DIV/0!</v>
      </c>
      <c r="AM466" s="6" t="e">
        <f>IF('Entrada e Saida'!$H$12="REAL",AD466,0)</f>
        <v>#DIV/0!</v>
      </c>
      <c r="AN466" s="5" t="e">
        <f>IF('Entrada e Saida'!$H$13= "NÃO",AE466,0)</f>
        <v>#DIV/0!</v>
      </c>
      <c r="AO466" s="5" t="e">
        <f t="shared" si="200"/>
        <v>#DIV/0!</v>
      </c>
      <c r="AP466" s="4" t="e">
        <f t="shared" si="201"/>
        <v>#DIV/0!</v>
      </c>
      <c r="AQ466" s="3" t="e">
        <f>IF('Entrada e Saida'!$H$11="TRADING",AU466*'Custo Resumido'!D466,0)</f>
        <v>#DIV/0!</v>
      </c>
      <c r="AR466" s="3" t="e">
        <f>IF('Entrada e Saida'!$H$11="TRADING",AU466*'Entrada e Saida'!$G$63,0)</f>
        <v>#DIV/0!</v>
      </c>
      <c r="AS466" s="3" t="e">
        <f>IF('Entrada e Saida'!$H$11="TRADING",AU466*'Entrada e Saida'!$G$64,0)</f>
        <v>#DIV/0!</v>
      </c>
      <c r="AT466" s="3" t="e">
        <f>IF('Entrada e Saida'!$H$11="TRADING",AU466*'Entrada e Saida'!$G$65,0)</f>
        <v>#DIV/0!</v>
      </c>
      <c r="AU466" s="4" t="e">
        <f>IF('Entrada e Saida'!$H$11="TRADING",AP466/(1-(SUM('Entrada e Saida'!$G$63:$G$65)+'Custo Resumido'!D466)),0)</f>
        <v>#DIV/0!</v>
      </c>
      <c r="AV466" s="3" t="e">
        <f>IF('Entrada e Saida'!$H$13="NÃO",AU466*M466,0)</f>
        <v>#DIV/0!</v>
      </c>
      <c r="AW466" s="4" t="e">
        <f t="shared" si="202"/>
        <v>#DIV/0!</v>
      </c>
      <c r="AX466" s="3" t="e">
        <f>'Entrada e Saida'!$G$74*AU466</f>
        <v>#DIV/0!</v>
      </c>
      <c r="AY466" s="4" t="e">
        <f t="shared" si="203"/>
        <v>#DIV/0!</v>
      </c>
      <c r="AZ466" s="4" t="e">
        <f>AQ466+('Entrada e Saida'!$G$65-'Entrada e Saida'!$I$65)*AU466-AX466</f>
        <v>#DIV/0!</v>
      </c>
      <c r="BA466" s="3" t="e">
        <f>IF('Entrada e Saida'!$H$12="REAL",AZ466*'Entrada e Saida'!$G$81,AU466*'Entrada e Saida'!$G$81)</f>
        <v>#DIV/0!</v>
      </c>
      <c r="BB466" s="3" t="e">
        <f>IF('Entrada e Saida'!$H$12="REAL",AZ466*'Entrada e Saida'!$G$82,AU466*'Entrada e Saida'!$G$82)</f>
        <v>#DIV/0!</v>
      </c>
      <c r="BC466" s="4" t="e">
        <f t="shared" si="204"/>
        <v>#DIV/0!</v>
      </c>
      <c r="BD466" s="3" t="e">
        <f>IF('Entrada e Saida'!$H$11="TRADING",AW466/D466,AK466/D466)</f>
        <v>#DIV/0!</v>
      </c>
      <c r="BE466" s="3" t="e">
        <f t="shared" si="205"/>
        <v>#DIV/0!</v>
      </c>
      <c r="BF466" s="2" t="e">
        <f t="shared" si="206"/>
        <v>#DIV/0!</v>
      </c>
      <c r="BG466" s="3" t="e">
        <f>IF('Entrada e Saida'!$H$11="TRADING",AV466/D466,AN466/D466)</f>
        <v>#DIV/0!</v>
      </c>
      <c r="BH466" s="3" t="e">
        <f>IF('Entrada e Saida'!$H$11="TRADING",IF('Entrada e Saida'!$H$12="REAL",AR466/D466,0),AL466/D466)</f>
        <v>#DIV/0!</v>
      </c>
      <c r="BI466" s="3" t="e">
        <f>IF('Entrada e Saida'!$H$11="TRADING",IF('Entrada e Saida'!$H$12="REAL",AS466/D466,0),AM466/D466)</f>
        <v>#DIV/0!</v>
      </c>
      <c r="BJ466" s="3" t="e">
        <f>IF('Entrada e Saida'!$H$11="TRADING",AT466/D466,AO466/D466)</f>
        <v>#DIV/0!</v>
      </c>
      <c r="BK466" s="2" t="e">
        <f t="shared" si="207"/>
        <v>#DIV/0!</v>
      </c>
      <c r="BL466" s="2">
        <f>IF(O466&gt;0,IFERROR(IF('Entrada e Saida'!$H$11="DIRETA",0,(IF('Entrada e Saida'!$H$14="P.JURIDICA",(BD466*(1+O466)*N466)-((BD466/(1+M466))*'Entrada e Saida'!$G$65),((Produtos!N466-'Entrada e Saida'!$G$65)*Produtos!BD466)))),0),0)</f>
        <v>0</v>
      </c>
      <c r="BM466" s="2" t="e">
        <f t="shared" si="208"/>
        <v>#DIV/0!</v>
      </c>
    </row>
    <row r="467" spans="1:65" s="1" customFormat="1">
      <c r="A467" s="127"/>
      <c r="B467" s="114">
        <f>IFERROR(VLOOKUP(A467,'Master Modelo'!A:I,7,FALSE),0)</f>
        <v>0</v>
      </c>
      <c r="C467" s="116">
        <f>IFERROR(VLOOKUP(A467,'Master Modelo'!A:I,2,FALSE),0)</f>
        <v>0</v>
      </c>
      <c r="D467" s="146"/>
      <c r="E467" s="115">
        <f>IFERROR(VLOOKUP(A467,'Master Modelo'!A:I,9,FALSE),0)</f>
        <v>0</v>
      </c>
      <c r="F467" s="189">
        <f>IFERROR(VLOOKUP(A467,'Master Modelo'!A:I,8,FALSE),0)</f>
        <v>0</v>
      </c>
      <c r="G467" s="189">
        <f>IFERROR(VLOOKUP(A467,'Master Modelo'!A:K,11,FALSE),0)</f>
        <v>0</v>
      </c>
      <c r="H467" s="114" t="e">
        <f t="shared" si="191"/>
        <v>#DIV/0!</v>
      </c>
      <c r="I467" s="150">
        <f>IFERROR(VLOOKUP(A467,'Master Modelo'!A:I,3,FALSE),0)</f>
        <v>0</v>
      </c>
      <c r="J467" s="151">
        <f>IFERROR(VLOOKUP(A467,'Master Modelo'!A:I,5,FALSE),0)</f>
        <v>0</v>
      </c>
      <c r="K467" s="151">
        <f>IFERROR(VLOOKUP(A467,'Master Modelo'!A:I,6,FALSE),0)</f>
        <v>0</v>
      </c>
      <c r="L467" s="152" t="e">
        <f>VLOOKUP(A467,'Master Modelo'!A:J,10,FALSE)</f>
        <v>#N/A</v>
      </c>
      <c r="M467" s="150">
        <f>IFERROR(VLOOKUP(A467,'Master Modelo'!A:I,4,FALSE),0)</f>
        <v>0</v>
      </c>
      <c r="N467" s="128"/>
      <c r="O467" s="129"/>
      <c r="P467" s="9">
        <f t="shared" si="192"/>
        <v>0</v>
      </c>
      <c r="Q467" s="177">
        <f t="shared" si="190"/>
        <v>0</v>
      </c>
      <c r="R467" s="3">
        <f>D467*E467*'Entrada e Saida'!$K$8</f>
        <v>0</v>
      </c>
      <c r="S467" s="179" t="e">
        <f>'Entrada e Saida'!$H$21*'Entrada e Saida'!$K$8*(P467/(SUM(P:P)))</f>
        <v>#DIV/0!</v>
      </c>
      <c r="T467" s="179" t="e">
        <f>'Entrada e Saida'!$H$21*'Entrada e Saida'!$K$8*(Q467/(SUM(Q:Q)))</f>
        <v>#DIV/0!</v>
      </c>
      <c r="U467" s="179" t="e">
        <f>'Entrada e Saida'!$H$22*(P467/(SUM(P:P)))</f>
        <v>#DIV/0!</v>
      </c>
      <c r="V467" s="179" t="e">
        <f>'Entrada e Saida'!$H$22*(Q467/(SUM(Q:Q)))</f>
        <v>#DIV/0!</v>
      </c>
      <c r="W467" s="8" t="e">
        <f t="shared" si="193"/>
        <v>#DIV/0!</v>
      </c>
      <c r="X467" s="179" t="e">
        <f>'Entrada e Saida'!$H$26*(IF('Entrada e Saida'!$H$15="PESO",(P467/(SUM(P:P))),(Q467/(SUM(Q:Q)))))</f>
        <v>#DIV/0!</v>
      </c>
      <c r="Y467" s="179" t="e">
        <f>'Entrada e Saida'!$H$27*(IF('Entrada e Saida'!$H$15="PESO",(P467/(SUM(P:P))),(Q467/(SUM(Q:Q)))))</f>
        <v>#DIV/0!</v>
      </c>
      <c r="Z467" s="179" t="e">
        <f>'Entrada e Saida'!$H$28*(IF('Entrada e Saida'!$H$15="PESO",(P467/(SUM(P:P))),(Q467/(SUM(Q:Q)))))</f>
        <v>#DIV/0!</v>
      </c>
      <c r="AA467" s="10" t="e">
        <f t="shared" si="194"/>
        <v>#DIV/0!</v>
      </c>
      <c r="AB467" s="3" t="e">
        <f t="shared" si="195"/>
        <v>#DIV/0!</v>
      </c>
      <c r="AC467" s="3" t="e">
        <f t="shared" si="196"/>
        <v>#DIV/0!</v>
      </c>
      <c r="AD467" s="3" t="e">
        <f t="shared" si="197"/>
        <v>#DIV/0!</v>
      </c>
      <c r="AE467" s="9" t="e">
        <f t="shared" si="198"/>
        <v>#DIV/0!</v>
      </c>
      <c r="AF467" s="126">
        <f>IFERROR(D467*F467*L467*'Entrada e Saida'!$K$8,0)</f>
        <v>0</v>
      </c>
      <c r="AG467" s="3" t="e">
        <f>((W467+AA467+AB467+AC467+AD467+AE467+AF467)/(1-'Entrada e Saida'!$G$65))*'Entrada e Saida'!$I$66</f>
        <v>#DIV/0!</v>
      </c>
      <c r="AH467" s="8" t="e">
        <f t="shared" si="199"/>
        <v>#DIV/0!</v>
      </c>
      <c r="AI467" s="183" t="e">
        <f>'Entrada e Saida'!$K$51*(IF('Entrada e Saida'!$H$15="PESO",(P467/(SUM(P:P))),(Q467/(SUM(Q:Q)))))</f>
        <v>#DIV/0!</v>
      </c>
      <c r="AJ467" s="7">
        <f>(('Entrada e Saida'!$K$10-'Entrada e Saida'!$K$8)*E467*D467)</f>
        <v>0</v>
      </c>
      <c r="AK467" s="184" t="e">
        <f>IF('Entrada e Saida'!$H$15="PESO",W467+AA467+AH467+AI467+AJ467,W467+AA467+AH467+AI467+AJ467-S467+T467-U467+V467)</f>
        <v>#DIV/0!</v>
      </c>
      <c r="AL467" s="6" t="e">
        <f>IF('Entrada e Saida'!$H$12="REAL",AC467,0)</f>
        <v>#DIV/0!</v>
      </c>
      <c r="AM467" s="6" t="e">
        <f>IF('Entrada e Saida'!$H$12="REAL",AD467,0)</f>
        <v>#DIV/0!</v>
      </c>
      <c r="AN467" s="5" t="e">
        <f>IF('Entrada e Saida'!$H$13= "NÃO",AE467,0)</f>
        <v>#DIV/0!</v>
      </c>
      <c r="AO467" s="5" t="e">
        <f t="shared" si="200"/>
        <v>#DIV/0!</v>
      </c>
      <c r="AP467" s="4" t="e">
        <f t="shared" si="201"/>
        <v>#DIV/0!</v>
      </c>
      <c r="AQ467" s="3" t="e">
        <f>IF('Entrada e Saida'!$H$11="TRADING",AU467*'Custo Resumido'!D467,0)</f>
        <v>#DIV/0!</v>
      </c>
      <c r="AR467" s="3" t="e">
        <f>IF('Entrada e Saida'!$H$11="TRADING",AU467*'Entrada e Saida'!$G$63,0)</f>
        <v>#DIV/0!</v>
      </c>
      <c r="AS467" s="3" t="e">
        <f>IF('Entrada e Saida'!$H$11="TRADING",AU467*'Entrada e Saida'!$G$64,0)</f>
        <v>#DIV/0!</v>
      </c>
      <c r="AT467" s="3" t="e">
        <f>IF('Entrada e Saida'!$H$11="TRADING",AU467*'Entrada e Saida'!$G$65,0)</f>
        <v>#DIV/0!</v>
      </c>
      <c r="AU467" s="4" t="e">
        <f>IF('Entrada e Saida'!$H$11="TRADING",AP467/(1-(SUM('Entrada e Saida'!$G$63:$G$65)+'Custo Resumido'!D467)),0)</f>
        <v>#DIV/0!</v>
      </c>
      <c r="AV467" s="3" t="e">
        <f>IF('Entrada e Saida'!$H$13="NÃO",AU467*M467,0)</f>
        <v>#DIV/0!</v>
      </c>
      <c r="AW467" s="4" t="e">
        <f t="shared" si="202"/>
        <v>#DIV/0!</v>
      </c>
      <c r="AX467" s="3" t="e">
        <f>'Entrada e Saida'!$G$74*AU467</f>
        <v>#DIV/0!</v>
      </c>
      <c r="AY467" s="4" t="e">
        <f t="shared" si="203"/>
        <v>#DIV/0!</v>
      </c>
      <c r="AZ467" s="4" t="e">
        <f>AQ467+('Entrada e Saida'!$G$65-'Entrada e Saida'!$I$65)*AU467-AX467</f>
        <v>#DIV/0!</v>
      </c>
      <c r="BA467" s="3" t="e">
        <f>IF('Entrada e Saida'!$H$12="REAL",AZ467*'Entrada e Saida'!$G$81,AU467*'Entrada e Saida'!$G$81)</f>
        <v>#DIV/0!</v>
      </c>
      <c r="BB467" s="3" t="e">
        <f>IF('Entrada e Saida'!$H$12="REAL",AZ467*'Entrada e Saida'!$G$82,AU467*'Entrada e Saida'!$G$82)</f>
        <v>#DIV/0!</v>
      </c>
      <c r="BC467" s="4" t="e">
        <f t="shared" si="204"/>
        <v>#DIV/0!</v>
      </c>
      <c r="BD467" s="3" t="e">
        <f>IF('Entrada e Saida'!$H$11="TRADING",AW467/D467,AK467/D467)</f>
        <v>#DIV/0!</v>
      </c>
      <c r="BE467" s="3" t="e">
        <f t="shared" si="205"/>
        <v>#DIV/0!</v>
      </c>
      <c r="BF467" s="2" t="e">
        <f t="shared" si="206"/>
        <v>#DIV/0!</v>
      </c>
      <c r="BG467" s="3" t="e">
        <f>IF('Entrada e Saida'!$H$11="TRADING",AV467/D467,AN467/D467)</f>
        <v>#DIV/0!</v>
      </c>
      <c r="BH467" s="3" t="e">
        <f>IF('Entrada e Saida'!$H$11="TRADING",IF('Entrada e Saida'!$H$12="REAL",AR467/D467,0),AL467/D467)</f>
        <v>#DIV/0!</v>
      </c>
      <c r="BI467" s="3" t="e">
        <f>IF('Entrada e Saida'!$H$11="TRADING",IF('Entrada e Saida'!$H$12="REAL",AS467/D467,0),AM467/D467)</f>
        <v>#DIV/0!</v>
      </c>
      <c r="BJ467" s="3" t="e">
        <f>IF('Entrada e Saida'!$H$11="TRADING",AT467/D467,AO467/D467)</f>
        <v>#DIV/0!</v>
      </c>
      <c r="BK467" s="2" t="e">
        <f t="shared" si="207"/>
        <v>#DIV/0!</v>
      </c>
      <c r="BL467" s="2">
        <f>IF(O467&gt;0,IFERROR(IF('Entrada e Saida'!$H$11="DIRETA",0,(IF('Entrada e Saida'!$H$14="P.JURIDICA",(BD467*(1+O467)*N467)-((BD467/(1+M467))*'Entrada e Saida'!$G$65),((Produtos!N467-'Entrada e Saida'!$G$65)*Produtos!BD467)))),0),0)</f>
        <v>0</v>
      </c>
      <c r="BM467" s="2" t="e">
        <f t="shared" si="208"/>
        <v>#DIV/0!</v>
      </c>
    </row>
    <row r="468" spans="1:65" s="1" customFormat="1">
      <c r="A468" s="127"/>
      <c r="B468" s="114">
        <f>IFERROR(VLOOKUP(A468,'Master Modelo'!A:I,7,FALSE),0)</f>
        <v>0</v>
      </c>
      <c r="C468" s="116">
        <f>IFERROR(VLOOKUP(A468,'Master Modelo'!A:I,2,FALSE),0)</f>
        <v>0</v>
      </c>
      <c r="D468" s="146"/>
      <c r="E468" s="115">
        <f>IFERROR(VLOOKUP(A468,'Master Modelo'!A:I,9,FALSE),0)</f>
        <v>0</v>
      </c>
      <c r="F468" s="189">
        <f>IFERROR(VLOOKUP(A468,'Master Modelo'!A:I,8,FALSE),0)</f>
        <v>0</v>
      </c>
      <c r="G468" s="189">
        <f>IFERROR(VLOOKUP(A468,'Master Modelo'!A:K,11,FALSE),0)</f>
        <v>0</v>
      </c>
      <c r="H468" s="114" t="e">
        <f t="shared" si="191"/>
        <v>#DIV/0!</v>
      </c>
      <c r="I468" s="150">
        <f>IFERROR(VLOOKUP(A468,'Master Modelo'!A:I,3,FALSE),0)</f>
        <v>0</v>
      </c>
      <c r="J468" s="151">
        <f>IFERROR(VLOOKUP(A468,'Master Modelo'!A:I,5,FALSE),0)</f>
        <v>0</v>
      </c>
      <c r="K468" s="151">
        <f>IFERROR(VLOOKUP(A468,'Master Modelo'!A:I,6,FALSE),0)</f>
        <v>0</v>
      </c>
      <c r="L468" s="152" t="e">
        <f>VLOOKUP(A468,'Master Modelo'!A:J,10,FALSE)</f>
        <v>#N/A</v>
      </c>
      <c r="M468" s="150">
        <f>IFERROR(VLOOKUP(A468,'Master Modelo'!A:I,4,FALSE),0)</f>
        <v>0</v>
      </c>
      <c r="N468" s="128"/>
      <c r="O468" s="129"/>
      <c r="P468" s="9">
        <f t="shared" si="192"/>
        <v>0</v>
      </c>
      <c r="Q468" s="177">
        <f t="shared" si="190"/>
        <v>0</v>
      </c>
      <c r="R468" s="3">
        <f>D468*E468*'Entrada e Saida'!$K$8</f>
        <v>0</v>
      </c>
      <c r="S468" s="179" t="e">
        <f>'Entrada e Saida'!$H$21*'Entrada e Saida'!$K$8*(P468/(SUM(P:P)))</f>
        <v>#DIV/0!</v>
      </c>
      <c r="T468" s="179" t="e">
        <f>'Entrada e Saida'!$H$21*'Entrada e Saida'!$K$8*(Q468/(SUM(Q:Q)))</f>
        <v>#DIV/0!</v>
      </c>
      <c r="U468" s="179" t="e">
        <f>'Entrada e Saida'!$H$22*(P468/(SUM(P:P)))</f>
        <v>#DIV/0!</v>
      </c>
      <c r="V468" s="179" t="e">
        <f>'Entrada e Saida'!$H$22*(Q468/(SUM(Q:Q)))</f>
        <v>#DIV/0!</v>
      </c>
      <c r="W468" s="8" t="e">
        <f t="shared" si="193"/>
        <v>#DIV/0!</v>
      </c>
      <c r="X468" s="179" t="e">
        <f>'Entrada e Saida'!$H$26*(IF('Entrada e Saida'!$H$15="PESO",(P468/(SUM(P:P))),(Q468/(SUM(Q:Q)))))</f>
        <v>#DIV/0!</v>
      </c>
      <c r="Y468" s="179" t="e">
        <f>'Entrada e Saida'!$H$27*(IF('Entrada e Saida'!$H$15="PESO",(P468/(SUM(P:P))),(Q468/(SUM(Q:Q)))))</f>
        <v>#DIV/0!</v>
      </c>
      <c r="Z468" s="179" t="e">
        <f>'Entrada e Saida'!$H$28*(IF('Entrada e Saida'!$H$15="PESO",(P468/(SUM(P:P))),(Q468/(SUM(Q:Q)))))</f>
        <v>#DIV/0!</v>
      </c>
      <c r="AA468" s="10" t="e">
        <f t="shared" si="194"/>
        <v>#DIV/0!</v>
      </c>
      <c r="AB468" s="3" t="e">
        <f t="shared" si="195"/>
        <v>#DIV/0!</v>
      </c>
      <c r="AC468" s="3" t="e">
        <f t="shared" si="196"/>
        <v>#DIV/0!</v>
      </c>
      <c r="AD468" s="3" t="e">
        <f t="shared" si="197"/>
        <v>#DIV/0!</v>
      </c>
      <c r="AE468" s="9" t="e">
        <f t="shared" si="198"/>
        <v>#DIV/0!</v>
      </c>
      <c r="AF468" s="126">
        <f>IFERROR(D468*F468*L468*'Entrada e Saida'!$K$8,0)</f>
        <v>0</v>
      </c>
      <c r="AG468" s="3" t="e">
        <f>((W468+AA468+AB468+AC468+AD468+AE468+AF468)/(1-'Entrada e Saida'!$G$65))*'Entrada e Saida'!$I$66</f>
        <v>#DIV/0!</v>
      </c>
      <c r="AH468" s="8" t="e">
        <f t="shared" si="199"/>
        <v>#DIV/0!</v>
      </c>
      <c r="AI468" s="183" t="e">
        <f>'Entrada e Saida'!$K$51*(IF('Entrada e Saida'!$H$15="PESO",(P468/(SUM(P:P))),(Q468/(SUM(Q:Q)))))</f>
        <v>#DIV/0!</v>
      </c>
      <c r="AJ468" s="7">
        <f>(('Entrada e Saida'!$K$10-'Entrada e Saida'!$K$8)*E468*D468)</f>
        <v>0</v>
      </c>
      <c r="AK468" s="184" t="e">
        <f>IF('Entrada e Saida'!$H$15="PESO",W468+AA468+AH468+AI468+AJ468,W468+AA468+AH468+AI468+AJ468-S468+T468-U468+V468)</f>
        <v>#DIV/0!</v>
      </c>
      <c r="AL468" s="6" t="e">
        <f>IF('Entrada e Saida'!$H$12="REAL",AC468,0)</f>
        <v>#DIV/0!</v>
      </c>
      <c r="AM468" s="6" t="e">
        <f>IF('Entrada e Saida'!$H$12="REAL",AD468,0)</f>
        <v>#DIV/0!</v>
      </c>
      <c r="AN468" s="5" t="e">
        <f>IF('Entrada e Saida'!$H$13= "NÃO",AE468,0)</f>
        <v>#DIV/0!</v>
      </c>
      <c r="AO468" s="5" t="e">
        <f t="shared" si="200"/>
        <v>#DIV/0!</v>
      </c>
      <c r="AP468" s="4" t="e">
        <f t="shared" si="201"/>
        <v>#DIV/0!</v>
      </c>
      <c r="AQ468" s="3" t="e">
        <f>IF('Entrada e Saida'!$H$11="TRADING",AU468*'Custo Resumido'!D468,0)</f>
        <v>#DIV/0!</v>
      </c>
      <c r="AR468" s="3" t="e">
        <f>IF('Entrada e Saida'!$H$11="TRADING",AU468*'Entrada e Saida'!$G$63,0)</f>
        <v>#DIV/0!</v>
      </c>
      <c r="AS468" s="3" t="e">
        <f>IF('Entrada e Saida'!$H$11="TRADING",AU468*'Entrada e Saida'!$G$64,0)</f>
        <v>#DIV/0!</v>
      </c>
      <c r="AT468" s="3" t="e">
        <f>IF('Entrada e Saida'!$H$11="TRADING",AU468*'Entrada e Saida'!$G$65,0)</f>
        <v>#DIV/0!</v>
      </c>
      <c r="AU468" s="4" t="e">
        <f>IF('Entrada e Saida'!$H$11="TRADING",AP468/(1-(SUM('Entrada e Saida'!$G$63:$G$65)+'Custo Resumido'!D468)),0)</f>
        <v>#DIV/0!</v>
      </c>
      <c r="AV468" s="3" t="e">
        <f>IF('Entrada e Saida'!$H$13="NÃO",AU468*M468,0)</f>
        <v>#DIV/0!</v>
      </c>
      <c r="AW468" s="4" t="e">
        <f t="shared" si="202"/>
        <v>#DIV/0!</v>
      </c>
      <c r="AX468" s="3" t="e">
        <f>'Entrada e Saida'!$G$74*AU468</f>
        <v>#DIV/0!</v>
      </c>
      <c r="AY468" s="4" t="e">
        <f t="shared" si="203"/>
        <v>#DIV/0!</v>
      </c>
      <c r="AZ468" s="4" t="e">
        <f>AQ468+('Entrada e Saida'!$G$65-'Entrada e Saida'!$I$65)*AU468-AX468</f>
        <v>#DIV/0!</v>
      </c>
      <c r="BA468" s="3" t="e">
        <f>IF('Entrada e Saida'!$H$12="REAL",AZ468*'Entrada e Saida'!$G$81,AU468*'Entrada e Saida'!$G$81)</f>
        <v>#DIV/0!</v>
      </c>
      <c r="BB468" s="3" t="e">
        <f>IF('Entrada e Saida'!$H$12="REAL",AZ468*'Entrada e Saida'!$G$82,AU468*'Entrada e Saida'!$G$82)</f>
        <v>#DIV/0!</v>
      </c>
      <c r="BC468" s="4" t="e">
        <f t="shared" si="204"/>
        <v>#DIV/0!</v>
      </c>
      <c r="BD468" s="3" t="e">
        <f>IF('Entrada e Saida'!$H$11="TRADING",AW468/D468,AK468/D468)</f>
        <v>#DIV/0!</v>
      </c>
      <c r="BE468" s="3" t="e">
        <f t="shared" si="205"/>
        <v>#DIV/0!</v>
      </c>
      <c r="BF468" s="2" t="e">
        <f t="shared" si="206"/>
        <v>#DIV/0!</v>
      </c>
      <c r="BG468" s="3" t="e">
        <f>IF('Entrada e Saida'!$H$11="TRADING",AV468/D468,AN468/D468)</f>
        <v>#DIV/0!</v>
      </c>
      <c r="BH468" s="3" t="e">
        <f>IF('Entrada e Saida'!$H$11="TRADING",IF('Entrada e Saida'!$H$12="REAL",AR468/D468,0),AL468/D468)</f>
        <v>#DIV/0!</v>
      </c>
      <c r="BI468" s="3" t="e">
        <f>IF('Entrada e Saida'!$H$11="TRADING",IF('Entrada e Saida'!$H$12="REAL",AS468/D468,0),AM468/D468)</f>
        <v>#DIV/0!</v>
      </c>
      <c r="BJ468" s="3" t="e">
        <f>IF('Entrada e Saida'!$H$11="TRADING",AT468/D468,AO468/D468)</f>
        <v>#DIV/0!</v>
      </c>
      <c r="BK468" s="2" t="e">
        <f t="shared" si="207"/>
        <v>#DIV/0!</v>
      </c>
      <c r="BL468" s="2">
        <f>IF(O468&gt;0,IFERROR(IF('Entrada e Saida'!$H$11="DIRETA",0,(IF('Entrada e Saida'!$H$14="P.JURIDICA",(BD468*(1+O468)*N468)-((BD468/(1+M468))*'Entrada e Saida'!$G$65),((Produtos!N468-'Entrada e Saida'!$G$65)*Produtos!BD468)))),0),0)</f>
        <v>0</v>
      </c>
      <c r="BM468" s="2" t="e">
        <f t="shared" si="208"/>
        <v>#DIV/0!</v>
      </c>
    </row>
    <row r="469" spans="1:65" s="1" customFormat="1">
      <c r="A469" s="127"/>
      <c r="B469" s="114">
        <f>IFERROR(VLOOKUP(A469,'Master Modelo'!A:I,7,FALSE),0)</f>
        <v>0</v>
      </c>
      <c r="C469" s="116">
        <f>IFERROR(VLOOKUP(A469,'Master Modelo'!A:I,2,FALSE),0)</f>
        <v>0</v>
      </c>
      <c r="D469" s="146"/>
      <c r="E469" s="115">
        <f>IFERROR(VLOOKUP(A469,'Master Modelo'!A:I,9,FALSE),0)</f>
        <v>0</v>
      </c>
      <c r="F469" s="189">
        <f>IFERROR(VLOOKUP(A469,'Master Modelo'!A:I,8,FALSE),0)</f>
        <v>0</v>
      </c>
      <c r="G469" s="189">
        <f>IFERROR(VLOOKUP(A469,'Master Modelo'!A:K,11,FALSE),0)</f>
        <v>0</v>
      </c>
      <c r="H469" s="114" t="e">
        <f t="shared" si="191"/>
        <v>#DIV/0!</v>
      </c>
      <c r="I469" s="150">
        <f>IFERROR(VLOOKUP(A469,'Master Modelo'!A:I,3,FALSE),0)</f>
        <v>0</v>
      </c>
      <c r="J469" s="151">
        <f>IFERROR(VLOOKUP(A469,'Master Modelo'!A:I,5,FALSE),0)</f>
        <v>0</v>
      </c>
      <c r="K469" s="151">
        <f>IFERROR(VLOOKUP(A469,'Master Modelo'!A:I,6,FALSE),0)</f>
        <v>0</v>
      </c>
      <c r="L469" s="152" t="e">
        <f>VLOOKUP(A469,'Master Modelo'!A:J,10,FALSE)</f>
        <v>#N/A</v>
      </c>
      <c r="M469" s="150">
        <f>IFERROR(VLOOKUP(A469,'Master Modelo'!A:I,4,FALSE),0)</f>
        <v>0</v>
      </c>
      <c r="N469" s="128"/>
      <c r="O469" s="129"/>
      <c r="P469" s="9">
        <f t="shared" si="192"/>
        <v>0</v>
      </c>
      <c r="Q469" s="177">
        <f t="shared" si="190"/>
        <v>0</v>
      </c>
      <c r="R469" s="3">
        <f>D469*E469*'Entrada e Saida'!$K$8</f>
        <v>0</v>
      </c>
      <c r="S469" s="179" t="e">
        <f>'Entrada e Saida'!$H$21*'Entrada e Saida'!$K$8*(P469/(SUM(P:P)))</f>
        <v>#DIV/0!</v>
      </c>
      <c r="T469" s="179" t="e">
        <f>'Entrada e Saida'!$H$21*'Entrada e Saida'!$K$8*(Q469/(SUM(Q:Q)))</f>
        <v>#DIV/0!</v>
      </c>
      <c r="U469" s="179" t="e">
        <f>'Entrada e Saida'!$H$22*(P469/(SUM(P:P)))</f>
        <v>#DIV/0!</v>
      </c>
      <c r="V469" s="179" t="e">
        <f>'Entrada e Saida'!$H$22*(Q469/(SUM(Q:Q)))</f>
        <v>#DIV/0!</v>
      </c>
      <c r="W469" s="8" t="e">
        <f t="shared" si="193"/>
        <v>#DIV/0!</v>
      </c>
      <c r="X469" s="179" t="e">
        <f>'Entrada e Saida'!$H$26*(IF('Entrada e Saida'!$H$15="PESO",(P469/(SUM(P:P))),(Q469/(SUM(Q:Q)))))</f>
        <v>#DIV/0!</v>
      </c>
      <c r="Y469" s="179" t="e">
        <f>'Entrada e Saida'!$H$27*(IF('Entrada e Saida'!$H$15="PESO",(P469/(SUM(P:P))),(Q469/(SUM(Q:Q)))))</f>
        <v>#DIV/0!</v>
      </c>
      <c r="Z469" s="179" t="e">
        <f>'Entrada e Saida'!$H$28*(IF('Entrada e Saida'!$H$15="PESO",(P469/(SUM(P:P))),(Q469/(SUM(Q:Q)))))</f>
        <v>#DIV/0!</v>
      </c>
      <c r="AA469" s="10" t="e">
        <f t="shared" si="194"/>
        <v>#DIV/0!</v>
      </c>
      <c r="AB469" s="3" t="e">
        <f t="shared" si="195"/>
        <v>#DIV/0!</v>
      </c>
      <c r="AC469" s="3" t="e">
        <f t="shared" si="196"/>
        <v>#DIV/0!</v>
      </c>
      <c r="AD469" s="3" t="e">
        <f t="shared" si="197"/>
        <v>#DIV/0!</v>
      </c>
      <c r="AE469" s="9" t="e">
        <f t="shared" si="198"/>
        <v>#DIV/0!</v>
      </c>
      <c r="AF469" s="126">
        <f>IFERROR(D469*F469*L469*'Entrada e Saida'!$K$8,0)</f>
        <v>0</v>
      </c>
      <c r="AG469" s="3" t="e">
        <f>((W469+AA469+AB469+AC469+AD469+AE469+AF469)/(1-'Entrada e Saida'!$G$65))*'Entrada e Saida'!$I$66</f>
        <v>#DIV/0!</v>
      </c>
      <c r="AH469" s="8" t="e">
        <f t="shared" si="199"/>
        <v>#DIV/0!</v>
      </c>
      <c r="AI469" s="183" t="e">
        <f>'Entrada e Saida'!$K$51*(IF('Entrada e Saida'!$H$15="PESO",(P469/(SUM(P:P))),(Q469/(SUM(Q:Q)))))</f>
        <v>#DIV/0!</v>
      </c>
      <c r="AJ469" s="7">
        <f>(('Entrada e Saida'!$K$10-'Entrada e Saida'!$K$8)*E469*D469)</f>
        <v>0</v>
      </c>
      <c r="AK469" s="184" t="e">
        <f>IF('Entrada e Saida'!$H$15="PESO",W469+AA469+AH469+AI469+AJ469,W469+AA469+AH469+AI469+AJ469-S469+T469-U469+V469)</f>
        <v>#DIV/0!</v>
      </c>
      <c r="AL469" s="6" t="e">
        <f>IF('Entrada e Saida'!$H$12="REAL",AC469,0)</f>
        <v>#DIV/0!</v>
      </c>
      <c r="AM469" s="6" t="e">
        <f>IF('Entrada e Saida'!$H$12="REAL",AD469,0)</f>
        <v>#DIV/0!</v>
      </c>
      <c r="AN469" s="5" t="e">
        <f>IF('Entrada e Saida'!$H$13= "NÃO",AE469,0)</f>
        <v>#DIV/0!</v>
      </c>
      <c r="AO469" s="5" t="e">
        <f t="shared" si="200"/>
        <v>#DIV/0!</v>
      </c>
      <c r="AP469" s="4" t="e">
        <f t="shared" si="201"/>
        <v>#DIV/0!</v>
      </c>
      <c r="AQ469" s="3" t="e">
        <f>IF('Entrada e Saida'!$H$11="TRADING",AU469*'Custo Resumido'!D469,0)</f>
        <v>#DIV/0!</v>
      </c>
      <c r="AR469" s="3" t="e">
        <f>IF('Entrada e Saida'!$H$11="TRADING",AU469*'Entrada e Saida'!$G$63,0)</f>
        <v>#DIV/0!</v>
      </c>
      <c r="AS469" s="3" t="e">
        <f>IF('Entrada e Saida'!$H$11="TRADING",AU469*'Entrada e Saida'!$G$64,0)</f>
        <v>#DIV/0!</v>
      </c>
      <c r="AT469" s="3" t="e">
        <f>IF('Entrada e Saida'!$H$11="TRADING",AU469*'Entrada e Saida'!$G$65,0)</f>
        <v>#DIV/0!</v>
      </c>
      <c r="AU469" s="4" t="e">
        <f>IF('Entrada e Saida'!$H$11="TRADING",AP469/(1-(SUM('Entrada e Saida'!$G$63:$G$65)+'Custo Resumido'!D469)),0)</f>
        <v>#DIV/0!</v>
      </c>
      <c r="AV469" s="3" t="e">
        <f>IF('Entrada e Saida'!$H$13="NÃO",AU469*M469,0)</f>
        <v>#DIV/0!</v>
      </c>
      <c r="AW469" s="4" t="e">
        <f t="shared" si="202"/>
        <v>#DIV/0!</v>
      </c>
      <c r="AX469" s="3" t="e">
        <f>'Entrada e Saida'!$G$74*AU469</f>
        <v>#DIV/0!</v>
      </c>
      <c r="AY469" s="4" t="e">
        <f t="shared" si="203"/>
        <v>#DIV/0!</v>
      </c>
      <c r="AZ469" s="4" t="e">
        <f>AQ469+('Entrada e Saida'!$G$65-'Entrada e Saida'!$I$65)*AU469-AX469</f>
        <v>#DIV/0!</v>
      </c>
      <c r="BA469" s="3" t="e">
        <f>IF('Entrada e Saida'!$H$12="REAL",AZ469*'Entrada e Saida'!$G$81,AU469*'Entrada e Saida'!$G$81)</f>
        <v>#DIV/0!</v>
      </c>
      <c r="BB469" s="3" t="e">
        <f>IF('Entrada e Saida'!$H$12="REAL",AZ469*'Entrada e Saida'!$G$82,AU469*'Entrada e Saida'!$G$82)</f>
        <v>#DIV/0!</v>
      </c>
      <c r="BC469" s="4" t="e">
        <f t="shared" si="204"/>
        <v>#DIV/0!</v>
      </c>
      <c r="BD469" s="3" t="e">
        <f>IF('Entrada e Saida'!$H$11="TRADING",AW469/D469,AK469/D469)</f>
        <v>#DIV/0!</v>
      </c>
      <c r="BE469" s="3" t="e">
        <f t="shared" si="205"/>
        <v>#DIV/0!</v>
      </c>
      <c r="BF469" s="2" t="e">
        <f t="shared" si="206"/>
        <v>#DIV/0!</v>
      </c>
      <c r="BG469" s="3" t="e">
        <f>IF('Entrada e Saida'!$H$11="TRADING",AV469/D469,AN469/D469)</f>
        <v>#DIV/0!</v>
      </c>
      <c r="BH469" s="3" t="e">
        <f>IF('Entrada e Saida'!$H$11="TRADING",IF('Entrada e Saida'!$H$12="REAL",AR469/D469,0),AL469/D469)</f>
        <v>#DIV/0!</v>
      </c>
      <c r="BI469" s="3" t="e">
        <f>IF('Entrada e Saida'!$H$11="TRADING",IF('Entrada e Saida'!$H$12="REAL",AS469/D469,0),AM469/D469)</f>
        <v>#DIV/0!</v>
      </c>
      <c r="BJ469" s="3" t="e">
        <f>IF('Entrada e Saida'!$H$11="TRADING",AT469/D469,AO469/D469)</f>
        <v>#DIV/0!</v>
      </c>
      <c r="BK469" s="2" t="e">
        <f t="shared" si="207"/>
        <v>#DIV/0!</v>
      </c>
      <c r="BL469" s="2">
        <f>IF(O469&gt;0,IFERROR(IF('Entrada e Saida'!$H$11="DIRETA",0,(IF('Entrada e Saida'!$H$14="P.JURIDICA",(BD469*(1+O469)*N469)-((BD469/(1+M469))*'Entrada e Saida'!$G$65),((Produtos!N469-'Entrada e Saida'!$G$65)*Produtos!BD469)))),0),0)</f>
        <v>0</v>
      </c>
      <c r="BM469" s="2" t="e">
        <f t="shared" si="208"/>
        <v>#DIV/0!</v>
      </c>
    </row>
    <row r="470" spans="1:65" s="1" customFormat="1">
      <c r="A470" s="127"/>
      <c r="B470" s="114">
        <f>IFERROR(VLOOKUP(A470,'Master Modelo'!A:I,7,FALSE),0)</f>
        <v>0</v>
      </c>
      <c r="C470" s="116">
        <f>IFERROR(VLOOKUP(A470,'Master Modelo'!A:I,2,FALSE),0)</f>
        <v>0</v>
      </c>
      <c r="D470" s="146"/>
      <c r="E470" s="115">
        <f>IFERROR(VLOOKUP(A470,'Master Modelo'!A:I,9,FALSE),0)</f>
        <v>0</v>
      </c>
      <c r="F470" s="189">
        <f>IFERROR(VLOOKUP(A470,'Master Modelo'!A:I,8,FALSE),0)</f>
        <v>0</v>
      </c>
      <c r="G470" s="189">
        <f>IFERROR(VLOOKUP(A470,'Master Modelo'!A:K,11,FALSE),0)</f>
        <v>0</v>
      </c>
      <c r="H470" s="114" t="e">
        <f t="shared" si="191"/>
        <v>#DIV/0!</v>
      </c>
      <c r="I470" s="150">
        <f>IFERROR(VLOOKUP(A470,'Master Modelo'!A:I,3,FALSE),0)</f>
        <v>0</v>
      </c>
      <c r="J470" s="151">
        <f>IFERROR(VLOOKUP(A470,'Master Modelo'!A:I,5,FALSE),0)</f>
        <v>0</v>
      </c>
      <c r="K470" s="151">
        <f>IFERROR(VLOOKUP(A470,'Master Modelo'!A:I,6,FALSE),0)</f>
        <v>0</v>
      </c>
      <c r="L470" s="152" t="e">
        <f>VLOOKUP(A470,'Master Modelo'!A:J,10,FALSE)</f>
        <v>#N/A</v>
      </c>
      <c r="M470" s="150">
        <f>IFERROR(VLOOKUP(A470,'Master Modelo'!A:I,4,FALSE),0)</f>
        <v>0</v>
      </c>
      <c r="N470" s="128"/>
      <c r="O470" s="129"/>
      <c r="P470" s="9">
        <f t="shared" si="192"/>
        <v>0</v>
      </c>
      <c r="Q470" s="177">
        <f t="shared" si="190"/>
        <v>0</v>
      </c>
      <c r="R470" s="3">
        <f>D470*E470*'Entrada e Saida'!$K$8</f>
        <v>0</v>
      </c>
      <c r="S470" s="179" t="e">
        <f>'Entrada e Saida'!$H$21*'Entrada e Saida'!$K$8*(P470/(SUM(P:P)))</f>
        <v>#DIV/0!</v>
      </c>
      <c r="T470" s="179" t="e">
        <f>'Entrada e Saida'!$H$21*'Entrada e Saida'!$K$8*(Q470/(SUM(Q:Q)))</f>
        <v>#DIV/0!</v>
      </c>
      <c r="U470" s="179" t="e">
        <f>'Entrada e Saida'!$H$22*(P470/(SUM(P:P)))</f>
        <v>#DIV/0!</v>
      </c>
      <c r="V470" s="179" t="e">
        <f>'Entrada e Saida'!$H$22*(Q470/(SUM(Q:Q)))</f>
        <v>#DIV/0!</v>
      </c>
      <c r="W470" s="8" t="e">
        <f t="shared" si="193"/>
        <v>#DIV/0!</v>
      </c>
      <c r="X470" s="179" t="e">
        <f>'Entrada e Saida'!$H$26*(IF('Entrada e Saida'!$H$15="PESO",(P470/(SUM(P:P))),(Q470/(SUM(Q:Q)))))</f>
        <v>#DIV/0!</v>
      </c>
      <c r="Y470" s="179" t="e">
        <f>'Entrada e Saida'!$H$27*(IF('Entrada e Saida'!$H$15="PESO",(P470/(SUM(P:P))),(Q470/(SUM(Q:Q)))))</f>
        <v>#DIV/0!</v>
      </c>
      <c r="Z470" s="179" t="e">
        <f>'Entrada e Saida'!$H$28*(IF('Entrada e Saida'!$H$15="PESO",(P470/(SUM(P:P))),(Q470/(SUM(Q:Q)))))</f>
        <v>#DIV/0!</v>
      </c>
      <c r="AA470" s="10" t="e">
        <f t="shared" si="194"/>
        <v>#DIV/0!</v>
      </c>
      <c r="AB470" s="3" t="e">
        <f t="shared" si="195"/>
        <v>#DIV/0!</v>
      </c>
      <c r="AC470" s="3" t="e">
        <f t="shared" si="196"/>
        <v>#DIV/0!</v>
      </c>
      <c r="AD470" s="3" t="e">
        <f t="shared" si="197"/>
        <v>#DIV/0!</v>
      </c>
      <c r="AE470" s="9" t="e">
        <f t="shared" si="198"/>
        <v>#DIV/0!</v>
      </c>
      <c r="AF470" s="126">
        <f>IFERROR(D470*F470*L470*'Entrada e Saida'!$K$8,0)</f>
        <v>0</v>
      </c>
      <c r="AG470" s="3" t="e">
        <f>((W470+AA470+AB470+AC470+AD470+AE470+AF470)/(1-'Entrada e Saida'!$G$65))*'Entrada e Saida'!$I$66</f>
        <v>#DIV/0!</v>
      </c>
      <c r="AH470" s="8" t="e">
        <f t="shared" si="199"/>
        <v>#DIV/0!</v>
      </c>
      <c r="AI470" s="183" t="e">
        <f>'Entrada e Saida'!$K$51*(IF('Entrada e Saida'!$H$15="PESO",(P470/(SUM(P:P))),(Q470/(SUM(Q:Q)))))</f>
        <v>#DIV/0!</v>
      </c>
      <c r="AJ470" s="7">
        <f>(('Entrada e Saida'!$K$10-'Entrada e Saida'!$K$8)*E470*D470)</f>
        <v>0</v>
      </c>
      <c r="AK470" s="184" t="e">
        <f>IF('Entrada e Saida'!$H$15="PESO",W470+AA470+AH470+AI470+AJ470,W470+AA470+AH470+AI470+AJ470-S470+T470-U470+V470)</f>
        <v>#DIV/0!</v>
      </c>
      <c r="AL470" s="6" t="e">
        <f>IF('Entrada e Saida'!$H$12="REAL",AC470,0)</f>
        <v>#DIV/0!</v>
      </c>
      <c r="AM470" s="6" t="e">
        <f>IF('Entrada e Saida'!$H$12="REAL",AD470,0)</f>
        <v>#DIV/0!</v>
      </c>
      <c r="AN470" s="5" t="e">
        <f>IF('Entrada e Saida'!$H$13= "NÃO",AE470,0)</f>
        <v>#DIV/0!</v>
      </c>
      <c r="AO470" s="5" t="e">
        <f t="shared" si="200"/>
        <v>#DIV/0!</v>
      </c>
      <c r="AP470" s="4" t="e">
        <f t="shared" si="201"/>
        <v>#DIV/0!</v>
      </c>
      <c r="AQ470" s="3" t="e">
        <f>IF('Entrada e Saida'!$H$11="TRADING",AU470*'Custo Resumido'!D470,0)</f>
        <v>#DIV/0!</v>
      </c>
      <c r="AR470" s="3" t="e">
        <f>IF('Entrada e Saida'!$H$11="TRADING",AU470*'Entrada e Saida'!$G$63,0)</f>
        <v>#DIV/0!</v>
      </c>
      <c r="AS470" s="3" t="e">
        <f>IF('Entrada e Saida'!$H$11="TRADING",AU470*'Entrada e Saida'!$G$64,0)</f>
        <v>#DIV/0!</v>
      </c>
      <c r="AT470" s="3" t="e">
        <f>IF('Entrada e Saida'!$H$11="TRADING",AU470*'Entrada e Saida'!$G$65,0)</f>
        <v>#DIV/0!</v>
      </c>
      <c r="AU470" s="4" t="e">
        <f>IF('Entrada e Saida'!$H$11="TRADING",AP470/(1-(SUM('Entrada e Saida'!$G$63:$G$65)+'Custo Resumido'!D470)),0)</f>
        <v>#DIV/0!</v>
      </c>
      <c r="AV470" s="3" t="e">
        <f>IF('Entrada e Saida'!$H$13="NÃO",AU470*M470,0)</f>
        <v>#DIV/0!</v>
      </c>
      <c r="AW470" s="4" t="e">
        <f t="shared" si="202"/>
        <v>#DIV/0!</v>
      </c>
      <c r="AX470" s="3" t="e">
        <f>'Entrada e Saida'!$G$74*AU470</f>
        <v>#DIV/0!</v>
      </c>
      <c r="AY470" s="4" t="e">
        <f t="shared" si="203"/>
        <v>#DIV/0!</v>
      </c>
      <c r="AZ470" s="4" t="e">
        <f>AQ470+('Entrada e Saida'!$G$65-'Entrada e Saida'!$I$65)*AU470-AX470</f>
        <v>#DIV/0!</v>
      </c>
      <c r="BA470" s="3" t="e">
        <f>IF('Entrada e Saida'!$H$12="REAL",AZ470*'Entrada e Saida'!$G$81,AU470*'Entrada e Saida'!$G$81)</f>
        <v>#DIV/0!</v>
      </c>
      <c r="BB470" s="3" t="e">
        <f>IF('Entrada e Saida'!$H$12="REAL",AZ470*'Entrada e Saida'!$G$82,AU470*'Entrada e Saida'!$G$82)</f>
        <v>#DIV/0!</v>
      </c>
      <c r="BC470" s="4" t="e">
        <f t="shared" si="204"/>
        <v>#DIV/0!</v>
      </c>
      <c r="BD470" s="3" t="e">
        <f>IF('Entrada e Saida'!$H$11="TRADING",AW470/D470,AK470/D470)</f>
        <v>#DIV/0!</v>
      </c>
      <c r="BE470" s="3" t="e">
        <f t="shared" si="205"/>
        <v>#DIV/0!</v>
      </c>
      <c r="BF470" s="2" t="e">
        <f t="shared" si="206"/>
        <v>#DIV/0!</v>
      </c>
      <c r="BG470" s="3" t="e">
        <f>IF('Entrada e Saida'!$H$11="TRADING",AV470/D470,AN470/D470)</f>
        <v>#DIV/0!</v>
      </c>
      <c r="BH470" s="3" t="e">
        <f>IF('Entrada e Saida'!$H$11="TRADING",IF('Entrada e Saida'!$H$12="REAL",AR470/D470,0),AL470/D470)</f>
        <v>#DIV/0!</v>
      </c>
      <c r="BI470" s="3" t="e">
        <f>IF('Entrada e Saida'!$H$11="TRADING",IF('Entrada e Saida'!$H$12="REAL",AS470/D470,0),AM470/D470)</f>
        <v>#DIV/0!</v>
      </c>
      <c r="BJ470" s="3" t="e">
        <f>IF('Entrada e Saida'!$H$11="TRADING",AT470/D470,AO470/D470)</f>
        <v>#DIV/0!</v>
      </c>
      <c r="BK470" s="2" t="e">
        <f t="shared" si="207"/>
        <v>#DIV/0!</v>
      </c>
      <c r="BL470" s="2">
        <f>IF(O470&gt;0,IFERROR(IF('Entrada e Saida'!$H$11="DIRETA",0,(IF('Entrada e Saida'!$H$14="P.JURIDICA",(BD470*(1+O470)*N470)-((BD470/(1+M470))*'Entrada e Saida'!$G$65),((Produtos!N470-'Entrada e Saida'!$G$65)*Produtos!BD470)))),0),0)</f>
        <v>0</v>
      </c>
      <c r="BM470" s="2" t="e">
        <f t="shared" si="208"/>
        <v>#DIV/0!</v>
      </c>
    </row>
    <row r="471" spans="1:65" s="1" customFormat="1">
      <c r="A471" s="127"/>
      <c r="B471" s="114">
        <f>IFERROR(VLOOKUP(A471,'Master Modelo'!A:I,7,FALSE),0)</f>
        <v>0</v>
      </c>
      <c r="C471" s="116">
        <f>IFERROR(VLOOKUP(A471,'Master Modelo'!A:I,2,FALSE),0)</f>
        <v>0</v>
      </c>
      <c r="D471" s="146"/>
      <c r="E471" s="115">
        <f>IFERROR(VLOOKUP(A471,'Master Modelo'!A:I,9,FALSE),0)</f>
        <v>0</v>
      </c>
      <c r="F471" s="189">
        <f>IFERROR(VLOOKUP(A471,'Master Modelo'!A:I,8,FALSE),0)</f>
        <v>0</v>
      </c>
      <c r="G471" s="189">
        <f>IFERROR(VLOOKUP(A471,'Master Modelo'!A:K,11,FALSE),0)</f>
        <v>0</v>
      </c>
      <c r="H471" s="114" t="e">
        <f t="shared" si="191"/>
        <v>#DIV/0!</v>
      </c>
      <c r="I471" s="150">
        <f>IFERROR(VLOOKUP(A471,'Master Modelo'!A:I,3,FALSE),0)</f>
        <v>0</v>
      </c>
      <c r="J471" s="151">
        <f>IFERROR(VLOOKUP(A471,'Master Modelo'!A:I,5,FALSE),0)</f>
        <v>0</v>
      </c>
      <c r="K471" s="151">
        <f>IFERROR(VLOOKUP(A471,'Master Modelo'!A:I,6,FALSE),0)</f>
        <v>0</v>
      </c>
      <c r="L471" s="152" t="e">
        <f>VLOOKUP(A471,'Master Modelo'!A:J,10,FALSE)</f>
        <v>#N/A</v>
      </c>
      <c r="M471" s="150">
        <f>IFERROR(VLOOKUP(A471,'Master Modelo'!A:I,4,FALSE),0)</f>
        <v>0</v>
      </c>
      <c r="N471" s="128"/>
      <c r="O471" s="129"/>
      <c r="P471" s="9">
        <f t="shared" si="192"/>
        <v>0</v>
      </c>
      <c r="Q471" s="177">
        <f t="shared" si="190"/>
        <v>0</v>
      </c>
      <c r="R471" s="3">
        <f>D471*E471*'Entrada e Saida'!$K$8</f>
        <v>0</v>
      </c>
      <c r="S471" s="179" t="e">
        <f>'Entrada e Saida'!$H$21*'Entrada e Saida'!$K$8*(P471/(SUM(P:P)))</f>
        <v>#DIV/0!</v>
      </c>
      <c r="T471" s="179" t="e">
        <f>'Entrada e Saida'!$H$21*'Entrada e Saida'!$K$8*(Q471/(SUM(Q:Q)))</f>
        <v>#DIV/0!</v>
      </c>
      <c r="U471" s="179" t="e">
        <f>'Entrada e Saida'!$H$22*(P471/(SUM(P:P)))</f>
        <v>#DIV/0!</v>
      </c>
      <c r="V471" s="179" t="e">
        <f>'Entrada e Saida'!$H$22*(Q471/(SUM(Q:Q)))</f>
        <v>#DIV/0!</v>
      </c>
      <c r="W471" s="8" t="e">
        <f t="shared" si="193"/>
        <v>#DIV/0!</v>
      </c>
      <c r="X471" s="179" t="e">
        <f>'Entrada e Saida'!$H$26*(IF('Entrada e Saida'!$H$15="PESO",(P471/(SUM(P:P))),(Q471/(SUM(Q:Q)))))</f>
        <v>#DIV/0!</v>
      </c>
      <c r="Y471" s="179" t="e">
        <f>'Entrada e Saida'!$H$27*(IF('Entrada e Saida'!$H$15="PESO",(P471/(SUM(P:P))),(Q471/(SUM(Q:Q)))))</f>
        <v>#DIV/0!</v>
      </c>
      <c r="Z471" s="179" t="e">
        <f>'Entrada e Saida'!$H$28*(IF('Entrada e Saida'!$H$15="PESO",(P471/(SUM(P:P))),(Q471/(SUM(Q:Q)))))</f>
        <v>#DIV/0!</v>
      </c>
      <c r="AA471" s="10" t="e">
        <f t="shared" si="194"/>
        <v>#DIV/0!</v>
      </c>
      <c r="AB471" s="3" t="e">
        <f t="shared" si="195"/>
        <v>#DIV/0!</v>
      </c>
      <c r="AC471" s="3" t="e">
        <f t="shared" si="196"/>
        <v>#DIV/0!</v>
      </c>
      <c r="AD471" s="3" t="e">
        <f t="shared" si="197"/>
        <v>#DIV/0!</v>
      </c>
      <c r="AE471" s="9" t="e">
        <f t="shared" si="198"/>
        <v>#DIV/0!</v>
      </c>
      <c r="AF471" s="126">
        <f>IFERROR(D471*F471*L471*'Entrada e Saida'!$K$8,0)</f>
        <v>0</v>
      </c>
      <c r="AG471" s="3" t="e">
        <f>((W471+AA471+AB471+AC471+AD471+AE471+AF471)/(1-'Entrada e Saida'!$G$65))*'Entrada e Saida'!$I$66</f>
        <v>#DIV/0!</v>
      </c>
      <c r="AH471" s="8" t="e">
        <f t="shared" si="199"/>
        <v>#DIV/0!</v>
      </c>
      <c r="AI471" s="183" t="e">
        <f>'Entrada e Saida'!$K$51*(IF('Entrada e Saida'!$H$15="PESO",(P471/(SUM(P:P))),(Q471/(SUM(Q:Q)))))</f>
        <v>#DIV/0!</v>
      </c>
      <c r="AJ471" s="7">
        <f>(('Entrada e Saida'!$K$10-'Entrada e Saida'!$K$8)*E471*D471)</f>
        <v>0</v>
      </c>
      <c r="AK471" s="184" t="e">
        <f>IF('Entrada e Saida'!$H$15="PESO",W471+AA471+AH471+AI471+AJ471,W471+AA471+AH471+AI471+AJ471-S471+T471-U471+V471)</f>
        <v>#DIV/0!</v>
      </c>
      <c r="AL471" s="6" t="e">
        <f>IF('Entrada e Saida'!$H$12="REAL",AC471,0)</f>
        <v>#DIV/0!</v>
      </c>
      <c r="AM471" s="6" t="e">
        <f>IF('Entrada e Saida'!$H$12="REAL",AD471,0)</f>
        <v>#DIV/0!</v>
      </c>
      <c r="AN471" s="5" t="e">
        <f>IF('Entrada e Saida'!$H$13= "NÃO",AE471,0)</f>
        <v>#DIV/0!</v>
      </c>
      <c r="AO471" s="5" t="e">
        <f t="shared" si="200"/>
        <v>#DIV/0!</v>
      </c>
      <c r="AP471" s="4" t="e">
        <f t="shared" si="201"/>
        <v>#DIV/0!</v>
      </c>
      <c r="AQ471" s="3" t="e">
        <f>IF('Entrada e Saida'!$H$11="TRADING",AU471*'Custo Resumido'!D471,0)</f>
        <v>#DIV/0!</v>
      </c>
      <c r="AR471" s="3" t="e">
        <f>IF('Entrada e Saida'!$H$11="TRADING",AU471*'Entrada e Saida'!$G$63,0)</f>
        <v>#DIV/0!</v>
      </c>
      <c r="AS471" s="3" t="e">
        <f>IF('Entrada e Saida'!$H$11="TRADING",AU471*'Entrada e Saida'!$G$64,0)</f>
        <v>#DIV/0!</v>
      </c>
      <c r="AT471" s="3" t="e">
        <f>IF('Entrada e Saida'!$H$11="TRADING",AU471*'Entrada e Saida'!$G$65,0)</f>
        <v>#DIV/0!</v>
      </c>
      <c r="AU471" s="4" t="e">
        <f>IF('Entrada e Saida'!$H$11="TRADING",AP471/(1-(SUM('Entrada e Saida'!$G$63:$G$65)+'Custo Resumido'!D471)),0)</f>
        <v>#DIV/0!</v>
      </c>
      <c r="AV471" s="3" t="e">
        <f>IF('Entrada e Saida'!$H$13="NÃO",AU471*M471,0)</f>
        <v>#DIV/0!</v>
      </c>
      <c r="AW471" s="4" t="e">
        <f t="shared" si="202"/>
        <v>#DIV/0!</v>
      </c>
      <c r="AX471" s="3" t="e">
        <f>'Entrada e Saida'!$G$74*AU471</f>
        <v>#DIV/0!</v>
      </c>
      <c r="AY471" s="4" t="e">
        <f t="shared" si="203"/>
        <v>#DIV/0!</v>
      </c>
      <c r="AZ471" s="4" t="e">
        <f>AQ471+('Entrada e Saida'!$G$65-'Entrada e Saida'!$I$65)*AU471-AX471</f>
        <v>#DIV/0!</v>
      </c>
      <c r="BA471" s="3" t="e">
        <f>IF('Entrada e Saida'!$H$12="REAL",AZ471*'Entrada e Saida'!$G$81,AU471*'Entrada e Saida'!$G$81)</f>
        <v>#DIV/0!</v>
      </c>
      <c r="BB471" s="3" t="e">
        <f>IF('Entrada e Saida'!$H$12="REAL",AZ471*'Entrada e Saida'!$G$82,AU471*'Entrada e Saida'!$G$82)</f>
        <v>#DIV/0!</v>
      </c>
      <c r="BC471" s="4" t="e">
        <f t="shared" si="204"/>
        <v>#DIV/0!</v>
      </c>
      <c r="BD471" s="3" t="e">
        <f>IF('Entrada e Saida'!$H$11="TRADING",AW471/D471,AK471/D471)</f>
        <v>#DIV/0!</v>
      </c>
      <c r="BE471" s="3" t="e">
        <f t="shared" si="205"/>
        <v>#DIV/0!</v>
      </c>
      <c r="BF471" s="2" t="e">
        <f t="shared" si="206"/>
        <v>#DIV/0!</v>
      </c>
      <c r="BG471" s="3" t="e">
        <f>IF('Entrada e Saida'!$H$11="TRADING",AV471/D471,AN471/D471)</f>
        <v>#DIV/0!</v>
      </c>
      <c r="BH471" s="3" t="e">
        <f>IF('Entrada e Saida'!$H$11="TRADING",IF('Entrada e Saida'!$H$12="REAL",AR471/D471,0),AL471/D471)</f>
        <v>#DIV/0!</v>
      </c>
      <c r="BI471" s="3" t="e">
        <f>IF('Entrada e Saida'!$H$11="TRADING",IF('Entrada e Saida'!$H$12="REAL",AS471/D471,0),AM471/D471)</f>
        <v>#DIV/0!</v>
      </c>
      <c r="BJ471" s="3" t="e">
        <f>IF('Entrada e Saida'!$H$11="TRADING",AT471/D471,AO471/D471)</f>
        <v>#DIV/0!</v>
      </c>
      <c r="BK471" s="2" t="e">
        <f t="shared" si="207"/>
        <v>#DIV/0!</v>
      </c>
      <c r="BL471" s="2">
        <f>IF(O471&gt;0,IFERROR(IF('Entrada e Saida'!$H$11="DIRETA",0,(IF('Entrada e Saida'!$H$14="P.JURIDICA",(BD471*(1+O471)*N471)-((BD471/(1+M471))*'Entrada e Saida'!$G$65),((Produtos!N471-'Entrada e Saida'!$G$65)*Produtos!BD471)))),0),0)</f>
        <v>0</v>
      </c>
      <c r="BM471" s="2" t="e">
        <f t="shared" si="208"/>
        <v>#DIV/0!</v>
      </c>
    </row>
    <row r="472" spans="1:65" s="1" customFormat="1">
      <c r="A472" s="127"/>
      <c r="B472" s="114">
        <f>IFERROR(VLOOKUP(A472,'Master Modelo'!A:I,7,FALSE),0)</f>
        <v>0</v>
      </c>
      <c r="C472" s="116">
        <f>IFERROR(VLOOKUP(A472,'Master Modelo'!A:I,2,FALSE),0)</f>
        <v>0</v>
      </c>
      <c r="D472" s="146"/>
      <c r="E472" s="115">
        <f>IFERROR(VLOOKUP(A472,'Master Modelo'!A:I,9,FALSE),0)</f>
        <v>0</v>
      </c>
      <c r="F472" s="189">
        <f>IFERROR(VLOOKUP(A472,'Master Modelo'!A:I,8,FALSE),0)</f>
        <v>0</v>
      </c>
      <c r="G472" s="189">
        <f>IFERROR(VLOOKUP(A472,'Master Modelo'!A:K,11,FALSE),0)</f>
        <v>0</v>
      </c>
      <c r="H472" s="114" t="e">
        <f t="shared" si="191"/>
        <v>#DIV/0!</v>
      </c>
      <c r="I472" s="150">
        <f>IFERROR(VLOOKUP(A472,'Master Modelo'!A:I,3,FALSE),0)</f>
        <v>0</v>
      </c>
      <c r="J472" s="151">
        <f>IFERROR(VLOOKUP(A472,'Master Modelo'!A:I,5,FALSE),0)</f>
        <v>0</v>
      </c>
      <c r="K472" s="151">
        <f>IFERROR(VLOOKUP(A472,'Master Modelo'!A:I,6,FALSE),0)</f>
        <v>0</v>
      </c>
      <c r="L472" s="152" t="e">
        <f>VLOOKUP(A472,'Master Modelo'!A:J,10,FALSE)</f>
        <v>#N/A</v>
      </c>
      <c r="M472" s="150">
        <f>IFERROR(VLOOKUP(A472,'Master Modelo'!A:I,4,FALSE),0)</f>
        <v>0</v>
      </c>
      <c r="N472" s="128"/>
      <c r="O472" s="129"/>
      <c r="P472" s="9">
        <f t="shared" si="192"/>
        <v>0</v>
      </c>
      <c r="Q472" s="177">
        <f t="shared" si="190"/>
        <v>0</v>
      </c>
      <c r="R472" s="3">
        <f>D472*E472*'Entrada e Saida'!$K$8</f>
        <v>0</v>
      </c>
      <c r="S472" s="179" t="e">
        <f>'Entrada e Saida'!$H$21*'Entrada e Saida'!$K$8*(P472/(SUM(P:P)))</f>
        <v>#DIV/0!</v>
      </c>
      <c r="T472" s="179" t="e">
        <f>'Entrada e Saida'!$H$21*'Entrada e Saida'!$K$8*(Q472/(SUM(Q:Q)))</f>
        <v>#DIV/0!</v>
      </c>
      <c r="U472" s="179" t="e">
        <f>'Entrada e Saida'!$H$22*(P472/(SUM(P:P)))</f>
        <v>#DIV/0!</v>
      </c>
      <c r="V472" s="179" t="e">
        <f>'Entrada e Saida'!$H$22*(Q472/(SUM(Q:Q)))</f>
        <v>#DIV/0!</v>
      </c>
      <c r="W472" s="8" t="e">
        <f t="shared" si="193"/>
        <v>#DIV/0!</v>
      </c>
      <c r="X472" s="179" t="e">
        <f>'Entrada e Saida'!$H$26*(IF('Entrada e Saida'!$H$15="PESO",(P472/(SUM(P:P))),(Q472/(SUM(Q:Q)))))</f>
        <v>#DIV/0!</v>
      </c>
      <c r="Y472" s="179" t="e">
        <f>'Entrada e Saida'!$H$27*(IF('Entrada e Saida'!$H$15="PESO",(P472/(SUM(P:P))),(Q472/(SUM(Q:Q)))))</f>
        <v>#DIV/0!</v>
      </c>
      <c r="Z472" s="179" t="e">
        <f>'Entrada e Saida'!$H$28*(IF('Entrada e Saida'!$H$15="PESO",(P472/(SUM(P:P))),(Q472/(SUM(Q:Q)))))</f>
        <v>#DIV/0!</v>
      </c>
      <c r="AA472" s="10" t="e">
        <f t="shared" si="194"/>
        <v>#DIV/0!</v>
      </c>
      <c r="AB472" s="3" t="e">
        <f t="shared" si="195"/>
        <v>#DIV/0!</v>
      </c>
      <c r="AC472" s="3" t="e">
        <f t="shared" si="196"/>
        <v>#DIV/0!</v>
      </c>
      <c r="AD472" s="3" t="e">
        <f t="shared" si="197"/>
        <v>#DIV/0!</v>
      </c>
      <c r="AE472" s="9" t="e">
        <f t="shared" si="198"/>
        <v>#DIV/0!</v>
      </c>
      <c r="AF472" s="126">
        <f>IFERROR(D472*F472*L472*'Entrada e Saida'!$K$8,0)</f>
        <v>0</v>
      </c>
      <c r="AG472" s="3" t="e">
        <f>((W472+AA472+AB472+AC472+AD472+AE472+AF472)/(1-'Entrada e Saida'!$G$65))*'Entrada e Saida'!$I$66</f>
        <v>#DIV/0!</v>
      </c>
      <c r="AH472" s="8" t="e">
        <f t="shared" si="199"/>
        <v>#DIV/0!</v>
      </c>
      <c r="AI472" s="183" t="e">
        <f>'Entrada e Saida'!$K$51*(IF('Entrada e Saida'!$H$15="PESO",(P472/(SUM(P:P))),(Q472/(SUM(Q:Q)))))</f>
        <v>#DIV/0!</v>
      </c>
      <c r="AJ472" s="7">
        <f>(('Entrada e Saida'!$K$10-'Entrada e Saida'!$K$8)*E472*D472)</f>
        <v>0</v>
      </c>
      <c r="AK472" s="184" t="e">
        <f>IF('Entrada e Saida'!$H$15="PESO",W472+AA472+AH472+AI472+AJ472,W472+AA472+AH472+AI472+AJ472-S472+T472-U472+V472)</f>
        <v>#DIV/0!</v>
      </c>
      <c r="AL472" s="6" t="e">
        <f>IF('Entrada e Saida'!$H$12="REAL",AC472,0)</f>
        <v>#DIV/0!</v>
      </c>
      <c r="AM472" s="6" t="e">
        <f>IF('Entrada e Saida'!$H$12="REAL",AD472,0)</f>
        <v>#DIV/0!</v>
      </c>
      <c r="AN472" s="5" t="e">
        <f>IF('Entrada e Saida'!$H$13= "NÃO",AE472,0)</f>
        <v>#DIV/0!</v>
      </c>
      <c r="AO472" s="5" t="e">
        <f t="shared" si="200"/>
        <v>#DIV/0!</v>
      </c>
      <c r="AP472" s="4" t="e">
        <f t="shared" si="201"/>
        <v>#DIV/0!</v>
      </c>
      <c r="AQ472" s="3" t="e">
        <f>IF('Entrada e Saida'!$H$11="TRADING",AU472*'Custo Resumido'!D472,0)</f>
        <v>#DIV/0!</v>
      </c>
      <c r="AR472" s="3" t="e">
        <f>IF('Entrada e Saida'!$H$11="TRADING",AU472*'Entrada e Saida'!$G$63,0)</f>
        <v>#DIV/0!</v>
      </c>
      <c r="AS472" s="3" t="e">
        <f>IF('Entrada e Saida'!$H$11="TRADING",AU472*'Entrada e Saida'!$G$64,0)</f>
        <v>#DIV/0!</v>
      </c>
      <c r="AT472" s="3" t="e">
        <f>IF('Entrada e Saida'!$H$11="TRADING",AU472*'Entrada e Saida'!$G$65,0)</f>
        <v>#DIV/0!</v>
      </c>
      <c r="AU472" s="4" t="e">
        <f>IF('Entrada e Saida'!$H$11="TRADING",AP472/(1-(SUM('Entrada e Saida'!$G$63:$G$65)+'Custo Resumido'!D472)),0)</f>
        <v>#DIV/0!</v>
      </c>
      <c r="AV472" s="3" t="e">
        <f>IF('Entrada e Saida'!$H$13="NÃO",AU472*M472,0)</f>
        <v>#DIV/0!</v>
      </c>
      <c r="AW472" s="4" t="e">
        <f t="shared" si="202"/>
        <v>#DIV/0!</v>
      </c>
      <c r="AX472" s="3" t="e">
        <f>'Entrada e Saida'!$G$74*AU472</f>
        <v>#DIV/0!</v>
      </c>
      <c r="AY472" s="4" t="e">
        <f t="shared" si="203"/>
        <v>#DIV/0!</v>
      </c>
      <c r="AZ472" s="4" t="e">
        <f>AQ472+('Entrada e Saida'!$G$65-'Entrada e Saida'!$I$65)*AU472-AX472</f>
        <v>#DIV/0!</v>
      </c>
      <c r="BA472" s="3" t="e">
        <f>IF('Entrada e Saida'!$H$12="REAL",AZ472*'Entrada e Saida'!$G$81,AU472*'Entrada e Saida'!$G$81)</f>
        <v>#DIV/0!</v>
      </c>
      <c r="BB472" s="3" t="e">
        <f>IF('Entrada e Saida'!$H$12="REAL",AZ472*'Entrada e Saida'!$G$82,AU472*'Entrada e Saida'!$G$82)</f>
        <v>#DIV/0!</v>
      </c>
      <c r="BC472" s="4" t="e">
        <f t="shared" si="204"/>
        <v>#DIV/0!</v>
      </c>
      <c r="BD472" s="3" t="e">
        <f>IF('Entrada e Saida'!$H$11="TRADING",AW472/D472,AK472/D472)</f>
        <v>#DIV/0!</v>
      </c>
      <c r="BE472" s="3" t="e">
        <f t="shared" si="205"/>
        <v>#DIV/0!</v>
      </c>
      <c r="BF472" s="2" t="e">
        <f t="shared" si="206"/>
        <v>#DIV/0!</v>
      </c>
      <c r="BG472" s="3" t="e">
        <f>IF('Entrada e Saida'!$H$11="TRADING",AV472/D472,AN472/D472)</f>
        <v>#DIV/0!</v>
      </c>
      <c r="BH472" s="3" t="e">
        <f>IF('Entrada e Saida'!$H$11="TRADING",IF('Entrada e Saida'!$H$12="REAL",AR472/D472,0),AL472/D472)</f>
        <v>#DIV/0!</v>
      </c>
      <c r="BI472" s="3" t="e">
        <f>IF('Entrada e Saida'!$H$11="TRADING",IF('Entrada e Saida'!$H$12="REAL",AS472/D472,0),AM472/D472)</f>
        <v>#DIV/0!</v>
      </c>
      <c r="BJ472" s="3" t="e">
        <f>IF('Entrada e Saida'!$H$11="TRADING",AT472/D472,AO472/D472)</f>
        <v>#DIV/0!</v>
      </c>
      <c r="BK472" s="2" t="e">
        <f t="shared" si="207"/>
        <v>#DIV/0!</v>
      </c>
      <c r="BL472" s="2">
        <f>IF(O472&gt;0,IFERROR(IF('Entrada e Saida'!$H$11="DIRETA",0,(IF('Entrada e Saida'!$H$14="P.JURIDICA",(BD472*(1+O472)*N472)-((BD472/(1+M472))*'Entrada e Saida'!$G$65),((Produtos!N472-'Entrada e Saida'!$G$65)*Produtos!BD472)))),0),0)</f>
        <v>0</v>
      </c>
      <c r="BM472" s="2" t="e">
        <f t="shared" si="208"/>
        <v>#DIV/0!</v>
      </c>
    </row>
    <row r="473" spans="1:65" s="1" customFormat="1">
      <c r="A473" s="127"/>
      <c r="B473" s="114">
        <f>IFERROR(VLOOKUP(A473,'Master Modelo'!A:I,7,FALSE),0)</f>
        <v>0</v>
      </c>
      <c r="C473" s="116">
        <f>IFERROR(VLOOKUP(A473,'Master Modelo'!A:I,2,FALSE),0)</f>
        <v>0</v>
      </c>
      <c r="D473" s="146"/>
      <c r="E473" s="115">
        <f>IFERROR(VLOOKUP(A473,'Master Modelo'!A:I,9,FALSE),0)</f>
        <v>0</v>
      </c>
      <c r="F473" s="189">
        <f>IFERROR(VLOOKUP(A473,'Master Modelo'!A:I,8,FALSE),0)</f>
        <v>0</v>
      </c>
      <c r="G473" s="189">
        <f>IFERROR(VLOOKUP(A473,'Master Modelo'!A:K,11,FALSE),0)</f>
        <v>0</v>
      </c>
      <c r="H473" s="114" t="e">
        <f t="shared" si="191"/>
        <v>#DIV/0!</v>
      </c>
      <c r="I473" s="150">
        <f>IFERROR(VLOOKUP(A473,'Master Modelo'!A:I,3,FALSE),0)</f>
        <v>0</v>
      </c>
      <c r="J473" s="151">
        <f>IFERROR(VLOOKUP(A473,'Master Modelo'!A:I,5,FALSE),0)</f>
        <v>0</v>
      </c>
      <c r="K473" s="151">
        <f>IFERROR(VLOOKUP(A473,'Master Modelo'!A:I,6,FALSE),0)</f>
        <v>0</v>
      </c>
      <c r="L473" s="152" t="e">
        <f>VLOOKUP(A473,'Master Modelo'!A:J,10,FALSE)</f>
        <v>#N/A</v>
      </c>
      <c r="M473" s="150">
        <f>IFERROR(VLOOKUP(A473,'Master Modelo'!A:I,4,FALSE),0)</f>
        <v>0</v>
      </c>
      <c r="N473" s="128"/>
      <c r="O473" s="129"/>
      <c r="P473" s="9">
        <f t="shared" si="192"/>
        <v>0</v>
      </c>
      <c r="Q473" s="177">
        <f t="shared" si="190"/>
        <v>0</v>
      </c>
      <c r="R473" s="3">
        <f>D473*E473*'Entrada e Saida'!$K$8</f>
        <v>0</v>
      </c>
      <c r="S473" s="179" t="e">
        <f>'Entrada e Saida'!$H$21*'Entrada e Saida'!$K$8*(P473/(SUM(P:P)))</f>
        <v>#DIV/0!</v>
      </c>
      <c r="T473" s="179" t="e">
        <f>'Entrada e Saida'!$H$21*'Entrada e Saida'!$K$8*(Q473/(SUM(Q:Q)))</f>
        <v>#DIV/0!</v>
      </c>
      <c r="U473" s="179" t="e">
        <f>'Entrada e Saida'!$H$22*(P473/(SUM(P:P)))</f>
        <v>#DIV/0!</v>
      </c>
      <c r="V473" s="179" t="e">
        <f>'Entrada e Saida'!$H$22*(Q473/(SUM(Q:Q)))</f>
        <v>#DIV/0!</v>
      </c>
      <c r="W473" s="8" t="e">
        <f t="shared" si="193"/>
        <v>#DIV/0!</v>
      </c>
      <c r="X473" s="179" t="e">
        <f>'Entrada e Saida'!$H$26*(IF('Entrada e Saida'!$H$15="PESO",(P473/(SUM(P:P))),(Q473/(SUM(Q:Q)))))</f>
        <v>#DIV/0!</v>
      </c>
      <c r="Y473" s="179" t="e">
        <f>'Entrada e Saida'!$H$27*(IF('Entrada e Saida'!$H$15="PESO",(P473/(SUM(P:P))),(Q473/(SUM(Q:Q)))))</f>
        <v>#DIV/0!</v>
      </c>
      <c r="Z473" s="179" t="e">
        <f>'Entrada e Saida'!$H$28*(IF('Entrada e Saida'!$H$15="PESO",(P473/(SUM(P:P))),(Q473/(SUM(Q:Q)))))</f>
        <v>#DIV/0!</v>
      </c>
      <c r="AA473" s="10" t="e">
        <f t="shared" si="194"/>
        <v>#DIV/0!</v>
      </c>
      <c r="AB473" s="3" t="e">
        <f t="shared" si="195"/>
        <v>#DIV/0!</v>
      </c>
      <c r="AC473" s="3" t="e">
        <f t="shared" si="196"/>
        <v>#DIV/0!</v>
      </c>
      <c r="AD473" s="3" t="e">
        <f t="shared" si="197"/>
        <v>#DIV/0!</v>
      </c>
      <c r="AE473" s="9" t="e">
        <f t="shared" si="198"/>
        <v>#DIV/0!</v>
      </c>
      <c r="AF473" s="126">
        <f>IFERROR(D473*F473*L473*'Entrada e Saida'!$K$8,0)</f>
        <v>0</v>
      </c>
      <c r="AG473" s="3" t="e">
        <f>((W473+AA473+AB473+AC473+AD473+AE473+AF473)/(1-'Entrada e Saida'!$G$65))*'Entrada e Saida'!$I$66</f>
        <v>#DIV/0!</v>
      </c>
      <c r="AH473" s="8" t="e">
        <f t="shared" si="199"/>
        <v>#DIV/0!</v>
      </c>
      <c r="AI473" s="183" t="e">
        <f>'Entrada e Saida'!$K$51*(IF('Entrada e Saida'!$H$15="PESO",(P473/(SUM(P:P))),(Q473/(SUM(Q:Q)))))</f>
        <v>#DIV/0!</v>
      </c>
      <c r="AJ473" s="7">
        <f>(('Entrada e Saida'!$K$10-'Entrada e Saida'!$K$8)*E473*D473)</f>
        <v>0</v>
      </c>
      <c r="AK473" s="184" t="e">
        <f>IF('Entrada e Saida'!$H$15="PESO",W473+AA473+AH473+AI473+AJ473,W473+AA473+AH473+AI473+AJ473-S473+T473-U473+V473)</f>
        <v>#DIV/0!</v>
      </c>
      <c r="AL473" s="6" t="e">
        <f>IF('Entrada e Saida'!$H$12="REAL",AC473,0)</f>
        <v>#DIV/0!</v>
      </c>
      <c r="AM473" s="6" t="e">
        <f>IF('Entrada e Saida'!$H$12="REAL",AD473,0)</f>
        <v>#DIV/0!</v>
      </c>
      <c r="AN473" s="5" t="e">
        <f>IF('Entrada e Saida'!$H$13= "NÃO",AE473,0)</f>
        <v>#DIV/0!</v>
      </c>
      <c r="AO473" s="5" t="e">
        <f t="shared" si="200"/>
        <v>#DIV/0!</v>
      </c>
      <c r="AP473" s="4" t="e">
        <f t="shared" si="201"/>
        <v>#DIV/0!</v>
      </c>
      <c r="AQ473" s="3" t="e">
        <f>IF('Entrada e Saida'!$H$11="TRADING",AU473*'Custo Resumido'!D473,0)</f>
        <v>#DIV/0!</v>
      </c>
      <c r="AR473" s="3" t="e">
        <f>IF('Entrada e Saida'!$H$11="TRADING",AU473*'Entrada e Saida'!$G$63,0)</f>
        <v>#DIV/0!</v>
      </c>
      <c r="AS473" s="3" t="e">
        <f>IF('Entrada e Saida'!$H$11="TRADING",AU473*'Entrada e Saida'!$G$64,0)</f>
        <v>#DIV/0!</v>
      </c>
      <c r="AT473" s="3" t="e">
        <f>IF('Entrada e Saida'!$H$11="TRADING",AU473*'Entrada e Saida'!$G$65,0)</f>
        <v>#DIV/0!</v>
      </c>
      <c r="AU473" s="4" t="e">
        <f>IF('Entrada e Saida'!$H$11="TRADING",AP473/(1-(SUM('Entrada e Saida'!$G$63:$G$65)+'Custo Resumido'!D473)),0)</f>
        <v>#DIV/0!</v>
      </c>
      <c r="AV473" s="3" t="e">
        <f>IF('Entrada e Saida'!$H$13="NÃO",AU473*M473,0)</f>
        <v>#DIV/0!</v>
      </c>
      <c r="AW473" s="4" t="e">
        <f t="shared" si="202"/>
        <v>#DIV/0!</v>
      </c>
      <c r="AX473" s="3" t="e">
        <f>'Entrada e Saida'!$G$74*AU473</f>
        <v>#DIV/0!</v>
      </c>
      <c r="AY473" s="4" t="e">
        <f t="shared" si="203"/>
        <v>#DIV/0!</v>
      </c>
      <c r="AZ473" s="4" t="e">
        <f>AQ473+('Entrada e Saida'!$G$65-'Entrada e Saida'!$I$65)*AU473-AX473</f>
        <v>#DIV/0!</v>
      </c>
      <c r="BA473" s="3" t="e">
        <f>IF('Entrada e Saida'!$H$12="REAL",AZ473*'Entrada e Saida'!$G$81,AU473*'Entrada e Saida'!$G$81)</f>
        <v>#DIV/0!</v>
      </c>
      <c r="BB473" s="3" t="e">
        <f>IF('Entrada e Saida'!$H$12="REAL",AZ473*'Entrada e Saida'!$G$82,AU473*'Entrada e Saida'!$G$82)</f>
        <v>#DIV/0!</v>
      </c>
      <c r="BC473" s="4" t="e">
        <f t="shared" si="204"/>
        <v>#DIV/0!</v>
      </c>
      <c r="BD473" s="3" t="e">
        <f>IF('Entrada e Saida'!$H$11="TRADING",AW473/D473,AK473/D473)</f>
        <v>#DIV/0!</v>
      </c>
      <c r="BE473" s="3" t="e">
        <f t="shared" si="205"/>
        <v>#DIV/0!</v>
      </c>
      <c r="BF473" s="2" t="e">
        <f t="shared" si="206"/>
        <v>#DIV/0!</v>
      </c>
      <c r="BG473" s="3" t="e">
        <f>IF('Entrada e Saida'!$H$11="TRADING",AV473/D473,AN473/D473)</f>
        <v>#DIV/0!</v>
      </c>
      <c r="BH473" s="3" t="e">
        <f>IF('Entrada e Saida'!$H$11="TRADING",IF('Entrada e Saida'!$H$12="REAL",AR473/D473,0),AL473/D473)</f>
        <v>#DIV/0!</v>
      </c>
      <c r="BI473" s="3" t="e">
        <f>IF('Entrada e Saida'!$H$11="TRADING",IF('Entrada e Saida'!$H$12="REAL",AS473/D473,0),AM473/D473)</f>
        <v>#DIV/0!</v>
      </c>
      <c r="BJ473" s="3" t="e">
        <f>IF('Entrada e Saida'!$H$11="TRADING",AT473/D473,AO473/D473)</f>
        <v>#DIV/0!</v>
      </c>
      <c r="BK473" s="2" t="e">
        <f t="shared" si="207"/>
        <v>#DIV/0!</v>
      </c>
      <c r="BL473" s="2">
        <f>IF(O473&gt;0,IFERROR(IF('Entrada e Saida'!$H$11="DIRETA",0,(IF('Entrada e Saida'!$H$14="P.JURIDICA",(BD473*(1+O473)*N473)-((BD473/(1+M473))*'Entrada e Saida'!$G$65),((Produtos!N473-'Entrada e Saida'!$G$65)*Produtos!BD473)))),0),0)</f>
        <v>0</v>
      </c>
      <c r="BM473" s="2" t="e">
        <f t="shared" si="208"/>
        <v>#DIV/0!</v>
      </c>
    </row>
    <row r="474" spans="1:65" s="1" customFormat="1">
      <c r="A474" s="127"/>
      <c r="B474" s="114">
        <f>IFERROR(VLOOKUP(A474,'Master Modelo'!A:I,7,FALSE),0)</f>
        <v>0</v>
      </c>
      <c r="C474" s="116">
        <f>IFERROR(VLOOKUP(A474,'Master Modelo'!A:I,2,FALSE),0)</f>
        <v>0</v>
      </c>
      <c r="D474" s="146"/>
      <c r="E474" s="115">
        <f>IFERROR(VLOOKUP(A474,'Master Modelo'!A:I,9,FALSE),0)</f>
        <v>0</v>
      </c>
      <c r="F474" s="189">
        <f>IFERROR(VLOOKUP(A474,'Master Modelo'!A:I,8,FALSE),0)</f>
        <v>0</v>
      </c>
      <c r="G474" s="189">
        <f>IFERROR(VLOOKUP(A474,'Master Modelo'!A:K,11,FALSE),0)</f>
        <v>0</v>
      </c>
      <c r="H474" s="114" t="e">
        <f t="shared" si="191"/>
        <v>#DIV/0!</v>
      </c>
      <c r="I474" s="150">
        <f>IFERROR(VLOOKUP(A474,'Master Modelo'!A:I,3,FALSE),0)</f>
        <v>0</v>
      </c>
      <c r="J474" s="151">
        <f>IFERROR(VLOOKUP(A474,'Master Modelo'!A:I,5,FALSE),0)</f>
        <v>0</v>
      </c>
      <c r="K474" s="151">
        <f>IFERROR(VLOOKUP(A474,'Master Modelo'!A:I,6,FALSE),0)</f>
        <v>0</v>
      </c>
      <c r="L474" s="152" t="e">
        <f>VLOOKUP(A474,'Master Modelo'!A:J,10,FALSE)</f>
        <v>#N/A</v>
      </c>
      <c r="M474" s="150">
        <f>IFERROR(VLOOKUP(A474,'Master Modelo'!A:I,4,FALSE),0)</f>
        <v>0</v>
      </c>
      <c r="N474" s="128"/>
      <c r="O474" s="129"/>
      <c r="P474" s="9">
        <f t="shared" si="192"/>
        <v>0</v>
      </c>
      <c r="Q474" s="177">
        <f t="shared" si="190"/>
        <v>0</v>
      </c>
      <c r="R474" s="3">
        <f>D474*E474*'Entrada e Saida'!$K$8</f>
        <v>0</v>
      </c>
      <c r="S474" s="179" t="e">
        <f>'Entrada e Saida'!$H$21*'Entrada e Saida'!$K$8*(P474/(SUM(P:P)))</f>
        <v>#DIV/0!</v>
      </c>
      <c r="T474" s="179" t="e">
        <f>'Entrada e Saida'!$H$21*'Entrada e Saida'!$K$8*(Q474/(SUM(Q:Q)))</f>
        <v>#DIV/0!</v>
      </c>
      <c r="U474" s="179" t="e">
        <f>'Entrada e Saida'!$H$22*(P474/(SUM(P:P)))</f>
        <v>#DIV/0!</v>
      </c>
      <c r="V474" s="179" t="e">
        <f>'Entrada e Saida'!$H$22*(Q474/(SUM(Q:Q)))</f>
        <v>#DIV/0!</v>
      </c>
      <c r="W474" s="8" t="e">
        <f t="shared" si="193"/>
        <v>#DIV/0!</v>
      </c>
      <c r="X474" s="179" t="e">
        <f>'Entrada e Saida'!$H$26*(IF('Entrada e Saida'!$H$15="PESO",(P474/(SUM(P:P))),(Q474/(SUM(Q:Q)))))</f>
        <v>#DIV/0!</v>
      </c>
      <c r="Y474" s="179" t="e">
        <f>'Entrada e Saida'!$H$27*(IF('Entrada e Saida'!$H$15="PESO",(P474/(SUM(P:P))),(Q474/(SUM(Q:Q)))))</f>
        <v>#DIV/0!</v>
      </c>
      <c r="Z474" s="179" t="e">
        <f>'Entrada e Saida'!$H$28*(IF('Entrada e Saida'!$H$15="PESO",(P474/(SUM(P:P))),(Q474/(SUM(Q:Q)))))</f>
        <v>#DIV/0!</v>
      </c>
      <c r="AA474" s="10" t="e">
        <f t="shared" si="194"/>
        <v>#DIV/0!</v>
      </c>
      <c r="AB474" s="3" t="e">
        <f t="shared" si="195"/>
        <v>#DIV/0!</v>
      </c>
      <c r="AC474" s="3" t="e">
        <f t="shared" si="196"/>
        <v>#DIV/0!</v>
      </c>
      <c r="AD474" s="3" t="e">
        <f t="shared" si="197"/>
        <v>#DIV/0!</v>
      </c>
      <c r="AE474" s="9" t="e">
        <f t="shared" si="198"/>
        <v>#DIV/0!</v>
      </c>
      <c r="AF474" s="126">
        <f>IFERROR(D474*F474*L474*'Entrada e Saida'!$K$8,0)</f>
        <v>0</v>
      </c>
      <c r="AG474" s="3" t="e">
        <f>((W474+AA474+AB474+AC474+AD474+AE474+AF474)/(1-'Entrada e Saida'!$G$65))*'Entrada e Saida'!$I$66</f>
        <v>#DIV/0!</v>
      </c>
      <c r="AH474" s="8" t="e">
        <f t="shared" si="199"/>
        <v>#DIV/0!</v>
      </c>
      <c r="AI474" s="183" t="e">
        <f>'Entrada e Saida'!$K$51*(IF('Entrada e Saida'!$H$15="PESO",(P474/(SUM(P:P))),(Q474/(SUM(Q:Q)))))</f>
        <v>#DIV/0!</v>
      </c>
      <c r="AJ474" s="7">
        <f>(('Entrada e Saida'!$K$10-'Entrada e Saida'!$K$8)*E474*D474)</f>
        <v>0</v>
      </c>
      <c r="AK474" s="184" t="e">
        <f>IF('Entrada e Saida'!$H$15="PESO",W474+AA474+AH474+AI474+AJ474,W474+AA474+AH474+AI474+AJ474-S474+T474-U474+V474)</f>
        <v>#DIV/0!</v>
      </c>
      <c r="AL474" s="6" t="e">
        <f>IF('Entrada e Saida'!$H$12="REAL",AC474,0)</f>
        <v>#DIV/0!</v>
      </c>
      <c r="AM474" s="6" t="e">
        <f>IF('Entrada e Saida'!$H$12="REAL",AD474,0)</f>
        <v>#DIV/0!</v>
      </c>
      <c r="AN474" s="5" t="e">
        <f>IF('Entrada e Saida'!$H$13= "NÃO",AE474,0)</f>
        <v>#DIV/0!</v>
      </c>
      <c r="AO474" s="5" t="e">
        <f t="shared" si="200"/>
        <v>#DIV/0!</v>
      </c>
      <c r="AP474" s="4" t="e">
        <f t="shared" si="201"/>
        <v>#DIV/0!</v>
      </c>
      <c r="AQ474" s="3" t="e">
        <f>IF('Entrada e Saida'!$H$11="TRADING",AU474*'Custo Resumido'!D474,0)</f>
        <v>#DIV/0!</v>
      </c>
      <c r="AR474" s="3" t="e">
        <f>IF('Entrada e Saida'!$H$11="TRADING",AU474*'Entrada e Saida'!$G$63,0)</f>
        <v>#DIV/0!</v>
      </c>
      <c r="AS474" s="3" t="e">
        <f>IF('Entrada e Saida'!$H$11="TRADING",AU474*'Entrada e Saida'!$G$64,0)</f>
        <v>#DIV/0!</v>
      </c>
      <c r="AT474" s="3" t="e">
        <f>IF('Entrada e Saida'!$H$11="TRADING",AU474*'Entrada e Saida'!$G$65,0)</f>
        <v>#DIV/0!</v>
      </c>
      <c r="AU474" s="4" t="e">
        <f>IF('Entrada e Saida'!$H$11="TRADING",AP474/(1-(SUM('Entrada e Saida'!$G$63:$G$65)+'Custo Resumido'!D474)),0)</f>
        <v>#DIV/0!</v>
      </c>
      <c r="AV474" s="3" t="e">
        <f>IF('Entrada e Saida'!$H$13="NÃO",AU474*M474,0)</f>
        <v>#DIV/0!</v>
      </c>
      <c r="AW474" s="4" t="e">
        <f t="shared" si="202"/>
        <v>#DIV/0!</v>
      </c>
      <c r="AX474" s="3" t="e">
        <f>'Entrada e Saida'!$G$74*AU474</f>
        <v>#DIV/0!</v>
      </c>
      <c r="AY474" s="4" t="e">
        <f t="shared" si="203"/>
        <v>#DIV/0!</v>
      </c>
      <c r="AZ474" s="4" t="e">
        <f>AQ474+('Entrada e Saida'!$G$65-'Entrada e Saida'!$I$65)*AU474-AX474</f>
        <v>#DIV/0!</v>
      </c>
      <c r="BA474" s="3" t="e">
        <f>IF('Entrada e Saida'!$H$12="REAL",AZ474*'Entrada e Saida'!$G$81,AU474*'Entrada e Saida'!$G$81)</f>
        <v>#DIV/0!</v>
      </c>
      <c r="BB474" s="3" t="e">
        <f>IF('Entrada e Saida'!$H$12="REAL",AZ474*'Entrada e Saida'!$G$82,AU474*'Entrada e Saida'!$G$82)</f>
        <v>#DIV/0!</v>
      </c>
      <c r="BC474" s="4" t="e">
        <f t="shared" si="204"/>
        <v>#DIV/0!</v>
      </c>
      <c r="BD474" s="3" t="e">
        <f>IF('Entrada e Saida'!$H$11="TRADING",AW474/D474,AK474/D474)</f>
        <v>#DIV/0!</v>
      </c>
      <c r="BE474" s="3" t="e">
        <f t="shared" si="205"/>
        <v>#DIV/0!</v>
      </c>
      <c r="BF474" s="2" t="e">
        <f t="shared" si="206"/>
        <v>#DIV/0!</v>
      </c>
      <c r="BG474" s="3" t="e">
        <f>IF('Entrada e Saida'!$H$11="TRADING",AV474/D474,AN474/D474)</f>
        <v>#DIV/0!</v>
      </c>
      <c r="BH474" s="3" t="e">
        <f>IF('Entrada e Saida'!$H$11="TRADING",IF('Entrada e Saida'!$H$12="REAL",AR474/D474,0),AL474/D474)</f>
        <v>#DIV/0!</v>
      </c>
      <c r="BI474" s="3" t="e">
        <f>IF('Entrada e Saida'!$H$11="TRADING",IF('Entrada e Saida'!$H$12="REAL",AS474/D474,0),AM474/D474)</f>
        <v>#DIV/0!</v>
      </c>
      <c r="BJ474" s="3" t="e">
        <f>IF('Entrada e Saida'!$H$11="TRADING",AT474/D474,AO474/D474)</f>
        <v>#DIV/0!</v>
      </c>
      <c r="BK474" s="2" t="e">
        <f t="shared" si="207"/>
        <v>#DIV/0!</v>
      </c>
      <c r="BL474" s="2">
        <f>IF(O474&gt;0,IFERROR(IF('Entrada e Saida'!$H$11="DIRETA",0,(IF('Entrada e Saida'!$H$14="P.JURIDICA",(BD474*(1+O474)*N474)-((BD474/(1+M474))*'Entrada e Saida'!$G$65),((Produtos!N474-'Entrada e Saida'!$G$65)*Produtos!BD474)))),0),0)</f>
        <v>0</v>
      </c>
      <c r="BM474" s="2" t="e">
        <f t="shared" si="208"/>
        <v>#DIV/0!</v>
      </c>
    </row>
    <row r="475" spans="1:65" s="1" customFormat="1">
      <c r="A475" s="127"/>
      <c r="B475" s="114">
        <f>IFERROR(VLOOKUP(A475,'Master Modelo'!A:I,7,FALSE),0)</f>
        <v>0</v>
      </c>
      <c r="C475" s="116">
        <f>IFERROR(VLOOKUP(A475,'Master Modelo'!A:I,2,FALSE),0)</f>
        <v>0</v>
      </c>
      <c r="D475" s="146"/>
      <c r="E475" s="115">
        <f>IFERROR(VLOOKUP(A475,'Master Modelo'!A:I,9,FALSE),0)</f>
        <v>0</v>
      </c>
      <c r="F475" s="189">
        <f>IFERROR(VLOOKUP(A475,'Master Modelo'!A:I,8,FALSE),0)</f>
        <v>0</v>
      </c>
      <c r="G475" s="189">
        <f>IFERROR(VLOOKUP(A475,'Master Modelo'!A:K,11,FALSE),0)</f>
        <v>0</v>
      </c>
      <c r="H475" s="114" t="e">
        <f t="shared" si="191"/>
        <v>#DIV/0!</v>
      </c>
      <c r="I475" s="150">
        <f>IFERROR(VLOOKUP(A475,'Master Modelo'!A:I,3,FALSE),0)</f>
        <v>0</v>
      </c>
      <c r="J475" s="151">
        <f>IFERROR(VLOOKUP(A475,'Master Modelo'!A:I,5,FALSE),0)</f>
        <v>0</v>
      </c>
      <c r="K475" s="151">
        <f>IFERROR(VLOOKUP(A475,'Master Modelo'!A:I,6,FALSE),0)</f>
        <v>0</v>
      </c>
      <c r="L475" s="152" t="e">
        <f>VLOOKUP(A475,'Master Modelo'!A:J,10,FALSE)</f>
        <v>#N/A</v>
      </c>
      <c r="M475" s="150">
        <f>IFERROR(VLOOKUP(A475,'Master Modelo'!A:I,4,FALSE),0)</f>
        <v>0</v>
      </c>
      <c r="N475" s="128"/>
      <c r="O475" s="129"/>
      <c r="P475" s="9">
        <f t="shared" si="192"/>
        <v>0</v>
      </c>
      <c r="Q475" s="177">
        <f t="shared" si="190"/>
        <v>0</v>
      </c>
      <c r="R475" s="3">
        <f>D475*E475*'Entrada e Saida'!$K$8</f>
        <v>0</v>
      </c>
      <c r="S475" s="179" t="e">
        <f>'Entrada e Saida'!$H$21*'Entrada e Saida'!$K$8*(P475/(SUM(P:P)))</f>
        <v>#DIV/0!</v>
      </c>
      <c r="T475" s="179" t="e">
        <f>'Entrada e Saida'!$H$21*'Entrada e Saida'!$K$8*(Q475/(SUM(Q:Q)))</f>
        <v>#DIV/0!</v>
      </c>
      <c r="U475" s="179" t="e">
        <f>'Entrada e Saida'!$H$22*(P475/(SUM(P:P)))</f>
        <v>#DIV/0!</v>
      </c>
      <c r="V475" s="179" t="e">
        <f>'Entrada e Saida'!$H$22*(Q475/(SUM(Q:Q)))</f>
        <v>#DIV/0!</v>
      </c>
      <c r="W475" s="8" t="e">
        <f t="shared" si="193"/>
        <v>#DIV/0!</v>
      </c>
      <c r="X475" s="179" t="e">
        <f>'Entrada e Saida'!$H$26*(IF('Entrada e Saida'!$H$15="PESO",(P475/(SUM(P:P))),(Q475/(SUM(Q:Q)))))</f>
        <v>#DIV/0!</v>
      </c>
      <c r="Y475" s="179" t="e">
        <f>'Entrada e Saida'!$H$27*(IF('Entrada e Saida'!$H$15="PESO",(P475/(SUM(P:P))),(Q475/(SUM(Q:Q)))))</f>
        <v>#DIV/0!</v>
      </c>
      <c r="Z475" s="179" t="e">
        <f>'Entrada e Saida'!$H$28*(IF('Entrada e Saida'!$H$15="PESO",(P475/(SUM(P:P))),(Q475/(SUM(Q:Q)))))</f>
        <v>#DIV/0!</v>
      </c>
      <c r="AA475" s="10" t="e">
        <f t="shared" si="194"/>
        <v>#DIV/0!</v>
      </c>
      <c r="AB475" s="3" t="e">
        <f t="shared" si="195"/>
        <v>#DIV/0!</v>
      </c>
      <c r="AC475" s="3" t="e">
        <f t="shared" si="196"/>
        <v>#DIV/0!</v>
      </c>
      <c r="AD475" s="3" t="e">
        <f t="shared" si="197"/>
        <v>#DIV/0!</v>
      </c>
      <c r="AE475" s="9" t="e">
        <f t="shared" si="198"/>
        <v>#DIV/0!</v>
      </c>
      <c r="AF475" s="126">
        <f>IFERROR(D475*F475*L475*'Entrada e Saida'!$K$8,0)</f>
        <v>0</v>
      </c>
      <c r="AG475" s="3" t="e">
        <f>((W475+AA475+AB475+AC475+AD475+AE475+AF475)/(1-'Entrada e Saida'!$G$65))*'Entrada e Saida'!$I$66</f>
        <v>#DIV/0!</v>
      </c>
      <c r="AH475" s="8" t="e">
        <f t="shared" si="199"/>
        <v>#DIV/0!</v>
      </c>
      <c r="AI475" s="183" t="e">
        <f>'Entrada e Saida'!$K$51*(IF('Entrada e Saida'!$H$15="PESO",(P475/(SUM(P:P))),(Q475/(SUM(Q:Q)))))</f>
        <v>#DIV/0!</v>
      </c>
      <c r="AJ475" s="7">
        <f>(('Entrada e Saida'!$K$10-'Entrada e Saida'!$K$8)*E475*D475)</f>
        <v>0</v>
      </c>
      <c r="AK475" s="184" t="e">
        <f>IF('Entrada e Saida'!$H$15="PESO",W475+AA475+AH475+AI475+AJ475,W475+AA475+AH475+AI475+AJ475-S475+T475-U475+V475)</f>
        <v>#DIV/0!</v>
      </c>
      <c r="AL475" s="6" t="e">
        <f>IF('Entrada e Saida'!$H$12="REAL",AC475,0)</f>
        <v>#DIV/0!</v>
      </c>
      <c r="AM475" s="6" t="e">
        <f>IF('Entrada e Saida'!$H$12="REAL",AD475,0)</f>
        <v>#DIV/0!</v>
      </c>
      <c r="AN475" s="5" t="e">
        <f>IF('Entrada e Saida'!$H$13= "NÃO",AE475,0)</f>
        <v>#DIV/0!</v>
      </c>
      <c r="AO475" s="5" t="e">
        <f t="shared" si="200"/>
        <v>#DIV/0!</v>
      </c>
      <c r="AP475" s="4" t="e">
        <f t="shared" si="201"/>
        <v>#DIV/0!</v>
      </c>
      <c r="AQ475" s="3" t="e">
        <f>IF('Entrada e Saida'!$H$11="TRADING",AU475*'Custo Resumido'!D475,0)</f>
        <v>#DIV/0!</v>
      </c>
      <c r="AR475" s="3" t="e">
        <f>IF('Entrada e Saida'!$H$11="TRADING",AU475*'Entrada e Saida'!$G$63,0)</f>
        <v>#DIV/0!</v>
      </c>
      <c r="AS475" s="3" t="e">
        <f>IF('Entrada e Saida'!$H$11="TRADING",AU475*'Entrada e Saida'!$G$64,0)</f>
        <v>#DIV/0!</v>
      </c>
      <c r="AT475" s="3" t="e">
        <f>IF('Entrada e Saida'!$H$11="TRADING",AU475*'Entrada e Saida'!$G$65,0)</f>
        <v>#DIV/0!</v>
      </c>
      <c r="AU475" s="4" t="e">
        <f>IF('Entrada e Saida'!$H$11="TRADING",AP475/(1-(SUM('Entrada e Saida'!$G$63:$G$65)+'Custo Resumido'!D475)),0)</f>
        <v>#DIV/0!</v>
      </c>
      <c r="AV475" s="3" t="e">
        <f>IF('Entrada e Saida'!$H$13="NÃO",AU475*M475,0)</f>
        <v>#DIV/0!</v>
      </c>
      <c r="AW475" s="4" t="e">
        <f t="shared" si="202"/>
        <v>#DIV/0!</v>
      </c>
      <c r="AX475" s="3" t="e">
        <f>'Entrada e Saida'!$G$74*AU475</f>
        <v>#DIV/0!</v>
      </c>
      <c r="AY475" s="4" t="e">
        <f t="shared" si="203"/>
        <v>#DIV/0!</v>
      </c>
      <c r="AZ475" s="4" t="e">
        <f>AQ475+('Entrada e Saida'!$G$65-'Entrada e Saida'!$I$65)*AU475-AX475</f>
        <v>#DIV/0!</v>
      </c>
      <c r="BA475" s="3" t="e">
        <f>IF('Entrada e Saida'!$H$12="REAL",AZ475*'Entrada e Saida'!$G$81,AU475*'Entrada e Saida'!$G$81)</f>
        <v>#DIV/0!</v>
      </c>
      <c r="BB475" s="3" t="e">
        <f>IF('Entrada e Saida'!$H$12="REAL",AZ475*'Entrada e Saida'!$G$82,AU475*'Entrada e Saida'!$G$82)</f>
        <v>#DIV/0!</v>
      </c>
      <c r="BC475" s="4" t="e">
        <f t="shared" si="204"/>
        <v>#DIV/0!</v>
      </c>
      <c r="BD475" s="3" t="e">
        <f>IF('Entrada e Saida'!$H$11="TRADING",AW475/D475,AK475/D475)</f>
        <v>#DIV/0!</v>
      </c>
      <c r="BE475" s="3" t="e">
        <f t="shared" si="205"/>
        <v>#DIV/0!</v>
      </c>
      <c r="BF475" s="2" t="e">
        <f t="shared" si="206"/>
        <v>#DIV/0!</v>
      </c>
      <c r="BG475" s="3" t="e">
        <f>IF('Entrada e Saida'!$H$11="TRADING",AV475/D475,AN475/D475)</f>
        <v>#DIV/0!</v>
      </c>
      <c r="BH475" s="3" t="e">
        <f>IF('Entrada e Saida'!$H$11="TRADING",IF('Entrada e Saida'!$H$12="REAL",AR475/D475,0),AL475/D475)</f>
        <v>#DIV/0!</v>
      </c>
      <c r="BI475" s="3" t="e">
        <f>IF('Entrada e Saida'!$H$11="TRADING",IF('Entrada e Saida'!$H$12="REAL",AS475/D475,0),AM475/D475)</f>
        <v>#DIV/0!</v>
      </c>
      <c r="BJ475" s="3" t="e">
        <f>IF('Entrada e Saida'!$H$11="TRADING",AT475/D475,AO475/D475)</f>
        <v>#DIV/0!</v>
      </c>
      <c r="BK475" s="2" t="e">
        <f t="shared" si="207"/>
        <v>#DIV/0!</v>
      </c>
      <c r="BL475" s="2">
        <f>IF(O475&gt;0,IFERROR(IF('Entrada e Saida'!$H$11="DIRETA",0,(IF('Entrada e Saida'!$H$14="P.JURIDICA",(BD475*(1+O475)*N475)-((BD475/(1+M475))*'Entrada e Saida'!$G$65),((Produtos!N475-'Entrada e Saida'!$G$65)*Produtos!BD475)))),0),0)</f>
        <v>0</v>
      </c>
      <c r="BM475" s="2" t="e">
        <f t="shared" si="208"/>
        <v>#DIV/0!</v>
      </c>
    </row>
    <row r="476" spans="1:65" s="1" customFormat="1">
      <c r="A476" s="127"/>
      <c r="B476" s="114">
        <f>IFERROR(VLOOKUP(A476,'Master Modelo'!A:I,7,FALSE),0)</f>
        <v>0</v>
      </c>
      <c r="C476" s="116">
        <f>IFERROR(VLOOKUP(A476,'Master Modelo'!A:I,2,FALSE),0)</f>
        <v>0</v>
      </c>
      <c r="D476" s="146"/>
      <c r="E476" s="115">
        <f>IFERROR(VLOOKUP(A476,'Master Modelo'!A:I,9,FALSE),0)</f>
        <v>0</v>
      </c>
      <c r="F476" s="189">
        <f>IFERROR(VLOOKUP(A476,'Master Modelo'!A:I,8,FALSE),0)</f>
        <v>0</v>
      </c>
      <c r="G476" s="189">
        <f>IFERROR(VLOOKUP(A476,'Master Modelo'!A:K,11,FALSE),0)</f>
        <v>0</v>
      </c>
      <c r="H476" s="114" t="e">
        <f t="shared" si="191"/>
        <v>#DIV/0!</v>
      </c>
      <c r="I476" s="150">
        <f>IFERROR(VLOOKUP(A476,'Master Modelo'!A:I,3,FALSE),0)</f>
        <v>0</v>
      </c>
      <c r="J476" s="151">
        <f>IFERROR(VLOOKUP(A476,'Master Modelo'!A:I,5,FALSE),0)</f>
        <v>0</v>
      </c>
      <c r="K476" s="151">
        <f>IFERROR(VLOOKUP(A476,'Master Modelo'!A:I,6,FALSE),0)</f>
        <v>0</v>
      </c>
      <c r="L476" s="152" t="e">
        <f>VLOOKUP(A476,'Master Modelo'!A:J,10,FALSE)</f>
        <v>#N/A</v>
      </c>
      <c r="M476" s="150">
        <f>IFERROR(VLOOKUP(A476,'Master Modelo'!A:I,4,FALSE),0)</f>
        <v>0</v>
      </c>
      <c r="N476" s="128"/>
      <c r="O476" s="129"/>
      <c r="P476" s="9">
        <f t="shared" si="192"/>
        <v>0</v>
      </c>
      <c r="Q476" s="177">
        <f t="shared" si="190"/>
        <v>0</v>
      </c>
      <c r="R476" s="3">
        <f>D476*E476*'Entrada e Saida'!$K$8</f>
        <v>0</v>
      </c>
      <c r="S476" s="179" t="e">
        <f>'Entrada e Saida'!$H$21*'Entrada e Saida'!$K$8*(P476/(SUM(P:P)))</f>
        <v>#DIV/0!</v>
      </c>
      <c r="T476" s="179" t="e">
        <f>'Entrada e Saida'!$H$21*'Entrada e Saida'!$K$8*(Q476/(SUM(Q:Q)))</f>
        <v>#DIV/0!</v>
      </c>
      <c r="U476" s="179" t="e">
        <f>'Entrada e Saida'!$H$22*(P476/(SUM(P:P)))</f>
        <v>#DIV/0!</v>
      </c>
      <c r="V476" s="179" t="e">
        <f>'Entrada e Saida'!$H$22*(Q476/(SUM(Q:Q)))</f>
        <v>#DIV/0!</v>
      </c>
      <c r="W476" s="8" t="e">
        <f t="shared" si="193"/>
        <v>#DIV/0!</v>
      </c>
      <c r="X476" s="179" t="e">
        <f>'Entrada e Saida'!$H$26*(IF('Entrada e Saida'!$H$15="PESO",(P476/(SUM(P:P))),(Q476/(SUM(Q:Q)))))</f>
        <v>#DIV/0!</v>
      </c>
      <c r="Y476" s="179" t="e">
        <f>'Entrada e Saida'!$H$27*(IF('Entrada e Saida'!$H$15="PESO",(P476/(SUM(P:P))),(Q476/(SUM(Q:Q)))))</f>
        <v>#DIV/0!</v>
      </c>
      <c r="Z476" s="179" t="e">
        <f>'Entrada e Saida'!$H$28*(IF('Entrada e Saida'!$H$15="PESO",(P476/(SUM(P:P))),(Q476/(SUM(Q:Q)))))</f>
        <v>#DIV/0!</v>
      </c>
      <c r="AA476" s="10" t="e">
        <f t="shared" si="194"/>
        <v>#DIV/0!</v>
      </c>
      <c r="AB476" s="3" t="e">
        <f t="shared" si="195"/>
        <v>#DIV/0!</v>
      </c>
      <c r="AC476" s="3" t="e">
        <f t="shared" si="196"/>
        <v>#DIV/0!</v>
      </c>
      <c r="AD476" s="3" t="e">
        <f t="shared" si="197"/>
        <v>#DIV/0!</v>
      </c>
      <c r="AE476" s="9" t="e">
        <f t="shared" si="198"/>
        <v>#DIV/0!</v>
      </c>
      <c r="AF476" s="126">
        <f>IFERROR(D476*F476*L476*'Entrada e Saida'!$K$8,0)</f>
        <v>0</v>
      </c>
      <c r="AG476" s="3" t="e">
        <f>((W476+AA476+AB476+AC476+AD476+AE476+AF476)/(1-'Entrada e Saida'!$G$65))*'Entrada e Saida'!$I$66</f>
        <v>#DIV/0!</v>
      </c>
      <c r="AH476" s="8" t="e">
        <f t="shared" si="199"/>
        <v>#DIV/0!</v>
      </c>
      <c r="AI476" s="183" t="e">
        <f>'Entrada e Saida'!$K$51*(IF('Entrada e Saida'!$H$15="PESO",(P476/(SUM(P:P))),(Q476/(SUM(Q:Q)))))</f>
        <v>#DIV/0!</v>
      </c>
      <c r="AJ476" s="7">
        <f>(('Entrada e Saida'!$K$10-'Entrada e Saida'!$K$8)*E476*D476)</f>
        <v>0</v>
      </c>
      <c r="AK476" s="184" t="e">
        <f>IF('Entrada e Saida'!$H$15="PESO",W476+AA476+AH476+AI476+AJ476,W476+AA476+AH476+AI476+AJ476-S476+T476-U476+V476)</f>
        <v>#DIV/0!</v>
      </c>
      <c r="AL476" s="6" t="e">
        <f>IF('Entrada e Saida'!$H$12="REAL",AC476,0)</f>
        <v>#DIV/0!</v>
      </c>
      <c r="AM476" s="6" t="e">
        <f>IF('Entrada e Saida'!$H$12="REAL",AD476,0)</f>
        <v>#DIV/0!</v>
      </c>
      <c r="AN476" s="5" t="e">
        <f>IF('Entrada e Saida'!$H$13= "NÃO",AE476,0)</f>
        <v>#DIV/0!</v>
      </c>
      <c r="AO476" s="5" t="e">
        <f t="shared" si="200"/>
        <v>#DIV/0!</v>
      </c>
      <c r="AP476" s="4" t="e">
        <f t="shared" si="201"/>
        <v>#DIV/0!</v>
      </c>
      <c r="AQ476" s="3" t="e">
        <f>IF('Entrada e Saida'!$H$11="TRADING",AU476*'Custo Resumido'!D476,0)</f>
        <v>#DIV/0!</v>
      </c>
      <c r="AR476" s="3" t="e">
        <f>IF('Entrada e Saida'!$H$11="TRADING",AU476*'Entrada e Saida'!$G$63,0)</f>
        <v>#DIV/0!</v>
      </c>
      <c r="AS476" s="3" t="e">
        <f>IF('Entrada e Saida'!$H$11="TRADING",AU476*'Entrada e Saida'!$G$64,0)</f>
        <v>#DIV/0!</v>
      </c>
      <c r="AT476" s="3" t="e">
        <f>IF('Entrada e Saida'!$H$11="TRADING",AU476*'Entrada e Saida'!$G$65,0)</f>
        <v>#DIV/0!</v>
      </c>
      <c r="AU476" s="4" t="e">
        <f>IF('Entrada e Saida'!$H$11="TRADING",AP476/(1-(SUM('Entrada e Saida'!$G$63:$G$65)+'Custo Resumido'!D476)),0)</f>
        <v>#DIV/0!</v>
      </c>
      <c r="AV476" s="3" t="e">
        <f>IF('Entrada e Saida'!$H$13="NÃO",AU476*M476,0)</f>
        <v>#DIV/0!</v>
      </c>
      <c r="AW476" s="4" t="e">
        <f t="shared" si="202"/>
        <v>#DIV/0!</v>
      </c>
      <c r="AX476" s="3" t="e">
        <f>'Entrada e Saida'!$G$74*AU476</f>
        <v>#DIV/0!</v>
      </c>
      <c r="AY476" s="4" t="e">
        <f t="shared" si="203"/>
        <v>#DIV/0!</v>
      </c>
      <c r="AZ476" s="4" t="e">
        <f>AQ476+('Entrada e Saida'!$G$65-'Entrada e Saida'!$I$65)*AU476-AX476</f>
        <v>#DIV/0!</v>
      </c>
      <c r="BA476" s="3" t="e">
        <f>IF('Entrada e Saida'!$H$12="REAL",AZ476*'Entrada e Saida'!$G$81,AU476*'Entrada e Saida'!$G$81)</f>
        <v>#DIV/0!</v>
      </c>
      <c r="BB476" s="3" t="e">
        <f>IF('Entrada e Saida'!$H$12="REAL",AZ476*'Entrada e Saida'!$G$82,AU476*'Entrada e Saida'!$G$82)</f>
        <v>#DIV/0!</v>
      </c>
      <c r="BC476" s="4" t="e">
        <f t="shared" si="204"/>
        <v>#DIV/0!</v>
      </c>
      <c r="BD476" s="3" t="e">
        <f>IF('Entrada e Saida'!$H$11="TRADING",AW476/D476,AK476/D476)</f>
        <v>#DIV/0!</v>
      </c>
      <c r="BE476" s="3" t="e">
        <f t="shared" si="205"/>
        <v>#DIV/0!</v>
      </c>
      <c r="BF476" s="2" t="e">
        <f t="shared" si="206"/>
        <v>#DIV/0!</v>
      </c>
      <c r="BG476" s="3" t="e">
        <f>IF('Entrada e Saida'!$H$11="TRADING",AV476/D476,AN476/D476)</f>
        <v>#DIV/0!</v>
      </c>
      <c r="BH476" s="3" t="e">
        <f>IF('Entrada e Saida'!$H$11="TRADING",IF('Entrada e Saida'!$H$12="REAL",AR476/D476,0),AL476/D476)</f>
        <v>#DIV/0!</v>
      </c>
      <c r="BI476" s="3" t="e">
        <f>IF('Entrada e Saida'!$H$11="TRADING",IF('Entrada e Saida'!$H$12="REAL",AS476/D476,0),AM476/D476)</f>
        <v>#DIV/0!</v>
      </c>
      <c r="BJ476" s="3" t="e">
        <f>IF('Entrada e Saida'!$H$11="TRADING",AT476/D476,AO476/D476)</f>
        <v>#DIV/0!</v>
      </c>
      <c r="BK476" s="2" t="e">
        <f t="shared" si="207"/>
        <v>#DIV/0!</v>
      </c>
      <c r="BL476" s="2">
        <f>IF(O476&gt;0,IFERROR(IF('Entrada e Saida'!$H$11="DIRETA",0,(IF('Entrada e Saida'!$H$14="P.JURIDICA",(BD476*(1+O476)*N476)-((BD476/(1+M476))*'Entrada e Saida'!$G$65),((Produtos!N476-'Entrada e Saida'!$G$65)*Produtos!BD476)))),0),0)</f>
        <v>0</v>
      </c>
      <c r="BM476" s="2" t="e">
        <f t="shared" si="208"/>
        <v>#DIV/0!</v>
      </c>
    </row>
    <row r="477" spans="1:65" s="1" customFormat="1">
      <c r="A477" s="127"/>
      <c r="B477" s="114">
        <f>IFERROR(VLOOKUP(A477,'Master Modelo'!A:I,7,FALSE),0)</f>
        <v>0</v>
      </c>
      <c r="C477" s="116">
        <f>IFERROR(VLOOKUP(A477,'Master Modelo'!A:I,2,FALSE),0)</f>
        <v>0</v>
      </c>
      <c r="D477" s="146"/>
      <c r="E477" s="115">
        <f>IFERROR(VLOOKUP(A477,'Master Modelo'!A:I,9,FALSE),0)</f>
        <v>0</v>
      </c>
      <c r="F477" s="189">
        <f>IFERROR(VLOOKUP(A477,'Master Modelo'!A:I,8,FALSE),0)</f>
        <v>0</v>
      </c>
      <c r="G477" s="189">
        <f>IFERROR(VLOOKUP(A477,'Master Modelo'!A:K,11,FALSE),0)</f>
        <v>0</v>
      </c>
      <c r="H477" s="114" t="e">
        <f t="shared" si="191"/>
        <v>#DIV/0!</v>
      </c>
      <c r="I477" s="150">
        <f>IFERROR(VLOOKUP(A477,'Master Modelo'!A:I,3,FALSE),0)</f>
        <v>0</v>
      </c>
      <c r="J477" s="151">
        <f>IFERROR(VLOOKUP(A477,'Master Modelo'!A:I,5,FALSE),0)</f>
        <v>0</v>
      </c>
      <c r="K477" s="151">
        <f>IFERROR(VLOOKUP(A477,'Master Modelo'!A:I,6,FALSE),0)</f>
        <v>0</v>
      </c>
      <c r="L477" s="152" t="e">
        <f>VLOOKUP(A477,'Master Modelo'!A:J,10,FALSE)</f>
        <v>#N/A</v>
      </c>
      <c r="M477" s="150">
        <f>IFERROR(VLOOKUP(A477,'Master Modelo'!A:I,4,FALSE),0)</f>
        <v>0</v>
      </c>
      <c r="N477" s="128"/>
      <c r="O477" s="129"/>
      <c r="P477" s="9">
        <f t="shared" si="192"/>
        <v>0</v>
      </c>
      <c r="Q477" s="177">
        <f t="shared" si="190"/>
        <v>0</v>
      </c>
      <c r="R477" s="3">
        <f>D477*E477*'Entrada e Saida'!$K$8</f>
        <v>0</v>
      </c>
      <c r="S477" s="179" t="e">
        <f>'Entrada e Saida'!$H$21*'Entrada e Saida'!$K$8*(P477/(SUM(P:P)))</f>
        <v>#DIV/0!</v>
      </c>
      <c r="T477" s="179" t="e">
        <f>'Entrada e Saida'!$H$21*'Entrada e Saida'!$K$8*(Q477/(SUM(Q:Q)))</f>
        <v>#DIV/0!</v>
      </c>
      <c r="U477" s="179" t="e">
        <f>'Entrada e Saida'!$H$22*(P477/(SUM(P:P)))</f>
        <v>#DIV/0!</v>
      </c>
      <c r="V477" s="179" t="e">
        <f>'Entrada e Saida'!$H$22*(Q477/(SUM(Q:Q)))</f>
        <v>#DIV/0!</v>
      </c>
      <c r="W477" s="8" t="e">
        <f t="shared" si="193"/>
        <v>#DIV/0!</v>
      </c>
      <c r="X477" s="179" t="e">
        <f>'Entrada e Saida'!$H$26*(IF('Entrada e Saida'!$H$15="PESO",(P477/(SUM(P:P))),(Q477/(SUM(Q:Q)))))</f>
        <v>#DIV/0!</v>
      </c>
      <c r="Y477" s="179" t="e">
        <f>'Entrada e Saida'!$H$27*(IF('Entrada e Saida'!$H$15="PESO",(P477/(SUM(P:P))),(Q477/(SUM(Q:Q)))))</f>
        <v>#DIV/0!</v>
      </c>
      <c r="Z477" s="179" t="e">
        <f>'Entrada e Saida'!$H$28*(IF('Entrada e Saida'!$H$15="PESO",(P477/(SUM(P:P))),(Q477/(SUM(Q:Q)))))</f>
        <v>#DIV/0!</v>
      </c>
      <c r="AA477" s="10" t="e">
        <f t="shared" si="194"/>
        <v>#DIV/0!</v>
      </c>
      <c r="AB477" s="3" t="e">
        <f t="shared" si="195"/>
        <v>#DIV/0!</v>
      </c>
      <c r="AC477" s="3" t="e">
        <f t="shared" si="196"/>
        <v>#DIV/0!</v>
      </c>
      <c r="AD477" s="3" t="e">
        <f t="shared" si="197"/>
        <v>#DIV/0!</v>
      </c>
      <c r="AE477" s="9" t="e">
        <f t="shared" si="198"/>
        <v>#DIV/0!</v>
      </c>
      <c r="AF477" s="126">
        <f>IFERROR(D477*F477*L477*'Entrada e Saida'!$K$8,0)</f>
        <v>0</v>
      </c>
      <c r="AG477" s="3" t="e">
        <f>((W477+AA477+AB477+AC477+AD477+AE477+AF477)/(1-'Entrada e Saida'!$G$65))*'Entrada e Saida'!$I$66</f>
        <v>#DIV/0!</v>
      </c>
      <c r="AH477" s="8" t="e">
        <f t="shared" si="199"/>
        <v>#DIV/0!</v>
      </c>
      <c r="AI477" s="183" t="e">
        <f>'Entrada e Saida'!$K$51*(IF('Entrada e Saida'!$H$15="PESO",(P477/(SUM(P:P))),(Q477/(SUM(Q:Q)))))</f>
        <v>#DIV/0!</v>
      </c>
      <c r="AJ477" s="7">
        <f>(('Entrada e Saida'!$K$10-'Entrada e Saida'!$K$8)*E477*D477)</f>
        <v>0</v>
      </c>
      <c r="AK477" s="184" t="e">
        <f>IF('Entrada e Saida'!$H$15="PESO",W477+AA477+AH477+AI477+AJ477,W477+AA477+AH477+AI477+AJ477-S477+T477-U477+V477)</f>
        <v>#DIV/0!</v>
      </c>
      <c r="AL477" s="6" t="e">
        <f>IF('Entrada e Saida'!$H$12="REAL",AC477,0)</f>
        <v>#DIV/0!</v>
      </c>
      <c r="AM477" s="6" t="e">
        <f>IF('Entrada e Saida'!$H$12="REAL",AD477,0)</f>
        <v>#DIV/0!</v>
      </c>
      <c r="AN477" s="5" t="e">
        <f>IF('Entrada e Saida'!$H$13= "NÃO",AE477,0)</f>
        <v>#DIV/0!</v>
      </c>
      <c r="AO477" s="5" t="e">
        <f t="shared" si="200"/>
        <v>#DIV/0!</v>
      </c>
      <c r="AP477" s="4" t="e">
        <f t="shared" si="201"/>
        <v>#DIV/0!</v>
      </c>
      <c r="AQ477" s="3" t="e">
        <f>IF('Entrada e Saida'!$H$11="TRADING",AU477*'Custo Resumido'!D477,0)</f>
        <v>#DIV/0!</v>
      </c>
      <c r="AR477" s="3" t="e">
        <f>IF('Entrada e Saida'!$H$11="TRADING",AU477*'Entrada e Saida'!$G$63,0)</f>
        <v>#DIV/0!</v>
      </c>
      <c r="AS477" s="3" t="e">
        <f>IF('Entrada e Saida'!$H$11="TRADING",AU477*'Entrada e Saida'!$G$64,0)</f>
        <v>#DIV/0!</v>
      </c>
      <c r="AT477" s="3" t="e">
        <f>IF('Entrada e Saida'!$H$11="TRADING",AU477*'Entrada e Saida'!$G$65,0)</f>
        <v>#DIV/0!</v>
      </c>
      <c r="AU477" s="4" t="e">
        <f>IF('Entrada e Saida'!$H$11="TRADING",AP477/(1-(SUM('Entrada e Saida'!$G$63:$G$65)+'Custo Resumido'!D477)),0)</f>
        <v>#DIV/0!</v>
      </c>
      <c r="AV477" s="3" t="e">
        <f>IF('Entrada e Saida'!$H$13="NÃO",AU477*M477,0)</f>
        <v>#DIV/0!</v>
      </c>
      <c r="AW477" s="4" t="e">
        <f t="shared" si="202"/>
        <v>#DIV/0!</v>
      </c>
      <c r="AX477" s="3" t="e">
        <f>'Entrada e Saida'!$G$74*AU477</f>
        <v>#DIV/0!</v>
      </c>
      <c r="AY477" s="4" t="e">
        <f t="shared" si="203"/>
        <v>#DIV/0!</v>
      </c>
      <c r="AZ477" s="4" t="e">
        <f>AQ477+('Entrada e Saida'!$G$65-'Entrada e Saida'!$I$65)*AU477-AX477</f>
        <v>#DIV/0!</v>
      </c>
      <c r="BA477" s="3" t="e">
        <f>IF('Entrada e Saida'!$H$12="REAL",AZ477*'Entrada e Saida'!$G$81,AU477*'Entrada e Saida'!$G$81)</f>
        <v>#DIV/0!</v>
      </c>
      <c r="BB477" s="3" t="e">
        <f>IF('Entrada e Saida'!$H$12="REAL",AZ477*'Entrada e Saida'!$G$82,AU477*'Entrada e Saida'!$G$82)</f>
        <v>#DIV/0!</v>
      </c>
      <c r="BC477" s="4" t="e">
        <f t="shared" si="204"/>
        <v>#DIV/0!</v>
      </c>
      <c r="BD477" s="3" t="e">
        <f>IF('Entrada e Saida'!$H$11="TRADING",AW477/D477,AK477/D477)</f>
        <v>#DIV/0!</v>
      </c>
      <c r="BE477" s="3" t="e">
        <f t="shared" si="205"/>
        <v>#DIV/0!</v>
      </c>
      <c r="BF477" s="2" t="e">
        <f t="shared" si="206"/>
        <v>#DIV/0!</v>
      </c>
      <c r="BG477" s="3" t="e">
        <f>IF('Entrada e Saida'!$H$11="TRADING",AV477/D477,AN477/D477)</f>
        <v>#DIV/0!</v>
      </c>
      <c r="BH477" s="3" t="e">
        <f>IF('Entrada e Saida'!$H$11="TRADING",IF('Entrada e Saida'!$H$12="REAL",AR477/D477,0),AL477/D477)</f>
        <v>#DIV/0!</v>
      </c>
      <c r="BI477" s="3" t="e">
        <f>IF('Entrada e Saida'!$H$11="TRADING",IF('Entrada e Saida'!$H$12="REAL",AS477/D477,0),AM477/D477)</f>
        <v>#DIV/0!</v>
      </c>
      <c r="BJ477" s="3" t="e">
        <f>IF('Entrada e Saida'!$H$11="TRADING",AT477/D477,AO477/D477)</f>
        <v>#DIV/0!</v>
      </c>
      <c r="BK477" s="2" t="e">
        <f t="shared" si="207"/>
        <v>#DIV/0!</v>
      </c>
      <c r="BL477" s="2">
        <f>IF(O477&gt;0,IFERROR(IF('Entrada e Saida'!$H$11="DIRETA",0,(IF('Entrada e Saida'!$H$14="P.JURIDICA",(BD477*(1+O477)*N477)-((BD477/(1+M477))*'Entrada e Saida'!$G$65),((Produtos!N477-'Entrada e Saida'!$G$65)*Produtos!BD477)))),0),0)</f>
        <v>0</v>
      </c>
      <c r="BM477" s="2" t="e">
        <f t="shared" si="208"/>
        <v>#DIV/0!</v>
      </c>
    </row>
    <row r="478" spans="1:65" s="1" customFormat="1">
      <c r="A478" s="127"/>
      <c r="B478" s="114">
        <f>IFERROR(VLOOKUP(A478,'Master Modelo'!A:I,7,FALSE),0)</f>
        <v>0</v>
      </c>
      <c r="C478" s="116">
        <f>IFERROR(VLOOKUP(A478,'Master Modelo'!A:I,2,FALSE),0)</f>
        <v>0</v>
      </c>
      <c r="D478" s="146"/>
      <c r="E478" s="115">
        <f>IFERROR(VLOOKUP(A478,'Master Modelo'!A:I,9,FALSE),0)</f>
        <v>0</v>
      </c>
      <c r="F478" s="189">
        <f>IFERROR(VLOOKUP(A478,'Master Modelo'!A:I,8,FALSE),0)</f>
        <v>0</v>
      </c>
      <c r="G478" s="189">
        <f>IFERROR(VLOOKUP(A478,'Master Modelo'!A:K,11,FALSE),0)</f>
        <v>0</v>
      </c>
      <c r="H478" s="114" t="e">
        <f t="shared" si="191"/>
        <v>#DIV/0!</v>
      </c>
      <c r="I478" s="150">
        <f>IFERROR(VLOOKUP(A478,'Master Modelo'!A:I,3,FALSE),0)</f>
        <v>0</v>
      </c>
      <c r="J478" s="151">
        <f>IFERROR(VLOOKUP(A478,'Master Modelo'!A:I,5,FALSE),0)</f>
        <v>0</v>
      </c>
      <c r="K478" s="151">
        <f>IFERROR(VLOOKUP(A478,'Master Modelo'!A:I,6,FALSE),0)</f>
        <v>0</v>
      </c>
      <c r="L478" s="152" t="e">
        <f>VLOOKUP(A478,'Master Modelo'!A:J,10,FALSE)</f>
        <v>#N/A</v>
      </c>
      <c r="M478" s="150">
        <f>IFERROR(VLOOKUP(A478,'Master Modelo'!A:I,4,FALSE),0)</f>
        <v>0</v>
      </c>
      <c r="N478" s="128"/>
      <c r="O478" s="129"/>
      <c r="P478" s="9">
        <f t="shared" si="192"/>
        <v>0</v>
      </c>
      <c r="Q478" s="177">
        <f t="shared" si="190"/>
        <v>0</v>
      </c>
      <c r="R478" s="3">
        <f>D478*E478*'Entrada e Saida'!$K$8</f>
        <v>0</v>
      </c>
      <c r="S478" s="179" t="e">
        <f>'Entrada e Saida'!$H$21*'Entrada e Saida'!$K$8*(P478/(SUM(P:P)))</f>
        <v>#DIV/0!</v>
      </c>
      <c r="T478" s="179" t="e">
        <f>'Entrada e Saida'!$H$21*'Entrada e Saida'!$K$8*(Q478/(SUM(Q:Q)))</f>
        <v>#DIV/0!</v>
      </c>
      <c r="U478" s="179" t="e">
        <f>'Entrada e Saida'!$H$22*(P478/(SUM(P:P)))</f>
        <v>#DIV/0!</v>
      </c>
      <c r="V478" s="179" t="e">
        <f>'Entrada e Saida'!$H$22*(Q478/(SUM(Q:Q)))</f>
        <v>#DIV/0!</v>
      </c>
      <c r="W478" s="8" t="e">
        <f t="shared" si="193"/>
        <v>#DIV/0!</v>
      </c>
      <c r="X478" s="179" t="e">
        <f>'Entrada e Saida'!$H$26*(IF('Entrada e Saida'!$H$15="PESO",(P478/(SUM(P:P))),(Q478/(SUM(Q:Q)))))</f>
        <v>#DIV/0!</v>
      </c>
      <c r="Y478" s="179" t="e">
        <f>'Entrada e Saida'!$H$27*(IF('Entrada e Saida'!$H$15="PESO",(P478/(SUM(P:P))),(Q478/(SUM(Q:Q)))))</f>
        <v>#DIV/0!</v>
      </c>
      <c r="Z478" s="179" t="e">
        <f>'Entrada e Saida'!$H$28*(IF('Entrada e Saida'!$H$15="PESO",(P478/(SUM(P:P))),(Q478/(SUM(Q:Q)))))</f>
        <v>#DIV/0!</v>
      </c>
      <c r="AA478" s="10" t="e">
        <f t="shared" si="194"/>
        <v>#DIV/0!</v>
      </c>
      <c r="AB478" s="3" t="e">
        <f t="shared" si="195"/>
        <v>#DIV/0!</v>
      </c>
      <c r="AC478" s="3" t="e">
        <f t="shared" si="196"/>
        <v>#DIV/0!</v>
      </c>
      <c r="AD478" s="3" t="e">
        <f t="shared" si="197"/>
        <v>#DIV/0!</v>
      </c>
      <c r="AE478" s="9" t="e">
        <f t="shared" si="198"/>
        <v>#DIV/0!</v>
      </c>
      <c r="AF478" s="126">
        <f>IFERROR(D478*F478*L478*'Entrada e Saida'!$K$8,0)</f>
        <v>0</v>
      </c>
      <c r="AG478" s="3" t="e">
        <f>((W478+AA478+AB478+AC478+AD478+AE478+AF478)/(1-'Entrada e Saida'!$G$65))*'Entrada e Saida'!$I$66</f>
        <v>#DIV/0!</v>
      </c>
      <c r="AH478" s="8" t="e">
        <f t="shared" si="199"/>
        <v>#DIV/0!</v>
      </c>
      <c r="AI478" s="183" t="e">
        <f>'Entrada e Saida'!$K$51*(IF('Entrada e Saida'!$H$15="PESO",(P478/(SUM(P:P))),(Q478/(SUM(Q:Q)))))</f>
        <v>#DIV/0!</v>
      </c>
      <c r="AJ478" s="7">
        <f>(('Entrada e Saida'!$K$10-'Entrada e Saida'!$K$8)*E478*D478)</f>
        <v>0</v>
      </c>
      <c r="AK478" s="184" t="e">
        <f>IF('Entrada e Saida'!$H$15="PESO",W478+AA478+AH478+AI478+AJ478,W478+AA478+AH478+AI478+AJ478-S478+T478-U478+V478)</f>
        <v>#DIV/0!</v>
      </c>
      <c r="AL478" s="6" t="e">
        <f>IF('Entrada e Saida'!$H$12="REAL",AC478,0)</f>
        <v>#DIV/0!</v>
      </c>
      <c r="AM478" s="6" t="e">
        <f>IF('Entrada e Saida'!$H$12="REAL",AD478,0)</f>
        <v>#DIV/0!</v>
      </c>
      <c r="AN478" s="5" t="e">
        <f>IF('Entrada e Saida'!$H$13= "NÃO",AE478,0)</f>
        <v>#DIV/0!</v>
      </c>
      <c r="AO478" s="5" t="e">
        <f t="shared" si="200"/>
        <v>#DIV/0!</v>
      </c>
      <c r="AP478" s="4" t="e">
        <f t="shared" si="201"/>
        <v>#DIV/0!</v>
      </c>
      <c r="AQ478" s="3" t="e">
        <f>IF('Entrada e Saida'!$H$11="TRADING",AU478*'Custo Resumido'!D478,0)</f>
        <v>#DIV/0!</v>
      </c>
      <c r="AR478" s="3" t="e">
        <f>IF('Entrada e Saida'!$H$11="TRADING",AU478*'Entrada e Saida'!$G$63,0)</f>
        <v>#DIV/0!</v>
      </c>
      <c r="AS478" s="3" t="e">
        <f>IF('Entrada e Saida'!$H$11="TRADING",AU478*'Entrada e Saida'!$G$64,0)</f>
        <v>#DIV/0!</v>
      </c>
      <c r="AT478" s="3" t="e">
        <f>IF('Entrada e Saida'!$H$11="TRADING",AU478*'Entrada e Saida'!$G$65,0)</f>
        <v>#DIV/0!</v>
      </c>
      <c r="AU478" s="4" t="e">
        <f>IF('Entrada e Saida'!$H$11="TRADING",AP478/(1-(SUM('Entrada e Saida'!$G$63:$G$65)+'Custo Resumido'!D478)),0)</f>
        <v>#DIV/0!</v>
      </c>
      <c r="AV478" s="3" t="e">
        <f>IF('Entrada e Saida'!$H$13="NÃO",AU478*M478,0)</f>
        <v>#DIV/0!</v>
      </c>
      <c r="AW478" s="4" t="e">
        <f t="shared" si="202"/>
        <v>#DIV/0!</v>
      </c>
      <c r="AX478" s="3" t="e">
        <f>'Entrada e Saida'!$G$74*AU478</f>
        <v>#DIV/0!</v>
      </c>
      <c r="AY478" s="4" t="e">
        <f t="shared" si="203"/>
        <v>#DIV/0!</v>
      </c>
      <c r="AZ478" s="4" t="e">
        <f>AQ478+('Entrada e Saida'!$G$65-'Entrada e Saida'!$I$65)*AU478-AX478</f>
        <v>#DIV/0!</v>
      </c>
      <c r="BA478" s="3" t="e">
        <f>IF('Entrada e Saida'!$H$12="REAL",AZ478*'Entrada e Saida'!$G$81,AU478*'Entrada e Saida'!$G$81)</f>
        <v>#DIV/0!</v>
      </c>
      <c r="BB478" s="3" t="e">
        <f>IF('Entrada e Saida'!$H$12="REAL",AZ478*'Entrada e Saida'!$G$82,AU478*'Entrada e Saida'!$G$82)</f>
        <v>#DIV/0!</v>
      </c>
      <c r="BC478" s="4" t="e">
        <f t="shared" si="204"/>
        <v>#DIV/0!</v>
      </c>
      <c r="BD478" s="3" t="e">
        <f>IF('Entrada e Saida'!$H$11="TRADING",AW478/D478,AK478/D478)</f>
        <v>#DIV/0!</v>
      </c>
      <c r="BE478" s="3" t="e">
        <f t="shared" si="205"/>
        <v>#DIV/0!</v>
      </c>
      <c r="BF478" s="2" t="e">
        <f t="shared" si="206"/>
        <v>#DIV/0!</v>
      </c>
      <c r="BG478" s="3" t="e">
        <f>IF('Entrada e Saida'!$H$11="TRADING",AV478/D478,AN478/D478)</f>
        <v>#DIV/0!</v>
      </c>
      <c r="BH478" s="3" t="e">
        <f>IF('Entrada e Saida'!$H$11="TRADING",IF('Entrada e Saida'!$H$12="REAL",AR478/D478,0),AL478/D478)</f>
        <v>#DIV/0!</v>
      </c>
      <c r="BI478" s="3" t="e">
        <f>IF('Entrada e Saida'!$H$11="TRADING",IF('Entrada e Saida'!$H$12="REAL",AS478/D478,0),AM478/D478)</f>
        <v>#DIV/0!</v>
      </c>
      <c r="BJ478" s="3" t="e">
        <f>IF('Entrada e Saida'!$H$11="TRADING",AT478/D478,AO478/D478)</f>
        <v>#DIV/0!</v>
      </c>
      <c r="BK478" s="2" t="e">
        <f t="shared" si="207"/>
        <v>#DIV/0!</v>
      </c>
      <c r="BL478" s="2">
        <f>IF(O478&gt;0,IFERROR(IF('Entrada e Saida'!$H$11="DIRETA",0,(IF('Entrada e Saida'!$H$14="P.JURIDICA",(BD478*(1+O478)*N478)-((BD478/(1+M478))*'Entrada e Saida'!$G$65),((Produtos!N478-'Entrada e Saida'!$G$65)*Produtos!BD478)))),0),0)</f>
        <v>0</v>
      </c>
      <c r="BM478" s="2" t="e">
        <f t="shared" si="208"/>
        <v>#DIV/0!</v>
      </c>
    </row>
    <row r="479" spans="1:65" s="1" customFormat="1">
      <c r="A479" s="127"/>
      <c r="B479" s="114">
        <f>IFERROR(VLOOKUP(A479,'Master Modelo'!A:I,7,FALSE),0)</f>
        <v>0</v>
      </c>
      <c r="C479" s="116">
        <f>IFERROR(VLOOKUP(A479,'Master Modelo'!A:I,2,FALSE),0)</f>
        <v>0</v>
      </c>
      <c r="D479" s="146"/>
      <c r="E479" s="115">
        <f>IFERROR(VLOOKUP(A479,'Master Modelo'!A:I,9,FALSE),0)</f>
        <v>0</v>
      </c>
      <c r="F479" s="189">
        <f>IFERROR(VLOOKUP(A479,'Master Modelo'!A:I,8,FALSE),0)</f>
        <v>0</v>
      </c>
      <c r="G479" s="189">
        <f>IFERROR(VLOOKUP(A479,'Master Modelo'!A:K,11,FALSE),0)</f>
        <v>0</v>
      </c>
      <c r="H479" s="114" t="e">
        <f t="shared" si="191"/>
        <v>#DIV/0!</v>
      </c>
      <c r="I479" s="150">
        <f>IFERROR(VLOOKUP(A479,'Master Modelo'!A:I,3,FALSE),0)</f>
        <v>0</v>
      </c>
      <c r="J479" s="151">
        <f>IFERROR(VLOOKUP(A479,'Master Modelo'!A:I,5,FALSE),0)</f>
        <v>0</v>
      </c>
      <c r="K479" s="151">
        <f>IFERROR(VLOOKUP(A479,'Master Modelo'!A:I,6,FALSE),0)</f>
        <v>0</v>
      </c>
      <c r="L479" s="152" t="e">
        <f>VLOOKUP(A479,'Master Modelo'!A:J,10,FALSE)</f>
        <v>#N/A</v>
      </c>
      <c r="M479" s="150">
        <f>IFERROR(VLOOKUP(A479,'Master Modelo'!A:I,4,FALSE),0)</f>
        <v>0</v>
      </c>
      <c r="N479" s="128"/>
      <c r="O479" s="129"/>
      <c r="P479" s="9">
        <f t="shared" si="192"/>
        <v>0</v>
      </c>
      <c r="Q479" s="177">
        <f t="shared" si="190"/>
        <v>0</v>
      </c>
      <c r="R479" s="3">
        <f>D479*E479*'Entrada e Saida'!$K$8</f>
        <v>0</v>
      </c>
      <c r="S479" s="179" t="e">
        <f>'Entrada e Saida'!$H$21*'Entrada e Saida'!$K$8*(P479/(SUM(P:P)))</f>
        <v>#DIV/0!</v>
      </c>
      <c r="T479" s="179" t="e">
        <f>'Entrada e Saida'!$H$21*'Entrada e Saida'!$K$8*(Q479/(SUM(Q:Q)))</f>
        <v>#DIV/0!</v>
      </c>
      <c r="U479" s="179" t="e">
        <f>'Entrada e Saida'!$H$22*(P479/(SUM(P:P)))</f>
        <v>#DIV/0!</v>
      </c>
      <c r="V479" s="179" t="e">
        <f>'Entrada e Saida'!$H$22*(Q479/(SUM(Q:Q)))</f>
        <v>#DIV/0!</v>
      </c>
      <c r="W479" s="8" t="e">
        <f t="shared" si="193"/>
        <v>#DIV/0!</v>
      </c>
      <c r="X479" s="179" t="e">
        <f>'Entrada e Saida'!$H$26*(IF('Entrada e Saida'!$H$15="PESO",(P479/(SUM(P:P))),(Q479/(SUM(Q:Q)))))</f>
        <v>#DIV/0!</v>
      </c>
      <c r="Y479" s="179" t="e">
        <f>'Entrada e Saida'!$H$27*(IF('Entrada e Saida'!$H$15="PESO",(P479/(SUM(P:P))),(Q479/(SUM(Q:Q)))))</f>
        <v>#DIV/0!</v>
      </c>
      <c r="Z479" s="179" t="e">
        <f>'Entrada e Saida'!$H$28*(IF('Entrada e Saida'!$H$15="PESO",(P479/(SUM(P:P))),(Q479/(SUM(Q:Q)))))</f>
        <v>#DIV/0!</v>
      </c>
      <c r="AA479" s="10" t="e">
        <f t="shared" si="194"/>
        <v>#DIV/0!</v>
      </c>
      <c r="AB479" s="3" t="e">
        <f t="shared" si="195"/>
        <v>#DIV/0!</v>
      </c>
      <c r="AC479" s="3" t="e">
        <f t="shared" si="196"/>
        <v>#DIV/0!</v>
      </c>
      <c r="AD479" s="3" t="e">
        <f t="shared" si="197"/>
        <v>#DIV/0!</v>
      </c>
      <c r="AE479" s="9" t="e">
        <f t="shared" si="198"/>
        <v>#DIV/0!</v>
      </c>
      <c r="AF479" s="126">
        <f>IFERROR(D479*F479*L479*'Entrada e Saida'!$K$8,0)</f>
        <v>0</v>
      </c>
      <c r="AG479" s="3" t="e">
        <f>((W479+AA479+AB479+AC479+AD479+AE479+AF479)/(1-'Entrada e Saida'!$G$65))*'Entrada e Saida'!$I$66</f>
        <v>#DIV/0!</v>
      </c>
      <c r="AH479" s="8" t="e">
        <f t="shared" si="199"/>
        <v>#DIV/0!</v>
      </c>
      <c r="AI479" s="183" t="e">
        <f>'Entrada e Saida'!$K$51*(IF('Entrada e Saida'!$H$15="PESO",(P479/(SUM(P:P))),(Q479/(SUM(Q:Q)))))</f>
        <v>#DIV/0!</v>
      </c>
      <c r="AJ479" s="7">
        <f>(('Entrada e Saida'!$K$10-'Entrada e Saida'!$K$8)*E479*D479)</f>
        <v>0</v>
      </c>
      <c r="AK479" s="184" t="e">
        <f>IF('Entrada e Saida'!$H$15="PESO",W479+AA479+AH479+AI479+AJ479,W479+AA479+AH479+AI479+AJ479-S479+T479-U479+V479)</f>
        <v>#DIV/0!</v>
      </c>
      <c r="AL479" s="6" t="e">
        <f>IF('Entrada e Saida'!$H$12="REAL",AC479,0)</f>
        <v>#DIV/0!</v>
      </c>
      <c r="AM479" s="6" t="e">
        <f>IF('Entrada e Saida'!$H$12="REAL",AD479,0)</f>
        <v>#DIV/0!</v>
      </c>
      <c r="AN479" s="5" t="e">
        <f>IF('Entrada e Saida'!$H$13= "NÃO",AE479,0)</f>
        <v>#DIV/0!</v>
      </c>
      <c r="AO479" s="5" t="e">
        <f t="shared" si="200"/>
        <v>#DIV/0!</v>
      </c>
      <c r="AP479" s="4" t="e">
        <f t="shared" si="201"/>
        <v>#DIV/0!</v>
      </c>
      <c r="AQ479" s="3" t="e">
        <f>IF('Entrada e Saida'!$H$11="TRADING",AU479*'Custo Resumido'!D479,0)</f>
        <v>#DIV/0!</v>
      </c>
      <c r="AR479" s="3" t="e">
        <f>IF('Entrada e Saida'!$H$11="TRADING",AU479*'Entrada e Saida'!$G$63,0)</f>
        <v>#DIV/0!</v>
      </c>
      <c r="AS479" s="3" t="e">
        <f>IF('Entrada e Saida'!$H$11="TRADING",AU479*'Entrada e Saida'!$G$64,0)</f>
        <v>#DIV/0!</v>
      </c>
      <c r="AT479" s="3" t="e">
        <f>IF('Entrada e Saida'!$H$11="TRADING",AU479*'Entrada e Saida'!$G$65,0)</f>
        <v>#DIV/0!</v>
      </c>
      <c r="AU479" s="4" t="e">
        <f>IF('Entrada e Saida'!$H$11="TRADING",AP479/(1-(SUM('Entrada e Saida'!$G$63:$G$65)+'Custo Resumido'!D479)),0)</f>
        <v>#DIV/0!</v>
      </c>
      <c r="AV479" s="3" t="e">
        <f>IF('Entrada e Saida'!$H$13="NÃO",AU479*M479,0)</f>
        <v>#DIV/0!</v>
      </c>
      <c r="AW479" s="4" t="e">
        <f t="shared" si="202"/>
        <v>#DIV/0!</v>
      </c>
      <c r="AX479" s="3" t="e">
        <f>'Entrada e Saida'!$G$74*AU479</f>
        <v>#DIV/0!</v>
      </c>
      <c r="AY479" s="4" t="e">
        <f t="shared" si="203"/>
        <v>#DIV/0!</v>
      </c>
      <c r="AZ479" s="4" t="e">
        <f>AQ479+('Entrada e Saida'!$G$65-'Entrada e Saida'!$I$65)*AU479-AX479</f>
        <v>#DIV/0!</v>
      </c>
      <c r="BA479" s="3" t="e">
        <f>IF('Entrada e Saida'!$H$12="REAL",AZ479*'Entrada e Saida'!$G$81,AU479*'Entrada e Saida'!$G$81)</f>
        <v>#DIV/0!</v>
      </c>
      <c r="BB479" s="3" t="e">
        <f>IF('Entrada e Saida'!$H$12="REAL",AZ479*'Entrada e Saida'!$G$82,AU479*'Entrada e Saida'!$G$82)</f>
        <v>#DIV/0!</v>
      </c>
      <c r="BC479" s="4" t="e">
        <f t="shared" si="204"/>
        <v>#DIV/0!</v>
      </c>
      <c r="BD479" s="3" t="e">
        <f>IF('Entrada e Saida'!$H$11="TRADING",AW479/D479,AK479/D479)</f>
        <v>#DIV/0!</v>
      </c>
      <c r="BE479" s="3" t="e">
        <f t="shared" si="205"/>
        <v>#DIV/0!</v>
      </c>
      <c r="BF479" s="2" t="e">
        <f t="shared" si="206"/>
        <v>#DIV/0!</v>
      </c>
      <c r="BG479" s="3" t="e">
        <f>IF('Entrada e Saida'!$H$11="TRADING",AV479/D479,AN479/D479)</f>
        <v>#DIV/0!</v>
      </c>
      <c r="BH479" s="3" t="e">
        <f>IF('Entrada e Saida'!$H$11="TRADING",IF('Entrada e Saida'!$H$12="REAL",AR479/D479,0),AL479/D479)</f>
        <v>#DIV/0!</v>
      </c>
      <c r="BI479" s="3" t="e">
        <f>IF('Entrada e Saida'!$H$11="TRADING",IF('Entrada e Saida'!$H$12="REAL",AS479/D479,0),AM479/D479)</f>
        <v>#DIV/0!</v>
      </c>
      <c r="BJ479" s="3" t="e">
        <f>IF('Entrada e Saida'!$H$11="TRADING",AT479/D479,AO479/D479)</f>
        <v>#DIV/0!</v>
      </c>
      <c r="BK479" s="2" t="e">
        <f t="shared" si="207"/>
        <v>#DIV/0!</v>
      </c>
      <c r="BL479" s="2">
        <f>IF(O479&gt;0,IFERROR(IF('Entrada e Saida'!$H$11="DIRETA",0,(IF('Entrada e Saida'!$H$14="P.JURIDICA",(BD479*(1+O479)*N479)-((BD479/(1+M479))*'Entrada e Saida'!$G$65),((Produtos!N479-'Entrada e Saida'!$G$65)*Produtos!BD479)))),0),0)</f>
        <v>0</v>
      </c>
      <c r="BM479" s="2" t="e">
        <f t="shared" si="208"/>
        <v>#DIV/0!</v>
      </c>
    </row>
    <row r="480" spans="1:65" s="1" customFormat="1">
      <c r="A480" s="127"/>
      <c r="B480" s="114">
        <f>IFERROR(VLOOKUP(A480,'Master Modelo'!A:I,7,FALSE),0)</f>
        <v>0</v>
      </c>
      <c r="C480" s="116">
        <f>IFERROR(VLOOKUP(A480,'Master Modelo'!A:I,2,FALSE),0)</f>
        <v>0</v>
      </c>
      <c r="D480" s="146"/>
      <c r="E480" s="115">
        <f>IFERROR(VLOOKUP(A480,'Master Modelo'!A:I,9,FALSE),0)</f>
        <v>0</v>
      </c>
      <c r="F480" s="189">
        <f>IFERROR(VLOOKUP(A480,'Master Modelo'!A:I,8,FALSE),0)</f>
        <v>0</v>
      </c>
      <c r="G480" s="189">
        <f>IFERROR(VLOOKUP(A480,'Master Modelo'!A:K,11,FALSE),0)</f>
        <v>0</v>
      </c>
      <c r="H480" s="114" t="e">
        <f t="shared" si="191"/>
        <v>#DIV/0!</v>
      </c>
      <c r="I480" s="150">
        <f>IFERROR(VLOOKUP(A480,'Master Modelo'!A:I,3,FALSE),0)</f>
        <v>0</v>
      </c>
      <c r="J480" s="151">
        <f>IFERROR(VLOOKUP(A480,'Master Modelo'!A:I,5,FALSE),0)</f>
        <v>0</v>
      </c>
      <c r="K480" s="151">
        <f>IFERROR(VLOOKUP(A480,'Master Modelo'!A:I,6,FALSE),0)</f>
        <v>0</v>
      </c>
      <c r="L480" s="152" t="e">
        <f>VLOOKUP(A480,'Master Modelo'!A:J,10,FALSE)</f>
        <v>#N/A</v>
      </c>
      <c r="M480" s="150">
        <f>IFERROR(VLOOKUP(A480,'Master Modelo'!A:I,4,FALSE),0)</f>
        <v>0</v>
      </c>
      <c r="N480" s="128"/>
      <c r="O480" s="129"/>
      <c r="P480" s="9">
        <f t="shared" si="192"/>
        <v>0</v>
      </c>
      <c r="Q480" s="177">
        <f t="shared" si="190"/>
        <v>0</v>
      </c>
      <c r="R480" s="3">
        <f>D480*E480*'Entrada e Saida'!$K$8</f>
        <v>0</v>
      </c>
      <c r="S480" s="179" t="e">
        <f>'Entrada e Saida'!$H$21*'Entrada e Saida'!$K$8*(P480/(SUM(P:P)))</f>
        <v>#DIV/0!</v>
      </c>
      <c r="T480" s="179" t="e">
        <f>'Entrada e Saida'!$H$21*'Entrada e Saida'!$K$8*(Q480/(SUM(Q:Q)))</f>
        <v>#DIV/0!</v>
      </c>
      <c r="U480" s="179" t="e">
        <f>'Entrada e Saida'!$H$22*(P480/(SUM(P:P)))</f>
        <v>#DIV/0!</v>
      </c>
      <c r="V480" s="179" t="e">
        <f>'Entrada e Saida'!$H$22*(Q480/(SUM(Q:Q)))</f>
        <v>#DIV/0!</v>
      </c>
      <c r="W480" s="8" t="e">
        <f t="shared" si="193"/>
        <v>#DIV/0!</v>
      </c>
      <c r="X480" s="179" t="e">
        <f>'Entrada e Saida'!$H$26*(IF('Entrada e Saida'!$H$15="PESO",(P480/(SUM(P:P))),(Q480/(SUM(Q:Q)))))</f>
        <v>#DIV/0!</v>
      </c>
      <c r="Y480" s="179" t="e">
        <f>'Entrada e Saida'!$H$27*(IF('Entrada e Saida'!$H$15="PESO",(P480/(SUM(P:P))),(Q480/(SUM(Q:Q)))))</f>
        <v>#DIV/0!</v>
      </c>
      <c r="Z480" s="179" t="e">
        <f>'Entrada e Saida'!$H$28*(IF('Entrada e Saida'!$H$15="PESO",(P480/(SUM(P:P))),(Q480/(SUM(Q:Q)))))</f>
        <v>#DIV/0!</v>
      </c>
      <c r="AA480" s="10" t="e">
        <f t="shared" si="194"/>
        <v>#DIV/0!</v>
      </c>
      <c r="AB480" s="3" t="e">
        <f t="shared" si="195"/>
        <v>#DIV/0!</v>
      </c>
      <c r="AC480" s="3" t="e">
        <f t="shared" si="196"/>
        <v>#DIV/0!</v>
      </c>
      <c r="AD480" s="3" t="e">
        <f t="shared" si="197"/>
        <v>#DIV/0!</v>
      </c>
      <c r="AE480" s="9" t="e">
        <f t="shared" si="198"/>
        <v>#DIV/0!</v>
      </c>
      <c r="AF480" s="126">
        <f>IFERROR(D480*F480*L480*'Entrada e Saida'!$K$8,0)</f>
        <v>0</v>
      </c>
      <c r="AG480" s="3" t="e">
        <f>((W480+AA480+AB480+AC480+AD480+AE480+AF480)/(1-'Entrada e Saida'!$G$65))*'Entrada e Saida'!$I$66</f>
        <v>#DIV/0!</v>
      </c>
      <c r="AH480" s="8" t="e">
        <f t="shared" si="199"/>
        <v>#DIV/0!</v>
      </c>
      <c r="AI480" s="183" t="e">
        <f>'Entrada e Saida'!$K$51*(IF('Entrada e Saida'!$H$15="PESO",(P480/(SUM(P:P))),(Q480/(SUM(Q:Q)))))</f>
        <v>#DIV/0!</v>
      </c>
      <c r="AJ480" s="7">
        <f>(('Entrada e Saida'!$K$10-'Entrada e Saida'!$K$8)*E480*D480)</f>
        <v>0</v>
      </c>
      <c r="AK480" s="184" t="e">
        <f>IF('Entrada e Saida'!$H$15="PESO",W480+AA480+AH480+AI480+AJ480,W480+AA480+AH480+AI480+AJ480-S480+T480-U480+V480)</f>
        <v>#DIV/0!</v>
      </c>
      <c r="AL480" s="6" t="e">
        <f>IF('Entrada e Saida'!$H$12="REAL",AC480,0)</f>
        <v>#DIV/0!</v>
      </c>
      <c r="AM480" s="6" t="e">
        <f>IF('Entrada e Saida'!$H$12="REAL",AD480,0)</f>
        <v>#DIV/0!</v>
      </c>
      <c r="AN480" s="5" t="e">
        <f>IF('Entrada e Saida'!$H$13= "NÃO",AE480,0)</f>
        <v>#DIV/0!</v>
      </c>
      <c r="AO480" s="5" t="e">
        <f t="shared" si="200"/>
        <v>#DIV/0!</v>
      </c>
      <c r="AP480" s="4" t="e">
        <f t="shared" si="201"/>
        <v>#DIV/0!</v>
      </c>
      <c r="AQ480" s="3" t="e">
        <f>IF('Entrada e Saida'!$H$11="TRADING",AU480*'Custo Resumido'!D480,0)</f>
        <v>#DIV/0!</v>
      </c>
      <c r="AR480" s="3" t="e">
        <f>IF('Entrada e Saida'!$H$11="TRADING",AU480*'Entrada e Saida'!$G$63,0)</f>
        <v>#DIV/0!</v>
      </c>
      <c r="AS480" s="3" t="e">
        <f>IF('Entrada e Saida'!$H$11="TRADING",AU480*'Entrada e Saida'!$G$64,0)</f>
        <v>#DIV/0!</v>
      </c>
      <c r="AT480" s="3" t="e">
        <f>IF('Entrada e Saida'!$H$11="TRADING",AU480*'Entrada e Saida'!$G$65,0)</f>
        <v>#DIV/0!</v>
      </c>
      <c r="AU480" s="4" t="e">
        <f>IF('Entrada e Saida'!$H$11="TRADING",AP480/(1-(SUM('Entrada e Saida'!$G$63:$G$65)+'Custo Resumido'!D480)),0)</f>
        <v>#DIV/0!</v>
      </c>
      <c r="AV480" s="3" t="e">
        <f>IF('Entrada e Saida'!$H$13="NÃO",AU480*M480,0)</f>
        <v>#DIV/0!</v>
      </c>
      <c r="AW480" s="4" t="e">
        <f t="shared" si="202"/>
        <v>#DIV/0!</v>
      </c>
      <c r="AX480" s="3" t="e">
        <f>'Entrada e Saida'!$G$74*AU480</f>
        <v>#DIV/0!</v>
      </c>
      <c r="AY480" s="4" t="e">
        <f t="shared" si="203"/>
        <v>#DIV/0!</v>
      </c>
      <c r="AZ480" s="4" t="e">
        <f>AQ480+('Entrada e Saida'!$G$65-'Entrada e Saida'!$I$65)*AU480-AX480</f>
        <v>#DIV/0!</v>
      </c>
      <c r="BA480" s="3" t="e">
        <f>IF('Entrada e Saida'!$H$12="REAL",AZ480*'Entrada e Saida'!$G$81,AU480*'Entrada e Saida'!$G$81)</f>
        <v>#DIV/0!</v>
      </c>
      <c r="BB480" s="3" t="e">
        <f>IF('Entrada e Saida'!$H$12="REAL",AZ480*'Entrada e Saida'!$G$82,AU480*'Entrada e Saida'!$G$82)</f>
        <v>#DIV/0!</v>
      </c>
      <c r="BC480" s="4" t="e">
        <f t="shared" si="204"/>
        <v>#DIV/0!</v>
      </c>
      <c r="BD480" s="3" t="e">
        <f>IF('Entrada e Saida'!$H$11="TRADING",AW480/D480,AK480/D480)</f>
        <v>#DIV/0!</v>
      </c>
      <c r="BE480" s="3" t="e">
        <f t="shared" si="205"/>
        <v>#DIV/0!</v>
      </c>
      <c r="BF480" s="2" t="e">
        <f t="shared" si="206"/>
        <v>#DIV/0!</v>
      </c>
      <c r="BG480" s="3" t="e">
        <f>IF('Entrada e Saida'!$H$11="TRADING",AV480/D480,AN480/D480)</f>
        <v>#DIV/0!</v>
      </c>
      <c r="BH480" s="3" t="e">
        <f>IF('Entrada e Saida'!$H$11="TRADING",IF('Entrada e Saida'!$H$12="REAL",AR480/D480,0),AL480/D480)</f>
        <v>#DIV/0!</v>
      </c>
      <c r="BI480" s="3" t="e">
        <f>IF('Entrada e Saida'!$H$11="TRADING",IF('Entrada e Saida'!$H$12="REAL",AS480/D480,0),AM480/D480)</f>
        <v>#DIV/0!</v>
      </c>
      <c r="BJ480" s="3" t="e">
        <f>IF('Entrada e Saida'!$H$11="TRADING",AT480/D480,AO480/D480)</f>
        <v>#DIV/0!</v>
      </c>
      <c r="BK480" s="2" t="e">
        <f t="shared" si="207"/>
        <v>#DIV/0!</v>
      </c>
      <c r="BL480" s="2">
        <f>IF(O480&gt;0,IFERROR(IF('Entrada e Saida'!$H$11="DIRETA",0,(IF('Entrada e Saida'!$H$14="P.JURIDICA",(BD480*(1+O480)*N480)-((BD480/(1+M480))*'Entrada e Saida'!$G$65),((Produtos!N480-'Entrada e Saida'!$G$65)*Produtos!BD480)))),0),0)</f>
        <v>0</v>
      </c>
      <c r="BM480" s="2" t="e">
        <f t="shared" si="208"/>
        <v>#DIV/0!</v>
      </c>
    </row>
    <row r="481" spans="1:65" s="1" customFormat="1">
      <c r="A481" s="127"/>
      <c r="B481" s="114">
        <f>IFERROR(VLOOKUP(A481,'Master Modelo'!A:I,7,FALSE),0)</f>
        <v>0</v>
      </c>
      <c r="C481" s="116">
        <f>IFERROR(VLOOKUP(A481,'Master Modelo'!A:I,2,FALSE),0)</f>
        <v>0</v>
      </c>
      <c r="D481" s="146"/>
      <c r="E481" s="115">
        <f>IFERROR(VLOOKUP(A481,'Master Modelo'!A:I,9,FALSE),0)</f>
        <v>0</v>
      </c>
      <c r="F481" s="189">
        <f>IFERROR(VLOOKUP(A481,'Master Modelo'!A:I,8,FALSE),0)</f>
        <v>0</v>
      </c>
      <c r="G481" s="189">
        <f>IFERROR(VLOOKUP(A481,'Master Modelo'!A:K,11,FALSE),0)</f>
        <v>0</v>
      </c>
      <c r="H481" s="114" t="e">
        <f t="shared" si="191"/>
        <v>#DIV/0!</v>
      </c>
      <c r="I481" s="150">
        <f>IFERROR(VLOOKUP(A481,'Master Modelo'!A:I,3,FALSE),0)</f>
        <v>0</v>
      </c>
      <c r="J481" s="151">
        <f>IFERROR(VLOOKUP(A481,'Master Modelo'!A:I,5,FALSE),0)</f>
        <v>0</v>
      </c>
      <c r="K481" s="151">
        <f>IFERROR(VLOOKUP(A481,'Master Modelo'!A:I,6,FALSE),0)</f>
        <v>0</v>
      </c>
      <c r="L481" s="152" t="e">
        <f>VLOOKUP(A481,'Master Modelo'!A:J,10,FALSE)</f>
        <v>#N/A</v>
      </c>
      <c r="M481" s="150">
        <f>IFERROR(VLOOKUP(A481,'Master Modelo'!A:I,4,FALSE),0)</f>
        <v>0</v>
      </c>
      <c r="N481" s="128"/>
      <c r="O481" s="129"/>
      <c r="P481" s="9">
        <f t="shared" si="192"/>
        <v>0</v>
      </c>
      <c r="Q481" s="177">
        <f t="shared" si="190"/>
        <v>0</v>
      </c>
      <c r="R481" s="3">
        <f>D481*E481*'Entrada e Saida'!$K$8</f>
        <v>0</v>
      </c>
      <c r="S481" s="179" t="e">
        <f>'Entrada e Saida'!$H$21*'Entrada e Saida'!$K$8*(P481/(SUM(P:P)))</f>
        <v>#DIV/0!</v>
      </c>
      <c r="T481" s="179" t="e">
        <f>'Entrada e Saida'!$H$21*'Entrada e Saida'!$K$8*(Q481/(SUM(Q:Q)))</f>
        <v>#DIV/0!</v>
      </c>
      <c r="U481" s="179" t="e">
        <f>'Entrada e Saida'!$H$22*(P481/(SUM(P:P)))</f>
        <v>#DIV/0!</v>
      </c>
      <c r="V481" s="179" t="e">
        <f>'Entrada e Saida'!$H$22*(Q481/(SUM(Q:Q)))</f>
        <v>#DIV/0!</v>
      </c>
      <c r="W481" s="8" t="e">
        <f t="shared" si="193"/>
        <v>#DIV/0!</v>
      </c>
      <c r="X481" s="179" t="e">
        <f>'Entrada e Saida'!$H$26*(IF('Entrada e Saida'!$H$15="PESO",(P481/(SUM(P:P))),(Q481/(SUM(Q:Q)))))</f>
        <v>#DIV/0!</v>
      </c>
      <c r="Y481" s="179" t="e">
        <f>'Entrada e Saida'!$H$27*(IF('Entrada e Saida'!$H$15="PESO",(P481/(SUM(P:P))),(Q481/(SUM(Q:Q)))))</f>
        <v>#DIV/0!</v>
      </c>
      <c r="Z481" s="179" t="e">
        <f>'Entrada e Saida'!$H$28*(IF('Entrada e Saida'!$H$15="PESO",(P481/(SUM(P:P))),(Q481/(SUM(Q:Q)))))</f>
        <v>#DIV/0!</v>
      </c>
      <c r="AA481" s="10" t="e">
        <f t="shared" si="194"/>
        <v>#DIV/0!</v>
      </c>
      <c r="AB481" s="3" t="e">
        <f t="shared" si="195"/>
        <v>#DIV/0!</v>
      </c>
      <c r="AC481" s="3" t="e">
        <f t="shared" si="196"/>
        <v>#DIV/0!</v>
      </c>
      <c r="AD481" s="3" t="e">
        <f t="shared" si="197"/>
        <v>#DIV/0!</v>
      </c>
      <c r="AE481" s="9" t="e">
        <f t="shared" si="198"/>
        <v>#DIV/0!</v>
      </c>
      <c r="AF481" s="126">
        <f>IFERROR(D481*F481*L481*'Entrada e Saida'!$K$8,0)</f>
        <v>0</v>
      </c>
      <c r="AG481" s="3" t="e">
        <f>((W481+AA481+AB481+AC481+AD481+AE481+AF481)/(1-'Entrada e Saida'!$G$65))*'Entrada e Saida'!$I$66</f>
        <v>#DIV/0!</v>
      </c>
      <c r="AH481" s="8" t="e">
        <f t="shared" si="199"/>
        <v>#DIV/0!</v>
      </c>
      <c r="AI481" s="183" t="e">
        <f>'Entrada e Saida'!$K$51*(IF('Entrada e Saida'!$H$15="PESO",(P481/(SUM(P:P))),(Q481/(SUM(Q:Q)))))</f>
        <v>#DIV/0!</v>
      </c>
      <c r="AJ481" s="7">
        <f>(('Entrada e Saida'!$K$10-'Entrada e Saida'!$K$8)*E481*D481)</f>
        <v>0</v>
      </c>
      <c r="AK481" s="184" t="e">
        <f>IF('Entrada e Saida'!$H$15="PESO",W481+AA481+AH481+AI481+AJ481,W481+AA481+AH481+AI481+AJ481-S481+T481-U481+V481)</f>
        <v>#DIV/0!</v>
      </c>
      <c r="AL481" s="6" t="e">
        <f>IF('Entrada e Saida'!$H$12="REAL",AC481,0)</f>
        <v>#DIV/0!</v>
      </c>
      <c r="AM481" s="6" t="e">
        <f>IF('Entrada e Saida'!$H$12="REAL",AD481,0)</f>
        <v>#DIV/0!</v>
      </c>
      <c r="AN481" s="5" t="e">
        <f>IF('Entrada e Saida'!$H$13= "NÃO",AE481,0)</f>
        <v>#DIV/0!</v>
      </c>
      <c r="AO481" s="5" t="e">
        <f t="shared" si="200"/>
        <v>#DIV/0!</v>
      </c>
      <c r="AP481" s="4" t="e">
        <f t="shared" si="201"/>
        <v>#DIV/0!</v>
      </c>
      <c r="AQ481" s="3" t="e">
        <f>IF('Entrada e Saida'!$H$11="TRADING",AU481*'Custo Resumido'!D481,0)</f>
        <v>#DIV/0!</v>
      </c>
      <c r="AR481" s="3" t="e">
        <f>IF('Entrada e Saida'!$H$11="TRADING",AU481*'Entrada e Saida'!$G$63,0)</f>
        <v>#DIV/0!</v>
      </c>
      <c r="AS481" s="3" t="e">
        <f>IF('Entrada e Saida'!$H$11="TRADING",AU481*'Entrada e Saida'!$G$64,0)</f>
        <v>#DIV/0!</v>
      </c>
      <c r="AT481" s="3" t="e">
        <f>IF('Entrada e Saida'!$H$11="TRADING",AU481*'Entrada e Saida'!$G$65,0)</f>
        <v>#DIV/0!</v>
      </c>
      <c r="AU481" s="4" t="e">
        <f>IF('Entrada e Saida'!$H$11="TRADING",AP481/(1-(SUM('Entrada e Saida'!$G$63:$G$65)+'Custo Resumido'!D481)),0)</f>
        <v>#DIV/0!</v>
      </c>
      <c r="AV481" s="3" t="e">
        <f>IF('Entrada e Saida'!$H$13="NÃO",AU481*M481,0)</f>
        <v>#DIV/0!</v>
      </c>
      <c r="AW481" s="4" t="e">
        <f t="shared" si="202"/>
        <v>#DIV/0!</v>
      </c>
      <c r="AX481" s="3" t="e">
        <f>'Entrada e Saida'!$G$74*AU481</f>
        <v>#DIV/0!</v>
      </c>
      <c r="AY481" s="4" t="e">
        <f t="shared" si="203"/>
        <v>#DIV/0!</v>
      </c>
      <c r="AZ481" s="4" t="e">
        <f>AQ481+('Entrada e Saida'!$G$65-'Entrada e Saida'!$I$65)*AU481-AX481</f>
        <v>#DIV/0!</v>
      </c>
      <c r="BA481" s="3" t="e">
        <f>IF('Entrada e Saida'!$H$12="REAL",AZ481*'Entrada e Saida'!$G$81,AU481*'Entrada e Saida'!$G$81)</f>
        <v>#DIV/0!</v>
      </c>
      <c r="BB481" s="3" t="e">
        <f>IF('Entrada e Saida'!$H$12="REAL",AZ481*'Entrada e Saida'!$G$82,AU481*'Entrada e Saida'!$G$82)</f>
        <v>#DIV/0!</v>
      </c>
      <c r="BC481" s="4" t="e">
        <f t="shared" si="204"/>
        <v>#DIV/0!</v>
      </c>
      <c r="BD481" s="3" t="e">
        <f>IF('Entrada e Saida'!$H$11="TRADING",AW481/D481,AK481/D481)</f>
        <v>#DIV/0!</v>
      </c>
      <c r="BE481" s="3" t="e">
        <f t="shared" si="205"/>
        <v>#DIV/0!</v>
      </c>
      <c r="BF481" s="2" t="e">
        <f t="shared" si="206"/>
        <v>#DIV/0!</v>
      </c>
      <c r="BG481" s="3" t="e">
        <f>IF('Entrada e Saida'!$H$11="TRADING",AV481/D481,AN481/D481)</f>
        <v>#DIV/0!</v>
      </c>
      <c r="BH481" s="3" t="e">
        <f>IF('Entrada e Saida'!$H$11="TRADING",IF('Entrada e Saida'!$H$12="REAL",AR481/D481,0),AL481/D481)</f>
        <v>#DIV/0!</v>
      </c>
      <c r="BI481" s="3" t="e">
        <f>IF('Entrada e Saida'!$H$11="TRADING",IF('Entrada e Saida'!$H$12="REAL",AS481/D481,0),AM481/D481)</f>
        <v>#DIV/0!</v>
      </c>
      <c r="BJ481" s="3" t="e">
        <f>IF('Entrada e Saida'!$H$11="TRADING",AT481/D481,AO481/D481)</f>
        <v>#DIV/0!</v>
      </c>
      <c r="BK481" s="2" t="e">
        <f t="shared" si="207"/>
        <v>#DIV/0!</v>
      </c>
      <c r="BL481" s="2">
        <f>IF(O481&gt;0,IFERROR(IF('Entrada e Saida'!$H$11="DIRETA",0,(IF('Entrada e Saida'!$H$14="P.JURIDICA",(BD481*(1+O481)*N481)-((BD481/(1+M481))*'Entrada e Saida'!$G$65),((Produtos!N481-'Entrada e Saida'!$G$65)*Produtos!BD481)))),0),0)</f>
        <v>0</v>
      </c>
      <c r="BM481" s="2" t="e">
        <f t="shared" si="208"/>
        <v>#DIV/0!</v>
      </c>
    </row>
    <row r="482" spans="1:65" s="1" customFormat="1">
      <c r="A482" s="127"/>
      <c r="B482" s="114">
        <f>IFERROR(VLOOKUP(A482,'Master Modelo'!A:I,7,FALSE),0)</f>
        <v>0</v>
      </c>
      <c r="C482" s="116">
        <f>IFERROR(VLOOKUP(A482,'Master Modelo'!A:I,2,FALSE),0)</f>
        <v>0</v>
      </c>
      <c r="D482" s="146"/>
      <c r="E482" s="115">
        <f>IFERROR(VLOOKUP(A482,'Master Modelo'!A:I,9,FALSE),0)</f>
        <v>0</v>
      </c>
      <c r="F482" s="189">
        <f>IFERROR(VLOOKUP(A482,'Master Modelo'!A:I,8,FALSE),0)</f>
        <v>0</v>
      </c>
      <c r="G482" s="189">
        <f>IFERROR(VLOOKUP(A482,'Master Modelo'!A:K,11,FALSE),0)</f>
        <v>0</v>
      </c>
      <c r="H482" s="114" t="e">
        <f t="shared" si="191"/>
        <v>#DIV/0!</v>
      </c>
      <c r="I482" s="150">
        <f>IFERROR(VLOOKUP(A482,'Master Modelo'!A:I,3,FALSE),0)</f>
        <v>0</v>
      </c>
      <c r="J482" s="151">
        <f>IFERROR(VLOOKUP(A482,'Master Modelo'!A:I,5,FALSE),0)</f>
        <v>0</v>
      </c>
      <c r="K482" s="151">
        <f>IFERROR(VLOOKUP(A482,'Master Modelo'!A:I,6,FALSE),0)</f>
        <v>0</v>
      </c>
      <c r="L482" s="152" t="e">
        <f>VLOOKUP(A482,'Master Modelo'!A:J,10,FALSE)</f>
        <v>#N/A</v>
      </c>
      <c r="M482" s="150">
        <f>IFERROR(VLOOKUP(A482,'Master Modelo'!A:I,4,FALSE),0)</f>
        <v>0</v>
      </c>
      <c r="N482" s="128"/>
      <c r="O482" s="129"/>
      <c r="P482" s="9">
        <f t="shared" si="192"/>
        <v>0</v>
      </c>
      <c r="Q482" s="177">
        <f t="shared" si="190"/>
        <v>0</v>
      </c>
      <c r="R482" s="3">
        <f>D482*E482*'Entrada e Saida'!$K$8</f>
        <v>0</v>
      </c>
      <c r="S482" s="179" t="e">
        <f>'Entrada e Saida'!$H$21*'Entrada e Saida'!$K$8*(P482/(SUM(P:P)))</f>
        <v>#DIV/0!</v>
      </c>
      <c r="T482" s="179" t="e">
        <f>'Entrada e Saida'!$H$21*'Entrada e Saida'!$K$8*(Q482/(SUM(Q:Q)))</f>
        <v>#DIV/0!</v>
      </c>
      <c r="U482" s="179" t="e">
        <f>'Entrada e Saida'!$H$22*(P482/(SUM(P:P)))</f>
        <v>#DIV/0!</v>
      </c>
      <c r="V482" s="179" t="e">
        <f>'Entrada e Saida'!$H$22*(Q482/(SUM(Q:Q)))</f>
        <v>#DIV/0!</v>
      </c>
      <c r="W482" s="8" t="e">
        <f t="shared" si="193"/>
        <v>#DIV/0!</v>
      </c>
      <c r="X482" s="179" t="e">
        <f>'Entrada e Saida'!$H$26*(IF('Entrada e Saida'!$H$15="PESO",(P482/(SUM(P:P))),(Q482/(SUM(Q:Q)))))</f>
        <v>#DIV/0!</v>
      </c>
      <c r="Y482" s="179" t="e">
        <f>'Entrada e Saida'!$H$27*(IF('Entrada e Saida'!$H$15="PESO",(P482/(SUM(P:P))),(Q482/(SUM(Q:Q)))))</f>
        <v>#DIV/0!</v>
      </c>
      <c r="Z482" s="179" t="e">
        <f>'Entrada e Saida'!$H$28*(IF('Entrada e Saida'!$H$15="PESO",(P482/(SUM(P:P))),(Q482/(SUM(Q:Q)))))</f>
        <v>#DIV/0!</v>
      </c>
      <c r="AA482" s="10" t="e">
        <f t="shared" si="194"/>
        <v>#DIV/0!</v>
      </c>
      <c r="AB482" s="3" t="e">
        <f t="shared" si="195"/>
        <v>#DIV/0!</v>
      </c>
      <c r="AC482" s="3" t="e">
        <f t="shared" si="196"/>
        <v>#DIV/0!</v>
      </c>
      <c r="AD482" s="3" t="e">
        <f t="shared" si="197"/>
        <v>#DIV/0!</v>
      </c>
      <c r="AE482" s="9" t="e">
        <f t="shared" si="198"/>
        <v>#DIV/0!</v>
      </c>
      <c r="AF482" s="126">
        <f>IFERROR(D482*F482*L482*'Entrada e Saida'!$K$8,0)</f>
        <v>0</v>
      </c>
      <c r="AG482" s="3" t="e">
        <f>((W482+AA482+AB482+AC482+AD482+AE482+AF482)/(1-'Entrada e Saida'!$G$65))*'Entrada e Saida'!$I$66</f>
        <v>#DIV/0!</v>
      </c>
      <c r="AH482" s="8" t="e">
        <f t="shared" si="199"/>
        <v>#DIV/0!</v>
      </c>
      <c r="AI482" s="183" t="e">
        <f>'Entrada e Saida'!$K$51*(IF('Entrada e Saida'!$H$15="PESO",(P482/(SUM(P:P))),(Q482/(SUM(Q:Q)))))</f>
        <v>#DIV/0!</v>
      </c>
      <c r="AJ482" s="7">
        <f>(('Entrada e Saida'!$K$10-'Entrada e Saida'!$K$8)*E482*D482)</f>
        <v>0</v>
      </c>
      <c r="AK482" s="184" t="e">
        <f>IF('Entrada e Saida'!$H$15="PESO",W482+AA482+AH482+AI482+AJ482,W482+AA482+AH482+AI482+AJ482-S482+T482-U482+V482)</f>
        <v>#DIV/0!</v>
      </c>
      <c r="AL482" s="6" t="e">
        <f>IF('Entrada e Saida'!$H$12="REAL",AC482,0)</f>
        <v>#DIV/0!</v>
      </c>
      <c r="AM482" s="6" t="e">
        <f>IF('Entrada e Saida'!$H$12="REAL",AD482,0)</f>
        <v>#DIV/0!</v>
      </c>
      <c r="AN482" s="5" t="e">
        <f>IF('Entrada e Saida'!$H$13= "NÃO",AE482,0)</f>
        <v>#DIV/0!</v>
      </c>
      <c r="AO482" s="5" t="e">
        <f t="shared" si="200"/>
        <v>#DIV/0!</v>
      </c>
      <c r="AP482" s="4" t="e">
        <f t="shared" si="201"/>
        <v>#DIV/0!</v>
      </c>
      <c r="AQ482" s="3" t="e">
        <f>IF('Entrada e Saida'!$H$11="TRADING",AU482*'Custo Resumido'!D482,0)</f>
        <v>#DIV/0!</v>
      </c>
      <c r="AR482" s="3" t="e">
        <f>IF('Entrada e Saida'!$H$11="TRADING",AU482*'Entrada e Saida'!$G$63,0)</f>
        <v>#DIV/0!</v>
      </c>
      <c r="AS482" s="3" t="e">
        <f>IF('Entrada e Saida'!$H$11="TRADING",AU482*'Entrada e Saida'!$G$64,0)</f>
        <v>#DIV/0!</v>
      </c>
      <c r="AT482" s="3" t="e">
        <f>IF('Entrada e Saida'!$H$11="TRADING",AU482*'Entrada e Saida'!$G$65,0)</f>
        <v>#DIV/0!</v>
      </c>
      <c r="AU482" s="4" t="e">
        <f>IF('Entrada e Saida'!$H$11="TRADING",AP482/(1-(SUM('Entrada e Saida'!$G$63:$G$65)+'Custo Resumido'!D482)),0)</f>
        <v>#DIV/0!</v>
      </c>
      <c r="AV482" s="3" t="e">
        <f>IF('Entrada e Saida'!$H$13="NÃO",AU482*M482,0)</f>
        <v>#DIV/0!</v>
      </c>
      <c r="AW482" s="4" t="e">
        <f t="shared" si="202"/>
        <v>#DIV/0!</v>
      </c>
      <c r="AX482" s="3" t="e">
        <f>'Entrada e Saida'!$G$74*AU482</f>
        <v>#DIV/0!</v>
      </c>
      <c r="AY482" s="4" t="e">
        <f t="shared" si="203"/>
        <v>#DIV/0!</v>
      </c>
      <c r="AZ482" s="4" t="e">
        <f>AQ482+('Entrada e Saida'!$G$65-'Entrada e Saida'!$I$65)*AU482-AX482</f>
        <v>#DIV/0!</v>
      </c>
      <c r="BA482" s="3" t="e">
        <f>IF('Entrada e Saida'!$H$12="REAL",AZ482*'Entrada e Saida'!$G$81,AU482*'Entrada e Saida'!$G$81)</f>
        <v>#DIV/0!</v>
      </c>
      <c r="BB482" s="3" t="e">
        <f>IF('Entrada e Saida'!$H$12="REAL",AZ482*'Entrada e Saida'!$G$82,AU482*'Entrada e Saida'!$G$82)</f>
        <v>#DIV/0!</v>
      </c>
      <c r="BC482" s="4" t="e">
        <f t="shared" si="204"/>
        <v>#DIV/0!</v>
      </c>
      <c r="BD482" s="3" t="e">
        <f>IF('Entrada e Saida'!$H$11="TRADING",AW482/D482,AK482/D482)</f>
        <v>#DIV/0!</v>
      </c>
      <c r="BE482" s="3" t="e">
        <f t="shared" si="205"/>
        <v>#DIV/0!</v>
      </c>
      <c r="BF482" s="2" t="e">
        <f t="shared" si="206"/>
        <v>#DIV/0!</v>
      </c>
      <c r="BG482" s="3" t="e">
        <f>IF('Entrada e Saida'!$H$11="TRADING",AV482/D482,AN482/D482)</f>
        <v>#DIV/0!</v>
      </c>
      <c r="BH482" s="3" t="e">
        <f>IF('Entrada e Saida'!$H$11="TRADING",IF('Entrada e Saida'!$H$12="REAL",AR482/D482,0),AL482/D482)</f>
        <v>#DIV/0!</v>
      </c>
      <c r="BI482" s="3" t="e">
        <f>IF('Entrada e Saida'!$H$11="TRADING",IF('Entrada e Saida'!$H$12="REAL",AS482/D482,0),AM482/D482)</f>
        <v>#DIV/0!</v>
      </c>
      <c r="BJ482" s="3" t="e">
        <f>IF('Entrada e Saida'!$H$11="TRADING",AT482/D482,AO482/D482)</f>
        <v>#DIV/0!</v>
      </c>
      <c r="BK482" s="2" t="e">
        <f t="shared" si="207"/>
        <v>#DIV/0!</v>
      </c>
      <c r="BL482" s="2">
        <f>IF(O482&gt;0,IFERROR(IF('Entrada e Saida'!$H$11="DIRETA",0,(IF('Entrada e Saida'!$H$14="P.JURIDICA",(BD482*(1+O482)*N482)-((BD482/(1+M482))*'Entrada e Saida'!$G$65),((Produtos!N482-'Entrada e Saida'!$G$65)*Produtos!BD482)))),0),0)</f>
        <v>0</v>
      </c>
      <c r="BM482" s="2" t="e">
        <f t="shared" si="208"/>
        <v>#DIV/0!</v>
      </c>
    </row>
    <row r="483" spans="1:65" s="1" customFormat="1">
      <c r="A483" s="127"/>
      <c r="B483" s="114">
        <f>IFERROR(VLOOKUP(A483,'Master Modelo'!A:I,7,FALSE),0)</f>
        <v>0</v>
      </c>
      <c r="C483" s="116">
        <f>IFERROR(VLOOKUP(A483,'Master Modelo'!A:I,2,FALSE),0)</f>
        <v>0</v>
      </c>
      <c r="D483" s="146"/>
      <c r="E483" s="115">
        <f>IFERROR(VLOOKUP(A483,'Master Modelo'!A:I,9,FALSE),0)</f>
        <v>0</v>
      </c>
      <c r="F483" s="189">
        <f>IFERROR(VLOOKUP(A483,'Master Modelo'!A:I,8,FALSE),0)</f>
        <v>0</v>
      </c>
      <c r="G483" s="189">
        <f>IFERROR(VLOOKUP(A483,'Master Modelo'!A:K,11,FALSE),0)</f>
        <v>0</v>
      </c>
      <c r="H483" s="114" t="e">
        <f t="shared" si="191"/>
        <v>#DIV/0!</v>
      </c>
      <c r="I483" s="150">
        <f>IFERROR(VLOOKUP(A483,'Master Modelo'!A:I,3,FALSE),0)</f>
        <v>0</v>
      </c>
      <c r="J483" s="151">
        <f>IFERROR(VLOOKUP(A483,'Master Modelo'!A:I,5,FALSE),0)</f>
        <v>0</v>
      </c>
      <c r="K483" s="151">
        <f>IFERROR(VLOOKUP(A483,'Master Modelo'!A:I,6,FALSE),0)</f>
        <v>0</v>
      </c>
      <c r="L483" s="152" t="e">
        <f>VLOOKUP(A483,'Master Modelo'!A:J,10,FALSE)</f>
        <v>#N/A</v>
      </c>
      <c r="M483" s="150">
        <f>IFERROR(VLOOKUP(A483,'Master Modelo'!A:I,4,FALSE),0)</f>
        <v>0</v>
      </c>
      <c r="N483" s="128"/>
      <c r="O483" s="129"/>
      <c r="P483" s="9">
        <f t="shared" si="192"/>
        <v>0</v>
      </c>
      <c r="Q483" s="177">
        <f t="shared" si="190"/>
        <v>0</v>
      </c>
      <c r="R483" s="3">
        <f>D483*E483*'Entrada e Saida'!$K$8</f>
        <v>0</v>
      </c>
      <c r="S483" s="179" t="e">
        <f>'Entrada e Saida'!$H$21*'Entrada e Saida'!$K$8*(P483/(SUM(P:P)))</f>
        <v>#DIV/0!</v>
      </c>
      <c r="T483" s="179" t="e">
        <f>'Entrada e Saida'!$H$21*'Entrada e Saida'!$K$8*(Q483/(SUM(Q:Q)))</f>
        <v>#DIV/0!</v>
      </c>
      <c r="U483" s="179" t="e">
        <f>'Entrada e Saida'!$H$22*(P483/(SUM(P:P)))</f>
        <v>#DIV/0!</v>
      </c>
      <c r="V483" s="179" t="e">
        <f>'Entrada e Saida'!$H$22*(Q483/(SUM(Q:Q)))</f>
        <v>#DIV/0!</v>
      </c>
      <c r="W483" s="8" t="e">
        <f t="shared" si="193"/>
        <v>#DIV/0!</v>
      </c>
      <c r="X483" s="179" t="e">
        <f>'Entrada e Saida'!$H$26*(IF('Entrada e Saida'!$H$15="PESO",(P483/(SUM(P:P))),(Q483/(SUM(Q:Q)))))</f>
        <v>#DIV/0!</v>
      </c>
      <c r="Y483" s="179" t="e">
        <f>'Entrada e Saida'!$H$27*(IF('Entrada e Saida'!$H$15="PESO",(P483/(SUM(P:P))),(Q483/(SUM(Q:Q)))))</f>
        <v>#DIV/0!</v>
      </c>
      <c r="Z483" s="179" t="e">
        <f>'Entrada e Saida'!$H$28*(IF('Entrada e Saida'!$H$15="PESO",(P483/(SUM(P:P))),(Q483/(SUM(Q:Q)))))</f>
        <v>#DIV/0!</v>
      </c>
      <c r="AA483" s="10" t="e">
        <f t="shared" si="194"/>
        <v>#DIV/0!</v>
      </c>
      <c r="AB483" s="3" t="e">
        <f t="shared" si="195"/>
        <v>#DIV/0!</v>
      </c>
      <c r="AC483" s="3" t="e">
        <f t="shared" si="196"/>
        <v>#DIV/0!</v>
      </c>
      <c r="AD483" s="3" t="e">
        <f t="shared" si="197"/>
        <v>#DIV/0!</v>
      </c>
      <c r="AE483" s="9" t="e">
        <f t="shared" si="198"/>
        <v>#DIV/0!</v>
      </c>
      <c r="AF483" s="126">
        <f>IFERROR(D483*F483*L483*'Entrada e Saida'!$K$8,0)</f>
        <v>0</v>
      </c>
      <c r="AG483" s="3" t="e">
        <f>((W483+AA483+AB483+AC483+AD483+AE483+AF483)/(1-'Entrada e Saida'!$G$65))*'Entrada e Saida'!$I$66</f>
        <v>#DIV/0!</v>
      </c>
      <c r="AH483" s="8" t="e">
        <f t="shared" si="199"/>
        <v>#DIV/0!</v>
      </c>
      <c r="AI483" s="183" t="e">
        <f>'Entrada e Saida'!$K$51*(IF('Entrada e Saida'!$H$15="PESO",(P483/(SUM(P:P))),(Q483/(SUM(Q:Q)))))</f>
        <v>#DIV/0!</v>
      </c>
      <c r="AJ483" s="7">
        <f>(('Entrada e Saida'!$K$10-'Entrada e Saida'!$K$8)*E483*D483)</f>
        <v>0</v>
      </c>
      <c r="AK483" s="184" t="e">
        <f>IF('Entrada e Saida'!$H$15="PESO",W483+AA483+AH483+AI483+AJ483,W483+AA483+AH483+AI483+AJ483-S483+T483-U483+V483)</f>
        <v>#DIV/0!</v>
      </c>
      <c r="AL483" s="6" t="e">
        <f>IF('Entrada e Saida'!$H$12="REAL",AC483,0)</f>
        <v>#DIV/0!</v>
      </c>
      <c r="AM483" s="6" t="e">
        <f>IF('Entrada e Saida'!$H$12="REAL",AD483,0)</f>
        <v>#DIV/0!</v>
      </c>
      <c r="AN483" s="5" t="e">
        <f>IF('Entrada e Saida'!$H$13= "NÃO",AE483,0)</f>
        <v>#DIV/0!</v>
      </c>
      <c r="AO483" s="5" t="e">
        <f t="shared" si="200"/>
        <v>#DIV/0!</v>
      </c>
      <c r="AP483" s="4" t="e">
        <f t="shared" si="201"/>
        <v>#DIV/0!</v>
      </c>
      <c r="AQ483" s="3" t="e">
        <f>IF('Entrada e Saida'!$H$11="TRADING",AU483*'Custo Resumido'!D483,0)</f>
        <v>#DIV/0!</v>
      </c>
      <c r="AR483" s="3" t="e">
        <f>IF('Entrada e Saida'!$H$11="TRADING",AU483*'Entrada e Saida'!$G$63,0)</f>
        <v>#DIV/0!</v>
      </c>
      <c r="AS483" s="3" t="e">
        <f>IF('Entrada e Saida'!$H$11="TRADING",AU483*'Entrada e Saida'!$G$64,0)</f>
        <v>#DIV/0!</v>
      </c>
      <c r="AT483" s="3" t="e">
        <f>IF('Entrada e Saida'!$H$11="TRADING",AU483*'Entrada e Saida'!$G$65,0)</f>
        <v>#DIV/0!</v>
      </c>
      <c r="AU483" s="4" t="e">
        <f>IF('Entrada e Saida'!$H$11="TRADING",AP483/(1-(SUM('Entrada e Saida'!$G$63:$G$65)+'Custo Resumido'!D483)),0)</f>
        <v>#DIV/0!</v>
      </c>
      <c r="AV483" s="3" t="e">
        <f>IF('Entrada e Saida'!$H$13="NÃO",AU483*M483,0)</f>
        <v>#DIV/0!</v>
      </c>
      <c r="AW483" s="4" t="e">
        <f t="shared" si="202"/>
        <v>#DIV/0!</v>
      </c>
      <c r="AX483" s="3" t="e">
        <f>'Entrada e Saida'!$G$74*AU483</f>
        <v>#DIV/0!</v>
      </c>
      <c r="AY483" s="4" t="e">
        <f t="shared" si="203"/>
        <v>#DIV/0!</v>
      </c>
      <c r="AZ483" s="4" t="e">
        <f>AQ483+('Entrada e Saida'!$G$65-'Entrada e Saida'!$I$65)*AU483-AX483</f>
        <v>#DIV/0!</v>
      </c>
      <c r="BA483" s="3" t="e">
        <f>IF('Entrada e Saida'!$H$12="REAL",AZ483*'Entrada e Saida'!$G$81,AU483*'Entrada e Saida'!$G$81)</f>
        <v>#DIV/0!</v>
      </c>
      <c r="BB483" s="3" t="e">
        <f>IF('Entrada e Saida'!$H$12="REAL",AZ483*'Entrada e Saida'!$G$82,AU483*'Entrada e Saida'!$G$82)</f>
        <v>#DIV/0!</v>
      </c>
      <c r="BC483" s="4" t="e">
        <f t="shared" si="204"/>
        <v>#DIV/0!</v>
      </c>
      <c r="BD483" s="3" t="e">
        <f>IF('Entrada e Saida'!$H$11="TRADING",AW483/D483,AK483/D483)</f>
        <v>#DIV/0!</v>
      </c>
      <c r="BE483" s="3" t="e">
        <f t="shared" si="205"/>
        <v>#DIV/0!</v>
      </c>
      <c r="BF483" s="2" t="e">
        <f t="shared" si="206"/>
        <v>#DIV/0!</v>
      </c>
      <c r="BG483" s="3" t="e">
        <f>IF('Entrada e Saida'!$H$11="TRADING",AV483/D483,AN483/D483)</f>
        <v>#DIV/0!</v>
      </c>
      <c r="BH483" s="3" t="e">
        <f>IF('Entrada e Saida'!$H$11="TRADING",IF('Entrada e Saida'!$H$12="REAL",AR483/D483,0),AL483/D483)</f>
        <v>#DIV/0!</v>
      </c>
      <c r="BI483" s="3" t="e">
        <f>IF('Entrada e Saida'!$H$11="TRADING",IF('Entrada e Saida'!$H$12="REAL",AS483/D483,0),AM483/D483)</f>
        <v>#DIV/0!</v>
      </c>
      <c r="BJ483" s="3" t="e">
        <f>IF('Entrada e Saida'!$H$11="TRADING",AT483/D483,AO483/D483)</f>
        <v>#DIV/0!</v>
      </c>
      <c r="BK483" s="2" t="e">
        <f t="shared" si="207"/>
        <v>#DIV/0!</v>
      </c>
      <c r="BL483" s="2">
        <f>IF(O483&gt;0,IFERROR(IF('Entrada e Saida'!$H$11="DIRETA",0,(IF('Entrada e Saida'!$H$14="P.JURIDICA",(BD483*(1+O483)*N483)-((BD483/(1+M483))*'Entrada e Saida'!$G$65),((Produtos!N483-'Entrada e Saida'!$G$65)*Produtos!BD483)))),0),0)</f>
        <v>0</v>
      </c>
      <c r="BM483" s="2" t="e">
        <f t="shared" si="208"/>
        <v>#DIV/0!</v>
      </c>
    </row>
    <row r="484" spans="1:65" s="1" customFormat="1">
      <c r="A484" s="127"/>
      <c r="B484" s="114">
        <f>IFERROR(VLOOKUP(A484,'Master Modelo'!A:I,7,FALSE),0)</f>
        <v>0</v>
      </c>
      <c r="C484" s="116">
        <f>IFERROR(VLOOKUP(A484,'Master Modelo'!A:I,2,FALSE),0)</f>
        <v>0</v>
      </c>
      <c r="D484" s="146"/>
      <c r="E484" s="115">
        <f>IFERROR(VLOOKUP(A484,'Master Modelo'!A:I,9,FALSE),0)</f>
        <v>0</v>
      </c>
      <c r="F484" s="189">
        <f>IFERROR(VLOOKUP(A484,'Master Modelo'!A:I,8,FALSE),0)</f>
        <v>0</v>
      </c>
      <c r="G484" s="189">
        <f>IFERROR(VLOOKUP(A484,'Master Modelo'!A:K,11,FALSE),0)</f>
        <v>0</v>
      </c>
      <c r="H484" s="114" t="e">
        <f t="shared" si="191"/>
        <v>#DIV/0!</v>
      </c>
      <c r="I484" s="150">
        <f>IFERROR(VLOOKUP(A484,'Master Modelo'!A:I,3,FALSE),0)</f>
        <v>0</v>
      </c>
      <c r="J484" s="151">
        <f>IFERROR(VLOOKUP(A484,'Master Modelo'!A:I,5,FALSE),0)</f>
        <v>0</v>
      </c>
      <c r="K484" s="151">
        <f>IFERROR(VLOOKUP(A484,'Master Modelo'!A:I,6,FALSE),0)</f>
        <v>0</v>
      </c>
      <c r="L484" s="152" t="e">
        <f>VLOOKUP(A484,'Master Modelo'!A:J,10,FALSE)</f>
        <v>#N/A</v>
      </c>
      <c r="M484" s="150">
        <f>IFERROR(VLOOKUP(A484,'Master Modelo'!A:I,4,FALSE),0)</f>
        <v>0</v>
      </c>
      <c r="N484" s="128"/>
      <c r="O484" s="129"/>
      <c r="P484" s="9">
        <f t="shared" si="192"/>
        <v>0</v>
      </c>
      <c r="Q484" s="177">
        <f t="shared" si="190"/>
        <v>0</v>
      </c>
      <c r="R484" s="3">
        <f>D484*E484*'Entrada e Saida'!$K$8</f>
        <v>0</v>
      </c>
      <c r="S484" s="179" t="e">
        <f>'Entrada e Saida'!$H$21*'Entrada e Saida'!$K$8*(P484/(SUM(P:P)))</f>
        <v>#DIV/0!</v>
      </c>
      <c r="T484" s="179" t="e">
        <f>'Entrada e Saida'!$H$21*'Entrada e Saida'!$K$8*(Q484/(SUM(Q:Q)))</f>
        <v>#DIV/0!</v>
      </c>
      <c r="U484" s="179" t="e">
        <f>'Entrada e Saida'!$H$22*(P484/(SUM(P:P)))</f>
        <v>#DIV/0!</v>
      </c>
      <c r="V484" s="179" t="e">
        <f>'Entrada e Saida'!$H$22*(Q484/(SUM(Q:Q)))</f>
        <v>#DIV/0!</v>
      </c>
      <c r="W484" s="8" t="e">
        <f t="shared" si="193"/>
        <v>#DIV/0!</v>
      </c>
      <c r="X484" s="179" t="e">
        <f>'Entrada e Saida'!$H$26*(IF('Entrada e Saida'!$H$15="PESO",(P484/(SUM(P:P))),(Q484/(SUM(Q:Q)))))</f>
        <v>#DIV/0!</v>
      </c>
      <c r="Y484" s="179" t="e">
        <f>'Entrada e Saida'!$H$27*(IF('Entrada e Saida'!$H$15="PESO",(P484/(SUM(P:P))),(Q484/(SUM(Q:Q)))))</f>
        <v>#DIV/0!</v>
      </c>
      <c r="Z484" s="179" t="e">
        <f>'Entrada e Saida'!$H$28*(IF('Entrada e Saida'!$H$15="PESO",(P484/(SUM(P:P))),(Q484/(SUM(Q:Q)))))</f>
        <v>#DIV/0!</v>
      </c>
      <c r="AA484" s="10" t="e">
        <f t="shared" si="194"/>
        <v>#DIV/0!</v>
      </c>
      <c r="AB484" s="3" t="e">
        <f t="shared" si="195"/>
        <v>#DIV/0!</v>
      </c>
      <c r="AC484" s="3" t="e">
        <f t="shared" si="196"/>
        <v>#DIV/0!</v>
      </c>
      <c r="AD484" s="3" t="e">
        <f t="shared" si="197"/>
        <v>#DIV/0!</v>
      </c>
      <c r="AE484" s="9" t="e">
        <f t="shared" si="198"/>
        <v>#DIV/0!</v>
      </c>
      <c r="AF484" s="126">
        <f>IFERROR(D484*F484*L484*'Entrada e Saida'!$K$8,0)</f>
        <v>0</v>
      </c>
      <c r="AG484" s="3" t="e">
        <f>((W484+AA484+AB484+AC484+AD484+AE484+AF484)/(1-'Entrada e Saida'!$G$65))*'Entrada e Saida'!$I$66</f>
        <v>#DIV/0!</v>
      </c>
      <c r="AH484" s="8" t="e">
        <f t="shared" si="199"/>
        <v>#DIV/0!</v>
      </c>
      <c r="AI484" s="183" t="e">
        <f>'Entrada e Saida'!$K$51*(IF('Entrada e Saida'!$H$15="PESO",(P484/(SUM(P:P))),(Q484/(SUM(Q:Q)))))</f>
        <v>#DIV/0!</v>
      </c>
      <c r="AJ484" s="7">
        <f>(('Entrada e Saida'!$K$10-'Entrada e Saida'!$K$8)*E484*D484)</f>
        <v>0</v>
      </c>
      <c r="AK484" s="184" t="e">
        <f>IF('Entrada e Saida'!$H$15="PESO",W484+AA484+AH484+AI484+AJ484,W484+AA484+AH484+AI484+AJ484-S484+T484-U484+V484)</f>
        <v>#DIV/0!</v>
      </c>
      <c r="AL484" s="6" t="e">
        <f>IF('Entrada e Saida'!$H$12="REAL",AC484,0)</f>
        <v>#DIV/0!</v>
      </c>
      <c r="AM484" s="6" t="e">
        <f>IF('Entrada e Saida'!$H$12="REAL",AD484,0)</f>
        <v>#DIV/0!</v>
      </c>
      <c r="AN484" s="5" t="e">
        <f>IF('Entrada e Saida'!$H$13= "NÃO",AE484,0)</f>
        <v>#DIV/0!</v>
      </c>
      <c r="AO484" s="5" t="e">
        <f t="shared" si="200"/>
        <v>#DIV/0!</v>
      </c>
      <c r="AP484" s="4" t="e">
        <f t="shared" si="201"/>
        <v>#DIV/0!</v>
      </c>
      <c r="AQ484" s="3" t="e">
        <f>IF('Entrada e Saida'!$H$11="TRADING",AU484*'Custo Resumido'!D484,0)</f>
        <v>#DIV/0!</v>
      </c>
      <c r="AR484" s="3" t="e">
        <f>IF('Entrada e Saida'!$H$11="TRADING",AU484*'Entrada e Saida'!$G$63,0)</f>
        <v>#DIV/0!</v>
      </c>
      <c r="AS484" s="3" t="e">
        <f>IF('Entrada e Saida'!$H$11="TRADING",AU484*'Entrada e Saida'!$G$64,0)</f>
        <v>#DIV/0!</v>
      </c>
      <c r="AT484" s="3" t="e">
        <f>IF('Entrada e Saida'!$H$11="TRADING",AU484*'Entrada e Saida'!$G$65,0)</f>
        <v>#DIV/0!</v>
      </c>
      <c r="AU484" s="4" t="e">
        <f>IF('Entrada e Saida'!$H$11="TRADING",AP484/(1-(SUM('Entrada e Saida'!$G$63:$G$65)+'Custo Resumido'!D484)),0)</f>
        <v>#DIV/0!</v>
      </c>
      <c r="AV484" s="3" t="e">
        <f>IF('Entrada e Saida'!$H$13="NÃO",AU484*M484,0)</f>
        <v>#DIV/0!</v>
      </c>
      <c r="AW484" s="4" t="e">
        <f t="shared" si="202"/>
        <v>#DIV/0!</v>
      </c>
      <c r="AX484" s="3" t="e">
        <f>'Entrada e Saida'!$G$74*AU484</f>
        <v>#DIV/0!</v>
      </c>
      <c r="AY484" s="4" t="e">
        <f t="shared" si="203"/>
        <v>#DIV/0!</v>
      </c>
      <c r="AZ484" s="4" t="e">
        <f>AQ484+('Entrada e Saida'!$G$65-'Entrada e Saida'!$I$65)*AU484-AX484</f>
        <v>#DIV/0!</v>
      </c>
      <c r="BA484" s="3" t="e">
        <f>IF('Entrada e Saida'!$H$12="REAL",AZ484*'Entrada e Saida'!$G$81,AU484*'Entrada e Saida'!$G$81)</f>
        <v>#DIV/0!</v>
      </c>
      <c r="BB484" s="3" t="e">
        <f>IF('Entrada e Saida'!$H$12="REAL",AZ484*'Entrada e Saida'!$G$82,AU484*'Entrada e Saida'!$G$82)</f>
        <v>#DIV/0!</v>
      </c>
      <c r="BC484" s="4" t="e">
        <f t="shared" si="204"/>
        <v>#DIV/0!</v>
      </c>
      <c r="BD484" s="3" t="e">
        <f>IF('Entrada e Saida'!$H$11="TRADING",AW484/D484,AK484/D484)</f>
        <v>#DIV/0!</v>
      </c>
      <c r="BE484" s="3" t="e">
        <f t="shared" si="205"/>
        <v>#DIV/0!</v>
      </c>
      <c r="BF484" s="2" t="e">
        <f t="shared" si="206"/>
        <v>#DIV/0!</v>
      </c>
      <c r="BG484" s="3" t="e">
        <f>IF('Entrada e Saida'!$H$11="TRADING",AV484/D484,AN484/D484)</f>
        <v>#DIV/0!</v>
      </c>
      <c r="BH484" s="3" t="e">
        <f>IF('Entrada e Saida'!$H$11="TRADING",IF('Entrada e Saida'!$H$12="REAL",AR484/D484,0),AL484/D484)</f>
        <v>#DIV/0!</v>
      </c>
      <c r="BI484" s="3" t="e">
        <f>IF('Entrada e Saida'!$H$11="TRADING",IF('Entrada e Saida'!$H$12="REAL",AS484/D484,0),AM484/D484)</f>
        <v>#DIV/0!</v>
      </c>
      <c r="BJ484" s="3" t="e">
        <f>IF('Entrada e Saida'!$H$11="TRADING",AT484/D484,AO484/D484)</f>
        <v>#DIV/0!</v>
      </c>
      <c r="BK484" s="2" t="e">
        <f t="shared" si="207"/>
        <v>#DIV/0!</v>
      </c>
      <c r="BL484" s="2">
        <f>IF(O484&gt;0,IFERROR(IF('Entrada e Saida'!$H$11="DIRETA",0,(IF('Entrada e Saida'!$H$14="P.JURIDICA",(BD484*(1+O484)*N484)-((BD484/(1+M484))*'Entrada e Saida'!$G$65),((Produtos!N484-'Entrada e Saida'!$G$65)*Produtos!BD484)))),0),0)</f>
        <v>0</v>
      </c>
      <c r="BM484" s="2" t="e">
        <f t="shared" si="208"/>
        <v>#DIV/0!</v>
      </c>
    </row>
    <row r="485" spans="1:65" s="1" customFormat="1">
      <c r="A485" s="127"/>
      <c r="B485" s="114">
        <f>IFERROR(VLOOKUP(A485,'Master Modelo'!A:I,7,FALSE),0)</f>
        <v>0</v>
      </c>
      <c r="C485" s="116">
        <f>IFERROR(VLOOKUP(A485,'Master Modelo'!A:I,2,FALSE),0)</f>
        <v>0</v>
      </c>
      <c r="D485" s="146"/>
      <c r="E485" s="115">
        <f>IFERROR(VLOOKUP(A485,'Master Modelo'!A:I,9,FALSE),0)</f>
        <v>0</v>
      </c>
      <c r="F485" s="189">
        <f>IFERROR(VLOOKUP(A485,'Master Modelo'!A:I,8,FALSE),0)</f>
        <v>0</v>
      </c>
      <c r="G485" s="189">
        <f>IFERROR(VLOOKUP(A485,'Master Modelo'!A:K,11,FALSE),0)</f>
        <v>0</v>
      </c>
      <c r="H485" s="114" t="e">
        <f t="shared" si="191"/>
        <v>#DIV/0!</v>
      </c>
      <c r="I485" s="150">
        <f>IFERROR(VLOOKUP(A485,'Master Modelo'!A:I,3,FALSE),0)</f>
        <v>0</v>
      </c>
      <c r="J485" s="151">
        <f>IFERROR(VLOOKUP(A485,'Master Modelo'!A:I,5,FALSE),0)</f>
        <v>0</v>
      </c>
      <c r="K485" s="151">
        <f>IFERROR(VLOOKUP(A485,'Master Modelo'!A:I,6,FALSE),0)</f>
        <v>0</v>
      </c>
      <c r="L485" s="152" t="e">
        <f>VLOOKUP(A485,'Master Modelo'!A:J,10,FALSE)</f>
        <v>#N/A</v>
      </c>
      <c r="M485" s="150">
        <f>IFERROR(VLOOKUP(A485,'Master Modelo'!A:I,4,FALSE),0)</f>
        <v>0</v>
      </c>
      <c r="N485" s="128"/>
      <c r="O485" s="129"/>
      <c r="P485" s="9">
        <f t="shared" si="192"/>
        <v>0</v>
      </c>
      <c r="Q485" s="177">
        <f t="shared" si="190"/>
        <v>0</v>
      </c>
      <c r="R485" s="3">
        <f>D485*E485*'Entrada e Saida'!$K$8</f>
        <v>0</v>
      </c>
      <c r="S485" s="179" t="e">
        <f>'Entrada e Saida'!$H$21*'Entrada e Saida'!$K$8*(P485/(SUM(P:P)))</f>
        <v>#DIV/0!</v>
      </c>
      <c r="T485" s="179" t="e">
        <f>'Entrada e Saida'!$H$21*'Entrada e Saida'!$K$8*(Q485/(SUM(Q:Q)))</f>
        <v>#DIV/0!</v>
      </c>
      <c r="U485" s="179" t="e">
        <f>'Entrada e Saida'!$H$22*(P485/(SUM(P:P)))</f>
        <v>#DIV/0!</v>
      </c>
      <c r="V485" s="179" t="e">
        <f>'Entrada e Saida'!$H$22*(Q485/(SUM(Q:Q)))</f>
        <v>#DIV/0!</v>
      </c>
      <c r="W485" s="8" t="e">
        <f t="shared" si="193"/>
        <v>#DIV/0!</v>
      </c>
      <c r="X485" s="179" t="e">
        <f>'Entrada e Saida'!$H$26*(IF('Entrada e Saida'!$H$15="PESO",(P485/(SUM(P:P))),(Q485/(SUM(Q:Q)))))</f>
        <v>#DIV/0!</v>
      </c>
      <c r="Y485" s="179" t="e">
        <f>'Entrada e Saida'!$H$27*(IF('Entrada e Saida'!$H$15="PESO",(P485/(SUM(P:P))),(Q485/(SUM(Q:Q)))))</f>
        <v>#DIV/0!</v>
      </c>
      <c r="Z485" s="179" t="e">
        <f>'Entrada e Saida'!$H$28*(IF('Entrada e Saida'!$H$15="PESO",(P485/(SUM(P:P))),(Q485/(SUM(Q:Q)))))</f>
        <v>#DIV/0!</v>
      </c>
      <c r="AA485" s="10" t="e">
        <f t="shared" si="194"/>
        <v>#DIV/0!</v>
      </c>
      <c r="AB485" s="3" t="e">
        <f t="shared" si="195"/>
        <v>#DIV/0!</v>
      </c>
      <c r="AC485" s="3" t="e">
        <f t="shared" si="196"/>
        <v>#DIV/0!</v>
      </c>
      <c r="AD485" s="3" t="e">
        <f t="shared" si="197"/>
        <v>#DIV/0!</v>
      </c>
      <c r="AE485" s="9" t="e">
        <f t="shared" si="198"/>
        <v>#DIV/0!</v>
      </c>
      <c r="AF485" s="126">
        <f>IFERROR(D485*F485*L485*'Entrada e Saida'!$K$8,0)</f>
        <v>0</v>
      </c>
      <c r="AG485" s="3" t="e">
        <f>((W485+AA485+AB485+AC485+AD485+AE485+AF485)/(1-'Entrada e Saida'!$G$65))*'Entrada e Saida'!$I$66</f>
        <v>#DIV/0!</v>
      </c>
      <c r="AH485" s="8" t="e">
        <f t="shared" si="199"/>
        <v>#DIV/0!</v>
      </c>
      <c r="AI485" s="183" t="e">
        <f>'Entrada e Saida'!$K$51*(IF('Entrada e Saida'!$H$15="PESO",(P485/(SUM(P:P))),(Q485/(SUM(Q:Q)))))</f>
        <v>#DIV/0!</v>
      </c>
      <c r="AJ485" s="7">
        <f>(('Entrada e Saida'!$K$10-'Entrada e Saida'!$K$8)*E485*D485)</f>
        <v>0</v>
      </c>
      <c r="AK485" s="184" t="e">
        <f>IF('Entrada e Saida'!$H$15="PESO",W485+AA485+AH485+AI485+AJ485,W485+AA485+AH485+AI485+AJ485-S485+T485-U485+V485)</f>
        <v>#DIV/0!</v>
      </c>
      <c r="AL485" s="6" t="e">
        <f>IF('Entrada e Saida'!$H$12="REAL",AC485,0)</f>
        <v>#DIV/0!</v>
      </c>
      <c r="AM485" s="6" t="e">
        <f>IF('Entrada e Saida'!$H$12="REAL",AD485,0)</f>
        <v>#DIV/0!</v>
      </c>
      <c r="AN485" s="5" t="e">
        <f>IF('Entrada e Saida'!$H$13= "NÃO",AE485,0)</f>
        <v>#DIV/0!</v>
      </c>
      <c r="AO485" s="5" t="e">
        <f t="shared" si="200"/>
        <v>#DIV/0!</v>
      </c>
      <c r="AP485" s="4" t="e">
        <f t="shared" si="201"/>
        <v>#DIV/0!</v>
      </c>
      <c r="AQ485" s="3" t="e">
        <f>IF('Entrada e Saida'!$H$11="TRADING",AU485*'Custo Resumido'!D485,0)</f>
        <v>#DIV/0!</v>
      </c>
      <c r="AR485" s="3" t="e">
        <f>IF('Entrada e Saida'!$H$11="TRADING",AU485*'Entrada e Saida'!$G$63,0)</f>
        <v>#DIV/0!</v>
      </c>
      <c r="AS485" s="3" t="e">
        <f>IF('Entrada e Saida'!$H$11="TRADING",AU485*'Entrada e Saida'!$G$64,0)</f>
        <v>#DIV/0!</v>
      </c>
      <c r="AT485" s="3" t="e">
        <f>IF('Entrada e Saida'!$H$11="TRADING",AU485*'Entrada e Saida'!$G$65,0)</f>
        <v>#DIV/0!</v>
      </c>
      <c r="AU485" s="4" t="e">
        <f>IF('Entrada e Saida'!$H$11="TRADING",AP485/(1-(SUM('Entrada e Saida'!$G$63:$G$65)+'Custo Resumido'!D485)),0)</f>
        <v>#DIV/0!</v>
      </c>
      <c r="AV485" s="3" t="e">
        <f>IF('Entrada e Saida'!$H$13="NÃO",AU485*M485,0)</f>
        <v>#DIV/0!</v>
      </c>
      <c r="AW485" s="4" t="e">
        <f t="shared" si="202"/>
        <v>#DIV/0!</v>
      </c>
      <c r="AX485" s="3" t="e">
        <f>'Entrada e Saida'!$G$74*AU485</f>
        <v>#DIV/0!</v>
      </c>
      <c r="AY485" s="4" t="e">
        <f t="shared" si="203"/>
        <v>#DIV/0!</v>
      </c>
      <c r="AZ485" s="4" t="e">
        <f>AQ485+('Entrada e Saida'!$G$65-'Entrada e Saida'!$I$65)*AU485-AX485</f>
        <v>#DIV/0!</v>
      </c>
      <c r="BA485" s="3" t="e">
        <f>IF('Entrada e Saida'!$H$12="REAL",AZ485*'Entrada e Saida'!$G$81,AU485*'Entrada e Saida'!$G$81)</f>
        <v>#DIV/0!</v>
      </c>
      <c r="BB485" s="3" t="e">
        <f>IF('Entrada e Saida'!$H$12="REAL",AZ485*'Entrada e Saida'!$G$82,AU485*'Entrada e Saida'!$G$82)</f>
        <v>#DIV/0!</v>
      </c>
      <c r="BC485" s="4" t="e">
        <f t="shared" si="204"/>
        <v>#DIV/0!</v>
      </c>
      <c r="BD485" s="3" t="e">
        <f>IF('Entrada e Saida'!$H$11="TRADING",AW485/D485,AK485/D485)</f>
        <v>#DIV/0!</v>
      </c>
      <c r="BE485" s="3" t="e">
        <f t="shared" si="205"/>
        <v>#DIV/0!</v>
      </c>
      <c r="BF485" s="2" t="e">
        <f t="shared" si="206"/>
        <v>#DIV/0!</v>
      </c>
      <c r="BG485" s="3" t="e">
        <f>IF('Entrada e Saida'!$H$11="TRADING",AV485/D485,AN485/D485)</f>
        <v>#DIV/0!</v>
      </c>
      <c r="BH485" s="3" t="e">
        <f>IF('Entrada e Saida'!$H$11="TRADING",IF('Entrada e Saida'!$H$12="REAL",AR485/D485,0),AL485/D485)</f>
        <v>#DIV/0!</v>
      </c>
      <c r="BI485" s="3" t="e">
        <f>IF('Entrada e Saida'!$H$11="TRADING",IF('Entrada e Saida'!$H$12="REAL",AS485/D485,0),AM485/D485)</f>
        <v>#DIV/0!</v>
      </c>
      <c r="BJ485" s="3" t="e">
        <f>IF('Entrada e Saida'!$H$11="TRADING",AT485/D485,AO485/D485)</f>
        <v>#DIV/0!</v>
      </c>
      <c r="BK485" s="2" t="e">
        <f t="shared" si="207"/>
        <v>#DIV/0!</v>
      </c>
      <c r="BL485" s="2">
        <f>IF(O485&gt;0,IFERROR(IF('Entrada e Saida'!$H$11="DIRETA",0,(IF('Entrada e Saida'!$H$14="P.JURIDICA",(BD485*(1+O485)*N485)-((BD485/(1+M485))*'Entrada e Saida'!$G$65),((Produtos!N485-'Entrada e Saida'!$G$65)*Produtos!BD485)))),0),0)</f>
        <v>0</v>
      </c>
      <c r="BM485" s="2" t="e">
        <f t="shared" si="208"/>
        <v>#DIV/0!</v>
      </c>
    </row>
    <row r="486" spans="1:65" s="1" customFormat="1">
      <c r="A486" s="127"/>
      <c r="B486" s="114">
        <f>IFERROR(VLOOKUP(A486,'Master Modelo'!A:I,7,FALSE),0)</f>
        <v>0</v>
      </c>
      <c r="C486" s="116">
        <f>IFERROR(VLOOKUP(A486,'Master Modelo'!A:I,2,FALSE),0)</f>
        <v>0</v>
      </c>
      <c r="D486" s="146"/>
      <c r="E486" s="115">
        <f>IFERROR(VLOOKUP(A486,'Master Modelo'!A:I,9,FALSE),0)</f>
        <v>0</v>
      </c>
      <c r="F486" s="189">
        <f>IFERROR(VLOOKUP(A486,'Master Modelo'!A:I,8,FALSE),0)</f>
        <v>0</v>
      </c>
      <c r="G486" s="189">
        <f>IFERROR(VLOOKUP(A486,'Master Modelo'!A:K,11,FALSE),0)</f>
        <v>0</v>
      </c>
      <c r="H486" s="114" t="e">
        <f t="shared" si="191"/>
        <v>#DIV/0!</v>
      </c>
      <c r="I486" s="150">
        <f>IFERROR(VLOOKUP(A486,'Master Modelo'!A:I,3,FALSE),0)</f>
        <v>0</v>
      </c>
      <c r="J486" s="151">
        <f>IFERROR(VLOOKUP(A486,'Master Modelo'!A:I,5,FALSE),0)</f>
        <v>0</v>
      </c>
      <c r="K486" s="151">
        <f>IFERROR(VLOOKUP(A486,'Master Modelo'!A:I,6,FALSE),0)</f>
        <v>0</v>
      </c>
      <c r="L486" s="152" t="e">
        <f>VLOOKUP(A486,'Master Modelo'!A:J,10,FALSE)</f>
        <v>#N/A</v>
      </c>
      <c r="M486" s="150">
        <f>IFERROR(VLOOKUP(A486,'Master Modelo'!A:I,4,FALSE),0)</f>
        <v>0</v>
      </c>
      <c r="N486" s="128"/>
      <c r="O486" s="129"/>
      <c r="P486" s="9">
        <f t="shared" si="192"/>
        <v>0</v>
      </c>
      <c r="Q486" s="177">
        <f t="shared" si="190"/>
        <v>0</v>
      </c>
      <c r="R486" s="3">
        <f>D486*E486*'Entrada e Saida'!$K$8</f>
        <v>0</v>
      </c>
      <c r="S486" s="179" t="e">
        <f>'Entrada e Saida'!$H$21*'Entrada e Saida'!$K$8*(P486/(SUM(P:P)))</f>
        <v>#DIV/0!</v>
      </c>
      <c r="T486" s="179" t="e">
        <f>'Entrada e Saida'!$H$21*'Entrada e Saida'!$K$8*(Q486/(SUM(Q:Q)))</f>
        <v>#DIV/0!</v>
      </c>
      <c r="U486" s="179" t="e">
        <f>'Entrada e Saida'!$H$22*(P486/(SUM(P:P)))</f>
        <v>#DIV/0!</v>
      </c>
      <c r="V486" s="179" t="e">
        <f>'Entrada e Saida'!$H$22*(Q486/(SUM(Q:Q)))</f>
        <v>#DIV/0!</v>
      </c>
      <c r="W486" s="8" t="e">
        <f t="shared" si="193"/>
        <v>#DIV/0!</v>
      </c>
      <c r="X486" s="179" t="e">
        <f>'Entrada e Saida'!$H$26*(IF('Entrada e Saida'!$H$15="PESO",(P486/(SUM(P:P))),(Q486/(SUM(Q:Q)))))</f>
        <v>#DIV/0!</v>
      </c>
      <c r="Y486" s="179" t="e">
        <f>'Entrada e Saida'!$H$27*(IF('Entrada e Saida'!$H$15="PESO",(P486/(SUM(P:P))),(Q486/(SUM(Q:Q)))))</f>
        <v>#DIV/0!</v>
      </c>
      <c r="Z486" s="179" t="e">
        <f>'Entrada e Saida'!$H$28*(IF('Entrada e Saida'!$H$15="PESO",(P486/(SUM(P:P))),(Q486/(SUM(Q:Q)))))</f>
        <v>#DIV/0!</v>
      </c>
      <c r="AA486" s="10" t="e">
        <f t="shared" si="194"/>
        <v>#DIV/0!</v>
      </c>
      <c r="AB486" s="3" t="e">
        <f t="shared" si="195"/>
        <v>#DIV/0!</v>
      </c>
      <c r="AC486" s="3" t="e">
        <f t="shared" si="196"/>
        <v>#DIV/0!</v>
      </c>
      <c r="AD486" s="3" t="e">
        <f t="shared" si="197"/>
        <v>#DIV/0!</v>
      </c>
      <c r="AE486" s="9" t="e">
        <f t="shared" si="198"/>
        <v>#DIV/0!</v>
      </c>
      <c r="AF486" s="126">
        <f>IFERROR(D486*F486*L486*'Entrada e Saida'!$K$8,0)</f>
        <v>0</v>
      </c>
      <c r="AG486" s="3" t="e">
        <f>((W486+AA486+AB486+AC486+AD486+AE486+AF486)/(1-'Entrada e Saida'!$G$65))*'Entrada e Saida'!$I$66</f>
        <v>#DIV/0!</v>
      </c>
      <c r="AH486" s="8" t="e">
        <f t="shared" si="199"/>
        <v>#DIV/0!</v>
      </c>
      <c r="AI486" s="183" t="e">
        <f>'Entrada e Saida'!$K$51*(IF('Entrada e Saida'!$H$15="PESO",(P486/(SUM(P:P))),(Q486/(SUM(Q:Q)))))</f>
        <v>#DIV/0!</v>
      </c>
      <c r="AJ486" s="7">
        <f>(('Entrada e Saida'!$K$10-'Entrada e Saida'!$K$8)*E486*D486)</f>
        <v>0</v>
      </c>
      <c r="AK486" s="184" t="e">
        <f>IF('Entrada e Saida'!$H$15="PESO",W486+AA486+AH486+AI486+AJ486,W486+AA486+AH486+AI486+AJ486-S486+T486-U486+V486)</f>
        <v>#DIV/0!</v>
      </c>
      <c r="AL486" s="6" t="e">
        <f>IF('Entrada e Saida'!$H$12="REAL",AC486,0)</f>
        <v>#DIV/0!</v>
      </c>
      <c r="AM486" s="6" t="e">
        <f>IF('Entrada e Saida'!$H$12="REAL",AD486,0)</f>
        <v>#DIV/0!</v>
      </c>
      <c r="AN486" s="5" t="e">
        <f>IF('Entrada e Saida'!$H$13= "NÃO",AE486,0)</f>
        <v>#DIV/0!</v>
      </c>
      <c r="AO486" s="5" t="e">
        <f t="shared" si="200"/>
        <v>#DIV/0!</v>
      </c>
      <c r="AP486" s="4" t="e">
        <f t="shared" si="201"/>
        <v>#DIV/0!</v>
      </c>
      <c r="AQ486" s="3" t="e">
        <f>IF('Entrada e Saida'!$H$11="TRADING",AU486*'Custo Resumido'!D486,0)</f>
        <v>#DIV/0!</v>
      </c>
      <c r="AR486" s="3" t="e">
        <f>IF('Entrada e Saida'!$H$11="TRADING",AU486*'Entrada e Saida'!$G$63,0)</f>
        <v>#DIV/0!</v>
      </c>
      <c r="AS486" s="3" t="e">
        <f>IF('Entrada e Saida'!$H$11="TRADING",AU486*'Entrada e Saida'!$G$64,0)</f>
        <v>#DIV/0!</v>
      </c>
      <c r="AT486" s="3" t="e">
        <f>IF('Entrada e Saida'!$H$11="TRADING",AU486*'Entrada e Saida'!$G$65,0)</f>
        <v>#DIV/0!</v>
      </c>
      <c r="AU486" s="4" t="e">
        <f>IF('Entrada e Saida'!$H$11="TRADING",AP486/(1-(SUM('Entrada e Saida'!$G$63:$G$65)+'Custo Resumido'!D486)),0)</f>
        <v>#DIV/0!</v>
      </c>
      <c r="AV486" s="3" t="e">
        <f>IF('Entrada e Saida'!$H$13="NÃO",AU486*M486,0)</f>
        <v>#DIV/0!</v>
      </c>
      <c r="AW486" s="4" t="e">
        <f t="shared" si="202"/>
        <v>#DIV/0!</v>
      </c>
      <c r="AX486" s="3" t="e">
        <f>'Entrada e Saida'!$G$74*AU486</f>
        <v>#DIV/0!</v>
      </c>
      <c r="AY486" s="4" t="e">
        <f t="shared" si="203"/>
        <v>#DIV/0!</v>
      </c>
      <c r="AZ486" s="4" t="e">
        <f>AQ486+('Entrada e Saida'!$G$65-'Entrada e Saida'!$I$65)*AU486-AX486</f>
        <v>#DIV/0!</v>
      </c>
      <c r="BA486" s="3" t="e">
        <f>IF('Entrada e Saida'!$H$12="REAL",AZ486*'Entrada e Saida'!$G$81,AU486*'Entrada e Saida'!$G$81)</f>
        <v>#DIV/0!</v>
      </c>
      <c r="BB486" s="3" t="e">
        <f>IF('Entrada e Saida'!$H$12="REAL",AZ486*'Entrada e Saida'!$G$82,AU486*'Entrada e Saida'!$G$82)</f>
        <v>#DIV/0!</v>
      </c>
      <c r="BC486" s="4" t="e">
        <f t="shared" si="204"/>
        <v>#DIV/0!</v>
      </c>
      <c r="BD486" s="3" t="e">
        <f>IF('Entrada e Saida'!$H$11="TRADING",AW486/D486,AK486/D486)</f>
        <v>#DIV/0!</v>
      </c>
      <c r="BE486" s="3" t="e">
        <f t="shared" si="205"/>
        <v>#DIV/0!</v>
      </c>
      <c r="BF486" s="2" t="e">
        <f t="shared" si="206"/>
        <v>#DIV/0!</v>
      </c>
      <c r="BG486" s="3" t="e">
        <f>IF('Entrada e Saida'!$H$11="TRADING",AV486/D486,AN486/D486)</f>
        <v>#DIV/0!</v>
      </c>
      <c r="BH486" s="3" t="e">
        <f>IF('Entrada e Saida'!$H$11="TRADING",IF('Entrada e Saida'!$H$12="REAL",AR486/D486,0),AL486/D486)</f>
        <v>#DIV/0!</v>
      </c>
      <c r="BI486" s="3" t="e">
        <f>IF('Entrada e Saida'!$H$11="TRADING",IF('Entrada e Saida'!$H$12="REAL",AS486/D486,0),AM486/D486)</f>
        <v>#DIV/0!</v>
      </c>
      <c r="BJ486" s="3" t="e">
        <f>IF('Entrada e Saida'!$H$11="TRADING",AT486/D486,AO486/D486)</f>
        <v>#DIV/0!</v>
      </c>
      <c r="BK486" s="2" t="e">
        <f t="shared" si="207"/>
        <v>#DIV/0!</v>
      </c>
      <c r="BL486" s="2">
        <f>IF(O486&gt;0,IFERROR(IF('Entrada e Saida'!$H$11="DIRETA",0,(IF('Entrada e Saida'!$H$14="P.JURIDICA",(BD486*(1+O486)*N486)-((BD486/(1+M486))*'Entrada e Saida'!$G$65),((Produtos!N486-'Entrada e Saida'!$G$65)*Produtos!BD486)))),0),0)</f>
        <v>0</v>
      </c>
      <c r="BM486" s="2" t="e">
        <f t="shared" si="208"/>
        <v>#DIV/0!</v>
      </c>
    </row>
    <row r="487" spans="1:65" s="1" customFormat="1">
      <c r="A487" s="127"/>
      <c r="B487" s="114">
        <f>IFERROR(VLOOKUP(A487,'Master Modelo'!A:I,7,FALSE),0)</f>
        <v>0</v>
      </c>
      <c r="C487" s="116">
        <f>IFERROR(VLOOKUP(A487,'Master Modelo'!A:I,2,FALSE),0)</f>
        <v>0</v>
      </c>
      <c r="D487" s="146"/>
      <c r="E487" s="115">
        <f>IFERROR(VLOOKUP(A487,'Master Modelo'!A:I,9,FALSE),0)</f>
        <v>0</v>
      </c>
      <c r="F487" s="189">
        <f>IFERROR(VLOOKUP(A487,'Master Modelo'!A:I,8,FALSE),0)</f>
        <v>0</v>
      </c>
      <c r="G487" s="189">
        <f>IFERROR(VLOOKUP(A487,'Master Modelo'!A:K,11,FALSE),0)</f>
        <v>0</v>
      </c>
      <c r="H487" s="114" t="e">
        <f t="shared" si="191"/>
        <v>#DIV/0!</v>
      </c>
      <c r="I487" s="150">
        <f>IFERROR(VLOOKUP(A487,'Master Modelo'!A:I,3,FALSE),0)</f>
        <v>0</v>
      </c>
      <c r="J487" s="151">
        <f>IFERROR(VLOOKUP(A487,'Master Modelo'!A:I,5,FALSE),0)</f>
        <v>0</v>
      </c>
      <c r="K487" s="151">
        <f>IFERROR(VLOOKUP(A487,'Master Modelo'!A:I,6,FALSE),0)</f>
        <v>0</v>
      </c>
      <c r="L487" s="152" t="e">
        <f>VLOOKUP(A487,'Master Modelo'!A:J,10,FALSE)</f>
        <v>#N/A</v>
      </c>
      <c r="M487" s="150">
        <f>IFERROR(VLOOKUP(A487,'Master Modelo'!A:I,4,FALSE),0)</f>
        <v>0</v>
      </c>
      <c r="N487" s="128"/>
      <c r="O487" s="129"/>
      <c r="P487" s="9">
        <f t="shared" si="192"/>
        <v>0</v>
      </c>
      <c r="Q487" s="177">
        <f t="shared" si="190"/>
        <v>0</v>
      </c>
      <c r="R487" s="3">
        <f>D487*E487*'Entrada e Saida'!$K$8</f>
        <v>0</v>
      </c>
      <c r="S487" s="179" t="e">
        <f>'Entrada e Saida'!$H$21*'Entrada e Saida'!$K$8*(P487/(SUM(P:P)))</f>
        <v>#DIV/0!</v>
      </c>
      <c r="T487" s="179" t="e">
        <f>'Entrada e Saida'!$H$21*'Entrada e Saida'!$K$8*(Q487/(SUM(Q:Q)))</f>
        <v>#DIV/0!</v>
      </c>
      <c r="U487" s="179" t="e">
        <f>'Entrada e Saida'!$H$22*(P487/(SUM(P:P)))</f>
        <v>#DIV/0!</v>
      </c>
      <c r="V487" s="179" t="e">
        <f>'Entrada e Saida'!$H$22*(Q487/(SUM(Q:Q)))</f>
        <v>#DIV/0!</v>
      </c>
      <c r="W487" s="8" t="e">
        <f t="shared" si="193"/>
        <v>#DIV/0!</v>
      </c>
      <c r="X487" s="179" t="e">
        <f>'Entrada e Saida'!$H$26*(IF('Entrada e Saida'!$H$15="PESO",(P487/(SUM(P:P))),(Q487/(SUM(Q:Q)))))</f>
        <v>#DIV/0!</v>
      </c>
      <c r="Y487" s="179" t="e">
        <f>'Entrada e Saida'!$H$27*(IF('Entrada e Saida'!$H$15="PESO",(P487/(SUM(P:P))),(Q487/(SUM(Q:Q)))))</f>
        <v>#DIV/0!</v>
      </c>
      <c r="Z487" s="179" t="e">
        <f>'Entrada e Saida'!$H$28*(IF('Entrada e Saida'!$H$15="PESO",(P487/(SUM(P:P))),(Q487/(SUM(Q:Q)))))</f>
        <v>#DIV/0!</v>
      </c>
      <c r="AA487" s="10" t="e">
        <f t="shared" si="194"/>
        <v>#DIV/0!</v>
      </c>
      <c r="AB487" s="3" t="e">
        <f t="shared" si="195"/>
        <v>#DIV/0!</v>
      </c>
      <c r="AC487" s="3" t="e">
        <f t="shared" si="196"/>
        <v>#DIV/0!</v>
      </c>
      <c r="AD487" s="3" t="e">
        <f t="shared" si="197"/>
        <v>#DIV/0!</v>
      </c>
      <c r="AE487" s="9" t="e">
        <f t="shared" si="198"/>
        <v>#DIV/0!</v>
      </c>
      <c r="AF487" s="126">
        <f>IFERROR(D487*F487*L487*'Entrada e Saida'!$K$8,0)</f>
        <v>0</v>
      </c>
      <c r="AG487" s="3" t="e">
        <f>((W487+AA487+AB487+AC487+AD487+AE487+AF487)/(1-'Entrada e Saida'!$G$65))*'Entrada e Saida'!$I$66</f>
        <v>#DIV/0!</v>
      </c>
      <c r="AH487" s="8" t="e">
        <f t="shared" si="199"/>
        <v>#DIV/0!</v>
      </c>
      <c r="AI487" s="183" t="e">
        <f>'Entrada e Saida'!$K$51*(IF('Entrada e Saida'!$H$15="PESO",(P487/(SUM(P:P))),(Q487/(SUM(Q:Q)))))</f>
        <v>#DIV/0!</v>
      </c>
      <c r="AJ487" s="7">
        <f>(('Entrada e Saida'!$K$10-'Entrada e Saida'!$K$8)*E487*D487)</f>
        <v>0</v>
      </c>
      <c r="AK487" s="184" t="e">
        <f>IF('Entrada e Saida'!$H$15="PESO",W487+AA487+AH487+AI487+AJ487,W487+AA487+AH487+AI487+AJ487-S487+T487-U487+V487)</f>
        <v>#DIV/0!</v>
      </c>
      <c r="AL487" s="6" t="e">
        <f>IF('Entrada e Saida'!$H$12="REAL",AC487,0)</f>
        <v>#DIV/0!</v>
      </c>
      <c r="AM487" s="6" t="e">
        <f>IF('Entrada e Saida'!$H$12="REAL",AD487,0)</f>
        <v>#DIV/0!</v>
      </c>
      <c r="AN487" s="5" t="e">
        <f>IF('Entrada e Saida'!$H$13= "NÃO",AE487,0)</f>
        <v>#DIV/0!</v>
      </c>
      <c r="AO487" s="5" t="e">
        <f t="shared" si="200"/>
        <v>#DIV/0!</v>
      </c>
      <c r="AP487" s="4" t="e">
        <f t="shared" si="201"/>
        <v>#DIV/0!</v>
      </c>
      <c r="AQ487" s="3" t="e">
        <f>IF('Entrada e Saida'!$H$11="TRADING",AU487*'Custo Resumido'!D487,0)</f>
        <v>#DIV/0!</v>
      </c>
      <c r="AR487" s="3" t="e">
        <f>IF('Entrada e Saida'!$H$11="TRADING",AU487*'Entrada e Saida'!$G$63,0)</f>
        <v>#DIV/0!</v>
      </c>
      <c r="AS487" s="3" t="e">
        <f>IF('Entrada e Saida'!$H$11="TRADING",AU487*'Entrada e Saida'!$G$64,0)</f>
        <v>#DIV/0!</v>
      </c>
      <c r="AT487" s="3" t="e">
        <f>IF('Entrada e Saida'!$H$11="TRADING",AU487*'Entrada e Saida'!$G$65,0)</f>
        <v>#DIV/0!</v>
      </c>
      <c r="AU487" s="4" t="e">
        <f>IF('Entrada e Saida'!$H$11="TRADING",AP487/(1-(SUM('Entrada e Saida'!$G$63:$G$65)+'Custo Resumido'!D487)),0)</f>
        <v>#DIV/0!</v>
      </c>
      <c r="AV487" s="3" t="e">
        <f>IF('Entrada e Saida'!$H$13="NÃO",AU487*M487,0)</f>
        <v>#DIV/0!</v>
      </c>
      <c r="AW487" s="4" t="e">
        <f t="shared" si="202"/>
        <v>#DIV/0!</v>
      </c>
      <c r="AX487" s="3" t="e">
        <f>'Entrada e Saida'!$G$74*AU487</f>
        <v>#DIV/0!</v>
      </c>
      <c r="AY487" s="4" t="e">
        <f t="shared" si="203"/>
        <v>#DIV/0!</v>
      </c>
      <c r="AZ487" s="4" t="e">
        <f>AQ487+('Entrada e Saida'!$G$65-'Entrada e Saida'!$I$65)*AU487-AX487</f>
        <v>#DIV/0!</v>
      </c>
      <c r="BA487" s="3" t="e">
        <f>IF('Entrada e Saida'!$H$12="REAL",AZ487*'Entrada e Saida'!$G$81,AU487*'Entrada e Saida'!$G$81)</f>
        <v>#DIV/0!</v>
      </c>
      <c r="BB487" s="3" t="e">
        <f>IF('Entrada e Saida'!$H$12="REAL",AZ487*'Entrada e Saida'!$G$82,AU487*'Entrada e Saida'!$G$82)</f>
        <v>#DIV/0!</v>
      </c>
      <c r="BC487" s="4" t="e">
        <f t="shared" si="204"/>
        <v>#DIV/0!</v>
      </c>
      <c r="BD487" s="3" t="e">
        <f>IF('Entrada e Saida'!$H$11="TRADING",AW487/D487,AK487/D487)</f>
        <v>#DIV/0!</v>
      </c>
      <c r="BE487" s="3" t="e">
        <f t="shared" si="205"/>
        <v>#DIV/0!</v>
      </c>
      <c r="BF487" s="2" t="e">
        <f t="shared" si="206"/>
        <v>#DIV/0!</v>
      </c>
      <c r="BG487" s="3" t="e">
        <f>IF('Entrada e Saida'!$H$11="TRADING",AV487/D487,AN487/D487)</f>
        <v>#DIV/0!</v>
      </c>
      <c r="BH487" s="3" t="e">
        <f>IF('Entrada e Saida'!$H$11="TRADING",IF('Entrada e Saida'!$H$12="REAL",AR487/D487,0),AL487/D487)</f>
        <v>#DIV/0!</v>
      </c>
      <c r="BI487" s="3" t="e">
        <f>IF('Entrada e Saida'!$H$11="TRADING",IF('Entrada e Saida'!$H$12="REAL",AS487/D487,0),AM487/D487)</f>
        <v>#DIV/0!</v>
      </c>
      <c r="BJ487" s="3" t="e">
        <f>IF('Entrada e Saida'!$H$11="TRADING",AT487/D487,AO487/D487)</f>
        <v>#DIV/0!</v>
      </c>
      <c r="BK487" s="2" t="e">
        <f t="shared" si="207"/>
        <v>#DIV/0!</v>
      </c>
      <c r="BL487" s="2">
        <f>IF(O487&gt;0,IFERROR(IF('Entrada e Saida'!$H$11="DIRETA",0,(IF('Entrada e Saida'!$H$14="P.JURIDICA",(BD487*(1+O487)*N487)-((BD487/(1+M487))*'Entrada e Saida'!$G$65),((Produtos!N487-'Entrada e Saida'!$G$65)*Produtos!BD487)))),0),0)</f>
        <v>0</v>
      </c>
      <c r="BM487" s="2" t="e">
        <f t="shared" si="208"/>
        <v>#DIV/0!</v>
      </c>
    </row>
    <row r="488" spans="1:65" s="1" customFormat="1">
      <c r="A488" s="127"/>
      <c r="B488" s="114">
        <f>IFERROR(VLOOKUP(A488,'Master Modelo'!A:I,7,FALSE),0)</f>
        <v>0</v>
      </c>
      <c r="C488" s="116">
        <f>IFERROR(VLOOKUP(A488,'Master Modelo'!A:I,2,FALSE),0)</f>
        <v>0</v>
      </c>
      <c r="D488" s="146"/>
      <c r="E488" s="115">
        <f>IFERROR(VLOOKUP(A488,'Master Modelo'!A:I,9,FALSE),0)</f>
        <v>0</v>
      </c>
      <c r="F488" s="189">
        <f>IFERROR(VLOOKUP(A488,'Master Modelo'!A:I,8,FALSE),0)</f>
        <v>0</v>
      </c>
      <c r="G488" s="189">
        <f>IFERROR(VLOOKUP(A488,'Master Modelo'!A:K,11,FALSE),0)</f>
        <v>0</v>
      </c>
      <c r="H488" s="114" t="e">
        <f t="shared" si="191"/>
        <v>#DIV/0!</v>
      </c>
      <c r="I488" s="150">
        <f>IFERROR(VLOOKUP(A488,'Master Modelo'!A:I,3,FALSE),0)</f>
        <v>0</v>
      </c>
      <c r="J488" s="151">
        <f>IFERROR(VLOOKUP(A488,'Master Modelo'!A:I,5,FALSE),0)</f>
        <v>0</v>
      </c>
      <c r="K488" s="151">
        <f>IFERROR(VLOOKUP(A488,'Master Modelo'!A:I,6,FALSE),0)</f>
        <v>0</v>
      </c>
      <c r="L488" s="152" t="e">
        <f>VLOOKUP(A488,'Master Modelo'!A:J,10,FALSE)</f>
        <v>#N/A</v>
      </c>
      <c r="M488" s="150">
        <f>IFERROR(VLOOKUP(A488,'Master Modelo'!A:I,4,FALSE),0)</f>
        <v>0</v>
      </c>
      <c r="N488" s="128"/>
      <c r="O488" s="129"/>
      <c r="P488" s="9">
        <f t="shared" si="192"/>
        <v>0</v>
      </c>
      <c r="Q488" s="177">
        <f t="shared" si="190"/>
        <v>0</v>
      </c>
      <c r="R488" s="3">
        <f>D488*E488*'Entrada e Saida'!$K$8</f>
        <v>0</v>
      </c>
      <c r="S488" s="179" t="e">
        <f>'Entrada e Saida'!$H$21*'Entrada e Saida'!$K$8*(P488/(SUM(P:P)))</f>
        <v>#DIV/0!</v>
      </c>
      <c r="T488" s="179" t="e">
        <f>'Entrada e Saida'!$H$21*'Entrada e Saida'!$K$8*(Q488/(SUM(Q:Q)))</f>
        <v>#DIV/0!</v>
      </c>
      <c r="U488" s="179" t="e">
        <f>'Entrada e Saida'!$H$22*(P488/(SUM(P:P)))</f>
        <v>#DIV/0!</v>
      </c>
      <c r="V488" s="179" t="e">
        <f>'Entrada e Saida'!$H$22*(Q488/(SUM(Q:Q)))</f>
        <v>#DIV/0!</v>
      </c>
      <c r="W488" s="8" t="e">
        <f t="shared" si="193"/>
        <v>#DIV/0!</v>
      </c>
      <c r="X488" s="179" t="e">
        <f>'Entrada e Saida'!$H$26*(IF('Entrada e Saida'!$H$15="PESO",(P488/(SUM(P:P))),(Q488/(SUM(Q:Q)))))</f>
        <v>#DIV/0!</v>
      </c>
      <c r="Y488" s="179" t="e">
        <f>'Entrada e Saida'!$H$27*(IF('Entrada e Saida'!$H$15="PESO",(P488/(SUM(P:P))),(Q488/(SUM(Q:Q)))))</f>
        <v>#DIV/0!</v>
      </c>
      <c r="Z488" s="179" t="e">
        <f>'Entrada e Saida'!$H$28*(IF('Entrada e Saida'!$H$15="PESO",(P488/(SUM(P:P))),(Q488/(SUM(Q:Q)))))</f>
        <v>#DIV/0!</v>
      </c>
      <c r="AA488" s="10" t="e">
        <f t="shared" si="194"/>
        <v>#DIV/0!</v>
      </c>
      <c r="AB488" s="3" t="e">
        <f t="shared" si="195"/>
        <v>#DIV/0!</v>
      </c>
      <c r="AC488" s="3" t="e">
        <f t="shared" si="196"/>
        <v>#DIV/0!</v>
      </c>
      <c r="AD488" s="3" t="e">
        <f t="shared" si="197"/>
        <v>#DIV/0!</v>
      </c>
      <c r="AE488" s="9" t="e">
        <f t="shared" si="198"/>
        <v>#DIV/0!</v>
      </c>
      <c r="AF488" s="126">
        <f>IFERROR(D488*F488*L488*'Entrada e Saida'!$K$8,0)</f>
        <v>0</v>
      </c>
      <c r="AG488" s="3" t="e">
        <f>((W488+AA488+AB488+AC488+AD488+AE488+AF488)/(1-'Entrada e Saida'!$G$65))*'Entrada e Saida'!$I$66</f>
        <v>#DIV/0!</v>
      </c>
      <c r="AH488" s="8" t="e">
        <f t="shared" si="199"/>
        <v>#DIV/0!</v>
      </c>
      <c r="AI488" s="183" t="e">
        <f>'Entrada e Saida'!$K$51*(IF('Entrada e Saida'!$H$15="PESO",(P488/(SUM(P:P))),(Q488/(SUM(Q:Q)))))</f>
        <v>#DIV/0!</v>
      </c>
      <c r="AJ488" s="7">
        <f>(('Entrada e Saida'!$K$10-'Entrada e Saida'!$K$8)*E488*D488)</f>
        <v>0</v>
      </c>
      <c r="AK488" s="184" t="e">
        <f>IF('Entrada e Saida'!$H$15="PESO",W488+AA488+AH488+AI488+AJ488,W488+AA488+AH488+AI488+AJ488-S488+T488-U488+V488)</f>
        <v>#DIV/0!</v>
      </c>
      <c r="AL488" s="6" t="e">
        <f>IF('Entrada e Saida'!$H$12="REAL",AC488,0)</f>
        <v>#DIV/0!</v>
      </c>
      <c r="AM488" s="6" t="e">
        <f>IF('Entrada e Saida'!$H$12="REAL",AD488,0)</f>
        <v>#DIV/0!</v>
      </c>
      <c r="AN488" s="5" t="e">
        <f>IF('Entrada e Saida'!$H$13= "NÃO",AE488,0)</f>
        <v>#DIV/0!</v>
      </c>
      <c r="AO488" s="5" t="e">
        <f t="shared" si="200"/>
        <v>#DIV/0!</v>
      </c>
      <c r="AP488" s="4" t="e">
        <f t="shared" si="201"/>
        <v>#DIV/0!</v>
      </c>
      <c r="AQ488" s="3" t="e">
        <f>IF('Entrada e Saida'!$H$11="TRADING",AU488*'Custo Resumido'!D488,0)</f>
        <v>#DIV/0!</v>
      </c>
      <c r="AR488" s="3" t="e">
        <f>IF('Entrada e Saida'!$H$11="TRADING",AU488*'Entrada e Saida'!$G$63,0)</f>
        <v>#DIV/0!</v>
      </c>
      <c r="AS488" s="3" t="e">
        <f>IF('Entrada e Saida'!$H$11="TRADING",AU488*'Entrada e Saida'!$G$64,0)</f>
        <v>#DIV/0!</v>
      </c>
      <c r="AT488" s="3" t="e">
        <f>IF('Entrada e Saida'!$H$11="TRADING",AU488*'Entrada e Saida'!$G$65,0)</f>
        <v>#DIV/0!</v>
      </c>
      <c r="AU488" s="4" t="e">
        <f>IF('Entrada e Saida'!$H$11="TRADING",AP488/(1-(SUM('Entrada e Saida'!$G$63:$G$65)+'Custo Resumido'!D488)),0)</f>
        <v>#DIV/0!</v>
      </c>
      <c r="AV488" s="3" t="e">
        <f>IF('Entrada e Saida'!$H$13="NÃO",AU488*M488,0)</f>
        <v>#DIV/0!</v>
      </c>
      <c r="AW488" s="4" t="e">
        <f t="shared" si="202"/>
        <v>#DIV/0!</v>
      </c>
      <c r="AX488" s="3" t="e">
        <f>'Entrada e Saida'!$G$74*AU488</f>
        <v>#DIV/0!</v>
      </c>
      <c r="AY488" s="4" t="e">
        <f t="shared" si="203"/>
        <v>#DIV/0!</v>
      </c>
      <c r="AZ488" s="4" t="e">
        <f>AQ488+('Entrada e Saida'!$G$65-'Entrada e Saida'!$I$65)*AU488-AX488</f>
        <v>#DIV/0!</v>
      </c>
      <c r="BA488" s="3" t="e">
        <f>IF('Entrada e Saida'!$H$12="REAL",AZ488*'Entrada e Saida'!$G$81,AU488*'Entrada e Saida'!$G$81)</f>
        <v>#DIV/0!</v>
      </c>
      <c r="BB488" s="3" t="e">
        <f>IF('Entrada e Saida'!$H$12="REAL",AZ488*'Entrada e Saida'!$G$82,AU488*'Entrada e Saida'!$G$82)</f>
        <v>#DIV/0!</v>
      </c>
      <c r="BC488" s="4" t="e">
        <f t="shared" si="204"/>
        <v>#DIV/0!</v>
      </c>
      <c r="BD488" s="3" t="e">
        <f>IF('Entrada e Saida'!$H$11="TRADING",AW488/D488,AK488/D488)</f>
        <v>#DIV/0!</v>
      </c>
      <c r="BE488" s="3" t="e">
        <f t="shared" si="205"/>
        <v>#DIV/0!</v>
      </c>
      <c r="BF488" s="2" t="e">
        <f t="shared" si="206"/>
        <v>#DIV/0!</v>
      </c>
      <c r="BG488" s="3" t="e">
        <f>IF('Entrada e Saida'!$H$11="TRADING",AV488/D488,AN488/D488)</f>
        <v>#DIV/0!</v>
      </c>
      <c r="BH488" s="3" t="e">
        <f>IF('Entrada e Saida'!$H$11="TRADING",IF('Entrada e Saida'!$H$12="REAL",AR488/D488,0),AL488/D488)</f>
        <v>#DIV/0!</v>
      </c>
      <c r="BI488" s="3" t="e">
        <f>IF('Entrada e Saida'!$H$11="TRADING",IF('Entrada e Saida'!$H$12="REAL",AS488/D488,0),AM488/D488)</f>
        <v>#DIV/0!</v>
      </c>
      <c r="BJ488" s="3" t="e">
        <f>IF('Entrada e Saida'!$H$11="TRADING",AT488/D488,AO488/D488)</f>
        <v>#DIV/0!</v>
      </c>
      <c r="BK488" s="2" t="e">
        <f t="shared" si="207"/>
        <v>#DIV/0!</v>
      </c>
      <c r="BL488" s="2">
        <f>IF(O488&gt;0,IFERROR(IF('Entrada e Saida'!$H$11="DIRETA",0,(IF('Entrada e Saida'!$H$14="P.JURIDICA",(BD488*(1+O488)*N488)-((BD488/(1+M488))*'Entrada e Saida'!$G$65),((Produtos!N488-'Entrada e Saida'!$G$65)*Produtos!BD488)))),0),0)</f>
        <v>0</v>
      </c>
      <c r="BM488" s="2" t="e">
        <f t="shared" si="208"/>
        <v>#DIV/0!</v>
      </c>
    </row>
    <row r="489" spans="1:65" s="1" customFormat="1">
      <c r="A489" s="127"/>
      <c r="B489" s="114">
        <f>IFERROR(VLOOKUP(A489,'Master Modelo'!A:I,7,FALSE),0)</f>
        <v>0</v>
      </c>
      <c r="C489" s="116">
        <f>IFERROR(VLOOKUP(A489,'Master Modelo'!A:I,2,FALSE),0)</f>
        <v>0</v>
      </c>
      <c r="D489" s="146"/>
      <c r="E489" s="115">
        <f>IFERROR(VLOOKUP(A489,'Master Modelo'!A:I,9,FALSE),0)</f>
        <v>0</v>
      </c>
      <c r="F489" s="189">
        <f>IFERROR(VLOOKUP(A489,'Master Modelo'!A:I,8,FALSE),0)</f>
        <v>0</v>
      </c>
      <c r="G489" s="189">
        <f>IFERROR(VLOOKUP(A489,'Master Modelo'!A:K,11,FALSE),0)</f>
        <v>0</v>
      </c>
      <c r="H489" s="114" t="e">
        <f t="shared" si="191"/>
        <v>#DIV/0!</v>
      </c>
      <c r="I489" s="150">
        <f>IFERROR(VLOOKUP(A489,'Master Modelo'!A:I,3,FALSE),0)</f>
        <v>0</v>
      </c>
      <c r="J489" s="151">
        <f>IFERROR(VLOOKUP(A489,'Master Modelo'!A:I,5,FALSE),0)</f>
        <v>0</v>
      </c>
      <c r="K489" s="151">
        <f>IFERROR(VLOOKUP(A489,'Master Modelo'!A:I,6,FALSE),0)</f>
        <v>0</v>
      </c>
      <c r="L489" s="152" t="e">
        <f>VLOOKUP(A489,'Master Modelo'!A:J,10,FALSE)</f>
        <v>#N/A</v>
      </c>
      <c r="M489" s="150">
        <f>IFERROR(VLOOKUP(A489,'Master Modelo'!A:I,4,FALSE),0)</f>
        <v>0</v>
      </c>
      <c r="N489" s="128"/>
      <c r="O489" s="129"/>
      <c r="P489" s="9">
        <f t="shared" si="192"/>
        <v>0</v>
      </c>
      <c r="Q489" s="177">
        <f t="shared" si="190"/>
        <v>0</v>
      </c>
      <c r="R489" s="3">
        <f>D489*E489*'Entrada e Saida'!$K$8</f>
        <v>0</v>
      </c>
      <c r="S489" s="179" t="e">
        <f>'Entrada e Saida'!$H$21*'Entrada e Saida'!$K$8*(P489/(SUM(P:P)))</f>
        <v>#DIV/0!</v>
      </c>
      <c r="T489" s="179" t="e">
        <f>'Entrada e Saida'!$H$21*'Entrada e Saida'!$K$8*(Q489/(SUM(Q:Q)))</f>
        <v>#DIV/0!</v>
      </c>
      <c r="U489" s="179" t="e">
        <f>'Entrada e Saida'!$H$22*(P489/(SUM(P:P)))</f>
        <v>#DIV/0!</v>
      </c>
      <c r="V489" s="179" t="e">
        <f>'Entrada e Saida'!$H$22*(Q489/(SUM(Q:Q)))</f>
        <v>#DIV/0!</v>
      </c>
      <c r="W489" s="8" t="e">
        <f t="shared" si="193"/>
        <v>#DIV/0!</v>
      </c>
      <c r="X489" s="179" t="e">
        <f>'Entrada e Saida'!$H$26*(IF('Entrada e Saida'!$H$15="PESO",(P489/(SUM(P:P))),(Q489/(SUM(Q:Q)))))</f>
        <v>#DIV/0!</v>
      </c>
      <c r="Y489" s="179" t="e">
        <f>'Entrada e Saida'!$H$27*(IF('Entrada e Saida'!$H$15="PESO",(P489/(SUM(P:P))),(Q489/(SUM(Q:Q)))))</f>
        <v>#DIV/0!</v>
      </c>
      <c r="Z489" s="179" t="e">
        <f>'Entrada e Saida'!$H$28*(IF('Entrada e Saida'!$H$15="PESO",(P489/(SUM(P:P))),(Q489/(SUM(Q:Q)))))</f>
        <v>#DIV/0!</v>
      </c>
      <c r="AA489" s="10" t="e">
        <f t="shared" si="194"/>
        <v>#DIV/0!</v>
      </c>
      <c r="AB489" s="3" t="e">
        <f t="shared" si="195"/>
        <v>#DIV/0!</v>
      </c>
      <c r="AC489" s="3" t="e">
        <f t="shared" si="196"/>
        <v>#DIV/0!</v>
      </c>
      <c r="AD489" s="3" t="e">
        <f t="shared" si="197"/>
        <v>#DIV/0!</v>
      </c>
      <c r="AE489" s="9" t="e">
        <f t="shared" si="198"/>
        <v>#DIV/0!</v>
      </c>
      <c r="AF489" s="126">
        <f>IFERROR(D489*F489*L489*'Entrada e Saida'!$K$8,0)</f>
        <v>0</v>
      </c>
      <c r="AG489" s="3" t="e">
        <f>((W489+AA489+AB489+AC489+AD489+AE489+AF489)/(1-'Entrada e Saida'!$G$65))*'Entrada e Saida'!$I$66</f>
        <v>#DIV/0!</v>
      </c>
      <c r="AH489" s="8" t="e">
        <f t="shared" si="199"/>
        <v>#DIV/0!</v>
      </c>
      <c r="AI489" s="183" t="e">
        <f>'Entrada e Saida'!$K$51*(IF('Entrada e Saida'!$H$15="PESO",(P489/(SUM(P:P))),(Q489/(SUM(Q:Q)))))</f>
        <v>#DIV/0!</v>
      </c>
      <c r="AJ489" s="7">
        <f>(('Entrada e Saida'!$K$10-'Entrada e Saida'!$K$8)*E489*D489)</f>
        <v>0</v>
      </c>
      <c r="AK489" s="184" t="e">
        <f>IF('Entrada e Saida'!$H$15="PESO",W489+AA489+AH489+AI489+AJ489,W489+AA489+AH489+AI489+AJ489-S489+T489-U489+V489)</f>
        <v>#DIV/0!</v>
      </c>
      <c r="AL489" s="6" t="e">
        <f>IF('Entrada e Saida'!$H$12="REAL",AC489,0)</f>
        <v>#DIV/0!</v>
      </c>
      <c r="AM489" s="6" t="e">
        <f>IF('Entrada e Saida'!$H$12="REAL",AD489,0)</f>
        <v>#DIV/0!</v>
      </c>
      <c r="AN489" s="5" t="e">
        <f>IF('Entrada e Saida'!$H$13= "NÃO",AE489,0)</f>
        <v>#DIV/0!</v>
      </c>
      <c r="AO489" s="5" t="e">
        <f t="shared" si="200"/>
        <v>#DIV/0!</v>
      </c>
      <c r="AP489" s="4" t="e">
        <f t="shared" si="201"/>
        <v>#DIV/0!</v>
      </c>
      <c r="AQ489" s="3" t="e">
        <f>IF('Entrada e Saida'!$H$11="TRADING",AU489*'Custo Resumido'!D489,0)</f>
        <v>#DIV/0!</v>
      </c>
      <c r="AR489" s="3" t="e">
        <f>IF('Entrada e Saida'!$H$11="TRADING",AU489*'Entrada e Saida'!$G$63,0)</f>
        <v>#DIV/0!</v>
      </c>
      <c r="AS489" s="3" t="e">
        <f>IF('Entrada e Saida'!$H$11="TRADING",AU489*'Entrada e Saida'!$G$64,0)</f>
        <v>#DIV/0!</v>
      </c>
      <c r="AT489" s="3" t="e">
        <f>IF('Entrada e Saida'!$H$11="TRADING",AU489*'Entrada e Saida'!$G$65,0)</f>
        <v>#DIV/0!</v>
      </c>
      <c r="AU489" s="4" t="e">
        <f>IF('Entrada e Saida'!$H$11="TRADING",AP489/(1-(SUM('Entrada e Saida'!$G$63:$G$65)+'Custo Resumido'!D489)),0)</f>
        <v>#DIV/0!</v>
      </c>
      <c r="AV489" s="3" t="e">
        <f>IF('Entrada e Saida'!$H$13="NÃO",AU489*M489,0)</f>
        <v>#DIV/0!</v>
      </c>
      <c r="AW489" s="4" t="e">
        <f t="shared" si="202"/>
        <v>#DIV/0!</v>
      </c>
      <c r="AX489" s="3" t="e">
        <f>'Entrada e Saida'!$G$74*AU489</f>
        <v>#DIV/0!</v>
      </c>
      <c r="AY489" s="4" t="e">
        <f t="shared" si="203"/>
        <v>#DIV/0!</v>
      </c>
      <c r="AZ489" s="4" t="e">
        <f>AQ489+('Entrada e Saida'!$G$65-'Entrada e Saida'!$I$65)*AU489-AX489</f>
        <v>#DIV/0!</v>
      </c>
      <c r="BA489" s="3" t="e">
        <f>IF('Entrada e Saida'!$H$12="REAL",AZ489*'Entrada e Saida'!$G$81,AU489*'Entrada e Saida'!$G$81)</f>
        <v>#DIV/0!</v>
      </c>
      <c r="BB489" s="3" t="e">
        <f>IF('Entrada e Saida'!$H$12="REAL",AZ489*'Entrada e Saida'!$G$82,AU489*'Entrada e Saida'!$G$82)</f>
        <v>#DIV/0!</v>
      </c>
      <c r="BC489" s="4" t="e">
        <f t="shared" si="204"/>
        <v>#DIV/0!</v>
      </c>
      <c r="BD489" s="3" t="e">
        <f>IF('Entrada e Saida'!$H$11="TRADING",AW489/D489,AK489/D489)</f>
        <v>#DIV/0!</v>
      </c>
      <c r="BE489" s="3" t="e">
        <f t="shared" si="205"/>
        <v>#DIV/0!</v>
      </c>
      <c r="BF489" s="2" t="e">
        <f t="shared" si="206"/>
        <v>#DIV/0!</v>
      </c>
      <c r="BG489" s="3" t="e">
        <f>IF('Entrada e Saida'!$H$11="TRADING",AV489/D489,AN489/D489)</f>
        <v>#DIV/0!</v>
      </c>
      <c r="BH489" s="3" t="e">
        <f>IF('Entrada e Saida'!$H$11="TRADING",IF('Entrada e Saida'!$H$12="REAL",AR489/D489,0),AL489/D489)</f>
        <v>#DIV/0!</v>
      </c>
      <c r="BI489" s="3" t="e">
        <f>IF('Entrada e Saida'!$H$11="TRADING",IF('Entrada e Saida'!$H$12="REAL",AS489/D489,0),AM489/D489)</f>
        <v>#DIV/0!</v>
      </c>
      <c r="BJ489" s="3" t="e">
        <f>IF('Entrada e Saida'!$H$11="TRADING",AT489/D489,AO489/D489)</f>
        <v>#DIV/0!</v>
      </c>
      <c r="BK489" s="2" t="e">
        <f t="shared" si="207"/>
        <v>#DIV/0!</v>
      </c>
      <c r="BL489" s="2">
        <f>IF(O489&gt;0,IFERROR(IF('Entrada e Saida'!$H$11="DIRETA",0,(IF('Entrada e Saida'!$H$14="P.JURIDICA",(BD489*(1+O489)*N489)-((BD489/(1+M489))*'Entrada e Saida'!$G$65),((Produtos!N489-'Entrada e Saida'!$G$65)*Produtos!BD489)))),0),0)</f>
        <v>0</v>
      </c>
      <c r="BM489" s="2" t="e">
        <f t="shared" si="208"/>
        <v>#DIV/0!</v>
      </c>
    </row>
    <row r="490" spans="1:65" s="1" customFormat="1">
      <c r="A490" s="127"/>
      <c r="B490" s="114">
        <f>IFERROR(VLOOKUP(A490,'Master Modelo'!A:I,7,FALSE),0)</f>
        <v>0</v>
      </c>
      <c r="C490" s="116">
        <f>IFERROR(VLOOKUP(A490,'Master Modelo'!A:I,2,FALSE),0)</f>
        <v>0</v>
      </c>
      <c r="D490" s="146"/>
      <c r="E490" s="115">
        <f>IFERROR(VLOOKUP(A490,'Master Modelo'!A:I,9,FALSE),0)</f>
        <v>0</v>
      </c>
      <c r="F490" s="189">
        <f>IFERROR(VLOOKUP(A490,'Master Modelo'!A:I,8,FALSE),0)</f>
        <v>0</v>
      </c>
      <c r="G490" s="189">
        <f>IFERROR(VLOOKUP(A490,'Master Modelo'!A:K,11,FALSE),0)</f>
        <v>0</v>
      </c>
      <c r="H490" s="114" t="e">
        <f t="shared" si="191"/>
        <v>#DIV/0!</v>
      </c>
      <c r="I490" s="150">
        <f>IFERROR(VLOOKUP(A490,'Master Modelo'!A:I,3,FALSE),0)</f>
        <v>0</v>
      </c>
      <c r="J490" s="151">
        <f>IFERROR(VLOOKUP(A490,'Master Modelo'!A:I,5,FALSE),0)</f>
        <v>0</v>
      </c>
      <c r="K490" s="151">
        <f>IFERROR(VLOOKUP(A490,'Master Modelo'!A:I,6,FALSE),0)</f>
        <v>0</v>
      </c>
      <c r="L490" s="152" t="e">
        <f>VLOOKUP(A490,'Master Modelo'!A:J,10,FALSE)</f>
        <v>#N/A</v>
      </c>
      <c r="M490" s="150">
        <f>IFERROR(VLOOKUP(A490,'Master Modelo'!A:I,4,FALSE),0)</f>
        <v>0</v>
      </c>
      <c r="N490" s="128"/>
      <c r="O490" s="129"/>
      <c r="P490" s="9">
        <f t="shared" si="192"/>
        <v>0</v>
      </c>
      <c r="Q490" s="177">
        <f t="shared" si="190"/>
        <v>0</v>
      </c>
      <c r="R490" s="3">
        <f>D490*E490*'Entrada e Saida'!$K$8</f>
        <v>0</v>
      </c>
      <c r="S490" s="179" t="e">
        <f>'Entrada e Saida'!$H$21*'Entrada e Saida'!$K$8*(P490/(SUM(P:P)))</f>
        <v>#DIV/0!</v>
      </c>
      <c r="T490" s="179" t="e">
        <f>'Entrada e Saida'!$H$21*'Entrada e Saida'!$K$8*(Q490/(SUM(Q:Q)))</f>
        <v>#DIV/0!</v>
      </c>
      <c r="U490" s="179" t="e">
        <f>'Entrada e Saida'!$H$22*(P490/(SUM(P:P)))</f>
        <v>#DIV/0!</v>
      </c>
      <c r="V490" s="179" t="e">
        <f>'Entrada e Saida'!$H$22*(Q490/(SUM(Q:Q)))</f>
        <v>#DIV/0!</v>
      </c>
      <c r="W490" s="8" t="e">
        <f t="shared" si="193"/>
        <v>#DIV/0!</v>
      </c>
      <c r="X490" s="179" t="e">
        <f>'Entrada e Saida'!$H$26*(IF('Entrada e Saida'!$H$15="PESO",(P490/(SUM(P:P))),(Q490/(SUM(Q:Q)))))</f>
        <v>#DIV/0!</v>
      </c>
      <c r="Y490" s="179" t="e">
        <f>'Entrada e Saida'!$H$27*(IF('Entrada e Saida'!$H$15="PESO",(P490/(SUM(P:P))),(Q490/(SUM(Q:Q)))))</f>
        <v>#DIV/0!</v>
      </c>
      <c r="Z490" s="179" t="e">
        <f>'Entrada e Saida'!$H$28*(IF('Entrada e Saida'!$H$15="PESO",(P490/(SUM(P:P))),(Q490/(SUM(Q:Q)))))</f>
        <v>#DIV/0!</v>
      </c>
      <c r="AA490" s="10" t="e">
        <f t="shared" si="194"/>
        <v>#DIV/0!</v>
      </c>
      <c r="AB490" s="3" t="e">
        <f t="shared" si="195"/>
        <v>#DIV/0!</v>
      </c>
      <c r="AC490" s="3" t="e">
        <f t="shared" si="196"/>
        <v>#DIV/0!</v>
      </c>
      <c r="AD490" s="3" t="e">
        <f t="shared" si="197"/>
        <v>#DIV/0!</v>
      </c>
      <c r="AE490" s="9" t="e">
        <f t="shared" si="198"/>
        <v>#DIV/0!</v>
      </c>
      <c r="AF490" s="126">
        <f>IFERROR(D490*F490*L490*'Entrada e Saida'!$K$8,0)</f>
        <v>0</v>
      </c>
      <c r="AG490" s="3" t="e">
        <f>((W490+AA490+AB490+AC490+AD490+AE490+AF490)/(1-'Entrada e Saida'!$G$65))*'Entrada e Saida'!$I$66</f>
        <v>#DIV/0!</v>
      </c>
      <c r="AH490" s="8" t="e">
        <f t="shared" si="199"/>
        <v>#DIV/0!</v>
      </c>
      <c r="AI490" s="183" t="e">
        <f>'Entrada e Saida'!$K$51*(IF('Entrada e Saida'!$H$15="PESO",(P490/(SUM(P:P))),(Q490/(SUM(Q:Q)))))</f>
        <v>#DIV/0!</v>
      </c>
      <c r="AJ490" s="7">
        <f>(('Entrada e Saida'!$K$10-'Entrada e Saida'!$K$8)*E490*D490)</f>
        <v>0</v>
      </c>
      <c r="AK490" s="184" t="e">
        <f>IF('Entrada e Saida'!$H$15="PESO",W490+AA490+AH490+AI490+AJ490,W490+AA490+AH490+AI490+AJ490-S490+T490-U490+V490)</f>
        <v>#DIV/0!</v>
      </c>
      <c r="AL490" s="6" t="e">
        <f>IF('Entrada e Saida'!$H$12="REAL",AC490,0)</f>
        <v>#DIV/0!</v>
      </c>
      <c r="AM490" s="6" t="e">
        <f>IF('Entrada e Saida'!$H$12="REAL",AD490,0)</f>
        <v>#DIV/0!</v>
      </c>
      <c r="AN490" s="5" t="e">
        <f>IF('Entrada e Saida'!$H$13= "NÃO",AE490,0)</f>
        <v>#DIV/0!</v>
      </c>
      <c r="AO490" s="5" t="e">
        <f t="shared" si="200"/>
        <v>#DIV/0!</v>
      </c>
      <c r="AP490" s="4" t="e">
        <f t="shared" si="201"/>
        <v>#DIV/0!</v>
      </c>
      <c r="AQ490" s="3" t="e">
        <f>IF('Entrada e Saida'!$H$11="TRADING",AU490*'Custo Resumido'!D490,0)</f>
        <v>#DIV/0!</v>
      </c>
      <c r="AR490" s="3" t="e">
        <f>IF('Entrada e Saida'!$H$11="TRADING",AU490*'Entrada e Saida'!$G$63,0)</f>
        <v>#DIV/0!</v>
      </c>
      <c r="AS490" s="3" t="e">
        <f>IF('Entrada e Saida'!$H$11="TRADING",AU490*'Entrada e Saida'!$G$64,0)</f>
        <v>#DIV/0!</v>
      </c>
      <c r="AT490" s="3" t="e">
        <f>IF('Entrada e Saida'!$H$11="TRADING",AU490*'Entrada e Saida'!$G$65,0)</f>
        <v>#DIV/0!</v>
      </c>
      <c r="AU490" s="4" t="e">
        <f>IF('Entrada e Saida'!$H$11="TRADING",AP490/(1-(SUM('Entrada e Saida'!$G$63:$G$65)+'Custo Resumido'!D490)),0)</f>
        <v>#DIV/0!</v>
      </c>
      <c r="AV490" s="3" t="e">
        <f>IF('Entrada e Saida'!$H$13="NÃO",AU490*M490,0)</f>
        <v>#DIV/0!</v>
      </c>
      <c r="AW490" s="4" t="e">
        <f t="shared" si="202"/>
        <v>#DIV/0!</v>
      </c>
      <c r="AX490" s="3" t="e">
        <f>'Entrada e Saida'!$G$74*AU490</f>
        <v>#DIV/0!</v>
      </c>
      <c r="AY490" s="4" t="e">
        <f t="shared" si="203"/>
        <v>#DIV/0!</v>
      </c>
      <c r="AZ490" s="4" t="e">
        <f>AQ490+('Entrada e Saida'!$G$65-'Entrada e Saida'!$I$65)*AU490-AX490</f>
        <v>#DIV/0!</v>
      </c>
      <c r="BA490" s="3" t="e">
        <f>IF('Entrada e Saida'!$H$12="REAL",AZ490*'Entrada e Saida'!$G$81,AU490*'Entrada e Saida'!$G$81)</f>
        <v>#DIV/0!</v>
      </c>
      <c r="BB490" s="3" t="e">
        <f>IF('Entrada e Saida'!$H$12="REAL",AZ490*'Entrada e Saida'!$G$82,AU490*'Entrada e Saida'!$G$82)</f>
        <v>#DIV/0!</v>
      </c>
      <c r="BC490" s="4" t="e">
        <f t="shared" si="204"/>
        <v>#DIV/0!</v>
      </c>
      <c r="BD490" s="3" t="e">
        <f>IF('Entrada e Saida'!$H$11="TRADING",AW490/D490,AK490/D490)</f>
        <v>#DIV/0!</v>
      </c>
      <c r="BE490" s="3" t="e">
        <f t="shared" si="205"/>
        <v>#DIV/0!</v>
      </c>
      <c r="BF490" s="2" t="e">
        <f t="shared" si="206"/>
        <v>#DIV/0!</v>
      </c>
      <c r="BG490" s="3" t="e">
        <f>IF('Entrada e Saida'!$H$11="TRADING",AV490/D490,AN490/D490)</f>
        <v>#DIV/0!</v>
      </c>
      <c r="BH490" s="3" t="e">
        <f>IF('Entrada e Saida'!$H$11="TRADING",IF('Entrada e Saida'!$H$12="REAL",AR490/D490,0),AL490/D490)</f>
        <v>#DIV/0!</v>
      </c>
      <c r="BI490" s="3" t="e">
        <f>IF('Entrada e Saida'!$H$11="TRADING",IF('Entrada e Saida'!$H$12="REAL",AS490/D490,0),AM490/D490)</f>
        <v>#DIV/0!</v>
      </c>
      <c r="BJ490" s="3" t="e">
        <f>IF('Entrada e Saida'!$H$11="TRADING",AT490/D490,AO490/D490)</f>
        <v>#DIV/0!</v>
      </c>
      <c r="BK490" s="2" t="e">
        <f t="shared" si="207"/>
        <v>#DIV/0!</v>
      </c>
      <c r="BL490" s="2">
        <f>IF(O490&gt;0,IFERROR(IF('Entrada e Saida'!$H$11="DIRETA",0,(IF('Entrada e Saida'!$H$14="P.JURIDICA",(BD490*(1+O490)*N490)-((BD490/(1+M490))*'Entrada e Saida'!$G$65),((Produtos!N490-'Entrada e Saida'!$G$65)*Produtos!BD490)))),0),0)</f>
        <v>0</v>
      </c>
      <c r="BM490" s="2" t="e">
        <f t="shared" si="208"/>
        <v>#DIV/0!</v>
      </c>
    </row>
    <row r="491" spans="1:65" s="1" customFormat="1">
      <c r="A491" s="127"/>
      <c r="B491" s="114">
        <f>IFERROR(VLOOKUP(A491,'Master Modelo'!A:I,7,FALSE),0)</f>
        <v>0</v>
      </c>
      <c r="C491" s="116">
        <f>IFERROR(VLOOKUP(A491,'Master Modelo'!A:I,2,FALSE),0)</f>
        <v>0</v>
      </c>
      <c r="D491" s="146"/>
      <c r="E491" s="115">
        <f>IFERROR(VLOOKUP(A491,'Master Modelo'!A:I,9,FALSE),0)</f>
        <v>0</v>
      </c>
      <c r="F491" s="189">
        <f>IFERROR(VLOOKUP(A491,'Master Modelo'!A:I,8,FALSE),0)</f>
        <v>0</v>
      </c>
      <c r="G491" s="189">
        <f>IFERROR(VLOOKUP(A491,'Master Modelo'!A:K,11,FALSE),0)</f>
        <v>0</v>
      </c>
      <c r="H491" s="114" t="e">
        <f t="shared" si="191"/>
        <v>#DIV/0!</v>
      </c>
      <c r="I491" s="150">
        <f>IFERROR(VLOOKUP(A491,'Master Modelo'!A:I,3,FALSE),0)</f>
        <v>0</v>
      </c>
      <c r="J491" s="151">
        <f>IFERROR(VLOOKUP(A491,'Master Modelo'!A:I,5,FALSE),0)</f>
        <v>0</v>
      </c>
      <c r="K491" s="151">
        <f>IFERROR(VLOOKUP(A491,'Master Modelo'!A:I,6,FALSE),0)</f>
        <v>0</v>
      </c>
      <c r="L491" s="152" t="e">
        <f>VLOOKUP(A491,'Master Modelo'!A:J,10,FALSE)</f>
        <v>#N/A</v>
      </c>
      <c r="M491" s="150">
        <f>IFERROR(VLOOKUP(A491,'Master Modelo'!A:I,4,FALSE),0)</f>
        <v>0</v>
      </c>
      <c r="N491" s="128"/>
      <c r="O491" s="129"/>
      <c r="P491" s="9">
        <f t="shared" si="192"/>
        <v>0</v>
      </c>
      <c r="Q491" s="177">
        <f t="shared" si="190"/>
        <v>0</v>
      </c>
      <c r="R491" s="3">
        <f>D491*E491*'Entrada e Saida'!$K$8</f>
        <v>0</v>
      </c>
      <c r="S491" s="179" t="e">
        <f>'Entrada e Saida'!$H$21*'Entrada e Saida'!$K$8*(P491/(SUM(P:P)))</f>
        <v>#DIV/0!</v>
      </c>
      <c r="T491" s="179" t="e">
        <f>'Entrada e Saida'!$H$21*'Entrada e Saida'!$K$8*(Q491/(SUM(Q:Q)))</f>
        <v>#DIV/0!</v>
      </c>
      <c r="U491" s="179" t="e">
        <f>'Entrada e Saida'!$H$22*(P491/(SUM(P:P)))</f>
        <v>#DIV/0!</v>
      </c>
      <c r="V491" s="179" t="e">
        <f>'Entrada e Saida'!$H$22*(Q491/(SUM(Q:Q)))</f>
        <v>#DIV/0!</v>
      </c>
      <c r="W491" s="8" t="e">
        <f t="shared" si="193"/>
        <v>#DIV/0!</v>
      </c>
      <c r="X491" s="179" t="e">
        <f>'Entrada e Saida'!$H$26*(IF('Entrada e Saida'!$H$15="PESO",(P491/(SUM(P:P))),(Q491/(SUM(Q:Q)))))</f>
        <v>#DIV/0!</v>
      </c>
      <c r="Y491" s="179" t="e">
        <f>'Entrada e Saida'!$H$27*(IF('Entrada e Saida'!$H$15="PESO",(P491/(SUM(P:P))),(Q491/(SUM(Q:Q)))))</f>
        <v>#DIV/0!</v>
      </c>
      <c r="Z491" s="179" t="e">
        <f>'Entrada e Saida'!$H$28*(IF('Entrada e Saida'!$H$15="PESO",(P491/(SUM(P:P))),(Q491/(SUM(Q:Q)))))</f>
        <v>#DIV/0!</v>
      </c>
      <c r="AA491" s="10" t="e">
        <f t="shared" si="194"/>
        <v>#DIV/0!</v>
      </c>
      <c r="AB491" s="3" t="e">
        <f t="shared" si="195"/>
        <v>#DIV/0!</v>
      </c>
      <c r="AC491" s="3" t="e">
        <f t="shared" si="196"/>
        <v>#DIV/0!</v>
      </c>
      <c r="AD491" s="3" t="e">
        <f t="shared" si="197"/>
        <v>#DIV/0!</v>
      </c>
      <c r="AE491" s="9" t="e">
        <f t="shared" si="198"/>
        <v>#DIV/0!</v>
      </c>
      <c r="AF491" s="126">
        <f>IFERROR(D491*F491*L491*'Entrada e Saida'!$K$8,0)</f>
        <v>0</v>
      </c>
      <c r="AG491" s="3" t="e">
        <f>((W491+AA491+AB491+AC491+AD491+AE491+AF491)/(1-'Entrada e Saida'!$G$65))*'Entrada e Saida'!$I$66</f>
        <v>#DIV/0!</v>
      </c>
      <c r="AH491" s="8" t="e">
        <f t="shared" si="199"/>
        <v>#DIV/0!</v>
      </c>
      <c r="AI491" s="183" t="e">
        <f>'Entrada e Saida'!$K$51*(IF('Entrada e Saida'!$H$15="PESO",(P491/(SUM(P:P))),(Q491/(SUM(Q:Q)))))</f>
        <v>#DIV/0!</v>
      </c>
      <c r="AJ491" s="7">
        <f>(('Entrada e Saida'!$K$10-'Entrada e Saida'!$K$8)*E491*D491)</f>
        <v>0</v>
      </c>
      <c r="AK491" s="184" t="e">
        <f>IF('Entrada e Saida'!$H$15="PESO",W491+AA491+AH491+AI491+AJ491,W491+AA491+AH491+AI491+AJ491-S491+T491-U491+V491)</f>
        <v>#DIV/0!</v>
      </c>
      <c r="AL491" s="6" t="e">
        <f>IF('Entrada e Saida'!$H$12="REAL",AC491,0)</f>
        <v>#DIV/0!</v>
      </c>
      <c r="AM491" s="6" t="e">
        <f>IF('Entrada e Saida'!$H$12="REAL",AD491,0)</f>
        <v>#DIV/0!</v>
      </c>
      <c r="AN491" s="5" t="e">
        <f>IF('Entrada e Saida'!$H$13= "NÃO",AE491,0)</f>
        <v>#DIV/0!</v>
      </c>
      <c r="AO491" s="5" t="e">
        <f t="shared" si="200"/>
        <v>#DIV/0!</v>
      </c>
      <c r="AP491" s="4" t="e">
        <f t="shared" si="201"/>
        <v>#DIV/0!</v>
      </c>
      <c r="AQ491" s="3" t="e">
        <f>IF('Entrada e Saida'!$H$11="TRADING",AU491*'Custo Resumido'!D491,0)</f>
        <v>#DIV/0!</v>
      </c>
      <c r="AR491" s="3" t="e">
        <f>IF('Entrada e Saida'!$H$11="TRADING",AU491*'Entrada e Saida'!$G$63,0)</f>
        <v>#DIV/0!</v>
      </c>
      <c r="AS491" s="3" t="e">
        <f>IF('Entrada e Saida'!$H$11="TRADING",AU491*'Entrada e Saida'!$G$64,0)</f>
        <v>#DIV/0!</v>
      </c>
      <c r="AT491" s="3" t="e">
        <f>IF('Entrada e Saida'!$H$11="TRADING",AU491*'Entrada e Saida'!$G$65,0)</f>
        <v>#DIV/0!</v>
      </c>
      <c r="AU491" s="4" t="e">
        <f>IF('Entrada e Saida'!$H$11="TRADING",AP491/(1-(SUM('Entrada e Saida'!$G$63:$G$65)+'Custo Resumido'!D491)),0)</f>
        <v>#DIV/0!</v>
      </c>
      <c r="AV491" s="3" t="e">
        <f>IF('Entrada e Saida'!$H$13="NÃO",AU491*M491,0)</f>
        <v>#DIV/0!</v>
      </c>
      <c r="AW491" s="4" t="e">
        <f t="shared" si="202"/>
        <v>#DIV/0!</v>
      </c>
      <c r="AX491" s="3" t="e">
        <f>'Entrada e Saida'!$G$74*AU491</f>
        <v>#DIV/0!</v>
      </c>
      <c r="AY491" s="4" t="e">
        <f t="shared" si="203"/>
        <v>#DIV/0!</v>
      </c>
      <c r="AZ491" s="4" t="e">
        <f>AQ491+('Entrada e Saida'!$G$65-'Entrada e Saida'!$I$65)*AU491-AX491</f>
        <v>#DIV/0!</v>
      </c>
      <c r="BA491" s="3" t="e">
        <f>IF('Entrada e Saida'!$H$12="REAL",AZ491*'Entrada e Saida'!$G$81,AU491*'Entrada e Saida'!$G$81)</f>
        <v>#DIV/0!</v>
      </c>
      <c r="BB491" s="3" t="e">
        <f>IF('Entrada e Saida'!$H$12="REAL",AZ491*'Entrada e Saida'!$G$82,AU491*'Entrada e Saida'!$G$82)</f>
        <v>#DIV/0!</v>
      </c>
      <c r="BC491" s="4" t="e">
        <f t="shared" si="204"/>
        <v>#DIV/0!</v>
      </c>
      <c r="BD491" s="3" t="e">
        <f>IF('Entrada e Saida'!$H$11="TRADING",AW491/D491,AK491/D491)</f>
        <v>#DIV/0!</v>
      </c>
      <c r="BE491" s="3" t="e">
        <f t="shared" si="205"/>
        <v>#DIV/0!</v>
      </c>
      <c r="BF491" s="2" t="e">
        <f t="shared" si="206"/>
        <v>#DIV/0!</v>
      </c>
      <c r="BG491" s="3" t="e">
        <f>IF('Entrada e Saida'!$H$11="TRADING",AV491/D491,AN491/D491)</f>
        <v>#DIV/0!</v>
      </c>
      <c r="BH491" s="3" t="e">
        <f>IF('Entrada e Saida'!$H$11="TRADING",IF('Entrada e Saida'!$H$12="REAL",AR491/D491,0),AL491/D491)</f>
        <v>#DIV/0!</v>
      </c>
      <c r="BI491" s="3" t="e">
        <f>IF('Entrada e Saida'!$H$11="TRADING",IF('Entrada e Saida'!$H$12="REAL",AS491/D491,0),AM491/D491)</f>
        <v>#DIV/0!</v>
      </c>
      <c r="BJ491" s="3" t="e">
        <f>IF('Entrada e Saida'!$H$11="TRADING",AT491/D491,AO491/D491)</f>
        <v>#DIV/0!</v>
      </c>
      <c r="BK491" s="2" t="e">
        <f t="shared" si="207"/>
        <v>#DIV/0!</v>
      </c>
      <c r="BL491" s="2">
        <f>IF(O491&gt;0,IFERROR(IF('Entrada e Saida'!$H$11="DIRETA",0,(IF('Entrada e Saida'!$H$14="P.JURIDICA",(BD491*(1+O491)*N491)-((BD491/(1+M491))*'Entrada e Saida'!$G$65),((Produtos!N491-'Entrada e Saida'!$G$65)*Produtos!BD491)))),0),0)</f>
        <v>0</v>
      </c>
      <c r="BM491" s="2" t="e">
        <f t="shared" si="208"/>
        <v>#DIV/0!</v>
      </c>
    </row>
    <row r="492" spans="1:65" s="1" customFormat="1">
      <c r="A492" s="127"/>
      <c r="B492" s="114">
        <f>IFERROR(VLOOKUP(A492,'Master Modelo'!A:I,7,FALSE),0)</f>
        <v>0</v>
      </c>
      <c r="C492" s="116">
        <f>IFERROR(VLOOKUP(A492,'Master Modelo'!A:I,2,FALSE),0)</f>
        <v>0</v>
      </c>
      <c r="D492" s="146"/>
      <c r="E492" s="115">
        <f>IFERROR(VLOOKUP(A492,'Master Modelo'!A:I,9,FALSE),0)</f>
        <v>0</v>
      </c>
      <c r="F492" s="189">
        <f>IFERROR(VLOOKUP(A492,'Master Modelo'!A:I,8,FALSE),0)</f>
        <v>0</v>
      </c>
      <c r="G492" s="189">
        <f>IFERROR(VLOOKUP(A492,'Master Modelo'!A:K,11,FALSE),0)</f>
        <v>0</v>
      </c>
      <c r="H492" s="114" t="e">
        <f t="shared" si="191"/>
        <v>#DIV/0!</v>
      </c>
      <c r="I492" s="150">
        <f>IFERROR(VLOOKUP(A492,'Master Modelo'!A:I,3,FALSE),0)</f>
        <v>0</v>
      </c>
      <c r="J492" s="151">
        <f>IFERROR(VLOOKUP(A492,'Master Modelo'!A:I,5,FALSE),0)</f>
        <v>0</v>
      </c>
      <c r="K492" s="151">
        <f>IFERROR(VLOOKUP(A492,'Master Modelo'!A:I,6,FALSE),0)</f>
        <v>0</v>
      </c>
      <c r="L492" s="152" t="e">
        <f>VLOOKUP(A492,'Master Modelo'!A:J,10,FALSE)</f>
        <v>#N/A</v>
      </c>
      <c r="M492" s="150">
        <f>IFERROR(VLOOKUP(A492,'Master Modelo'!A:I,4,FALSE),0)</f>
        <v>0</v>
      </c>
      <c r="N492" s="128"/>
      <c r="O492" s="129"/>
      <c r="P492" s="9">
        <f t="shared" si="192"/>
        <v>0</v>
      </c>
      <c r="Q492" s="177">
        <f t="shared" si="190"/>
        <v>0</v>
      </c>
      <c r="R492" s="3">
        <f>D492*E492*'Entrada e Saida'!$K$8</f>
        <v>0</v>
      </c>
      <c r="S492" s="179" t="e">
        <f>'Entrada e Saida'!$H$21*'Entrada e Saida'!$K$8*(P492/(SUM(P:P)))</f>
        <v>#DIV/0!</v>
      </c>
      <c r="T492" s="179" t="e">
        <f>'Entrada e Saida'!$H$21*'Entrada e Saida'!$K$8*(Q492/(SUM(Q:Q)))</f>
        <v>#DIV/0!</v>
      </c>
      <c r="U492" s="179" t="e">
        <f>'Entrada e Saida'!$H$22*(P492/(SUM(P:P)))</f>
        <v>#DIV/0!</v>
      </c>
      <c r="V492" s="179" t="e">
        <f>'Entrada e Saida'!$H$22*(Q492/(SUM(Q:Q)))</f>
        <v>#DIV/0!</v>
      </c>
      <c r="W492" s="8" t="e">
        <f t="shared" si="193"/>
        <v>#DIV/0!</v>
      </c>
      <c r="X492" s="179" t="e">
        <f>'Entrada e Saida'!$H$26*(IF('Entrada e Saida'!$H$15="PESO",(P492/(SUM(P:P))),(Q492/(SUM(Q:Q)))))</f>
        <v>#DIV/0!</v>
      </c>
      <c r="Y492" s="179" t="e">
        <f>'Entrada e Saida'!$H$27*(IF('Entrada e Saida'!$H$15="PESO",(P492/(SUM(P:P))),(Q492/(SUM(Q:Q)))))</f>
        <v>#DIV/0!</v>
      </c>
      <c r="Z492" s="179" t="e">
        <f>'Entrada e Saida'!$H$28*(IF('Entrada e Saida'!$H$15="PESO",(P492/(SUM(P:P))),(Q492/(SUM(Q:Q)))))</f>
        <v>#DIV/0!</v>
      </c>
      <c r="AA492" s="10" t="e">
        <f t="shared" si="194"/>
        <v>#DIV/0!</v>
      </c>
      <c r="AB492" s="3" t="e">
        <f t="shared" si="195"/>
        <v>#DIV/0!</v>
      </c>
      <c r="AC492" s="3" t="e">
        <f t="shared" si="196"/>
        <v>#DIV/0!</v>
      </c>
      <c r="AD492" s="3" t="e">
        <f t="shared" si="197"/>
        <v>#DIV/0!</v>
      </c>
      <c r="AE492" s="9" t="e">
        <f t="shared" si="198"/>
        <v>#DIV/0!</v>
      </c>
      <c r="AF492" s="126">
        <f>IFERROR(D492*F492*L492*'Entrada e Saida'!$K$8,0)</f>
        <v>0</v>
      </c>
      <c r="AG492" s="3" t="e">
        <f>((W492+AA492+AB492+AC492+AD492+AE492+AF492)/(1-'Entrada e Saida'!$G$65))*'Entrada e Saida'!$I$66</f>
        <v>#DIV/0!</v>
      </c>
      <c r="AH492" s="8" t="e">
        <f t="shared" si="199"/>
        <v>#DIV/0!</v>
      </c>
      <c r="AI492" s="183" t="e">
        <f>'Entrada e Saida'!$K$51*(IF('Entrada e Saida'!$H$15="PESO",(P492/(SUM(P:P))),(Q492/(SUM(Q:Q)))))</f>
        <v>#DIV/0!</v>
      </c>
      <c r="AJ492" s="7">
        <f>(('Entrada e Saida'!$K$10-'Entrada e Saida'!$K$8)*E492*D492)</f>
        <v>0</v>
      </c>
      <c r="AK492" s="184" t="e">
        <f>IF('Entrada e Saida'!$H$15="PESO",W492+AA492+AH492+AI492+AJ492,W492+AA492+AH492+AI492+AJ492-S492+T492-U492+V492)</f>
        <v>#DIV/0!</v>
      </c>
      <c r="AL492" s="6" t="e">
        <f>IF('Entrada e Saida'!$H$12="REAL",AC492,0)</f>
        <v>#DIV/0!</v>
      </c>
      <c r="AM492" s="6" t="e">
        <f>IF('Entrada e Saida'!$H$12="REAL",AD492,0)</f>
        <v>#DIV/0!</v>
      </c>
      <c r="AN492" s="5" t="e">
        <f>IF('Entrada e Saida'!$H$13= "NÃO",AE492,0)</f>
        <v>#DIV/0!</v>
      </c>
      <c r="AO492" s="5" t="e">
        <f t="shared" si="200"/>
        <v>#DIV/0!</v>
      </c>
      <c r="AP492" s="4" t="e">
        <f t="shared" si="201"/>
        <v>#DIV/0!</v>
      </c>
      <c r="AQ492" s="3" t="e">
        <f>IF('Entrada e Saida'!$H$11="TRADING",AU492*'Custo Resumido'!D492,0)</f>
        <v>#DIV/0!</v>
      </c>
      <c r="AR492" s="3" t="e">
        <f>IF('Entrada e Saida'!$H$11="TRADING",AU492*'Entrada e Saida'!$G$63,0)</f>
        <v>#DIV/0!</v>
      </c>
      <c r="AS492" s="3" t="e">
        <f>IF('Entrada e Saida'!$H$11="TRADING",AU492*'Entrada e Saida'!$G$64,0)</f>
        <v>#DIV/0!</v>
      </c>
      <c r="AT492" s="3" t="e">
        <f>IF('Entrada e Saida'!$H$11="TRADING",AU492*'Entrada e Saida'!$G$65,0)</f>
        <v>#DIV/0!</v>
      </c>
      <c r="AU492" s="4" t="e">
        <f>IF('Entrada e Saida'!$H$11="TRADING",AP492/(1-(SUM('Entrada e Saida'!$G$63:$G$65)+'Custo Resumido'!D492)),0)</f>
        <v>#DIV/0!</v>
      </c>
      <c r="AV492" s="3" t="e">
        <f>IF('Entrada e Saida'!$H$13="NÃO",AU492*M492,0)</f>
        <v>#DIV/0!</v>
      </c>
      <c r="AW492" s="4" t="e">
        <f t="shared" si="202"/>
        <v>#DIV/0!</v>
      </c>
      <c r="AX492" s="3" t="e">
        <f>'Entrada e Saida'!$G$74*AU492</f>
        <v>#DIV/0!</v>
      </c>
      <c r="AY492" s="4" t="e">
        <f t="shared" si="203"/>
        <v>#DIV/0!</v>
      </c>
      <c r="AZ492" s="4" t="e">
        <f>AQ492+('Entrada e Saida'!$G$65-'Entrada e Saida'!$I$65)*AU492-AX492</f>
        <v>#DIV/0!</v>
      </c>
      <c r="BA492" s="3" t="e">
        <f>IF('Entrada e Saida'!$H$12="REAL",AZ492*'Entrada e Saida'!$G$81,AU492*'Entrada e Saida'!$G$81)</f>
        <v>#DIV/0!</v>
      </c>
      <c r="BB492" s="3" t="e">
        <f>IF('Entrada e Saida'!$H$12="REAL",AZ492*'Entrada e Saida'!$G$82,AU492*'Entrada e Saida'!$G$82)</f>
        <v>#DIV/0!</v>
      </c>
      <c r="BC492" s="4" t="e">
        <f t="shared" si="204"/>
        <v>#DIV/0!</v>
      </c>
      <c r="BD492" s="3" t="e">
        <f>IF('Entrada e Saida'!$H$11="TRADING",AW492/D492,AK492/D492)</f>
        <v>#DIV/0!</v>
      </c>
      <c r="BE492" s="3" t="e">
        <f t="shared" si="205"/>
        <v>#DIV/0!</v>
      </c>
      <c r="BF492" s="2" t="e">
        <f t="shared" si="206"/>
        <v>#DIV/0!</v>
      </c>
      <c r="BG492" s="3" t="e">
        <f>IF('Entrada e Saida'!$H$11="TRADING",AV492/D492,AN492/D492)</f>
        <v>#DIV/0!</v>
      </c>
      <c r="BH492" s="3" t="e">
        <f>IF('Entrada e Saida'!$H$11="TRADING",IF('Entrada e Saida'!$H$12="REAL",AR492/D492,0),AL492/D492)</f>
        <v>#DIV/0!</v>
      </c>
      <c r="BI492" s="3" t="e">
        <f>IF('Entrada e Saida'!$H$11="TRADING",IF('Entrada e Saida'!$H$12="REAL",AS492/D492,0),AM492/D492)</f>
        <v>#DIV/0!</v>
      </c>
      <c r="BJ492" s="3" t="e">
        <f>IF('Entrada e Saida'!$H$11="TRADING",AT492/D492,AO492/D492)</f>
        <v>#DIV/0!</v>
      </c>
      <c r="BK492" s="2" t="e">
        <f t="shared" si="207"/>
        <v>#DIV/0!</v>
      </c>
      <c r="BL492" s="2">
        <f>IF(O492&gt;0,IFERROR(IF('Entrada e Saida'!$H$11="DIRETA",0,(IF('Entrada e Saida'!$H$14="P.JURIDICA",(BD492*(1+O492)*N492)-((BD492/(1+M492))*'Entrada e Saida'!$G$65),((Produtos!N492-'Entrada e Saida'!$G$65)*Produtos!BD492)))),0),0)</f>
        <v>0</v>
      </c>
      <c r="BM492" s="2" t="e">
        <f t="shared" si="208"/>
        <v>#DIV/0!</v>
      </c>
    </row>
    <row r="493" spans="1:65" s="1" customFormat="1">
      <c r="A493" s="127"/>
      <c r="B493" s="114">
        <f>IFERROR(VLOOKUP(A493,'Master Modelo'!A:I,7,FALSE),0)</f>
        <v>0</v>
      </c>
      <c r="C493" s="116">
        <f>IFERROR(VLOOKUP(A493,'Master Modelo'!A:I,2,FALSE),0)</f>
        <v>0</v>
      </c>
      <c r="D493" s="146"/>
      <c r="E493" s="115">
        <f>IFERROR(VLOOKUP(A493,'Master Modelo'!A:I,9,FALSE),0)</f>
        <v>0</v>
      </c>
      <c r="F493" s="189">
        <f>IFERROR(VLOOKUP(A493,'Master Modelo'!A:I,8,FALSE),0)</f>
        <v>0</v>
      </c>
      <c r="G493" s="189">
        <f>IFERROR(VLOOKUP(A493,'Master Modelo'!A:K,11,FALSE),0)</f>
        <v>0</v>
      </c>
      <c r="H493" s="114" t="e">
        <f t="shared" si="191"/>
        <v>#DIV/0!</v>
      </c>
      <c r="I493" s="150">
        <f>IFERROR(VLOOKUP(A493,'Master Modelo'!A:I,3,FALSE),0)</f>
        <v>0</v>
      </c>
      <c r="J493" s="151">
        <f>IFERROR(VLOOKUP(A493,'Master Modelo'!A:I,5,FALSE),0)</f>
        <v>0</v>
      </c>
      <c r="K493" s="151">
        <f>IFERROR(VLOOKUP(A493,'Master Modelo'!A:I,6,FALSE),0)</f>
        <v>0</v>
      </c>
      <c r="L493" s="152" t="e">
        <f>VLOOKUP(A493,'Master Modelo'!A:J,10,FALSE)</f>
        <v>#N/A</v>
      </c>
      <c r="M493" s="150">
        <f>IFERROR(VLOOKUP(A493,'Master Modelo'!A:I,4,FALSE),0)</f>
        <v>0</v>
      </c>
      <c r="N493" s="128"/>
      <c r="O493" s="129"/>
      <c r="P493" s="9">
        <f t="shared" si="192"/>
        <v>0</v>
      </c>
      <c r="Q493" s="177">
        <f t="shared" si="190"/>
        <v>0</v>
      </c>
      <c r="R493" s="3">
        <f>D493*E493*'Entrada e Saida'!$K$8</f>
        <v>0</v>
      </c>
      <c r="S493" s="179" t="e">
        <f>'Entrada e Saida'!$H$21*'Entrada e Saida'!$K$8*(P493/(SUM(P:P)))</f>
        <v>#DIV/0!</v>
      </c>
      <c r="T493" s="179" t="e">
        <f>'Entrada e Saida'!$H$21*'Entrada e Saida'!$K$8*(Q493/(SUM(Q:Q)))</f>
        <v>#DIV/0!</v>
      </c>
      <c r="U493" s="179" t="e">
        <f>'Entrada e Saida'!$H$22*(P493/(SUM(P:P)))</f>
        <v>#DIV/0!</v>
      </c>
      <c r="V493" s="179" t="e">
        <f>'Entrada e Saida'!$H$22*(Q493/(SUM(Q:Q)))</f>
        <v>#DIV/0!</v>
      </c>
      <c r="W493" s="8" t="e">
        <f t="shared" si="193"/>
        <v>#DIV/0!</v>
      </c>
      <c r="X493" s="179" t="e">
        <f>'Entrada e Saida'!$H$26*(IF('Entrada e Saida'!$H$15="PESO",(P493/(SUM(P:P))),(Q493/(SUM(Q:Q)))))</f>
        <v>#DIV/0!</v>
      </c>
      <c r="Y493" s="179" t="e">
        <f>'Entrada e Saida'!$H$27*(IF('Entrada e Saida'!$H$15="PESO",(P493/(SUM(P:P))),(Q493/(SUM(Q:Q)))))</f>
        <v>#DIV/0!</v>
      </c>
      <c r="Z493" s="179" t="e">
        <f>'Entrada e Saida'!$H$28*(IF('Entrada e Saida'!$H$15="PESO",(P493/(SUM(P:P))),(Q493/(SUM(Q:Q)))))</f>
        <v>#DIV/0!</v>
      </c>
      <c r="AA493" s="10" t="e">
        <f t="shared" si="194"/>
        <v>#DIV/0!</v>
      </c>
      <c r="AB493" s="3" t="e">
        <f t="shared" si="195"/>
        <v>#DIV/0!</v>
      </c>
      <c r="AC493" s="3" t="e">
        <f t="shared" si="196"/>
        <v>#DIV/0!</v>
      </c>
      <c r="AD493" s="3" t="e">
        <f t="shared" si="197"/>
        <v>#DIV/0!</v>
      </c>
      <c r="AE493" s="9" t="e">
        <f t="shared" si="198"/>
        <v>#DIV/0!</v>
      </c>
      <c r="AF493" s="126">
        <f>IFERROR(D493*F493*L493*'Entrada e Saida'!$K$8,0)</f>
        <v>0</v>
      </c>
      <c r="AG493" s="3" t="e">
        <f>((W493+AA493+AB493+AC493+AD493+AE493+AF493)/(1-'Entrada e Saida'!$G$65))*'Entrada e Saida'!$I$66</f>
        <v>#DIV/0!</v>
      </c>
      <c r="AH493" s="8" t="e">
        <f t="shared" si="199"/>
        <v>#DIV/0!</v>
      </c>
      <c r="AI493" s="183" t="e">
        <f>'Entrada e Saida'!$K$51*(IF('Entrada e Saida'!$H$15="PESO",(P493/(SUM(P:P))),(Q493/(SUM(Q:Q)))))</f>
        <v>#DIV/0!</v>
      </c>
      <c r="AJ493" s="7">
        <f>(('Entrada e Saida'!$K$10-'Entrada e Saida'!$K$8)*E493*D493)</f>
        <v>0</v>
      </c>
      <c r="AK493" s="184" t="e">
        <f>IF('Entrada e Saida'!$H$15="PESO",W493+AA493+AH493+AI493+AJ493,W493+AA493+AH493+AI493+AJ493-S493+T493-U493+V493)</f>
        <v>#DIV/0!</v>
      </c>
      <c r="AL493" s="6" t="e">
        <f>IF('Entrada e Saida'!$H$12="REAL",AC493,0)</f>
        <v>#DIV/0!</v>
      </c>
      <c r="AM493" s="6" t="e">
        <f>IF('Entrada e Saida'!$H$12="REAL",AD493,0)</f>
        <v>#DIV/0!</v>
      </c>
      <c r="AN493" s="5" t="e">
        <f>IF('Entrada e Saida'!$H$13= "NÃO",AE493,0)</f>
        <v>#DIV/0!</v>
      </c>
      <c r="AO493" s="5" t="e">
        <f t="shared" si="200"/>
        <v>#DIV/0!</v>
      </c>
      <c r="AP493" s="4" t="e">
        <f t="shared" si="201"/>
        <v>#DIV/0!</v>
      </c>
      <c r="AQ493" s="3" t="e">
        <f>IF('Entrada e Saida'!$H$11="TRADING",AU493*'Custo Resumido'!D493,0)</f>
        <v>#DIV/0!</v>
      </c>
      <c r="AR493" s="3" t="e">
        <f>IF('Entrada e Saida'!$H$11="TRADING",AU493*'Entrada e Saida'!$G$63,0)</f>
        <v>#DIV/0!</v>
      </c>
      <c r="AS493" s="3" t="e">
        <f>IF('Entrada e Saida'!$H$11="TRADING",AU493*'Entrada e Saida'!$G$64,0)</f>
        <v>#DIV/0!</v>
      </c>
      <c r="AT493" s="3" t="e">
        <f>IF('Entrada e Saida'!$H$11="TRADING",AU493*'Entrada e Saida'!$G$65,0)</f>
        <v>#DIV/0!</v>
      </c>
      <c r="AU493" s="4" t="e">
        <f>IF('Entrada e Saida'!$H$11="TRADING",AP493/(1-(SUM('Entrada e Saida'!$G$63:$G$65)+'Custo Resumido'!D493)),0)</f>
        <v>#DIV/0!</v>
      </c>
      <c r="AV493" s="3" t="e">
        <f>IF('Entrada e Saida'!$H$13="NÃO",AU493*M493,0)</f>
        <v>#DIV/0!</v>
      </c>
      <c r="AW493" s="4" t="e">
        <f t="shared" si="202"/>
        <v>#DIV/0!</v>
      </c>
      <c r="AX493" s="3" t="e">
        <f>'Entrada e Saida'!$G$74*AU493</f>
        <v>#DIV/0!</v>
      </c>
      <c r="AY493" s="4" t="e">
        <f t="shared" si="203"/>
        <v>#DIV/0!</v>
      </c>
      <c r="AZ493" s="4" t="e">
        <f>AQ493+('Entrada e Saida'!$G$65-'Entrada e Saida'!$I$65)*AU493-AX493</f>
        <v>#DIV/0!</v>
      </c>
      <c r="BA493" s="3" t="e">
        <f>IF('Entrada e Saida'!$H$12="REAL",AZ493*'Entrada e Saida'!$G$81,AU493*'Entrada e Saida'!$G$81)</f>
        <v>#DIV/0!</v>
      </c>
      <c r="BB493" s="3" t="e">
        <f>IF('Entrada e Saida'!$H$12="REAL",AZ493*'Entrada e Saida'!$G$82,AU493*'Entrada e Saida'!$G$82)</f>
        <v>#DIV/0!</v>
      </c>
      <c r="BC493" s="4" t="e">
        <f t="shared" si="204"/>
        <v>#DIV/0!</v>
      </c>
      <c r="BD493" s="3" t="e">
        <f>IF('Entrada e Saida'!$H$11="TRADING",AW493/D493,AK493/D493)</f>
        <v>#DIV/0!</v>
      </c>
      <c r="BE493" s="3" t="e">
        <f t="shared" si="205"/>
        <v>#DIV/0!</v>
      </c>
      <c r="BF493" s="2" t="e">
        <f t="shared" si="206"/>
        <v>#DIV/0!</v>
      </c>
      <c r="BG493" s="3" t="e">
        <f>IF('Entrada e Saida'!$H$11="TRADING",AV493/D493,AN493/D493)</f>
        <v>#DIV/0!</v>
      </c>
      <c r="BH493" s="3" t="e">
        <f>IF('Entrada e Saida'!$H$11="TRADING",IF('Entrada e Saida'!$H$12="REAL",AR493/D493,0),AL493/D493)</f>
        <v>#DIV/0!</v>
      </c>
      <c r="BI493" s="3" t="e">
        <f>IF('Entrada e Saida'!$H$11="TRADING",IF('Entrada e Saida'!$H$12="REAL",AS493/D493,0),AM493/D493)</f>
        <v>#DIV/0!</v>
      </c>
      <c r="BJ493" s="3" t="e">
        <f>IF('Entrada e Saida'!$H$11="TRADING",AT493/D493,AO493/D493)</f>
        <v>#DIV/0!</v>
      </c>
      <c r="BK493" s="2" t="e">
        <f t="shared" si="207"/>
        <v>#DIV/0!</v>
      </c>
      <c r="BL493" s="2">
        <f>IF(O493&gt;0,IFERROR(IF('Entrada e Saida'!$H$11="DIRETA",0,(IF('Entrada e Saida'!$H$14="P.JURIDICA",(BD493*(1+O493)*N493)-((BD493/(1+M493))*'Entrada e Saida'!$G$65),((Produtos!N493-'Entrada e Saida'!$G$65)*Produtos!BD493)))),0),0)</f>
        <v>0</v>
      </c>
      <c r="BM493" s="2" t="e">
        <f t="shared" si="208"/>
        <v>#DIV/0!</v>
      </c>
    </row>
    <row r="494" spans="1:65" s="1" customFormat="1">
      <c r="A494" s="127"/>
      <c r="B494" s="114">
        <f>IFERROR(VLOOKUP(A494,'Master Modelo'!A:I,7,FALSE),0)</f>
        <v>0</v>
      </c>
      <c r="C494" s="116">
        <f>IFERROR(VLOOKUP(A494,'Master Modelo'!A:I,2,FALSE),0)</f>
        <v>0</v>
      </c>
      <c r="D494" s="146"/>
      <c r="E494" s="115">
        <f>IFERROR(VLOOKUP(A494,'Master Modelo'!A:I,9,FALSE),0)</f>
        <v>0</v>
      </c>
      <c r="F494" s="189">
        <f>IFERROR(VLOOKUP(A494,'Master Modelo'!A:I,8,FALSE),0)</f>
        <v>0</v>
      </c>
      <c r="G494" s="189">
        <f>IFERROR(VLOOKUP(A494,'Master Modelo'!A:K,11,FALSE),0)</f>
        <v>0</v>
      </c>
      <c r="H494" s="114" t="e">
        <f t="shared" si="191"/>
        <v>#DIV/0!</v>
      </c>
      <c r="I494" s="150">
        <f>IFERROR(VLOOKUP(A494,'Master Modelo'!A:I,3,FALSE),0)</f>
        <v>0</v>
      </c>
      <c r="J494" s="151">
        <f>IFERROR(VLOOKUP(A494,'Master Modelo'!A:I,5,FALSE),0)</f>
        <v>0</v>
      </c>
      <c r="K494" s="151">
        <f>IFERROR(VLOOKUP(A494,'Master Modelo'!A:I,6,FALSE),0)</f>
        <v>0</v>
      </c>
      <c r="L494" s="152" t="e">
        <f>VLOOKUP(A494,'Master Modelo'!A:J,10,FALSE)</f>
        <v>#N/A</v>
      </c>
      <c r="M494" s="150">
        <f>IFERROR(VLOOKUP(A494,'Master Modelo'!A:I,4,FALSE),0)</f>
        <v>0</v>
      </c>
      <c r="N494" s="128"/>
      <c r="O494" s="129"/>
      <c r="P494" s="9">
        <f t="shared" si="192"/>
        <v>0</v>
      </c>
      <c r="Q494" s="177">
        <f t="shared" si="190"/>
        <v>0</v>
      </c>
      <c r="R494" s="3">
        <f>D494*E494*'Entrada e Saida'!$K$8</f>
        <v>0</v>
      </c>
      <c r="S494" s="179" t="e">
        <f>'Entrada e Saida'!$H$21*'Entrada e Saida'!$K$8*(P494/(SUM(P:P)))</f>
        <v>#DIV/0!</v>
      </c>
      <c r="T494" s="179" t="e">
        <f>'Entrada e Saida'!$H$21*'Entrada e Saida'!$K$8*(Q494/(SUM(Q:Q)))</f>
        <v>#DIV/0!</v>
      </c>
      <c r="U494" s="179" t="e">
        <f>'Entrada e Saida'!$H$22*(P494/(SUM(P:P)))</f>
        <v>#DIV/0!</v>
      </c>
      <c r="V494" s="179" t="e">
        <f>'Entrada e Saida'!$H$22*(Q494/(SUM(Q:Q)))</f>
        <v>#DIV/0!</v>
      </c>
      <c r="W494" s="8" t="e">
        <f t="shared" si="193"/>
        <v>#DIV/0!</v>
      </c>
      <c r="X494" s="179" t="e">
        <f>'Entrada e Saida'!$H$26*(IF('Entrada e Saida'!$H$15="PESO",(P494/(SUM(P:P))),(Q494/(SUM(Q:Q)))))</f>
        <v>#DIV/0!</v>
      </c>
      <c r="Y494" s="179" t="e">
        <f>'Entrada e Saida'!$H$27*(IF('Entrada e Saida'!$H$15="PESO",(P494/(SUM(P:P))),(Q494/(SUM(Q:Q)))))</f>
        <v>#DIV/0!</v>
      </c>
      <c r="Z494" s="179" t="e">
        <f>'Entrada e Saida'!$H$28*(IF('Entrada e Saida'!$H$15="PESO",(P494/(SUM(P:P))),(Q494/(SUM(Q:Q)))))</f>
        <v>#DIV/0!</v>
      </c>
      <c r="AA494" s="10" t="e">
        <f t="shared" si="194"/>
        <v>#DIV/0!</v>
      </c>
      <c r="AB494" s="3" t="e">
        <f t="shared" si="195"/>
        <v>#DIV/0!</v>
      </c>
      <c r="AC494" s="3" t="e">
        <f t="shared" si="196"/>
        <v>#DIV/0!</v>
      </c>
      <c r="AD494" s="3" t="e">
        <f t="shared" si="197"/>
        <v>#DIV/0!</v>
      </c>
      <c r="AE494" s="9" t="e">
        <f t="shared" si="198"/>
        <v>#DIV/0!</v>
      </c>
      <c r="AF494" s="126">
        <f>IFERROR(D494*F494*L494*'Entrada e Saida'!$K$8,0)</f>
        <v>0</v>
      </c>
      <c r="AG494" s="3" t="e">
        <f>((W494+AA494+AB494+AC494+AD494+AE494+AF494)/(1-'Entrada e Saida'!$G$65))*'Entrada e Saida'!$I$66</f>
        <v>#DIV/0!</v>
      </c>
      <c r="AH494" s="8" t="e">
        <f t="shared" si="199"/>
        <v>#DIV/0!</v>
      </c>
      <c r="AI494" s="183" t="e">
        <f>'Entrada e Saida'!$K$51*(IF('Entrada e Saida'!$H$15="PESO",(P494/(SUM(P:P))),(Q494/(SUM(Q:Q)))))</f>
        <v>#DIV/0!</v>
      </c>
      <c r="AJ494" s="7">
        <f>(('Entrada e Saida'!$K$10-'Entrada e Saida'!$K$8)*E494*D494)</f>
        <v>0</v>
      </c>
      <c r="AK494" s="184" t="e">
        <f>IF('Entrada e Saida'!$H$15="PESO",W494+AA494+AH494+AI494+AJ494,W494+AA494+AH494+AI494+AJ494-S494+T494-U494+V494)</f>
        <v>#DIV/0!</v>
      </c>
      <c r="AL494" s="6" t="e">
        <f>IF('Entrada e Saida'!$H$12="REAL",AC494,0)</f>
        <v>#DIV/0!</v>
      </c>
      <c r="AM494" s="6" t="e">
        <f>IF('Entrada e Saida'!$H$12="REAL",AD494,0)</f>
        <v>#DIV/0!</v>
      </c>
      <c r="AN494" s="5" t="e">
        <f>IF('Entrada e Saida'!$H$13= "NÃO",AE494,0)</f>
        <v>#DIV/0!</v>
      </c>
      <c r="AO494" s="5" t="e">
        <f t="shared" si="200"/>
        <v>#DIV/0!</v>
      </c>
      <c r="AP494" s="4" t="e">
        <f t="shared" si="201"/>
        <v>#DIV/0!</v>
      </c>
      <c r="AQ494" s="3" t="e">
        <f>IF('Entrada e Saida'!$H$11="TRADING",AU494*'Custo Resumido'!D494,0)</f>
        <v>#DIV/0!</v>
      </c>
      <c r="AR494" s="3" t="e">
        <f>IF('Entrada e Saida'!$H$11="TRADING",AU494*'Entrada e Saida'!$G$63,0)</f>
        <v>#DIV/0!</v>
      </c>
      <c r="AS494" s="3" t="e">
        <f>IF('Entrada e Saida'!$H$11="TRADING",AU494*'Entrada e Saida'!$G$64,0)</f>
        <v>#DIV/0!</v>
      </c>
      <c r="AT494" s="3" t="e">
        <f>IF('Entrada e Saida'!$H$11="TRADING",AU494*'Entrada e Saida'!$G$65,0)</f>
        <v>#DIV/0!</v>
      </c>
      <c r="AU494" s="4" t="e">
        <f>IF('Entrada e Saida'!$H$11="TRADING",AP494/(1-(SUM('Entrada e Saida'!$G$63:$G$65)+'Custo Resumido'!D494)),0)</f>
        <v>#DIV/0!</v>
      </c>
      <c r="AV494" s="3" t="e">
        <f>IF('Entrada e Saida'!$H$13="NÃO",AU494*M494,0)</f>
        <v>#DIV/0!</v>
      </c>
      <c r="AW494" s="4" t="e">
        <f t="shared" si="202"/>
        <v>#DIV/0!</v>
      </c>
      <c r="AX494" s="3" t="e">
        <f>'Entrada e Saida'!$G$74*AU494</f>
        <v>#DIV/0!</v>
      </c>
      <c r="AY494" s="4" t="e">
        <f t="shared" si="203"/>
        <v>#DIV/0!</v>
      </c>
      <c r="AZ494" s="4" t="e">
        <f>AQ494+('Entrada e Saida'!$G$65-'Entrada e Saida'!$I$65)*AU494-AX494</f>
        <v>#DIV/0!</v>
      </c>
      <c r="BA494" s="3" t="e">
        <f>IF('Entrada e Saida'!$H$12="REAL",AZ494*'Entrada e Saida'!$G$81,AU494*'Entrada e Saida'!$G$81)</f>
        <v>#DIV/0!</v>
      </c>
      <c r="BB494" s="3" t="e">
        <f>IF('Entrada e Saida'!$H$12="REAL",AZ494*'Entrada e Saida'!$G$82,AU494*'Entrada e Saida'!$G$82)</f>
        <v>#DIV/0!</v>
      </c>
      <c r="BC494" s="4" t="e">
        <f t="shared" si="204"/>
        <v>#DIV/0!</v>
      </c>
      <c r="BD494" s="3" t="e">
        <f>IF('Entrada e Saida'!$H$11="TRADING",AW494/D494,AK494/D494)</f>
        <v>#DIV/0!</v>
      </c>
      <c r="BE494" s="3" t="e">
        <f t="shared" si="205"/>
        <v>#DIV/0!</v>
      </c>
      <c r="BF494" s="2" t="e">
        <f t="shared" si="206"/>
        <v>#DIV/0!</v>
      </c>
      <c r="BG494" s="3" t="e">
        <f>IF('Entrada e Saida'!$H$11="TRADING",AV494/D494,AN494/D494)</f>
        <v>#DIV/0!</v>
      </c>
      <c r="BH494" s="3" t="e">
        <f>IF('Entrada e Saida'!$H$11="TRADING",IF('Entrada e Saida'!$H$12="REAL",AR494/D494,0),AL494/D494)</f>
        <v>#DIV/0!</v>
      </c>
      <c r="BI494" s="3" t="e">
        <f>IF('Entrada e Saida'!$H$11="TRADING",IF('Entrada e Saida'!$H$12="REAL",AS494/D494,0),AM494/D494)</f>
        <v>#DIV/0!</v>
      </c>
      <c r="BJ494" s="3" t="e">
        <f>IF('Entrada e Saida'!$H$11="TRADING",AT494/D494,AO494/D494)</f>
        <v>#DIV/0!</v>
      </c>
      <c r="BK494" s="2" t="e">
        <f t="shared" si="207"/>
        <v>#DIV/0!</v>
      </c>
      <c r="BL494" s="2">
        <f>IF(O494&gt;0,IFERROR(IF('Entrada e Saida'!$H$11="DIRETA",0,(IF('Entrada e Saida'!$H$14="P.JURIDICA",(BD494*(1+O494)*N494)-((BD494/(1+M494))*'Entrada e Saida'!$G$65),((Produtos!N494-'Entrada e Saida'!$G$65)*Produtos!BD494)))),0),0)</f>
        <v>0</v>
      </c>
      <c r="BM494" s="2" t="e">
        <f t="shared" si="208"/>
        <v>#DIV/0!</v>
      </c>
    </row>
    <row r="495" spans="1:65" s="1" customFormat="1">
      <c r="A495" s="127"/>
      <c r="B495" s="114">
        <f>IFERROR(VLOOKUP(A495,'Master Modelo'!A:I,7,FALSE),0)</f>
        <v>0</v>
      </c>
      <c r="C495" s="116">
        <f>IFERROR(VLOOKUP(A495,'Master Modelo'!A:I,2,FALSE),0)</f>
        <v>0</v>
      </c>
      <c r="D495" s="146"/>
      <c r="E495" s="115">
        <f>IFERROR(VLOOKUP(A495,'Master Modelo'!A:I,9,FALSE),0)</f>
        <v>0</v>
      </c>
      <c r="F495" s="189">
        <f>IFERROR(VLOOKUP(A495,'Master Modelo'!A:I,8,FALSE),0)</f>
        <v>0</v>
      </c>
      <c r="G495" s="189">
        <f>IFERROR(VLOOKUP(A495,'Master Modelo'!A:K,11,FALSE),0)</f>
        <v>0</v>
      </c>
      <c r="H495" s="114" t="e">
        <f t="shared" si="191"/>
        <v>#DIV/0!</v>
      </c>
      <c r="I495" s="150">
        <f>IFERROR(VLOOKUP(A495,'Master Modelo'!A:I,3,FALSE),0)</f>
        <v>0</v>
      </c>
      <c r="J495" s="151">
        <f>IFERROR(VLOOKUP(A495,'Master Modelo'!A:I,5,FALSE),0)</f>
        <v>0</v>
      </c>
      <c r="K495" s="151">
        <f>IFERROR(VLOOKUP(A495,'Master Modelo'!A:I,6,FALSE),0)</f>
        <v>0</v>
      </c>
      <c r="L495" s="152" t="e">
        <f>VLOOKUP(A495,'Master Modelo'!A:J,10,FALSE)</f>
        <v>#N/A</v>
      </c>
      <c r="M495" s="150">
        <f>IFERROR(VLOOKUP(A495,'Master Modelo'!A:I,4,FALSE),0)</f>
        <v>0</v>
      </c>
      <c r="N495" s="128"/>
      <c r="O495" s="129"/>
      <c r="P495" s="9">
        <f t="shared" si="192"/>
        <v>0</v>
      </c>
      <c r="Q495" s="177">
        <f t="shared" si="190"/>
        <v>0</v>
      </c>
      <c r="R495" s="3">
        <f>D495*E495*'Entrada e Saida'!$K$8</f>
        <v>0</v>
      </c>
      <c r="S495" s="179" t="e">
        <f>'Entrada e Saida'!$H$21*'Entrada e Saida'!$K$8*(P495/(SUM(P:P)))</f>
        <v>#DIV/0!</v>
      </c>
      <c r="T495" s="179" t="e">
        <f>'Entrada e Saida'!$H$21*'Entrada e Saida'!$K$8*(Q495/(SUM(Q:Q)))</f>
        <v>#DIV/0!</v>
      </c>
      <c r="U495" s="179" t="e">
        <f>'Entrada e Saida'!$H$22*(P495/(SUM(P:P)))</f>
        <v>#DIV/0!</v>
      </c>
      <c r="V495" s="179" t="e">
        <f>'Entrada e Saida'!$H$22*(Q495/(SUM(Q:Q)))</f>
        <v>#DIV/0!</v>
      </c>
      <c r="W495" s="8" t="e">
        <f t="shared" si="193"/>
        <v>#DIV/0!</v>
      </c>
      <c r="X495" s="179" t="e">
        <f>'Entrada e Saida'!$H$26*(IF('Entrada e Saida'!$H$15="PESO",(P495/(SUM(P:P))),(Q495/(SUM(Q:Q)))))</f>
        <v>#DIV/0!</v>
      </c>
      <c r="Y495" s="179" t="e">
        <f>'Entrada e Saida'!$H$27*(IF('Entrada e Saida'!$H$15="PESO",(P495/(SUM(P:P))),(Q495/(SUM(Q:Q)))))</f>
        <v>#DIV/0!</v>
      </c>
      <c r="Z495" s="179" t="e">
        <f>'Entrada e Saida'!$H$28*(IF('Entrada e Saida'!$H$15="PESO",(P495/(SUM(P:P))),(Q495/(SUM(Q:Q)))))</f>
        <v>#DIV/0!</v>
      </c>
      <c r="AA495" s="10" t="e">
        <f t="shared" si="194"/>
        <v>#DIV/0!</v>
      </c>
      <c r="AB495" s="3" t="e">
        <f t="shared" si="195"/>
        <v>#DIV/0!</v>
      </c>
      <c r="AC495" s="3" t="e">
        <f t="shared" si="196"/>
        <v>#DIV/0!</v>
      </c>
      <c r="AD495" s="3" t="e">
        <f t="shared" si="197"/>
        <v>#DIV/0!</v>
      </c>
      <c r="AE495" s="9" t="e">
        <f t="shared" si="198"/>
        <v>#DIV/0!</v>
      </c>
      <c r="AF495" s="126">
        <f>IFERROR(D495*F495*L495*'Entrada e Saida'!$K$8,0)</f>
        <v>0</v>
      </c>
      <c r="AG495" s="3" t="e">
        <f>((W495+AA495+AB495+AC495+AD495+AE495+AF495)/(1-'Entrada e Saida'!$G$65))*'Entrada e Saida'!$I$66</f>
        <v>#DIV/0!</v>
      </c>
      <c r="AH495" s="8" t="e">
        <f t="shared" si="199"/>
        <v>#DIV/0!</v>
      </c>
      <c r="AI495" s="183" t="e">
        <f>'Entrada e Saida'!$K$51*(IF('Entrada e Saida'!$H$15="PESO",(P495/(SUM(P:P))),(Q495/(SUM(Q:Q)))))</f>
        <v>#DIV/0!</v>
      </c>
      <c r="AJ495" s="7">
        <f>(('Entrada e Saida'!$K$10-'Entrada e Saida'!$K$8)*E495*D495)</f>
        <v>0</v>
      </c>
      <c r="AK495" s="184" t="e">
        <f>IF('Entrada e Saida'!$H$15="PESO",W495+AA495+AH495+AI495+AJ495,W495+AA495+AH495+AI495+AJ495-S495+T495-U495+V495)</f>
        <v>#DIV/0!</v>
      </c>
      <c r="AL495" s="6" t="e">
        <f>IF('Entrada e Saida'!$H$12="REAL",AC495,0)</f>
        <v>#DIV/0!</v>
      </c>
      <c r="AM495" s="6" t="e">
        <f>IF('Entrada e Saida'!$H$12="REAL",AD495,0)</f>
        <v>#DIV/0!</v>
      </c>
      <c r="AN495" s="5" t="e">
        <f>IF('Entrada e Saida'!$H$13= "NÃO",AE495,0)</f>
        <v>#DIV/0!</v>
      </c>
      <c r="AO495" s="5" t="e">
        <f t="shared" si="200"/>
        <v>#DIV/0!</v>
      </c>
      <c r="AP495" s="4" t="e">
        <f t="shared" si="201"/>
        <v>#DIV/0!</v>
      </c>
      <c r="AQ495" s="3" t="e">
        <f>IF('Entrada e Saida'!$H$11="TRADING",AU495*'Custo Resumido'!D495,0)</f>
        <v>#DIV/0!</v>
      </c>
      <c r="AR495" s="3" t="e">
        <f>IF('Entrada e Saida'!$H$11="TRADING",AU495*'Entrada e Saida'!$G$63,0)</f>
        <v>#DIV/0!</v>
      </c>
      <c r="AS495" s="3" t="e">
        <f>IF('Entrada e Saida'!$H$11="TRADING",AU495*'Entrada e Saida'!$G$64,0)</f>
        <v>#DIV/0!</v>
      </c>
      <c r="AT495" s="3" t="e">
        <f>IF('Entrada e Saida'!$H$11="TRADING",AU495*'Entrada e Saida'!$G$65,0)</f>
        <v>#DIV/0!</v>
      </c>
      <c r="AU495" s="4" t="e">
        <f>IF('Entrada e Saida'!$H$11="TRADING",AP495/(1-(SUM('Entrada e Saida'!$G$63:$G$65)+'Custo Resumido'!D495)),0)</f>
        <v>#DIV/0!</v>
      </c>
      <c r="AV495" s="3" t="e">
        <f>IF('Entrada e Saida'!$H$13="NÃO",AU495*M495,0)</f>
        <v>#DIV/0!</v>
      </c>
      <c r="AW495" s="4" t="e">
        <f t="shared" si="202"/>
        <v>#DIV/0!</v>
      </c>
      <c r="AX495" s="3" t="e">
        <f>'Entrada e Saida'!$G$74*AU495</f>
        <v>#DIV/0!</v>
      </c>
      <c r="AY495" s="4" t="e">
        <f t="shared" si="203"/>
        <v>#DIV/0!</v>
      </c>
      <c r="AZ495" s="4" t="e">
        <f>AQ495+('Entrada e Saida'!$G$65-'Entrada e Saida'!$I$65)*AU495-AX495</f>
        <v>#DIV/0!</v>
      </c>
      <c r="BA495" s="3" t="e">
        <f>IF('Entrada e Saida'!$H$12="REAL",AZ495*'Entrada e Saida'!$G$81,AU495*'Entrada e Saida'!$G$81)</f>
        <v>#DIV/0!</v>
      </c>
      <c r="BB495" s="3" t="e">
        <f>IF('Entrada e Saida'!$H$12="REAL",AZ495*'Entrada e Saida'!$G$82,AU495*'Entrada e Saida'!$G$82)</f>
        <v>#DIV/0!</v>
      </c>
      <c r="BC495" s="4" t="e">
        <f t="shared" si="204"/>
        <v>#DIV/0!</v>
      </c>
      <c r="BD495" s="3" t="e">
        <f>IF('Entrada e Saida'!$H$11="TRADING",AW495/D495,AK495/D495)</f>
        <v>#DIV/0!</v>
      </c>
      <c r="BE495" s="3" t="e">
        <f t="shared" si="205"/>
        <v>#DIV/0!</v>
      </c>
      <c r="BF495" s="2" t="e">
        <f t="shared" si="206"/>
        <v>#DIV/0!</v>
      </c>
      <c r="BG495" s="3" t="e">
        <f>IF('Entrada e Saida'!$H$11="TRADING",AV495/D495,AN495/D495)</f>
        <v>#DIV/0!</v>
      </c>
      <c r="BH495" s="3" t="e">
        <f>IF('Entrada e Saida'!$H$11="TRADING",IF('Entrada e Saida'!$H$12="REAL",AR495/D495,0),AL495/D495)</f>
        <v>#DIV/0!</v>
      </c>
      <c r="BI495" s="3" t="e">
        <f>IF('Entrada e Saida'!$H$11="TRADING",IF('Entrada e Saida'!$H$12="REAL",AS495/D495,0),AM495/D495)</f>
        <v>#DIV/0!</v>
      </c>
      <c r="BJ495" s="3" t="e">
        <f>IF('Entrada e Saida'!$H$11="TRADING",AT495/D495,AO495/D495)</f>
        <v>#DIV/0!</v>
      </c>
      <c r="BK495" s="2" t="e">
        <f t="shared" si="207"/>
        <v>#DIV/0!</v>
      </c>
      <c r="BL495" s="2">
        <f>IF(O495&gt;0,IFERROR(IF('Entrada e Saida'!$H$11="DIRETA",0,(IF('Entrada e Saida'!$H$14="P.JURIDICA",(BD495*(1+O495)*N495)-((BD495/(1+M495))*'Entrada e Saida'!$G$65),((Produtos!N495-'Entrada e Saida'!$G$65)*Produtos!BD495)))),0),0)</f>
        <v>0</v>
      </c>
      <c r="BM495" s="2" t="e">
        <f t="shared" si="208"/>
        <v>#DIV/0!</v>
      </c>
    </row>
    <row r="496" spans="1:65" s="1" customFormat="1">
      <c r="A496" s="127"/>
      <c r="B496" s="114">
        <f>IFERROR(VLOOKUP(A496,'Master Modelo'!A:I,7,FALSE),0)</f>
        <v>0</v>
      </c>
      <c r="C496" s="116">
        <f>IFERROR(VLOOKUP(A496,'Master Modelo'!A:I,2,FALSE),0)</f>
        <v>0</v>
      </c>
      <c r="D496" s="146"/>
      <c r="E496" s="115">
        <f>IFERROR(VLOOKUP(A496,'Master Modelo'!A:I,9,FALSE),0)</f>
        <v>0</v>
      </c>
      <c r="F496" s="189">
        <f>IFERROR(VLOOKUP(A496,'Master Modelo'!A:I,8,FALSE),0)</f>
        <v>0</v>
      </c>
      <c r="G496" s="189">
        <f>IFERROR(VLOOKUP(A496,'Master Modelo'!A:K,11,FALSE),0)</f>
        <v>0</v>
      </c>
      <c r="H496" s="114" t="e">
        <f t="shared" si="191"/>
        <v>#DIV/0!</v>
      </c>
      <c r="I496" s="150">
        <f>IFERROR(VLOOKUP(A496,'Master Modelo'!A:I,3,FALSE),0)</f>
        <v>0</v>
      </c>
      <c r="J496" s="151">
        <f>IFERROR(VLOOKUP(A496,'Master Modelo'!A:I,5,FALSE),0)</f>
        <v>0</v>
      </c>
      <c r="K496" s="151">
        <f>IFERROR(VLOOKUP(A496,'Master Modelo'!A:I,6,FALSE),0)</f>
        <v>0</v>
      </c>
      <c r="L496" s="152" t="e">
        <f>VLOOKUP(A496,'Master Modelo'!A:J,10,FALSE)</f>
        <v>#N/A</v>
      </c>
      <c r="M496" s="150">
        <f>IFERROR(VLOOKUP(A496,'Master Modelo'!A:I,4,FALSE),0)</f>
        <v>0</v>
      </c>
      <c r="N496" s="128"/>
      <c r="O496" s="129"/>
      <c r="P496" s="9">
        <f t="shared" si="192"/>
        <v>0</v>
      </c>
      <c r="Q496" s="177">
        <f t="shared" si="190"/>
        <v>0</v>
      </c>
      <c r="R496" s="3">
        <f>D496*E496*'Entrada e Saida'!$K$8</f>
        <v>0</v>
      </c>
      <c r="S496" s="179" t="e">
        <f>'Entrada e Saida'!$H$21*'Entrada e Saida'!$K$8*(P496/(SUM(P:P)))</f>
        <v>#DIV/0!</v>
      </c>
      <c r="T496" s="179" t="e">
        <f>'Entrada e Saida'!$H$21*'Entrada e Saida'!$K$8*(Q496/(SUM(Q:Q)))</f>
        <v>#DIV/0!</v>
      </c>
      <c r="U496" s="179" t="e">
        <f>'Entrada e Saida'!$H$22*(P496/(SUM(P:P)))</f>
        <v>#DIV/0!</v>
      </c>
      <c r="V496" s="179" t="e">
        <f>'Entrada e Saida'!$H$22*(Q496/(SUM(Q:Q)))</f>
        <v>#DIV/0!</v>
      </c>
      <c r="W496" s="8" t="e">
        <f t="shared" si="193"/>
        <v>#DIV/0!</v>
      </c>
      <c r="X496" s="179" t="e">
        <f>'Entrada e Saida'!$H$26*(IF('Entrada e Saida'!$H$15="PESO",(P496/(SUM(P:P))),(Q496/(SUM(Q:Q)))))</f>
        <v>#DIV/0!</v>
      </c>
      <c r="Y496" s="179" t="e">
        <f>'Entrada e Saida'!$H$27*(IF('Entrada e Saida'!$H$15="PESO",(P496/(SUM(P:P))),(Q496/(SUM(Q:Q)))))</f>
        <v>#DIV/0!</v>
      </c>
      <c r="Z496" s="179" t="e">
        <f>'Entrada e Saida'!$H$28*(IF('Entrada e Saida'!$H$15="PESO",(P496/(SUM(P:P))),(Q496/(SUM(Q:Q)))))</f>
        <v>#DIV/0!</v>
      </c>
      <c r="AA496" s="10" t="e">
        <f t="shared" si="194"/>
        <v>#DIV/0!</v>
      </c>
      <c r="AB496" s="3" t="e">
        <f t="shared" si="195"/>
        <v>#DIV/0!</v>
      </c>
      <c r="AC496" s="3" t="e">
        <f t="shared" si="196"/>
        <v>#DIV/0!</v>
      </c>
      <c r="AD496" s="3" t="e">
        <f t="shared" si="197"/>
        <v>#DIV/0!</v>
      </c>
      <c r="AE496" s="9" t="e">
        <f t="shared" si="198"/>
        <v>#DIV/0!</v>
      </c>
      <c r="AF496" s="126">
        <f>IFERROR(D496*F496*L496*'Entrada e Saida'!$K$8,0)</f>
        <v>0</v>
      </c>
      <c r="AG496" s="3" t="e">
        <f>((W496+AA496+AB496+AC496+AD496+AE496+AF496)/(1-'Entrada e Saida'!$G$65))*'Entrada e Saida'!$I$66</f>
        <v>#DIV/0!</v>
      </c>
      <c r="AH496" s="8" t="e">
        <f t="shared" si="199"/>
        <v>#DIV/0!</v>
      </c>
      <c r="AI496" s="183" t="e">
        <f>'Entrada e Saida'!$K$51*(IF('Entrada e Saida'!$H$15="PESO",(P496/(SUM(P:P))),(Q496/(SUM(Q:Q)))))</f>
        <v>#DIV/0!</v>
      </c>
      <c r="AJ496" s="7">
        <f>(('Entrada e Saida'!$K$10-'Entrada e Saida'!$K$8)*E496*D496)</f>
        <v>0</v>
      </c>
      <c r="AK496" s="184" t="e">
        <f>IF('Entrada e Saida'!$H$15="PESO",W496+AA496+AH496+AI496+AJ496,W496+AA496+AH496+AI496+AJ496-S496+T496-U496+V496)</f>
        <v>#DIV/0!</v>
      </c>
      <c r="AL496" s="6" t="e">
        <f>IF('Entrada e Saida'!$H$12="REAL",AC496,0)</f>
        <v>#DIV/0!</v>
      </c>
      <c r="AM496" s="6" t="e">
        <f>IF('Entrada e Saida'!$H$12="REAL",AD496,0)</f>
        <v>#DIV/0!</v>
      </c>
      <c r="AN496" s="5" t="e">
        <f>IF('Entrada e Saida'!$H$13= "NÃO",AE496,0)</f>
        <v>#DIV/0!</v>
      </c>
      <c r="AO496" s="5" t="e">
        <f t="shared" si="200"/>
        <v>#DIV/0!</v>
      </c>
      <c r="AP496" s="4" t="e">
        <f t="shared" si="201"/>
        <v>#DIV/0!</v>
      </c>
      <c r="AQ496" s="3" t="e">
        <f>IF('Entrada e Saida'!$H$11="TRADING",AU496*'Custo Resumido'!D496,0)</f>
        <v>#DIV/0!</v>
      </c>
      <c r="AR496" s="3" t="e">
        <f>IF('Entrada e Saida'!$H$11="TRADING",AU496*'Entrada e Saida'!$G$63,0)</f>
        <v>#DIV/0!</v>
      </c>
      <c r="AS496" s="3" t="e">
        <f>IF('Entrada e Saida'!$H$11="TRADING",AU496*'Entrada e Saida'!$G$64,0)</f>
        <v>#DIV/0!</v>
      </c>
      <c r="AT496" s="3" t="e">
        <f>IF('Entrada e Saida'!$H$11="TRADING",AU496*'Entrada e Saida'!$G$65,0)</f>
        <v>#DIV/0!</v>
      </c>
      <c r="AU496" s="4" t="e">
        <f>IF('Entrada e Saida'!$H$11="TRADING",AP496/(1-(SUM('Entrada e Saida'!$G$63:$G$65)+'Custo Resumido'!D496)),0)</f>
        <v>#DIV/0!</v>
      </c>
      <c r="AV496" s="3" t="e">
        <f>IF('Entrada e Saida'!$H$13="NÃO",AU496*M496,0)</f>
        <v>#DIV/0!</v>
      </c>
      <c r="AW496" s="4" t="e">
        <f t="shared" si="202"/>
        <v>#DIV/0!</v>
      </c>
      <c r="AX496" s="3" t="e">
        <f>'Entrada e Saida'!$G$74*AU496</f>
        <v>#DIV/0!</v>
      </c>
      <c r="AY496" s="4" t="e">
        <f t="shared" si="203"/>
        <v>#DIV/0!</v>
      </c>
      <c r="AZ496" s="4" t="e">
        <f>AQ496+('Entrada e Saida'!$G$65-'Entrada e Saida'!$I$65)*AU496-AX496</f>
        <v>#DIV/0!</v>
      </c>
      <c r="BA496" s="3" t="e">
        <f>IF('Entrada e Saida'!$H$12="REAL",AZ496*'Entrada e Saida'!$G$81,AU496*'Entrada e Saida'!$G$81)</f>
        <v>#DIV/0!</v>
      </c>
      <c r="BB496" s="3" t="e">
        <f>IF('Entrada e Saida'!$H$12="REAL",AZ496*'Entrada e Saida'!$G$82,AU496*'Entrada e Saida'!$G$82)</f>
        <v>#DIV/0!</v>
      </c>
      <c r="BC496" s="4" t="e">
        <f t="shared" si="204"/>
        <v>#DIV/0!</v>
      </c>
      <c r="BD496" s="3" t="e">
        <f>IF('Entrada e Saida'!$H$11="TRADING",AW496/D496,AK496/D496)</f>
        <v>#DIV/0!</v>
      </c>
      <c r="BE496" s="3" t="e">
        <f t="shared" si="205"/>
        <v>#DIV/0!</v>
      </c>
      <c r="BF496" s="2" t="e">
        <f t="shared" si="206"/>
        <v>#DIV/0!</v>
      </c>
      <c r="BG496" s="3" t="e">
        <f>IF('Entrada e Saida'!$H$11="TRADING",AV496/D496,AN496/D496)</f>
        <v>#DIV/0!</v>
      </c>
      <c r="BH496" s="3" t="e">
        <f>IF('Entrada e Saida'!$H$11="TRADING",IF('Entrada e Saida'!$H$12="REAL",AR496/D496,0),AL496/D496)</f>
        <v>#DIV/0!</v>
      </c>
      <c r="BI496" s="3" t="e">
        <f>IF('Entrada e Saida'!$H$11="TRADING",IF('Entrada e Saida'!$H$12="REAL",AS496/D496,0),AM496/D496)</f>
        <v>#DIV/0!</v>
      </c>
      <c r="BJ496" s="3" t="e">
        <f>IF('Entrada e Saida'!$H$11="TRADING",AT496/D496,AO496/D496)</f>
        <v>#DIV/0!</v>
      </c>
      <c r="BK496" s="2" t="e">
        <f t="shared" si="207"/>
        <v>#DIV/0!</v>
      </c>
      <c r="BL496" s="2">
        <f>IF(O496&gt;0,IFERROR(IF('Entrada e Saida'!$H$11="DIRETA",0,(IF('Entrada e Saida'!$H$14="P.JURIDICA",(BD496*(1+O496)*N496)-((BD496/(1+M496))*'Entrada e Saida'!$G$65),((Produtos!N496-'Entrada e Saida'!$G$65)*Produtos!BD496)))),0),0)</f>
        <v>0</v>
      </c>
      <c r="BM496" s="2" t="e">
        <f t="shared" si="208"/>
        <v>#DIV/0!</v>
      </c>
    </row>
    <row r="497" spans="1:65" s="1" customFormat="1">
      <c r="A497" s="127"/>
      <c r="B497" s="114">
        <f>IFERROR(VLOOKUP(A497,'Master Modelo'!A:I,7,FALSE),0)</f>
        <v>0</v>
      </c>
      <c r="C497" s="116">
        <f>IFERROR(VLOOKUP(A497,'Master Modelo'!A:I,2,FALSE),0)</f>
        <v>0</v>
      </c>
      <c r="D497" s="146"/>
      <c r="E497" s="115">
        <f>IFERROR(VLOOKUP(A497,'Master Modelo'!A:I,9,FALSE),0)</f>
        <v>0</v>
      </c>
      <c r="F497" s="189">
        <f>IFERROR(VLOOKUP(A497,'Master Modelo'!A:I,8,FALSE),0)</f>
        <v>0</v>
      </c>
      <c r="G497" s="189">
        <f>IFERROR(VLOOKUP(A497,'Master Modelo'!A:K,11,FALSE),0)</f>
        <v>0</v>
      </c>
      <c r="H497" s="114" t="e">
        <f t="shared" si="191"/>
        <v>#DIV/0!</v>
      </c>
      <c r="I497" s="150">
        <f>IFERROR(VLOOKUP(A497,'Master Modelo'!A:I,3,FALSE),0)</f>
        <v>0</v>
      </c>
      <c r="J497" s="151">
        <f>IFERROR(VLOOKUP(A497,'Master Modelo'!A:I,5,FALSE),0)</f>
        <v>0</v>
      </c>
      <c r="K497" s="151">
        <f>IFERROR(VLOOKUP(A497,'Master Modelo'!A:I,6,FALSE),0)</f>
        <v>0</v>
      </c>
      <c r="L497" s="152" t="e">
        <f>VLOOKUP(A497,'Master Modelo'!A:J,10,FALSE)</f>
        <v>#N/A</v>
      </c>
      <c r="M497" s="150">
        <f>IFERROR(VLOOKUP(A497,'Master Modelo'!A:I,4,FALSE),0)</f>
        <v>0</v>
      </c>
      <c r="N497" s="128"/>
      <c r="O497" s="129"/>
      <c r="P497" s="9">
        <f t="shared" si="192"/>
        <v>0</v>
      </c>
      <c r="Q497" s="177">
        <f t="shared" si="190"/>
        <v>0</v>
      </c>
      <c r="R497" s="3">
        <f>D497*E497*'Entrada e Saida'!$K$8</f>
        <v>0</v>
      </c>
      <c r="S497" s="179" t="e">
        <f>'Entrada e Saida'!$H$21*'Entrada e Saida'!$K$8*(P497/(SUM(P:P)))</f>
        <v>#DIV/0!</v>
      </c>
      <c r="T497" s="179" t="e">
        <f>'Entrada e Saida'!$H$21*'Entrada e Saida'!$K$8*(Q497/(SUM(Q:Q)))</f>
        <v>#DIV/0!</v>
      </c>
      <c r="U497" s="179" t="e">
        <f>'Entrada e Saida'!$H$22*(P497/(SUM(P:P)))</f>
        <v>#DIV/0!</v>
      </c>
      <c r="V497" s="179" t="e">
        <f>'Entrada e Saida'!$H$22*(Q497/(SUM(Q:Q)))</f>
        <v>#DIV/0!</v>
      </c>
      <c r="W497" s="8" t="e">
        <f t="shared" si="193"/>
        <v>#DIV/0!</v>
      </c>
      <c r="X497" s="179" t="e">
        <f>'Entrada e Saida'!$H$26*(IF('Entrada e Saida'!$H$15="PESO",(P497/(SUM(P:P))),(Q497/(SUM(Q:Q)))))</f>
        <v>#DIV/0!</v>
      </c>
      <c r="Y497" s="179" t="e">
        <f>'Entrada e Saida'!$H$27*(IF('Entrada e Saida'!$H$15="PESO",(P497/(SUM(P:P))),(Q497/(SUM(Q:Q)))))</f>
        <v>#DIV/0!</v>
      </c>
      <c r="Z497" s="179" t="e">
        <f>'Entrada e Saida'!$H$28*(IF('Entrada e Saida'!$H$15="PESO",(P497/(SUM(P:P))),(Q497/(SUM(Q:Q)))))</f>
        <v>#DIV/0!</v>
      </c>
      <c r="AA497" s="10" t="e">
        <f t="shared" si="194"/>
        <v>#DIV/0!</v>
      </c>
      <c r="AB497" s="3" t="e">
        <f t="shared" si="195"/>
        <v>#DIV/0!</v>
      </c>
      <c r="AC497" s="3" t="e">
        <f t="shared" si="196"/>
        <v>#DIV/0!</v>
      </c>
      <c r="AD497" s="3" t="e">
        <f t="shared" si="197"/>
        <v>#DIV/0!</v>
      </c>
      <c r="AE497" s="9" t="e">
        <f t="shared" si="198"/>
        <v>#DIV/0!</v>
      </c>
      <c r="AF497" s="126">
        <f>IFERROR(D497*F497*L497*'Entrada e Saida'!$K$8,0)</f>
        <v>0</v>
      </c>
      <c r="AG497" s="3" t="e">
        <f>((W497+AA497+AB497+AC497+AD497+AE497+AF497)/(1-'Entrada e Saida'!$G$65))*'Entrada e Saida'!$I$66</f>
        <v>#DIV/0!</v>
      </c>
      <c r="AH497" s="8" t="e">
        <f t="shared" si="199"/>
        <v>#DIV/0!</v>
      </c>
      <c r="AI497" s="183" t="e">
        <f>'Entrada e Saida'!$K$51*(IF('Entrada e Saida'!$H$15="PESO",(P497/(SUM(P:P))),(Q497/(SUM(Q:Q)))))</f>
        <v>#DIV/0!</v>
      </c>
      <c r="AJ497" s="7">
        <f>(('Entrada e Saida'!$K$10-'Entrada e Saida'!$K$8)*E497*D497)</f>
        <v>0</v>
      </c>
      <c r="AK497" s="184" t="e">
        <f>IF('Entrada e Saida'!$H$15="PESO",W497+AA497+AH497+AI497+AJ497,W497+AA497+AH497+AI497+AJ497-S497+T497-U497+V497)</f>
        <v>#DIV/0!</v>
      </c>
      <c r="AL497" s="6" t="e">
        <f>IF('Entrada e Saida'!$H$12="REAL",AC497,0)</f>
        <v>#DIV/0!</v>
      </c>
      <c r="AM497" s="6" t="e">
        <f>IF('Entrada e Saida'!$H$12="REAL",AD497,0)</f>
        <v>#DIV/0!</v>
      </c>
      <c r="AN497" s="5" t="e">
        <f>IF('Entrada e Saida'!$H$13= "NÃO",AE497,0)</f>
        <v>#DIV/0!</v>
      </c>
      <c r="AO497" s="5" t="e">
        <f t="shared" si="200"/>
        <v>#DIV/0!</v>
      </c>
      <c r="AP497" s="4" t="e">
        <f t="shared" si="201"/>
        <v>#DIV/0!</v>
      </c>
      <c r="AQ497" s="3" t="e">
        <f>IF('Entrada e Saida'!$H$11="TRADING",AU497*'Custo Resumido'!D497,0)</f>
        <v>#DIV/0!</v>
      </c>
      <c r="AR497" s="3" t="e">
        <f>IF('Entrada e Saida'!$H$11="TRADING",AU497*'Entrada e Saida'!$G$63,0)</f>
        <v>#DIV/0!</v>
      </c>
      <c r="AS497" s="3" t="e">
        <f>IF('Entrada e Saida'!$H$11="TRADING",AU497*'Entrada e Saida'!$G$64,0)</f>
        <v>#DIV/0!</v>
      </c>
      <c r="AT497" s="3" t="e">
        <f>IF('Entrada e Saida'!$H$11="TRADING",AU497*'Entrada e Saida'!$G$65,0)</f>
        <v>#DIV/0!</v>
      </c>
      <c r="AU497" s="4" t="e">
        <f>IF('Entrada e Saida'!$H$11="TRADING",AP497/(1-(SUM('Entrada e Saida'!$G$63:$G$65)+'Custo Resumido'!D497)),0)</f>
        <v>#DIV/0!</v>
      </c>
      <c r="AV497" s="3" t="e">
        <f>IF('Entrada e Saida'!$H$13="NÃO",AU497*M497,0)</f>
        <v>#DIV/0!</v>
      </c>
      <c r="AW497" s="4" t="e">
        <f t="shared" si="202"/>
        <v>#DIV/0!</v>
      </c>
      <c r="AX497" s="3" t="e">
        <f>'Entrada e Saida'!$G$74*AU497</f>
        <v>#DIV/0!</v>
      </c>
      <c r="AY497" s="4" t="e">
        <f t="shared" si="203"/>
        <v>#DIV/0!</v>
      </c>
      <c r="AZ497" s="4" t="e">
        <f>AQ497+('Entrada e Saida'!$G$65-'Entrada e Saida'!$I$65)*AU497-AX497</f>
        <v>#DIV/0!</v>
      </c>
      <c r="BA497" s="3" t="e">
        <f>IF('Entrada e Saida'!$H$12="REAL",AZ497*'Entrada e Saida'!$G$81,AU497*'Entrada e Saida'!$G$81)</f>
        <v>#DIV/0!</v>
      </c>
      <c r="BB497" s="3" t="e">
        <f>IF('Entrada e Saida'!$H$12="REAL",AZ497*'Entrada e Saida'!$G$82,AU497*'Entrada e Saida'!$G$82)</f>
        <v>#DIV/0!</v>
      </c>
      <c r="BC497" s="4" t="e">
        <f t="shared" si="204"/>
        <v>#DIV/0!</v>
      </c>
      <c r="BD497" s="3" t="e">
        <f>IF('Entrada e Saida'!$H$11="TRADING",AW497/D497,AK497/D497)</f>
        <v>#DIV/0!</v>
      </c>
      <c r="BE497" s="3" t="e">
        <f t="shared" si="205"/>
        <v>#DIV/0!</v>
      </c>
      <c r="BF497" s="2" t="e">
        <f t="shared" si="206"/>
        <v>#DIV/0!</v>
      </c>
      <c r="BG497" s="3" t="e">
        <f>IF('Entrada e Saida'!$H$11="TRADING",AV497/D497,AN497/D497)</f>
        <v>#DIV/0!</v>
      </c>
      <c r="BH497" s="3" t="e">
        <f>IF('Entrada e Saida'!$H$11="TRADING",IF('Entrada e Saida'!$H$12="REAL",AR497/D497,0),AL497/D497)</f>
        <v>#DIV/0!</v>
      </c>
      <c r="BI497" s="3" t="e">
        <f>IF('Entrada e Saida'!$H$11="TRADING",IF('Entrada e Saida'!$H$12="REAL",AS497/D497,0),AM497/D497)</f>
        <v>#DIV/0!</v>
      </c>
      <c r="BJ497" s="3" t="e">
        <f>IF('Entrada e Saida'!$H$11="TRADING",AT497/D497,AO497/D497)</f>
        <v>#DIV/0!</v>
      </c>
      <c r="BK497" s="2" t="e">
        <f t="shared" si="207"/>
        <v>#DIV/0!</v>
      </c>
      <c r="BL497" s="2">
        <f>IF(O497&gt;0,IFERROR(IF('Entrada e Saida'!$H$11="DIRETA",0,(IF('Entrada e Saida'!$H$14="P.JURIDICA",(BD497*(1+O497)*N497)-((BD497/(1+M497))*'Entrada e Saida'!$G$65),((Produtos!N497-'Entrada e Saida'!$G$65)*Produtos!BD497)))),0),0)</f>
        <v>0</v>
      </c>
      <c r="BM497" s="2" t="e">
        <f t="shared" si="208"/>
        <v>#DIV/0!</v>
      </c>
    </row>
    <row r="498" spans="1:65" s="1" customFormat="1">
      <c r="A498" s="127"/>
      <c r="B498" s="114">
        <f>IFERROR(VLOOKUP(A498,'Master Modelo'!A:I,7,FALSE),0)</f>
        <v>0</v>
      </c>
      <c r="C498" s="116">
        <f>IFERROR(VLOOKUP(A498,'Master Modelo'!A:I,2,FALSE),0)</f>
        <v>0</v>
      </c>
      <c r="D498" s="146"/>
      <c r="E498" s="115">
        <f>IFERROR(VLOOKUP(A498,'Master Modelo'!A:I,9,FALSE),0)</f>
        <v>0</v>
      </c>
      <c r="F498" s="189">
        <f>IFERROR(VLOOKUP(A498,'Master Modelo'!A:I,8,FALSE),0)</f>
        <v>0</v>
      </c>
      <c r="G498" s="189">
        <f>IFERROR(VLOOKUP(A498,'Master Modelo'!A:K,11,FALSE),0)</f>
        <v>0</v>
      </c>
      <c r="H498" s="114" t="e">
        <f t="shared" si="191"/>
        <v>#DIV/0!</v>
      </c>
      <c r="I498" s="150">
        <f>IFERROR(VLOOKUP(A498,'Master Modelo'!A:I,3,FALSE),0)</f>
        <v>0</v>
      </c>
      <c r="J498" s="151">
        <f>IFERROR(VLOOKUP(A498,'Master Modelo'!A:I,5,FALSE),0)</f>
        <v>0</v>
      </c>
      <c r="K498" s="151">
        <f>IFERROR(VLOOKUP(A498,'Master Modelo'!A:I,6,FALSE),0)</f>
        <v>0</v>
      </c>
      <c r="L498" s="152" t="e">
        <f>VLOOKUP(A498,'Master Modelo'!A:J,10,FALSE)</f>
        <v>#N/A</v>
      </c>
      <c r="M498" s="150">
        <f>IFERROR(VLOOKUP(A498,'Master Modelo'!A:I,4,FALSE),0)</f>
        <v>0</v>
      </c>
      <c r="N498" s="128"/>
      <c r="O498" s="129"/>
      <c r="P498" s="9">
        <f t="shared" si="192"/>
        <v>0</v>
      </c>
      <c r="Q498" s="177">
        <f t="shared" si="190"/>
        <v>0</v>
      </c>
      <c r="R498" s="3">
        <f>D498*E498*'Entrada e Saida'!$K$8</f>
        <v>0</v>
      </c>
      <c r="S498" s="179" t="e">
        <f>'Entrada e Saida'!$H$21*'Entrada e Saida'!$K$8*(P498/(SUM(P:P)))</f>
        <v>#DIV/0!</v>
      </c>
      <c r="T498" s="179" t="e">
        <f>'Entrada e Saida'!$H$21*'Entrada e Saida'!$K$8*(Q498/(SUM(Q:Q)))</f>
        <v>#DIV/0!</v>
      </c>
      <c r="U498" s="179" t="e">
        <f>'Entrada e Saida'!$H$22*(P498/(SUM(P:P)))</f>
        <v>#DIV/0!</v>
      </c>
      <c r="V498" s="179" t="e">
        <f>'Entrada e Saida'!$H$22*(Q498/(SUM(Q:Q)))</f>
        <v>#DIV/0!</v>
      </c>
      <c r="W498" s="8" t="e">
        <f t="shared" si="193"/>
        <v>#DIV/0!</v>
      </c>
      <c r="X498" s="179" t="e">
        <f>'Entrada e Saida'!$H$26*(IF('Entrada e Saida'!$H$15="PESO",(P498/(SUM(P:P))),(Q498/(SUM(Q:Q)))))</f>
        <v>#DIV/0!</v>
      </c>
      <c r="Y498" s="179" t="e">
        <f>'Entrada e Saida'!$H$27*(IF('Entrada e Saida'!$H$15="PESO",(P498/(SUM(P:P))),(Q498/(SUM(Q:Q)))))</f>
        <v>#DIV/0!</v>
      </c>
      <c r="Z498" s="179" t="e">
        <f>'Entrada e Saida'!$H$28*(IF('Entrada e Saida'!$H$15="PESO",(P498/(SUM(P:P))),(Q498/(SUM(Q:Q)))))</f>
        <v>#DIV/0!</v>
      </c>
      <c r="AA498" s="10" t="e">
        <f t="shared" si="194"/>
        <v>#DIV/0!</v>
      </c>
      <c r="AB498" s="3" t="e">
        <f t="shared" si="195"/>
        <v>#DIV/0!</v>
      </c>
      <c r="AC498" s="3" t="e">
        <f t="shared" si="196"/>
        <v>#DIV/0!</v>
      </c>
      <c r="AD498" s="3" t="e">
        <f t="shared" si="197"/>
        <v>#DIV/0!</v>
      </c>
      <c r="AE498" s="9" t="e">
        <f t="shared" si="198"/>
        <v>#DIV/0!</v>
      </c>
      <c r="AF498" s="126">
        <f>IFERROR(D498*F498*L498*'Entrada e Saida'!$K$8,0)</f>
        <v>0</v>
      </c>
      <c r="AG498" s="3" t="e">
        <f>((W498+AA498+AB498+AC498+AD498+AE498+AF498)/(1-'Entrada e Saida'!$G$65))*'Entrada e Saida'!$I$66</f>
        <v>#DIV/0!</v>
      </c>
      <c r="AH498" s="8" t="e">
        <f t="shared" si="199"/>
        <v>#DIV/0!</v>
      </c>
      <c r="AI498" s="183" t="e">
        <f>'Entrada e Saida'!$K$51*(IF('Entrada e Saida'!$H$15="PESO",(P498/(SUM(P:P))),(Q498/(SUM(Q:Q)))))</f>
        <v>#DIV/0!</v>
      </c>
      <c r="AJ498" s="7">
        <f>(('Entrada e Saida'!$K$10-'Entrada e Saida'!$K$8)*E498*D498)</f>
        <v>0</v>
      </c>
      <c r="AK498" s="184" t="e">
        <f>IF('Entrada e Saida'!$H$15="PESO",W498+AA498+AH498+AI498+AJ498,W498+AA498+AH498+AI498+AJ498-S498+T498-U498+V498)</f>
        <v>#DIV/0!</v>
      </c>
      <c r="AL498" s="6" t="e">
        <f>IF('Entrada e Saida'!$H$12="REAL",AC498,0)</f>
        <v>#DIV/0!</v>
      </c>
      <c r="AM498" s="6" t="e">
        <f>IF('Entrada e Saida'!$H$12="REAL",AD498,0)</f>
        <v>#DIV/0!</v>
      </c>
      <c r="AN498" s="5" t="e">
        <f>IF('Entrada e Saida'!$H$13= "NÃO",AE498,0)</f>
        <v>#DIV/0!</v>
      </c>
      <c r="AO498" s="5" t="e">
        <f t="shared" si="200"/>
        <v>#DIV/0!</v>
      </c>
      <c r="AP498" s="4" t="e">
        <f t="shared" si="201"/>
        <v>#DIV/0!</v>
      </c>
      <c r="AQ498" s="3" t="e">
        <f>IF('Entrada e Saida'!$H$11="TRADING",AU498*'Custo Resumido'!D498,0)</f>
        <v>#DIV/0!</v>
      </c>
      <c r="AR498" s="3" t="e">
        <f>IF('Entrada e Saida'!$H$11="TRADING",AU498*'Entrada e Saida'!$G$63,0)</f>
        <v>#DIV/0!</v>
      </c>
      <c r="AS498" s="3" t="e">
        <f>IF('Entrada e Saida'!$H$11="TRADING",AU498*'Entrada e Saida'!$G$64,0)</f>
        <v>#DIV/0!</v>
      </c>
      <c r="AT498" s="3" t="e">
        <f>IF('Entrada e Saida'!$H$11="TRADING",AU498*'Entrada e Saida'!$G$65,0)</f>
        <v>#DIV/0!</v>
      </c>
      <c r="AU498" s="4" t="e">
        <f>IF('Entrada e Saida'!$H$11="TRADING",AP498/(1-(SUM('Entrada e Saida'!$G$63:$G$65)+'Custo Resumido'!D498)),0)</f>
        <v>#DIV/0!</v>
      </c>
      <c r="AV498" s="3" t="e">
        <f>IF('Entrada e Saida'!$H$13="NÃO",AU498*M498,0)</f>
        <v>#DIV/0!</v>
      </c>
      <c r="AW498" s="4" t="e">
        <f t="shared" si="202"/>
        <v>#DIV/0!</v>
      </c>
      <c r="AX498" s="3" t="e">
        <f>'Entrada e Saida'!$G$74*AU498</f>
        <v>#DIV/0!</v>
      </c>
      <c r="AY498" s="4" t="e">
        <f t="shared" si="203"/>
        <v>#DIV/0!</v>
      </c>
      <c r="AZ498" s="4" t="e">
        <f>AQ498+('Entrada e Saida'!$G$65-'Entrada e Saida'!$I$65)*AU498-AX498</f>
        <v>#DIV/0!</v>
      </c>
      <c r="BA498" s="3" t="e">
        <f>IF('Entrada e Saida'!$H$12="REAL",AZ498*'Entrada e Saida'!$G$81,AU498*'Entrada e Saida'!$G$81)</f>
        <v>#DIV/0!</v>
      </c>
      <c r="BB498" s="3" t="e">
        <f>IF('Entrada e Saida'!$H$12="REAL",AZ498*'Entrada e Saida'!$G$82,AU498*'Entrada e Saida'!$G$82)</f>
        <v>#DIV/0!</v>
      </c>
      <c r="BC498" s="4" t="e">
        <f t="shared" si="204"/>
        <v>#DIV/0!</v>
      </c>
      <c r="BD498" s="3" t="e">
        <f>IF('Entrada e Saida'!$H$11="TRADING",AW498/D498,AK498/D498)</f>
        <v>#DIV/0!</v>
      </c>
      <c r="BE498" s="3" t="e">
        <f t="shared" si="205"/>
        <v>#DIV/0!</v>
      </c>
      <c r="BF498" s="2" t="e">
        <f t="shared" si="206"/>
        <v>#DIV/0!</v>
      </c>
      <c r="BG498" s="3" t="e">
        <f>IF('Entrada e Saida'!$H$11="TRADING",AV498/D498,AN498/D498)</f>
        <v>#DIV/0!</v>
      </c>
      <c r="BH498" s="3" t="e">
        <f>IF('Entrada e Saida'!$H$11="TRADING",IF('Entrada e Saida'!$H$12="REAL",AR498/D498,0),AL498/D498)</f>
        <v>#DIV/0!</v>
      </c>
      <c r="BI498" s="3" t="e">
        <f>IF('Entrada e Saida'!$H$11="TRADING",IF('Entrada e Saida'!$H$12="REAL",AS498/D498,0),AM498/D498)</f>
        <v>#DIV/0!</v>
      </c>
      <c r="BJ498" s="3" t="e">
        <f>IF('Entrada e Saida'!$H$11="TRADING",AT498/D498,AO498/D498)</f>
        <v>#DIV/0!</v>
      </c>
      <c r="BK498" s="2" t="e">
        <f t="shared" si="207"/>
        <v>#DIV/0!</v>
      </c>
      <c r="BL498" s="2">
        <f>IF(O498&gt;0,IFERROR(IF('Entrada e Saida'!$H$11="DIRETA",0,(IF('Entrada e Saida'!$H$14="P.JURIDICA",(BD498*(1+O498)*N498)-((BD498/(1+M498))*'Entrada e Saida'!$G$65),((Produtos!N498-'Entrada e Saida'!$G$65)*Produtos!BD498)))),0),0)</f>
        <v>0</v>
      </c>
      <c r="BM498" s="2" t="e">
        <f t="shared" si="208"/>
        <v>#DIV/0!</v>
      </c>
    </row>
  </sheetData>
  <phoneticPr fontId="24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Q90"/>
  <sheetViews>
    <sheetView topLeftCell="A3" zoomScale="70" zoomScaleNormal="70" zoomScalePageLayoutView="70" workbookViewId="0">
      <selection activeCell="I67" sqref="I67"/>
    </sheetView>
  </sheetViews>
  <sheetFormatPr defaultColWidth="9.140625" defaultRowHeight="15.75"/>
  <cols>
    <col min="1" max="2" width="2.7109375" style="12" customWidth="1"/>
    <col min="3" max="3" width="9.140625" style="12"/>
    <col min="4" max="4" width="2.7109375" style="12" customWidth="1"/>
    <col min="5" max="5" width="50.7109375" style="12" customWidth="1"/>
    <col min="6" max="6" width="2.7109375" style="12" customWidth="1"/>
    <col min="7" max="7" width="16.7109375" style="12" customWidth="1"/>
    <col min="8" max="8" width="19.140625" style="12" bestFit="1" customWidth="1"/>
    <col min="9" max="9" width="16.7109375" style="12" customWidth="1"/>
    <col min="10" max="10" width="2.7109375" style="12" customWidth="1"/>
    <col min="11" max="11" width="19.140625" style="12" customWidth="1"/>
    <col min="12" max="12" width="2.7109375" style="12" customWidth="1"/>
    <col min="13" max="13" width="9.140625" style="12"/>
    <col min="14" max="14" width="17.85546875" style="212" bestFit="1" customWidth="1"/>
    <col min="15" max="15" width="15.42578125" style="212" bestFit="1" customWidth="1"/>
    <col min="16" max="16" width="13.42578125" style="212" bestFit="1" customWidth="1"/>
    <col min="17" max="17" width="13.5703125" style="212" bestFit="1" customWidth="1"/>
    <col min="18" max="16384" width="9.140625" style="12"/>
  </cols>
  <sheetData>
    <row r="1" spans="2:15" ht="16.5" thickBot="1"/>
    <row r="2" spans="2:15" ht="6" customHeight="1" thickTop="1">
      <c r="B2" s="13"/>
      <c r="C2" s="14"/>
      <c r="D2" s="14"/>
      <c r="E2" s="14"/>
      <c r="F2" s="14"/>
      <c r="G2" s="14"/>
      <c r="H2" s="14"/>
      <c r="I2" s="14"/>
      <c r="J2" s="14"/>
      <c r="K2" s="14"/>
      <c r="L2" s="15"/>
    </row>
    <row r="3" spans="2:15" ht="21">
      <c r="B3" s="16"/>
      <c r="C3" s="274" t="s">
        <v>51</v>
      </c>
      <c r="D3" s="275"/>
      <c r="E3" s="275"/>
      <c r="F3" s="275"/>
      <c r="G3" s="275"/>
      <c r="H3" s="275"/>
      <c r="I3" s="275"/>
      <c r="J3" s="275"/>
      <c r="K3" s="275"/>
      <c r="L3" s="17"/>
    </row>
    <row r="4" spans="2:15" ht="6" customHeight="1">
      <c r="B4" s="16"/>
      <c r="C4" s="18"/>
      <c r="D4" s="18"/>
      <c r="E4" s="18"/>
      <c r="F4" s="18"/>
      <c r="G4" s="18"/>
      <c r="H4" s="18"/>
      <c r="I4" s="18"/>
      <c r="J4" s="18"/>
      <c r="K4" s="18"/>
      <c r="L4" s="19"/>
    </row>
    <row r="5" spans="2:15" ht="15.75" customHeight="1">
      <c r="B5" s="16"/>
      <c r="C5" s="20"/>
      <c r="D5" s="21"/>
      <c r="E5" s="22"/>
      <c r="F5" s="18"/>
      <c r="G5" s="23" t="s">
        <v>50</v>
      </c>
      <c r="H5" s="24" t="s">
        <v>120</v>
      </c>
      <c r="I5" s="219"/>
      <c r="J5" s="24"/>
      <c r="K5" s="272" t="s">
        <v>125</v>
      </c>
      <c r="L5" s="19"/>
    </row>
    <row r="6" spans="2:15" ht="15.75" customHeight="1">
      <c r="B6" s="16"/>
      <c r="C6" s="25"/>
      <c r="E6" s="26"/>
      <c r="F6" s="18"/>
      <c r="G6" s="27" t="s">
        <v>49</v>
      </c>
      <c r="H6" s="276" t="s">
        <v>115</v>
      </c>
      <c r="I6" s="276"/>
      <c r="J6" s="28"/>
      <c r="K6" s="273"/>
      <c r="L6" s="19"/>
    </row>
    <row r="7" spans="2:15" ht="15.75" customHeight="1">
      <c r="B7" s="16"/>
      <c r="C7" s="25"/>
      <c r="E7" s="26"/>
      <c r="F7" s="18"/>
      <c r="G7" s="27" t="s">
        <v>48</v>
      </c>
      <c r="H7" s="205" t="s">
        <v>124</v>
      </c>
      <c r="I7" s="29"/>
      <c r="J7" s="28"/>
      <c r="K7" s="30" t="s">
        <v>91</v>
      </c>
      <c r="L7" s="19"/>
    </row>
    <row r="8" spans="2:15" ht="15.75" customHeight="1">
      <c r="B8" s="16"/>
      <c r="C8" s="25"/>
      <c r="E8" s="26"/>
      <c r="F8" s="18"/>
      <c r="G8" s="27" t="s">
        <v>85</v>
      </c>
      <c r="H8" s="31" t="s">
        <v>119</v>
      </c>
      <c r="I8" s="29"/>
      <c r="J8" s="28"/>
      <c r="K8" s="130">
        <v>5.2275</v>
      </c>
      <c r="L8" s="19"/>
    </row>
    <row r="9" spans="2:15" ht="15.75" customHeight="1">
      <c r="B9" s="16"/>
      <c r="C9" s="25"/>
      <c r="E9" s="26"/>
      <c r="F9" s="18"/>
      <c r="G9" s="27" t="s">
        <v>52</v>
      </c>
      <c r="H9" s="209">
        <f>SUM(Produtos!P:P)</f>
        <v>0</v>
      </c>
      <c r="I9" s="29"/>
      <c r="J9" s="28"/>
      <c r="K9" s="32" t="s">
        <v>92</v>
      </c>
      <c r="L9" s="19"/>
    </row>
    <row r="10" spans="2:15" ht="15.75" customHeight="1">
      <c r="B10" s="16"/>
      <c r="C10" s="25"/>
      <c r="E10" s="26"/>
      <c r="F10" s="18"/>
      <c r="G10" s="27" t="s">
        <v>53</v>
      </c>
      <c r="H10" s="118" t="e">
        <f>SUMPRODUCT(Produtos!D:D,Produtos!E:E)</f>
        <v>#N/A</v>
      </c>
      <c r="I10" s="29"/>
      <c r="J10" s="28"/>
      <c r="K10" s="130">
        <v>5.2275</v>
      </c>
      <c r="L10" s="19"/>
      <c r="N10" s="212" t="s">
        <v>121</v>
      </c>
      <c r="O10" s="212" t="s">
        <v>122</v>
      </c>
    </row>
    <row r="11" spans="2:15" ht="15.75" customHeight="1">
      <c r="B11" s="16"/>
      <c r="C11" s="25"/>
      <c r="E11" s="26"/>
      <c r="F11" s="18"/>
      <c r="G11" s="27" t="s">
        <v>84</v>
      </c>
      <c r="H11" s="131" t="s">
        <v>110</v>
      </c>
      <c r="I11" s="268"/>
      <c r="J11" s="268"/>
      <c r="K11" s="269"/>
      <c r="L11" s="19"/>
      <c r="N11" s="212">
        <v>13588.8</v>
      </c>
      <c r="O11" s="212">
        <v>1233</v>
      </c>
    </row>
    <row r="12" spans="2:15" ht="15.75" customHeight="1">
      <c r="B12" s="16"/>
      <c r="C12" s="25"/>
      <c r="E12" s="26"/>
      <c r="F12" s="18"/>
      <c r="G12" s="27" t="s">
        <v>87</v>
      </c>
      <c r="H12" s="131" t="s">
        <v>127</v>
      </c>
      <c r="I12" s="268"/>
      <c r="J12" s="268"/>
      <c r="K12" s="269"/>
      <c r="L12" s="19"/>
      <c r="N12" s="259">
        <f>N11-H9</f>
        <v>13588.8</v>
      </c>
    </row>
    <row r="13" spans="2:15" ht="15.75" customHeight="1">
      <c r="B13" s="16"/>
      <c r="C13" s="25"/>
      <c r="E13" s="26"/>
      <c r="F13" s="18"/>
      <c r="G13" s="27" t="s">
        <v>86</v>
      </c>
      <c r="H13" s="132" t="s">
        <v>111</v>
      </c>
      <c r="I13" s="268"/>
      <c r="J13" s="268"/>
      <c r="K13" s="269"/>
      <c r="L13" s="19"/>
      <c r="N13" s="212">
        <f>N12/O11</f>
        <v>11.020924574209245</v>
      </c>
    </row>
    <row r="14" spans="2:15" ht="15.75" customHeight="1">
      <c r="B14" s="16"/>
      <c r="C14" s="25"/>
      <c r="E14" s="26"/>
      <c r="F14" s="18"/>
      <c r="G14" s="27" t="s">
        <v>96</v>
      </c>
      <c r="H14" s="132" t="s">
        <v>100</v>
      </c>
      <c r="I14" s="268"/>
      <c r="J14" s="268"/>
      <c r="K14" s="269"/>
      <c r="L14" s="19"/>
    </row>
    <row r="15" spans="2:15" ht="15.75" customHeight="1">
      <c r="B15" s="16"/>
      <c r="C15" s="33"/>
      <c r="D15" s="34"/>
      <c r="E15" s="35"/>
      <c r="F15" s="18"/>
      <c r="G15" s="36" t="s">
        <v>103</v>
      </c>
      <c r="H15" s="190" t="s">
        <v>112</v>
      </c>
      <c r="I15" s="270"/>
      <c r="J15" s="270"/>
      <c r="K15" s="271"/>
      <c r="L15" s="19"/>
    </row>
    <row r="16" spans="2:15" ht="6" customHeight="1">
      <c r="B16" s="37"/>
      <c r="C16" s="38"/>
      <c r="D16" s="38"/>
      <c r="E16" s="38"/>
      <c r="F16" s="39"/>
      <c r="G16" s="39"/>
      <c r="H16" s="39"/>
      <c r="I16" s="39"/>
      <c r="J16" s="39"/>
      <c r="K16" s="39"/>
      <c r="L16" s="19"/>
    </row>
    <row r="17" spans="2:15" ht="18.75">
      <c r="B17" s="16"/>
      <c r="C17" s="18"/>
      <c r="D17" s="18"/>
      <c r="E17" s="277" t="s">
        <v>54</v>
      </c>
      <c r="F17" s="18"/>
      <c r="G17" s="279" t="s">
        <v>55</v>
      </c>
      <c r="H17" s="280"/>
      <c r="I17" s="281"/>
      <c r="J17" s="18"/>
      <c r="K17" s="277" t="s">
        <v>56</v>
      </c>
      <c r="L17" s="19"/>
      <c r="M17" s="207"/>
    </row>
    <row r="18" spans="2:15" ht="17.25" customHeight="1">
      <c r="B18" s="16"/>
      <c r="C18" s="18"/>
      <c r="D18" s="18"/>
      <c r="E18" s="278"/>
      <c r="F18" s="18"/>
      <c r="G18" s="40" t="s">
        <v>57</v>
      </c>
      <c r="H18" s="41" t="s">
        <v>58</v>
      </c>
      <c r="I18" s="42" t="s">
        <v>59</v>
      </c>
      <c r="J18" s="18"/>
      <c r="K18" s="278"/>
      <c r="L18" s="19"/>
      <c r="M18" s="207"/>
    </row>
    <row r="19" spans="2:15" ht="6" customHeight="1">
      <c r="B19" s="16"/>
      <c r="C19" s="18"/>
      <c r="D19" s="18"/>
      <c r="E19" s="18"/>
      <c r="F19" s="18"/>
      <c r="G19" s="18"/>
      <c r="H19" s="18"/>
      <c r="I19" s="18"/>
      <c r="J19" s="18"/>
      <c r="K19" s="18"/>
      <c r="L19" s="19"/>
      <c r="M19" s="207"/>
    </row>
    <row r="20" spans="2:15" ht="15.75" customHeight="1">
      <c r="B20" s="16"/>
      <c r="C20" s="265" t="s">
        <v>60</v>
      </c>
      <c r="D20" s="18"/>
      <c r="E20" s="43" t="s">
        <v>61</v>
      </c>
      <c r="F20" s="18"/>
      <c r="G20" s="44"/>
      <c r="H20" s="45" t="e">
        <f>K20/I21</f>
        <v>#N/A</v>
      </c>
      <c r="I20" s="46"/>
      <c r="J20" s="18"/>
      <c r="K20" s="47" t="e">
        <f>SUM(Produtos!R:R)</f>
        <v>#N/A</v>
      </c>
      <c r="L20" s="19"/>
      <c r="M20" s="207"/>
      <c r="O20" s="213"/>
    </row>
    <row r="21" spans="2:15" ht="15.6" customHeight="1">
      <c r="B21" s="16"/>
      <c r="C21" s="266"/>
      <c r="D21" s="18"/>
      <c r="E21" s="48" t="s">
        <v>38</v>
      </c>
      <c r="F21" s="18"/>
      <c r="G21" s="108"/>
      <c r="H21" s="133">
        <v>1150</v>
      </c>
      <c r="I21" s="49">
        <f>K8</f>
        <v>5.2275</v>
      </c>
      <c r="J21" s="18"/>
      <c r="K21" s="50">
        <f>H21*I21</f>
        <v>6011.625</v>
      </c>
      <c r="L21" s="19"/>
      <c r="M21" s="207"/>
      <c r="N21" s="214"/>
      <c r="O21" s="213"/>
    </row>
    <row r="22" spans="2:15" ht="15.6" customHeight="1">
      <c r="B22" s="16"/>
      <c r="C22" s="266"/>
      <c r="D22" s="18"/>
      <c r="E22" s="51" t="s">
        <v>114</v>
      </c>
      <c r="F22" s="18"/>
      <c r="G22" s="109"/>
      <c r="H22" s="134">
        <v>0</v>
      </c>
      <c r="I22" s="110"/>
      <c r="J22" s="18"/>
      <c r="K22" s="50">
        <f>H22</f>
        <v>0</v>
      </c>
      <c r="L22" s="19"/>
      <c r="M22" s="207"/>
      <c r="O22" s="213"/>
    </row>
    <row r="23" spans="2:15" ht="6" customHeight="1">
      <c r="B23" s="16"/>
      <c r="C23" s="267"/>
      <c r="D23" s="18"/>
      <c r="E23" s="18"/>
      <c r="F23" s="18"/>
      <c r="G23" s="18"/>
      <c r="H23" s="18"/>
      <c r="I23" s="18"/>
      <c r="J23" s="18"/>
      <c r="K23" s="18"/>
      <c r="L23" s="19"/>
      <c r="M23" s="207"/>
      <c r="O23" s="213"/>
    </row>
    <row r="24" spans="2:15" ht="15.6" customHeight="1">
      <c r="B24" s="16"/>
      <c r="C24" s="18"/>
      <c r="D24" s="18"/>
      <c r="E24" s="52" t="s">
        <v>37</v>
      </c>
      <c r="F24" s="53"/>
      <c r="G24" s="54"/>
      <c r="H24" s="55"/>
      <c r="I24" s="56"/>
      <c r="J24" s="53"/>
      <c r="K24" s="57" t="e">
        <f>SUM(K20:K22)</f>
        <v>#N/A</v>
      </c>
      <c r="L24" s="58"/>
      <c r="M24" s="207"/>
      <c r="N24" s="215"/>
      <c r="O24" s="213"/>
    </row>
    <row r="25" spans="2:15" ht="6" customHeight="1">
      <c r="B25" s="16"/>
      <c r="C25" s="18"/>
      <c r="D25" s="18"/>
      <c r="E25" s="18"/>
      <c r="F25" s="18"/>
      <c r="G25" s="18"/>
      <c r="H25" s="18"/>
      <c r="I25" s="18"/>
      <c r="J25" s="18"/>
      <c r="K25" s="18"/>
      <c r="L25" s="19"/>
      <c r="M25" s="207"/>
      <c r="N25" s="215"/>
      <c r="O25" s="213"/>
    </row>
    <row r="26" spans="2:15" ht="15.6" customHeight="1">
      <c r="B26" s="16"/>
      <c r="C26" s="266"/>
      <c r="D26" s="18"/>
      <c r="E26" s="43" t="s">
        <v>36</v>
      </c>
      <c r="F26" s="18"/>
      <c r="G26" s="59"/>
      <c r="H26" s="260">
        <v>401.04</v>
      </c>
      <c r="I26" s="46"/>
      <c r="J26" s="18"/>
      <c r="K26" s="60">
        <f>H26</f>
        <v>401.04</v>
      </c>
      <c r="L26" s="19"/>
      <c r="M26" s="207"/>
      <c r="N26" s="215"/>
      <c r="O26" s="213"/>
    </row>
    <row r="27" spans="2:15" ht="15.6" customHeight="1">
      <c r="B27" s="16"/>
      <c r="C27" s="266"/>
      <c r="D27" s="18"/>
      <c r="E27" s="48" t="s">
        <v>47</v>
      </c>
      <c r="F27" s="18"/>
      <c r="G27" s="61"/>
      <c r="H27" s="135">
        <v>561.16</v>
      </c>
      <c r="I27" s="62"/>
      <c r="J27" s="18"/>
      <c r="K27" s="63">
        <f>H27</f>
        <v>561.16</v>
      </c>
      <c r="L27" s="19"/>
      <c r="M27" s="207"/>
      <c r="N27" s="215"/>
      <c r="O27" s="213"/>
    </row>
    <row r="28" spans="2:15">
      <c r="B28" s="16"/>
      <c r="C28" s="266"/>
      <c r="D28" s="18"/>
      <c r="E28" s="51" t="s">
        <v>34</v>
      </c>
      <c r="F28" s="18"/>
      <c r="G28" s="64"/>
      <c r="H28" s="136">
        <v>0</v>
      </c>
      <c r="I28" s="65"/>
      <c r="J28" s="18"/>
      <c r="K28" s="66">
        <v>0</v>
      </c>
      <c r="L28" s="19"/>
      <c r="N28" s="215"/>
      <c r="O28" s="213"/>
    </row>
    <row r="29" spans="2:15" ht="6" customHeight="1">
      <c r="B29" s="16"/>
      <c r="C29" s="267"/>
      <c r="D29" s="18"/>
      <c r="E29" s="18"/>
      <c r="F29" s="18"/>
      <c r="G29" s="67"/>
      <c r="H29" s="68"/>
      <c r="I29" s="69"/>
      <c r="J29" s="18"/>
      <c r="K29" s="68"/>
      <c r="L29" s="19"/>
      <c r="N29" s="215"/>
      <c r="O29" s="213"/>
    </row>
    <row r="30" spans="2:15">
      <c r="B30" s="16"/>
      <c r="C30" s="18"/>
      <c r="D30" s="18"/>
      <c r="E30" s="52" t="s">
        <v>33</v>
      </c>
      <c r="F30" s="53"/>
      <c r="G30" s="54"/>
      <c r="H30" s="55"/>
      <c r="I30" s="56"/>
      <c r="J30" s="53"/>
      <c r="K30" s="57">
        <f>SUM(K26:K28)</f>
        <v>962.2</v>
      </c>
      <c r="L30" s="19"/>
      <c r="N30" s="215"/>
      <c r="O30" s="213"/>
    </row>
    <row r="31" spans="2:15" ht="6" customHeight="1">
      <c r="B31" s="16"/>
      <c r="C31" s="18"/>
      <c r="D31" s="18"/>
      <c r="E31" s="18"/>
      <c r="F31" s="18"/>
      <c r="G31" s="18"/>
      <c r="H31" s="18"/>
      <c r="I31" s="18"/>
      <c r="J31" s="18"/>
      <c r="K31" s="18"/>
      <c r="L31" s="19"/>
      <c r="N31" s="215"/>
      <c r="O31" s="213"/>
    </row>
    <row r="32" spans="2:15">
      <c r="B32" s="16"/>
      <c r="C32" s="287" t="s">
        <v>62</v>
      </c>
      <c r="D32" s="18"/>
      <c r="E32" s="43" t="s">
        <v>63</v>
      </c>
      <c r="F32" s="18"/>
      <c r="G32" s="59"/>
      <c r="H32" s="45"/>
      <c r="I32" s="70"/>
      <c r="J32" s="18"/>
      <c r="K32" s="71" t="e">
        <f>SUM(Produtos!AB:AB)</f>
        <v>#N/A</v>
      </c>
      <c r="L32" s="19"/>
      <c r="N32" s="215"/>
      <c r="O32" s="213"/>
    </row>
    <row r="33" spans="2:15">
      <c r="B33" s="16"/>
      <c r="C33" s="288"/>
      <c r="D33" s="18"/>
      <c r="E33" s="48" t="s">
        <v>64</v>
      </c>
      <c r="F33" s="18"/>
      <c r="G33" s="61"/>
      <c r="H33" s="72"/>
      <c r="I33" s="73"/>
      <c r="J33" s="18"/>
      <c r="K33" s="74" t="e">
        <f>SUM(Produtos!AC:AC)</f>
        <v>#N/A</v>
      </c>
      <c r="L33" s="19"/>
      <c r="N33" s="215"/>
      <c r="O33" s="213"/>
    </row>
    <row r="34" spans="2:15">
      <c r="B34" s="16"/>
      <c r="C34" s="288"/>
      <c r="D34" s="18"/>
      <c r="E34" s="48" t="s">
        <v>65</v>
      </c>
      <c r="F34" s="18"/>
      <c r="G34" s="61"/>
      <c r="H34" s="72"/>
      <c r="I34" s="73"/>
      <c r="J34" s="18"/>
      <c r="K34" s="74" t="e">
        <f>SUM(Produtos!AD:AD)</f>
        <v>#N/A</v>
      </c>
      <c r="L34" s="19"/>
      <c r="N34" s="215"/>
      <c r="O34" s="213"/>
    </row>
    <row r="35" spans="2:15">
      <c r="B35" s="16"/>
      <c r="C35" s="288"/>
      <c r="D35" s="18"/>
      <c r="E35" s="48" t="s">
        <v>66</v>
      </c>
      <c r="F35" s="18"/>
      <c r="G35" s="61"/>
      <c r="H35" s="72"/>
      <c r="I35" s="73"/>
      <c r="J35" s="18"/>
      <c r="K35" s="74" t="e">
        <f>SUM(Produtos!AE:AE)</f>
        <v>#N/A</v>
      </c>
      <c r="L35" s="19"/>
      <c r="N35" s="215"/>
      <c r="O35" s="213"/>
    </row>
    <row r="36" spans="2:15">
      <c r="B36" s="16"/>
      <c r="C36" s="288"/>
      <c r="D36" s="18"/>
      <c r="E36" s="48" t="s">
        <v>94</v>
      </c>
      <c r="F36" s="18"/>
      <c r="G36" s="61"/>
      <c r="H36" s="72"/>
      <c r="I36" s="73"/>
      <c r="J36" s="18"/>
      <c r="K36" s="74">
        <f>SUM(Produtos!AF:AF)</f>
        <v>0</v>
      </c>
      <c r="L36" s="19"/>
      <c r="N36" s="215"/>
      <c r="O36" s="213"/>
    </row>
    <row r="37" spans="2:15">
      <c r="B37" s="16"/>
      <c r="C37" s="288"/>
      <c r="D37" s="18"/>
      <c r="E37" s="51" t="s">
        <v>67</v>
      </c>
      <c r="F37" s="18"/>
      <c r="G37" s="75"/>
      <c r="H37" s="123"/>
      <c r="I37" s="76"/>
      <c r="J37" s="18"/>
      <c r="K37" s="77" t="e">
        <f>SUM(Produtos!AG:AG)</f>
        <v>#N/A</v>
      </c>
      <c r="L37" s="19"/>
      <c r="N37" s="215"/>
      <c r="O37" s="213"/>
    </row>
    <row r="38" spans="2:15" ht="6" customHeight="1">
      <c r="B38" s="16"/>
      <c r="C38" s="289"/>
      <c r="D38" s="18"/>
      <c r="E38" s="18"/>
      <c r="F38" s="18"/>
      <c r="G38" s="18"/>
      <c r="H38" s="18"/>
      <c r="I38" s="18"/>
      <c r="J38" s="18"/>
      <c r="K38" s="18"/>
      <c r="L38" s="19"/>
      <c r="N38" s="215"/>
      <c r="O38" s="213"/>
    </row>
    <row r="39" spans="2:15">
      <c r="B39" s="16"/>
      <c r="C39" s="18"/>
      <c r="D39" s="18"/>
      <c r="E39" s="52" t="s">
        <v>27</v>
      </c>
      <c r="F39" s="53"/>
      <c r="G39" s="54"/>
      <c r="H39" s="55"/>
      <c r="I39" s="56"/>
      <c r="J39" s="53"/>
      <c r="K39" s="57" t="e">
        <f>SUM(K32:K37)</f>
        <v>#N/A</v>
      </c>
      <c r="L39" s="58"/>
      <c r="N39" s="215"/>
      <c r="O39" s="213"/>
    </row>
    <row r="40" spans="2:15" ht="6" customHeight="1">
      <c r="B40" s="16"/>
      <c r="C40" s="18"/>
      <c r="D40" s="18"/>
      <c r="E40" s="18"/>
      <c r="F40" s="18"/>
      <c r="G40" s="18"/>
      <c r="H40" s="18"/>
      <c r="I40" s="18"/>
      <c r="J40" s="18"/>
      <c r="K40" s="18"/>
      <c r="L40" s="19"/>
      <c r="N40" s="215"/>
      <c r="O40" s="213"/>
    </row>
    <row r="41" spans="2:15">
      <c r="B41" s="16"/>
      <c r="C41" s="290" t="s">
        <v>68</v>
      </c>
      <c r="D41" s="18"/>
      <c r="E41" s="43" t="s">
        <v>69</v>
      </c>
      <c r="F41" s="18"/>
      <c r="G41" s="78"/>
      <c r="H41" s="201">
        <v>6000</v>
      </c>
      <c r="I41" s="46"/>
      <c r="J41" s="18"/>
      <c r="K41" s="111">
        <f>H41</f>
        <v>6000</v>
      </c>
      <c r="L41" s="19"/>
      <c r="N41" s="215"/>
      <c r="O41" s="213"/>
    </row>
    <row r="42" spans="2:15">
      <c r="B42" s="16"/>
      <c r="C42" s="291"/>
      <c r="D42" s="18"/>
      <c r="E42" s="48" t="s">
        <v>90</v>
      </c>
      <c r="F42" s="18"/>
      <c r="G42" s="79"/>
      <c r="H42" s="137">
        <v>0</v>
      </c>
      <c r="I42" s="49"/>
      <c r="J42" s="18"/>
      <c r="K42" s="112">
        <f t="shared" ref="K42:K49" si="0">H42</f>
        <v>0</v>
      </c>
      <c r="L42" s="19"/>
      <c r="N42" s="215"/>
      <c r="O42" s="213"/>
    </row>
    <row r="43" spans="2:15">
      <c r="B43" s="16"/>
      <c r="C43" s="291"/>
      <c r="D43" s="18"/>
      <c r="E43" s="48" t="s">
        <v>70</v>
      </c>
      <c r="F43" s="18"/>
      <c r="G43" s="79"/>
      <c r="H43" s="137">
        <v>3400</v>
      </c>
      <c r="I43" s="49"/>
      <c r="J43" s="18"/>
      <c r="K43" s="112">
        <f t="shared" si="0"/>
        <v>3400</v>
      </c>
      <c r="L43" s="19"/>
      <c r="N43" s="215"/>
      <c r="O43" s="213"/>
    </row>
    <row r="44" spans="2:15">
      <c r="B44" s="16"/>
      <c r="C44" s="291"/>
      <c r="D44" s="18"/>
      <c r="E44" s="48" t="s">
        <v>123</v>
      </c>
      <c r="F44" s="18"/>
      <c r="G44" s="79"/>
      <c r="H44" s="137">
        <v>180</v>
      </c>
      <c r="I44" s="49"/>
      <c r="J44" s="18"/>
      <c r="K44" s="112">
        <f t="shared" si="0"/>
        <v>180</v>
      </c>
      <c r="L44" s="19"/>
      <c r="N44" s="215"/>
      <c r="O44" s="213"/>
    </row>
    <row r="45" spans="2:15">
      <c r="B45" s="16"/>
      <c r="C45" s="291"/>
      <c r="D45" s="18"/>
      <c r="E45" s="48" t="s">
        <v>71</v>
      </c>
      <c r="F45" s="18"/>
      <c r="G45" s="79"/>
      <c r="H45" s="137">
        <v>2692.39</v>
      </c>
      <c r="I45" s="49"/>
      <c r="J45" s="18"/>
      <c r="K45" s="112">
        <f t="shared" si="0"/>
        <v>2692.39</v>
      </c>
      <c r="L45" s="19"/>
      <c r="N45" s="215"/>
      <c r="O45" s="213"/>
    </row>
    <row r="46" spans="2:15">
      <c r="B46" s="16"/>
      <c r="C46" s="291"/>
      <c r="D46" s="18"/>
      <c r="E46" s="48" t="s">
        <v>72</v>
      </c>
      <c r="F46" s="18"/>
      <c r="G46" s="79"/>
      <c r="H46" s="137">
        <v>400</v>
      </c>
      <c r="I46" s="49"/>
      <c r="J46" s="18"/>
      <c r="K46" s="112">
        <f t="shared" si="0"/>
        <v>400</v>
      </c>
      <c r="L46" s="19"/>
      <c r="N46" s="215"/>
      <c r="O46" s="213"/>
    </row>
    <row r="47" spans="2:15">
      <c r="B47" s="16"/>
      <c r="C47" s="291"/>
      <c r="D47" s="18"/>
      <c r="E47" s="48" t="s">
        <v>113</v>
      </c>
      <c r="F47" s="18"/>
      <c r="G47" s="79"/>
      <c r="H47" s="137">
        <v>0</v>
      </c>
      <c r="I47" s="49"/>
      <c r="J47" s="18"/>
      <c r="K47" s="112">
        <f t="shared" si="0"/>
        <v>0</v>
      </c>
      <c r="L47" s="19"/>
      <c r="N47" s="215"/>
      <c r="O47" s="213"/>
    </row>
    <row r="48" spans="2:15">
      <c r="B48" s="16"/>
      <c r="C48" s="291"/>
      <c r="D48" s="18"/>
      <c r="E48" s="48" t="s">
        <v>73</v>
      </c>
      <c r="F48" s="18"/>
      <c r="G48" s="79"/>
      <c r="H48" s="137">
        <v>400</v>
      </c>
      <c r="I48" s="49"/>
      <c r="J48" s="18"/>
      <c r="K48" s="112">
        <f t="shared" si="0"/>
        <v>400</v>
      </c>
      <c r="L48" s="19"/>
      <c r="N48" s="215"/>
      <c r="O48" s="213"/>
    </row>
    <row r="49" spans="2:15">
      <c r="B49" s="16"/>
      <c r="C49" s="291"/>
      <c r="D49" s="18"/>
      <c r="E49" s="51" t="s">
        <v>74</v>
      </c>
      <c r="F49" s="18"/>
      <c r="G49" s="80"/>
      <c r="H49" s="138">
        <v>8000</v>
      </c>
      <c r="I49" s="65"/>
      <c r="J49" s="18"/>
      <c r="K49" s="113">
        <f t="shared" si="0"/>
        <v>8000</v>
      </c>
      <c r="L49" s="19"/>
      <c r="N49" s="215"/>
      <c r="O49" s="213"/>
    </row>
    <row r="50" spans="2:15" ht="6" customHeight="1">
      <c r="B50" s="16"/>
      <c r="C50" s="292"/>
      <c r="D50" s="18"/>
      <c r="E50" s="18"/>
      <c r="F50" s="18"/>
      <c r="G50" s="18"/>
      <c r="H50" s="117"/>
      <c r="I50" s="18"/>
      <c r="J50" s="18"/>
      <c r="K50" s="18"/>
      <c r="L50" s="19"/>
      <c r="N50" s="215"/>
      <c r="O50" s="213"/>
    </row>
    <row r="51" spans="2:15">
      <c r="B51" s="16"/>
      <c r="C51" s="18"/>
      <c r="D51" s="18"/>
      <c r="E51" s="52" t="s">
        <v>26</v>
      </c>
      <c r="F51" s="53"/>
      <c r="G51" s="54"/>
      <c r="H51" s="55"/>
      <c r="I51" s="56"/>
      <c r="J51" s="53"/>
      <c r="K51" s="57">
        <f>SUM(K41:K49)</f>
        <v>21072.39</v>
      </c>
      <c r="L51" s="58"/>
      <c r="N51" s="215"/>
      <c r="O51" s="213"/>
    </row>
    <row r="52" spans="2:15" ht="6" customHeight="1">
      <c r="B52" s="16"/>
      <c r="C52" s="18"/>
      <c r="D52" s="18"/>
      <c r="E52" s="18"/>
      <c r="F52" s="18"/>
      <c r="G52" s="18"/>
      <c r="H52" s="18"/>
      <c r="I52" s="18"/>
      <c r="J52" s="18"/>
      <c r="K52" s="18"/>
      <c r="L52" s="19"/>
      <c r="N52" s="215"/>
      <c r="O52" s="213"/>
    </row>
    <row r="53" spans="2:15">
      <c r="B53" s="16"/>
      <c r="C53" s="18"/>
      <c r="D53" s="18"/>
      <c r="E53" s="52" t="s">
        <v>93</v>
      </c>
      <c r="F53" s="53"/>
      <c r="G53" s="54"/>
      <c r="H53" s="55"/>
      <c r="I53" s="56"/>
      <c r="J53" s="53"/>
      <c r="K53" s="57" t="e">
        <f>SUM(Produtos!AJ:AJ)</f>
        <v>#N/A</v>
      </c>
      <c r="L53" s="58"/>
      <c r="N53" s="215"/>
      <c r="O53" s="213"/>
    </row>
    <row r="54" spans="2:15" ht="6" customHeight="1">
      <c r="B54" s="16"/>
      <c r="C54" s="18"/>
      <c r="D54" s="18"/>
      <c r="E54" s="18"/>
      <c r="F54" s="18"/>
      <c r="G54" s="18"/>
      <c r="H54" s="18"/>
      <c r="I54" s="18"/>
      <c r="J54" s="18"/>
      <c r="K54" s="18"/>
      <c r="L54" s="19"/>
      <c r="N54" s="215"/>
      <c r="O54" s="213"/>
    </row>
    <row r="55" spans="2:15">
      <c r="B55" s="16"/>
      <c r="C55" s="18"/>
      <c r="D55" s="18"/>
      <c r="E55" s="81" t="s">
        <v>25</v>
      </c>
      <c r="F55" s="53"/>
      <c r="G55" s="82"/>
      <c r="H55" s="83"/>
      <c r="I55" s="84"/>
      <c r="J55" s="53"/>
      <c r="K55" s="85" t="e">
        <f>K24+K30+K39+K51+K53</f>
        <v>#N/A</v>
      </c>
      <c r="L55" s="19"/>
      <c r="N55" s="215"/>
      <c r="O55" s="213"/>
    </row>
    <row r="56" spans="2:15" ht="6" customHeight="1">
      <c r="B56" s="16"/>
      <c r="C56" s="18"/>
      <c r="D56" s="18"/>
      <c r="E56" s="18"/>
      <c r="F56" s="18"/>
      <c r="G56" s="18"/>
      <c r="H56" s="18"/>
      <c r="I56" s="18"/>
      <c r="J56" s="18"/>
      <c r="K56" s="18"/>
      <c r="L56" s="19"/>
      <c r="N56" s="215"/>
      <c r="O56" s="213"/>
    </row>
    <row r="57" spans="2:15">
      <c r="B57" s="16"/>
      <c r="C57" s="287" t="s">
        <v>75</v>
      </c>
      <c r="D57" s="18"/>
      <c r="E57" s="43" t="s">
        <v>24</v>
      </c>
      <c r="F57" s="18"/>
      <c r="G57" s="86"/>
      <c r="H57" s="87"/>
      <c r="I57" s="88"/>
      <c r="J57" s="18"/>
      <c r="K57" s="71" t="e">
        <f>IF(H12="REAL",K33,0)</f>
        <v>#N/A</v>
      </c>
      <c r="L57" s="19"/>
      <c r="N57" s="215"/>
      <c r="O57" s="213"/>
    </row>
    <row r="58" spans="2:15">
      <c r="B58" s="16"/>
      <c r="C58" s="288"/>
      <c r="D58" s="18"/>
      <c r="E58" s="48" t="s">
        <v>23</v>
      </c>
      <c r="F58" s="18"/>
      <c r="G58" s="89"/>
      <c r="H58" s="90"/>
      <c r="I58" s="91"/>
      <c r="J58" s="18"/>
      <c r="K58" s="74" t="e">
        <f>IF(H12="REAL",K34,0)</f>
        <v>#N/A</v>
      </c>
      <c r="L58" s="19"/>
      <c r="N58" s="215"/>
      <c r="O58" s="213"/>
    </row>
    <row r="59" spans="2:15">
      <c r="B59" s="16"/>
      <c r="C59" s="288"/>
      <c r="D59" s="18"/>
      <c r="E59" s="48" t="s">
        <v>22</v>
      </c>
      <c r="F59" s="18"/>
      <c r="G59" s="89"/>
      <c r="H59" s="90"/>
      <c r="I59" s="91"/>
      <c r="J59" s="18"/>
      <c r="K59" s="74" t="e">
        <f>IF(H13= "NÃO",K35,0)</f>
        <v>#N/A</v>
      </c>
      <c r="L59" s="19"/>
      <c r="N59" s="215"/>
      <c r="O59" s="213"/>
    </row>
    <row r="60" spans="2:15">
      <c r="B60" s="16"/>
      <c r="C60" s="288"/>
      <c r="D60" s="18"/>
      <c r="E60" s="48" t="s">
        <v>21</v>
      </c>
      <c r="F60" s="18"/>
      <c r="G60" s="89"/>
      <c r="H60" s="90"/>
      <c r="I60" s="91"/>
      <c r="J60" s="18"/>
      <c r="K60" s="74" t="e">
        <f>K37</f>
        <v>#N/A</v>
      </c>
      <c r="L60" s="19"/>
      <c r="N60" s="215"/>
      <c r="O60" s="213"/>
    </row>
    <row r="61" spans="2:15">
      <c r="B61" s="16"/>
      <c r="C61" s="288"/>
      <c r="D61" s="18"/>
      <c r="E61" s="48" t="s">
        <v>20</v>
      </c>
      <c r="F61" s="18"/>
      <c r="G61" s="89"/>
      <c r="H61" s="90"/>
      <c r="I61" s="91"/>
      <c r="J61" s="18"/>
      <c r="K61" s="74" t="e">
        <f>K55-K57-K58-K59-K60</f>
        <v>#N/A</v>
      </c>
      <c r="L61" s="19"/>
      <c r="N61" s="215"/>
      <c r="O61" s="213"/>
    </row>
    <row r="62" spans="2:15">
      <c r="B62" s="16"/>
      <c r="C62" s="288"/>
      <c r="D62" s="18"/>
      <c r="E62" s="48" t="s">
        <v>19</v>
      </c>
      <c r="F62" s="18"/>
      <c r="G62" s="124" t="e">
        <f>K62/K67</f>
        <v>#N/A</v>
      </c>
      <c r="H62" s="90"/>
      <c r="I62" s="91"/>
      <c r="J62" s="18"/>
      <c r="K62" s="74" t="e">
        <f>SUM(Produtos!AQ:AQ)</f>
        <v>#N/A</v>
      </c>
      <c r="L62" s="19"/>
      <c r="N62" s="215"/>
      <c r="O62" s="213">
        <v>51951</v>
      </c>
    </row>
    <row r="63" spans="2:15">
      <c r="B63" s="16"/>
      <c r="C63" s="288"/>
      <c r="D63" s="18"/>
      <c r="E63" s="48" t="s">
        <v>18</v>
      </c>
      <c r="F63" s="18"/>
      <c r="G63" s="124">
        <f>IF(H12="REAL",1.65%,0.65%)</f>
        <v>1.6500000000000001E-2</v>
      </c>
      <c r="H63" s="90"/>
      <c r="I63" s="91"/>
      <c r="J63" s="18"/>
      <c r="K63" s="74" t="e">
        <f>SUM(Produtos!AR:AR)</f>
        <v>#N/A</v>
      </c>
      <c r="L63" s="19"/>
      <c r="N63" s="215"/>
      <c r="O63" s="213"/>
    </row>
    <row r="64" spans="2:15">
      <c r="B64" s="16"/>
      <c r="C64" s="288"/>
      <c r="D64" s="18"/>
      <c r="E64" s="48" t="s">
        <v>17</v>
      </c>
      <c r="F64" s="18"/>
      <c r="G64" s="124">
        <f>IF(H12="REAL",7.6%,3%)</f>
        <v>7.5999999999999998E-2</v>
      </c>
      <c r="H64" s="90"/>
      <c r="I64" s="91"/>
      <c r="J64" s="18"/>
      <c r="K64" s="74" t="e">
        <f>SUM(Produtos!AS:AS)</f>
        <v>#N/A</v>
      </c>
      <c r="L64" s="19"/>
      <c r="N64" s="215"/>
      <c r="O64" s="213" t="e">
        <f>K63+K64+K65+K68</f>
        <v>#N/A</v>
      </c>
    </row>
    <row r="65" spans="2:15">
      <c r="B65" s="16"/>
      <c r="C65" s="288"/>
      <c r="D65" s="18"/>
      <c r="E65" s="48" t="s">
        <v>16</v>
      </c>
      <c r="F65" s="18"/>
      <c r="G65" s="139">
        <v>0.04</v>
      </c>
      <c r="H65" s="125" t="s">
        <v>97</v>
      </c>
      <c r="I65" s="140">
        <v>0.04</v>
      </c>
      <c r="J65" s="18"/>
      <c r="K65" s="74" t="e">
        <f>SUM(Produtos!AT:AT)</f>
        <v>#N/A</v>
      </c>
      <c r="L65" s="19"/>
      <c r="N65" s="215"/>
      <c r="O65" s="213" t="e">
        <f>O64-O62</f>
        <v>#N/A</v>
      </c>
    </row>
    <row r="66" spans="2:15">
      <c r="B66" s="16"/>
      <c r="C66" s="288"/>
      <c r="D66" s="18"/>
      <c r="E66" s="48"/>
      <c r="F66" s="18"/>
      <c r="G66" s="124"/>
      <c r="H66" s="125" t="s">
        <v>98</v>
      </c>
      <c r="I66" s="140">
        <v>0.04</v>
      </c>
      <c r="J66" s="18"/>
      <c r="K66" s="74"/>
      <c r="L66" s="19"/>
      <c r="N66" s="215"/>
      <c r="O66" s="213"/>
    </row>
    <row r="67" spans="2:15">
      <c r="B67" s="16"/>
      <c r="C67" s="288"/>
      <c r="D67" s="18"/>
      <c r="E67" s="48" t="s">
        <v>15</v>
      </c>
      <c r="F67" s="18"/>
      <c r="G67" s="89"/>
      <c r="H67" s="90"/>
      <c r="I67" s="91"/>
      <c r="J67" s="18"/>
      <c r="K67" s="74" t="e">
        <f>SUM(K61:K65)</f>
        <v>#N/A</v>
      </c>
      <c r="L67" s="19"/>
      <c r="N67" s="215"/>
      <c r="O67" s="213"/>
    </row>
    <row r="68" spans="2:15">
      <c r="B68" s="16"/>
      <c r="C68" s="288"/>
      <c r="D68" s="18"/>
      <c r="E68" s="48" t="s">
        <v>14</v>
      </c>
      <c r="F68" s="18"/>
      <c r="G68" s="92"/>
      <c r="H68" s="90"/>
      <c r="I68" s="91"/>
      <c r="J68" s="18"/>
      <c r="K68" s="74" t="e">
        <f>SUM(Produtos!AV:AV)</f>
        <v>#N/A</v>
      </c>
      <c r="L68" s="19"/>
      <c r="N68" s="215"/>
      <c r="O68" s="213"/>
    </row>
    <row r="69" spans="2:15">
      <c r="B69" s="16"/>
      <c r="C69" s="288"/>
      <c r="D69" s="18"/>
      <c r="E69" s="51"/>
      <c r="F69" s="18"/>
      <c r="G69" s="93"/>
      <c r="H69" s="94"/>
      <c r="I69" s="95"/>
      <c r="J69" s="18"/>
      <c r="K69" s="77"/>
      <c r="L69" s="19"/>
      <c r="N69" s="215"/>
      <c r="O69" s="213"/>
    </row>
    <row r="70" spans="2:15" ht="6" customHeight="1">
      <c r="B70" s="16"/>
      <c r="C70" s="289"/>
      <c r="D70" s="18"/>
      <c r="E70" s="96"/>
      <c r="F70" s="18"/>
      <c r="G70" s="96"/>
      <c r="H70" s="96"/>
      <c r="I70" s="96"/>
      <c r="J70" s="18"/>
      <c r="K70" s="96"/>
      <c r="L70" s="19"/>
      <c r="N70" s="215"/>
      <c r="O70" s="213"/>
    </row>
    <row r="71" spans="2:15">
      <c r="B71" s="16"/>
      <c r="C71" s="18"/>
      <c r="D71" s="18"/>
      <c r="E71" s="82" t="s">
        <v>82</v>
      </c>
      <c r="F71" s="83"/>
      <c r="G71" s="83"/>
      <c r="H71" s="83"/>
      <c r="I71" s="83"/>
      <c r="J71" s="83"/>
      <c r="K71" s="97" t="e">
        <f>IF(H11="DIRETA",K55,SUM(K67:K69))</f>
        <v>#N/A</v>
      </c>
      <c r="L71" s="19"/>
      <c r="N71" s="215"/>
      <c r="O71" s="213"/>
    </row>
    <row r="72" spans="2:15" ht="6" customHeight="1" thickBot="1">
      <c r="B72" s="98"/>
      <c r="C72" s="99"/>
      <c r="D72" s="99"/>
      <c r="E72" s="99"/>
      <c r="F72" s="99"/>
      <c r="G72" s="99"/>
      <c r="H72" s="99"/>
      <c r="I72" s="99"/>
      <c r="J72" s="99"/>
      <c r="K72" s="99"/>
      <c r="L72" s="100"/>
      <c r="N72" s="215"/>
      <c r="O72" s="213"/>
    </row>
    <row r="73" spans="2:15" ht="6" customHeight="1" thickTop="1">
      <c r="B73" s="16"/>
      <c r="C73" s="18"/>
      <c r="D73" s="18"/>
      <c r="E73" s="96"/>
      <c r="F73" s="18"/>
      <c r="G73" s="96"/>
      <c r="H73" s="96"/>
      <c r="I73" s="96"/>
      <c r="J73" s="18"/>
      <c r="K73" s="96"/>
      <c r="L73" s="19"/>
      <c r="N73" s="215"/>
      <c r="O73" s="213"/>
    </row>
    <row r="74" spans="2:15">
      <c r="B74" s="16"/>
      <c r="C74" s="18"/>
      <c r="D74" s="18"/>
      <c r="E74" s="51" t="s">
        <v>99</v>
      </c>
      <c r="F74" s="18"/>
      <c r="G74" s="141">
        <v>0</v>
      </c>
      <c r="H74" s="94"/>
      <c r="I74" s="95"/>
      <c r="J74" s="18"/>
      <c r="K74" s="77" t="e">
        <f>SUM(Produtos!AX:AX)</f>
        <v>#N/A</v>
      </c>
      <c r="L74" s="19"/>
      <c r="N74" s="215"/>
      <c r="O74" s="213"/>
    </row>
    <row r="75" spans="2:15" ht="6" customHeight="1">
      <c r="B75" s="16"/>
      <c r="C75" s="18"/>
      <c r="D75" s="18"/>
      <c r="E75" s="96"/>
      <c r="F75" s="18"/>
      <c r="G75" s="96"/>
      <c r="H75" s="96"/>
      <c r="I75" s="96"/>
      <c r="J75" s="18"/>
      <c r="K75" s="96"/>
      <c r="L75" s="19"/>
      <c r="N75" s="215"/>
      <c r="O75" s="213"/>
    </row>
    <row r="76" spans="2:15">
      <c r="B76" s="16"/>
      <c r="C76" s="18"/>
      <c r="D76" s="18"/>
      <c r="E76" s="82" t="s">
        <v>76</v>
      </c>
      <c r="F76" s="83"/>
      <c r="G76" s="83"/>
      <c r="H76" s="83"/>
      <c r="I76" s="83"/>
      <c r="J76" s="83"/>
      <c r="K76" s="97" t="e">
        <f>K71-K74</f>
        <v>#N/A</v>
      </c>
      <c r="L76" s="19"/>
      <c r="N76" s="215"/>
      <c r="O76" s="213"/>
    </row>
    <row r="77" spans="2:15">
      <c r="B77" s="16"/>
      <c r="C77" s="18"/>
      <c r="D77" s="18"/>
      <c r="E77" s="121" t="s">
        <v>95</v>
      </c>
      <c r="F77" s="121"/>
      <c r="G77" s="121"/>
      <c r="H77" s="121"/>
      <c r="I77" s="121"/>
      <c r="J77" s="121"/>
      <c r="K77" s="122">
        <f>SUMPRODUCT(Produtos!BL:BL,Produtos!D:D)</f>
        <v>0</v>
      </c>
      <c r="L77" s="19"/>
      <c r="N77" s="215"/>
      <c r="O77" s="213"/>
    </row>
    <row r="78" spans="2:15" ht="6.75" customHeight="1" thickBot="1">
      <c r="B78" s="98"/>
      <c r="C78" s="99"/>
      <c r="D78" s="99"/>
      <c r="E78" s="99"/>
      <c r="F78" s="99"/>
      <c r="G78" s="99"/>
      <c r="H78" s="99"/>
      <c r="I78" s="99"/>
      <c r="J78" s="99"/>
      <c r="K78" s="99"/>
      <c r="L78" s="100"/>
      <c r="O78" s="213"/>
    </row>
    <row r="79" spans="2:15" ht="6" customHeight="1" thickTop="1">
      <c r="B79" s="16"/>
      <c r="C79" s="18"/>
      <c r="D79" s="18"/>
      <c r="E79" s="96"/>
      <c r="F79" s="18"/>
      <c r="G79" s="96"/>
      <c r="H79" s="96"/>
      <c r="I79" s="96"/>
      <c r="J79" s="18"/>
      <c r="K79" s="96"/>
      <c r="L79" s="19"/>
      <c r="O79" s="213"/>
    </row>
    <row r="80" spans="2:15">
      <c r="B80" s="16"/>
      <c r="C80" s="18"/>
      <c r="D80" s="18"/>
      <c r="E80" s="82" t="s">
        <v>10</v>
      </c>
      <c r="F80" s="83"/>
      <c r="G80" s="83"/>
      <c r="H80" s="83"/>
      <c r="I80" s="83"/>
      <c r="J80" s="83"/>
      <c r="K80" s="97" t="e">
        <f>SUM(Produtos!AZ:AZ)</f>
        <v>#N/A</v>
      </c>
      <c r="L80" s="19"/>
      <c r="O80" s="213"/>
    </row>
    <row r="81" spans="2:17">
      <c r="B81" s="16"/>
      <c r="C81" s="18"/>
      <c r="D81" s="18"/>
      <c r="E81" s="12" t="s">
        <v>9</v>
      </c>
      <c r="F81" s="18"/>
      <c r="G81" s="119">
        <f>IF(H12="REAL",25%,2%)</f>
        <v>0.25</v>
      </c>
      <c r="J81" s="18"/>
      <c r="K81" s="101" t="e">
        <f>SUM(Produtos!BA:BA)</f>
        <v>#N/A</v>
      </c>
      <c r="L81" s="19"/>
      <c r="N81" s="214"/>
      <c r="O81" s="213"/>
      <c r="P81" s="214"/>
      <c r="Q81" s="214"/>
    </row>
    <row r="82" spans="2:17" ht="16.5" thickBot="1">
      <c r="B82" s="98"/>
      <c r="C82" s="99"/>
      <c r="D82" s="99"/>
      <c r="E82" s="102" t="s">
        <v>8</v>
      </c>
      <c r="F82" s="99"/>
      <c r="G82" s="120">
        <f>IF(H12="REAL",9%,1.08%)</f>
        <v>0.09</v>
      </c>
      <c r="H82" s="102"/>
      <c r="I82" s="102"/>
      <c r="J82" s="99"/>
      <c r="K82" s="103" t="e">
        <f>SUM(Produtos!BB:BB)</f>
        <v>#N/A</v>
      </c>
      <c r="L82" s="100"/>
      <c r="O82" s="213"/>
      <c r="Q82" s="216"/>
    </row>
    <row r="83" spans="2:17" ht="16.5" thickTop="1">
      <c r="B83" s="16"/>
      <c r="C83" s="18"/>
      <c r="D83" s="18"/>
      <c r="E83" s="96"/>
      <c r="F83" s="18"/>
      <c r="G83" s="96"/>
      <c r="H83" s="96"/>
      <c r="I83" s="96"/>
      <c r="J83" s="18"/>
      <c r="K83" s="96"/>
      <c r="L83" s="19"/>
      <c r="O83" s="213"/>
    </row>
    <row r="84" spans="2:17">
      <c r="B84" s="16"/>
      <c r="C84" s="18"/>
      <c r="D84" s="18"/>
      <c r="E84" s="82" t="s">
        <v>7</v>
      </c>
      <c r="F84" s="83"/>
      <c r="G84" s="83"/>
      <c r="H84" s="83"/>
      <c r="I84" s="83"/>
      <c r="J84" s="83"/>
      <c r="K84" s="97" t="e">
        <f>SUM(Produtos!BC:BC)</f>
        <v>#N/A</v>
      </c>
      <c r="L84" s="19"/>
      <c r="N84" s="217"/>
      <c r="O84" s="213"/>
    </row>
    <row r="85" spans="2:17" ht="16.5" thickBot="1">
      <c r="B85" s="98"/>
      <c r="C85" s="99"/>
      <c r="D85" s="99"/>
      <c r="E85" s="99"/>
      <c r="F85" s="99"/>
      <c r="G85" s="99"/>
      <c r="H85" s="99"/>
      <c r="I85" s="99"/>
      <c r="J85" s="99"/>
      <c r="K85" s="104" t="e">
        <f>K84/K67</f>
        <v>#N/A</v>
      </c>
      <c r="L85" s="100"/>
      <c r="O85" s="213"/>
    </row>
    <row r="86" spans="2:17" ht="17.25" thickTop="1" thickBot="1">
      <c r="K86" s="105"/>
      <c r="O86" s="213"/>
    </row>
    <row r="87" spans="2:17" ht="24" thickBot="1">
      <c r="B87" s="282" t="s">
        <v>126</v>
      </c>
      <c r="C87" s="283"/>
      <c r="D87" s="283"/>
      <c r="E87" s="283"/>
      <c r="F87" s="283"/>
      <c r="G87" s="283"/>
      <c r="H87" s="283"/>
      <c r="I87" s="283"/>
      <c r="J87" s="284" t="e">
        <f>K30+K39+K51</f>
        <v>#N/A</v>
      </c>
      <c r="K87" s="285"/>
      <c r="L87" s="286"/>
    </row>
    <row r="88" spans="2:17">
      <c r="K88" s="106"/>
    </row>
    <row r="90" spans="2:17">
      <c r="H90" s="107"/>
      <c r="K90" s="106"/>
      <c r="N90" s="218"/>
    </row>
  </sheetData>
  <mergeCells count="14">
    <mergeCell ref="B87:I87"/>
    <mergeCell ref="J87:L87"/>
    <mergeCell ref="C32:C38"/>
    <mergeCell ref="C41:C50"/>
    <mergeCell ref="C57:C70"/>
    <mergeCell ref="C20:C23"/>
    <mergeCell ref="C26:C29"/>
    <mergeCell ref="I11:K15"/>
    <mergeCell ref="K5:K6"/>
    <mergeCell ref="C3:K3"/>
    <mergeCell ref="H6:I6"/>
    <mergeCell ref="E17:E18"/>
    <mergeCell ref="G17:I17"/>
    <mergeCell ref="K17:K18"/>
  </mergeCells>
  <dataValidations count="6">
    <dataValidation type="list" allowBlank="1" showInputMessage="1" showErrorMessage="1" sqref="H11" xr:uid="{00000000-0002-0000-0200-000000000000}">
      <formula1>"DIRETA, TRADING"</formula1>
    </dataValidation>
    <dataValidation type="list" allowBlank="1" showInputMessage="1" showErrorMessage="1" sqref="H13" xr:uid="{00000000-0002-0000-0200-000001000000}">
      <formula1>"SIM, NÃO"</formula1>
    </dataValidation>
    <dataValidation type="list" allowBlank="1" showInputMessage="1" showErrorMessage="1" sqref="H12" xr:uid="{00000000-0002-0000-0200-000002000000}">
      <formula1>"REAL, PRESUMIDO"</formula1>
    </dataValidation>
    <dataValidation type="decimal" allowBlank="1" showInputMessage="1" showErrorMessage="1" sqref="G74" xr:uid="{00000000-0002-0000-0200-000003000000}">
      <formula1>0</formula1>
      <formula2>(G65-I65)</formula2>
    </dataValidation>
    <dataValidation type="list" allowBlank="1" showInputMessage="1" showErrorMessage="1" sqref="H14" xr:uid="{00000000-0002-0000-0200-000004000000}">
      <formula1>"P.FISICA, P.JURIDICA"</formula1>
    </dataValidation>
    <dataValidation type="list" allowBlank="1" showInputMessage="1" showErrorMessage="1" sqref="H15" xr:uid="{00000000-0002-0000-0200-000005000000}">
      <formula1>"PESO, CUBAGEM"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1" orientation="portrait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498"/>
  <sheetViews>
    <sheetView workbookViewId="0">
      <selection activeCell="B3" sqref="B3"/>
    </sheetView>
  </sheetViews>
  <sheetFormatPr defaultColWidth="18.140625" defaultRowHeight="15"/>
  <cols>
    <col min="1" max="1" width="21.140625" style="153" bestFit="1" customWidth="1"/>
    <col min="2" max="2" width="21.140625" style="153" customWidth="1"/>
    <col min="3" max="3" width="47.28515625" customWidth="1"/>
    <col min="4" max="4" width="8.7109375" style="161" bestFit="1" customWidth="1"/>
    <col min="5" max="5" width="20.7109375" style="161" customWidth="1"/>
    <col min="6" max="6" width="18.140625" style="161" hidden="1" customWidth="1"/>
    <col min="7" max="7" width="17.85546875" style="161" customWidth="1"/>
    <col min="8" max="8" width="18.140625" style="161" hidden="1" customWidth="1"/>
    <col min="9" max="13" width="18.140625" style="161"/>
  </cols>
  <sheetData>
    <row r="1" spans="1:18">
      <c r="A1" s="149" t="s">
        <v>46</v>
      </c>
      <c r="B1" s="149" t="s">
        <v>128</v>
      </c>
      <c r="C1" s="11" t="s">
        <v>45</v>
      </c>
      <c r="D1" s="154" t="s">
        <v>83</v>
      </c>
      <c r="E1" s="155" t="str">
        <f>Produtos!BD1</f>
        <v>Valor Venda Unit. C/IPI</v>
      </c>
      <c r="F1" s="155" t="str">
        <f>Produtos!BE1</f>
        <v>Desconto</v>
      </c>
      <c r="G1" s="156" t="str">
        <f>Produtos!BF1</f>
        <v>Valor Final C/Desc.</v>
      </c>
      <c r="H1" s="155" t="str">
        <f>Produtos!BL1</f>
        <v>VALOR ST</v>
      </c>
      <c r="I1" s="155" t="str">
        <f>Produtos!BM1</f>
        <v>Valor Final C/Desc.+IPI+ST</v>
      </c>
      <c r="J1" s="155" t="str">
        <f>Produtos!BG1</f>
        <v>Credito Unit. IPI</v>
      </c>
      <c r="K1" s="155" t="str">
        <f>Produtos!BH1</f>
        <v>Credito Unit PIS</v>
      </c>
      <c r="L1" s="155" t="str">
        <f>Produtos!BI1</f>
        <v>Credito Unit. Cofins</v>
      </c>
      <c r="M1" s="155" t="str">
        <f>Produtos!BJ1</f>
        <v>Credito Unit. ICMS</v>
      </c>
    </row>
    <row r="2" spans="1:18" s="171" customFormat="1" ht="87.75" customHeight="1">
      <c r="A2" s="170">
        <f>Produtos!A2</f>
        <v>0</v>
      </c>
      <c r="B2" s="170"/>
      <c r="C2" s="221" t="e">
        <f>Produtos!B2</f>
        <v>#N/A</v>
      </c>
      <c r="D2" s="210">
        <v>0.1</v>
      </c>
      <c r="E2" s="157" t="e">
        <f>Produtos!BD2</f>
        <v>#N/A</v>
      </c>
      <c r="F2" s="157" t="e">
        <f>Produtos!BE2</f>
        <v>#N/A</v>
      </c>
      <c r="G2" s="158" t="e">
        <f>Produtos!BF2</f>
        <v>#N/A</v>
      </c>
      <c r="H2" s="157">
        <f>Produtos!BL2</f>
        <v>0</v>
      </c>
      <c r="I2" s="157" t="e">
        <f>Produtos!BM2</f>
        <v>#N/A</v>
      </c>
      <c r="J2" s="157" t="e">
        <f>Produtos!BG2</f>
        <v>#N/A</v>
      </c>
      <c r="K2" s="157" t="e">
        <f>Produtos!BH2</f>
        <v>#N/A</v>
      </c>
      <c r="L2" s="157" t="e">
        <f>Produtos!BI2</f>
        <v>#N/A</v>
      </c>
      <c r="M2" s="157" t="e">
        <f>Produtos!BJ2</f>
        <v>#N/A</v>
      </c>
      <c r="R2" s="202"/>
    </row>
    <row r="3" spans="1:18" s="171" customFormat="1" ht="87.75" customHeight="1">
      <c r="A3" s="170">
        <f>Produtos!A3</f>
        <v>0</v>
      </c>
      <c r="B3" s="170"/>
      <c r="C3" s="221" t="e">
        <f>Produtos!B3</f>
        <v>#N/A</v>
      </c>
      <c r="D3" s="210">
        <v>0.1</v>
      </c>
      <c r="E3" s="157" t="e">
        <f>Produtos!BD3</f>
        <v>#DIV/0!</v>
      </c>
      <c r="F3" s="157" t="e">
        <f>Produtos!BE3</f>
        <v>#DIV/0!</v>
      </c>
      <c r="G3" s="158" t="e">
        <f>Produtos!BF3</f>
        <v>#DIV/0!</v>
      </c>
      <c r="H3" s="157">
        <f>Produtos!BL3</f>
        <v>0</v>
      </c>
      <c r="I3" s="157" t="e">
        <f>Produtos!BM3</f>
        <v>#DIV/0!</v>
      </c>
      <c r="J3" s="157" t="e">
        <f>Produtos!BG3</f>
        <v>#DIV/0!</v>
      </c>
      <c r="K3" s="157" t="e">
        <f>Produtos!BH3</f>
        <v>#DIV/0!</v>
      </c>
      <c r="L3" s="157" t="e">
        <f>Produtos!BI3</f>
        <v>#DIV/0!</v>
      </c>
      <c r="M3" s="157" t="e">
        <f>Produtos!BJ3</f>
        <v>#DIV/0!</v>
      </c>
      <c r="R3" s="202"/>
    </row>
    <row r="4" spans="1:18" s="171" customFormat="1" ht="87.75" customHeight="1">
      <c r="A4" s="170">
        <f>Produtos!A4</f>
        <v>0</v>
      </c>
      <c r="B4" s="170"/>
      <c r="C4" s="221" t="e">
        <f>Produtos!B4</f>
        <v>#N/A</v>
      </c>
      <c r="D4" s="210">
        <v>0.1</v>
      </c>
      <c r="E4" s="157" t="e">
        <f>Produtos!BD4</f>
        <v>#DIV/0!</v>
      </c>
      <c r="F4" s="157" t="e">
        <f>Produtos!BE4</f>
        <v>#DIV/0!</v>
      </c>
      <c r="G4" s="158" t="e">
        <f>Produtos!BF4</f>
        <v>#DIV/0!</v>
      </c>
      <c r="H4" s="157">
        <f>Produtos!BL4</f>
        <v>0</v>
      </c>
      <c r="I4" s="157" t="e">
        <f>Produtos!BM4</f>
        <v>#DIV/0!</v>
      </c>
      <c r="J4" s="157" t="e">
        <f>Produtos!BG4</f>
        <v>#DIV/0!</v>
      </c>
      <c r="K4" s="157" t="e">
        <f>Produtos!BH4</f>
        <v>#DIV/0!</v>
      </c>
      <c r="L4" s="157" t="e">
        <f>Produtos!BI4</f>
        <v>#DIV/0!</v>
      </c>
      <c r="M4" s="157" t="e">
        <f>Produtos!BJ4</f>
        <v>#DIV/0!</v>
      </c>
      <c r="R4" s="202"/>
    </row>
    <row r="5" spans="1:18" s="171" customFormat="1" ht="87.75" customHeight="1">
      <c r="A5" s="170">
        <f>Produtos!A5</f>
        <v>0</v>
      </c>
      <c r="B5" s="170"/>
      <c r="C5" s="221" t="e">
        <f>Produtos!B5</f>
        <v>#N/A</v>
      </c>
      <c r="D5" s="210">
        <v>0.1</v>
      </c>
      <c r="E5" s="157" t="e">
        <f>Produtos!BD5</f>
        <v>#DIV/0!</v>
      </c>
      <c r="F5" s="157" t="e">
        <f>Produtos!BE5</f>
        <v>#DIV/0!</v>
      </c>
      <c r="G5" s="158" t="e">
        <f>Produtos!BF5</f>
        <v>#DIV/0!</v>
      </c>
      <c r="H5" s="157">
        <f>Produtos!BL5</f>
        <v>0</v>
      </c>
      <c r="I5" s="157" t="e">
        <f>Produtos!BM5</f>
        <v>#DIV/0!</v>
      </c>
      <c r="J5" s="157" t="e">
        <f>Produtos!BG5</f>
        <v>#DIV/0!</v>
      </c>
      <c r="K5" s="157" t="e">
        <f>Produtos!BH5</f>
        <v>#DIV/0!</v>
      </c>
      <c r="L5" s="157" t="e">
        <f>Produtos!BI5</f>
        <v>#DIV/0!</v>
      </c>
      <c r="M5" s="157" t="e">
        <f>Produtos!BJ5</f>
        <v>#DIV/0!</v>
      </c>
      <c r="R5" s="202"/>
    </row>
    <row r="6" spans="1:18" s="171" customFormat="1">
      <c r="A6" s="170">
        <f>Produtos!A6</f>
        <v>0</v>
      </c>
      <c r="B6" s="170"/>
      <c r="C6" s="221" t="e">
        <f>Produtos!B6</f>
        <v>#N/A</v>
      </c>
      <c r="D6" s="210">
        <v>0.1</v>
      </c>
      <c r="E6" s="157" t="e">
        <f>Produtos!BD6</f>
        <v>#DIV/0!</v>
      </c>
      <c r="F6" s="157" t="e">
        <f>Produtos!BE6</f>
        <v>#DIV/0!</v>
      </c>
      <c r="G6" s="158" t="e">
        <f>Produtos!BF6</f>
        <v>#DIV/0!</v>
      </c>
      <c r="H6" s="157">
        <f>Produtos!BL6</f>
        <v>0</v>
      </c>
      <c r="I6" s="157" t="e">
        <f>Produtos!BM6</f>
        <v>#DIV/0!</v>
      </c>
      <c r="J6" s="157" t="e">
        <f>Produtos!BG6</f>
        <v>#DIV/0!</v>
      </c>
      <c r="K6" s="157" t="e">
        <f>Produtos!BH6</f>
        <v>#DIV/0!</v>
      </c>
      <c r="L6" s="157" t="e">
        <f>Produtos!BI6</f>
        <v>#DIV/0!</v>
      </c>
      <c r="M6" s="157" t="e">
        <f>Produtos!BJ6</f>
        <v>#DIV/0!</v>
      </c>
      <c r="R6" s="202"/>
    </row>
    <row r="7" spans="1:18" s="171" customFormat="1">
      <c r="A7" s="170">
        <f>Produtos!A7</f>
        <v>0</v>
      </c>
      <c r="B7" s="170"/>
      <c r="C7" s="221" t="e">
        <f>Produtos!B7</f>
        <v>#N/A</v>
      </c>
      <c r="D7" s="210">
        <v>0.1</v>
      </c>
      <c r="E7" s="157" t="e">
        <f>Produtos!BD7</f>
        <v>#DIV/0!</v>
      </c>
      <c r="F7" s="157" t="e">
        <f>Produtos!BE7</f>
        <v>#DIV/0!</v>
      </c>
      <c r="G7" s="158" t="e">
        <f>Produtos!BF7</f>
        <v>#DIV/0!</v>
      </c>
      <c r="H7" s="157">
        <f>Produtos!BL7</f>
        <v>0</v>
      </c>
      <c r="I7" s="157" t="e">
        <f>Produtos!BM7</f>
        <v>#DIV/0!</v>
      </c>
      <c r="J7" s="157" t="e">
        <f>Produtos!BG7</f>
        <v>#DIV/0!</v>
      </c>
      <c r="K7" s="157" t="e">
        <f>Produtos!BH7</f>
        <v>#DIV/0!</v>
      </c>
      <c r="L7" s="157" t="e">
        <f>Produtos!BI7</f>
        <v>#DIV/0!</v>
      </c>
      <c r="M7" s="157" t="e">
        <f>Produtos!BJ7</f>
        <v>#DIV/0!</v>
      </c>
      <c r="R7" s="202"/>
    </row>
    <row r="8" spans="1:18" s="171" customFormat="1">
      <c r="A8" s="170">
        <f>Produtos!A8</f>
        <v>0</v>
      </c>
      <c r="B8" s="170"/>
      <c r="C8" s="221" t="e">
        <f>Produtos!B8</f>
        <v>#N/A</v>
      </c>
      <c r="D8" s="210">
        <v>0.1</v>
      </c>
      <c r="E8" s="157" t="e">
        <f>Produtos!BD8</f>
        <v>#DIV/0!</v>
      </c>
      <c r="F8" s="157" t="e">
        <f>Produtos!BE8</f>
        <v>#DIV/0!</v>
      </c>
      <c r="G8" s="158" t="e">
        <f>Produtos!BF8</f>
        <v>#DIV/0!</v>
      </c>
      <c r="H8" s="157">
        <f>Produtos!BL8</f>
        <v>0</v>
      </c>
      <c r="I8" s="157" t="e">
        <f>Produtos!BM8</f>
        <v>#DIV/0!</v>
      </c>
      <c r="J8" s="157" t="e">
        <f>Produtos!BG8</f>
        <v>#DIV/0!</v>
      </c>
      <c r="K8" s="157" t="e">
        <f>Produtos!BH8</f>
        <v>#DIV/0!</v>
      </c>
      <c r="L8" s="157" t="e">
        <f>Produtos!BI8</f>
        <v>#DIV/0!</v>
      </c>
      <c r="M8" s="157" t="e">
        <f>Produtos!BJ8</f>
        <v>#DIV/0!</v>
      </c>
      <c r="R8" s="202"/>
    </row>
    <row r="9" spans="1:18" s="171" customFormat="1" ht="80.45" customHeight="1">
      <c r="A9" s="170">
        <f>Produtos!A9</f>
        <v>0</v>
      </c>
      <c r="B9" s="170"/>
      <c r="C9" s="221" t="e">
        <f>Produtos!B9</f>
        <v>#N/A</v>
      </c>
      <c r="D9" s="210">
        <v>0.1</v>
      </c>
      <c r="E9" s="157" t="e">
        <f>Produtos!BD9</f>
        <v>#DIV/0!</v>
      </c>
      <c r="F9" s="157" t="e">
        <f>Produtos!BE9</f>
        <v>#DIV/0!</v>
      </c>
      <c r="G9" s="158" t="e">
        <f>Produtos!BF9</f>
        <v>#DIV/0!</v>
      </c>
      <c r="H9" s="157">
        <f>Produtos!BL9</f>
        <v>0</v>
      </c>
      <c r="I9" s="157" t="e">
        <f>Produtos!BM9</f>
        <v>#DIV/0!</v>
      </c>
      <c r="J9" s="157" t="e">
        <f>Produtos!BG9</f>
        <v>#DIV/0!</v>
      </c>
      <c r="K9" s="157" t="e">
        <f>Produtos!BH9</f>
        <v>#DIV/0!</v>
      </c>
      <c r="L9" s="157" t="e">
        <f>Produtos!BI9</f>
        <v>#DIV/0!</v>
      </c>
      <c r="M9" s="157" t="e">
        <f>Produtos!BJ9</f>
        <v>#DIV/0!</v>
      </c>
      <c r="R9" s="202"/>
    </row>
    <row r="10" spans="1:18" s="171" customFormat="1" ht="87.75" customHeight="1">
      <c r="A10" s="170">
        <f>Produtos!A10</f>
        <v>0</v>
      </c>
      <c r="B10" s="170"/>
      <c r="C10" s="221" t="e">
        <f>Produtos!B10</f>
        <v>#N/A</v>
      </c>
      <c r="D10" s="210">
        <v>0.1</v>
      </c>
      <c r="E10" s="157" t="e">
        <f>Produtos!BD10</f>
        <v>#DIV/0!</v>
      </c>
      <c r="F10" s="157" t="e">
        <f>Produtos!BE10</f>
        <v>#DIV/0!</v>
      </c>
      <c r="G10" s="158" t="e">
        <f>Produtos!BF10</f>
        <v>#DIV/0!</v>
      </c>
      <c r="H10" s="157">
        <f>Produtos!BL10</f>
        <v>0</v>
      </c>
      <c r="I10" s="157" t="e">
        <f>Produtos!BM10</f>
        <v>#DIV/0!</v>
      </c>
      <c r="J10" s="157" t="e">
        <f>Produtos!BG10</f>
        <v>#DIV/0!</v>
      </c>
      <c r="K10" s="157" t="e">
        <f>Produtos!BH10</f>
        <v>#DIV/0!</v>
      </c>
      <c r="L10" s="157" t="e">
        <f>Produtos!BI10</f>
        <v>#DIV/0!</v>
      </c>
      <c r="M10" s="157" t="e">
        <f>Produtos!BJ10</f>
        <v>#DIV/0!</v>
      </c>
      <c r="R10" s="202"/>
    </row>
    <row r="11" spans="1:18" s="171" customFormat="1">
      <c r="A11" s="170">
        <f>Produtos!A11</f>
        <v>0</v>
      </c>
      <c r="B11" s="170"/>
      <c r="C11" s="221" t="e">
        <f>Produtos!B11</f>
        <v>#N/A</v>
      </c>
      <c r="D11" s="210">
        <v>0.1</v>
      </c>
      <c r="E11" s="157" t="e">
        <f>Produtos!BD11</f>
        <v>#DIV/0!</v>
      </c>
      <c r="F11" s="157" t="e">
        <f>Produtos!BE11</f>
        <v>#DIV/0!</v>
      </c>
      <c r="G11" s="158" t="e">
        <f>Produtos!BF11</f>
        <v>#DIV/0!</v>
      </c>
      <c r="H11" s="157">
        <f>Produtos!BL11</f>
        <v>0</v>
      </c>
      <c r="I11" s="157" t="e">
        <f>Produtos!BM11</f>
        <v>#DIV/0!</v>
      </c>
      <c r="J11" s="157" t="e">
        <f>Produtos!BG11</f>
        <v>#DIV/0!</v>
      </c>
      <c r="K11" s="157" t="e">
        <f>Produtos!BH11</f>
        <v>#DIV/0!</v>
      </c>
      <c r="L11" s="157" t="e">
        <f>Produtos!BI11</f>
        <v>#DIV/0!</v>
      </c>
      <c r="M11" s="157" t="e">
        <f>Produtos!BJ11</f>
        <v>#DIV/0!</v>
      </c>
      <c r="R11" s="202"/>
    </row>
    <row r="12" spans="1:18" s="171" customFormat="1">
      <c r="A12" s="170">
        <f>Produtos!A12</f>
        <v>0</v>
      </c>
      <c r="B12" s="170"/>
      <c r="C12" s="221" t="e">
        <f>Produtos!B12</f>
        <v>#N/A</v>
      </c>
      <c r="D12" s="210">
        <v>0.1</v>
      </c>
      <c r="E12" s="157" t="e">
        <f>Produtos!BD12</f>
        <v>#DIV/0!</v>
      </c>
      <c r="F12" s="157" t="e">
        <f>Produtos!BE12</f>
        <v>#DIV/0!</v>
      </c>
      <c r="G12" s="158" t="e">
        <f>Produtos!BF12</f>
        <v>#DIV/0!</v>
      </c>
      <c r="H12" s="157">
        <f>Produtos!BL12</f>
        <v>0</v>
      </c>
      <c r="I12" s="157" t="e">
        <f>Produtos!BM12</f>
        <v>#DIV/0!</v>
      </c>
      <c r="J12" s="157" t="e">
        <f>Produtos!BG12</f>
        <v>#DIV/0!</v>
      </c>
      <c r="K12" s="157" t="e">
        <f>Produtos!BH12</f>
        <v>#DIV/0!</v>
      </c>
      <c r="L12" s="157" t="e">
        <f>Produtos!BI12</f>
        <v>#DIV/0!</v>
      </c>
      <c r="M12" s="157" t="e">
        <f>Produtos!BJ12</f>
        <v>#DIV/0!</v>
      </c>
      <c r="R12" s="202"/>
    </row>
    <row r="13" spans="1:18" s="171" customFormat="1" ht="73.900000000000006" customHeight="1">
      <c r="A13" s="170">
        <f>Produtos!A13</f>
        <v>0</v>
      </c>
      <c r="B13" s="170"/>
      <c r="C13" s="221" t="e">
        <f>Produtos!B13</f>
        <v>#N/A</v>
      </c>
      <c r="D13" s="210">
        <v>0.1</v>
      </c>
      <c r="E13" s="157" t="e">
        <f>Produtos!BD13</f>
        <v>#DIV/0!</v>
      </c>
      <c r="F13" s="157" t="e">
        <f>Produtos!BE13</f>
        <v>#DIV/0!</v>
      </c>
      <c r="G13" s="158" t="e">
        <f>Produtos!BF13</f>
        <v>#DIV/0!</v>
      </c>
      <c r="H13" s="157">
        <f>Produtos!BL13</f>
        <v>0</v>
      </c>
      <c r="I13" s="157" t="e">
        <f>Produtos!BM13</f>
        <v>#DIV/0!</v>
      </c>
      <c r="J13" s="157" t="e">
        <f>Produtos!BG13</f>
        <v>#DIV/0!</v>
      </c>
      <c r="K13" s="157" t="e">
        <f>Produtos!BH13</f>
        <v>#DIV/0!</v>
      </c>
      <c r="L13" s="157" t="e">
        <f>Produtos!BI13</f>
        <v>#DIV/0!</v>
      </c>
      <c r="M13" s="157" t="e">
        <f>Produtos!BJ13</f>
        <v>#DIV/0!</v>
      </c>
      <c r="R13" s="202"/>
    </row>
    <row r="14" spans="1:18" s="171" customFormat="1" ht="66.599999999999994" customHeight="1">
      <c r="A14" s="170">
        <f>Produtos!A14</f>
        <v>0</v>
      </c>
      <c r="B14" s="170"/>
      <c r="C14" s="221" t="e">
        <f>Produtos!B14</f>
        <v>#N/A</v>
      </c>
      <c r="D14" s="210">
        <v>0.1</v>
      </c>
      <c r="E14" s="157" t="e">
        <f>Produtos!BD14</f>
        <v>#DIV/0!</v>
      </c>
      <c r="F14" s="157" t="e">
        <f>Produtos!BE14</f>
        <v>#DIV/0!</v>
      </c>
      <c r="G14" s="158" t="e">
        <f>Produtos!BF14</f>
        <v>#DIV/0!</v>
      </c>
      <c r="H14" s="157">
        <f>Produtos!BL14</f>
        <v>0</v>
      </c>
      <c r="I14" s="157" t="e">
        <f>Produtos!BM14</f>
        <v>#DIV/0!</v>
      </c>
      <c r="J14" s="157" t="e">
        <f>Produtos!BG14</f>
        <v>#DIV/0!</v>
      </c>
      <c r="K14" s="157" t="e">
        <f>Produtos!BH14</f>
        <v>#DIV/0!</v>
      </c>
      <c r="L14" s="157" t="e">
        <f>Produtos!BI14</f>
        <v>#DIV/0!</v>
      </c>
      <c r="M14" s="157" t="e">
        <f>Produtos!BJ14</f>
        <v>#DIV/0!</v>
      </c>
      <c r="R14" s="202"/>
    </row>
    <row r="15" spans="1:18" s="171" customFormat="1">
      <c r="A15" s="170">
        <f>Produtos!A15</f>
        <v>0</v>
      </c>
      <c r="B15" s="170"/>
      <c r="C15" s="221" t="e">
        <f>Produtos!B15</f>
        <v>#N/A</v>
      </c>
      <c r="D15" s="210">
        <v>0.1</v>
      </c>
      <c r="E15" s="157" t="e">
        <f>Produtos!BD15</f>
        <v>#DIV/0!</v>
      </c>
      <c r="F15" s="157" t="e">
        <f>Produtos!BE15</f>
        <v>#DIV/0!</v>
      </c>
      <c r="G15" s="158" t="e">
        <f>Produtos!BF15</f>
        <v>#DIV/0!</v>
      </c>
      <c r="H15" s="157">
        <f>Produtos!BL15</f>
        <v>0</v>
      </c>
      <c r="I15" s="157" t="e">
        <f>Produtos!BM15</f>
        <v>#DIV/0!</v>
      </c>
      <c r="J15" s="157" t="e">
        <f>Produtos!BG15</f>
        <v>#DIV/0!</v>
      </c>
      <c r="K15" s="157" t="e">
        <f>Produtos!BH15</f>
        <v>#DIV/0!</v>
      </c>
      <c r="L15" s="157" t="e">
        <f>Produtos!BI15</f>
        <v>#DIV/0!</v>
      </c>
      <c r="M15" s="157" t="e">
        <f>Produtos!BJ15</f>
        <v>#DIV/0!</v>
      </c>
      <c r="R15" s="202"/>
    </row>
    <row r="16" spans="1:18" s="171" customFormat="1">
      <c r="A16" s="170">
        <f>Produtos!A16</f>
        <v>0</v>
      </c>
      <c r="B16" s="170"/>
      <c r="C16" s="221" t="e">
        <f>Produtos!B16</f>
        <v>#N/A</v>
      </c>
      <c r="D16" s="210">
        <v>0.1</v>
      </c>
      <c r="E16" s="157" t="e">
        <f>Produtos!BD16</f>
        <v>#DIV/0!</v>
      </c>
      <c r="F16" s="157" t="e">
        <f>Produtos!BE16</f>
        <v>#DIV/0!</v>
      </c>
      <c r="G16" s="158" t="e">
        <f>Produtos!BF16</f>
        <v>#DIV/0!</v>
      </c>
      <c r="H16" s="157">
        <f>Produtos!BL16</f>
        <v>0</v>
      </c>
      <c r="I16" s="157" t="e">
        <f>Produtos!BM16</f>
        <v>#DIV/0!</v>
      </c>
      <c r="J16" s="157" t="e">
        <f>Produtos!BG16</f>
        <v>#DIV/0!</v>
      </c>
      <c r="K16" s="157" t="e">
        <f>Produtos!BH16</f>
        <v>#DIV/0!</v>
      </c>
      <c r="L16" s="157" t="e">
        <f>Produtos!BI16</f>
        <v>#DIV/0!</v>
      </c>
      <c r="M16" s="157" t="e">
        <f>Produtos!BJ16</f>
        <v>#DIV/0!</v>
      </c>
      <c r="R16" s="202"/>
    </row>
    <row r="17" spans="1:22" s="171" customFormat="1" ht="87.75" customHeight="1">
      <c r="A17" s="170">
        <f>Produtos!A17</f>
        <v>0</v>
      </c>
      <c r="B17" s="170"/>
      <c r="C17" s="221" t="e">
        <f>Produtos!B17</f>
        <v>#N/A</v>
      </c>
      <c r="D17" s="210">
        <v>0.1</v>
      </c>
      <c r="E17" s="157" t="e">
        <f>Produtos!BD17</f>
        <v>#DIV/0!</v>
      </c>
      <c r="F17" s="157" t="e">
        <f>Produtos!BE17</f>
        <v>#DIV/0!</v>
      </c>
      <c r="G17" s="158" t="e">
        <f>Produtos!BF17</f>
        <v>#DIV/0!</v>
      </c>
      <c r="H17" s="157">
        <f>Produtos!BL17</f>
        <v>0</v>
      </c>
      <c r="I17" s="157" t="e">
        <f>Produtos!BM17</f>
        <v>#DIV/0!</v>
      </c>
      <c r="J17" s="157" t="e">
        <f>Produtos!BG17</f>
        <v>#DIV/0!</v>
      </c>
      <c r="K17" s="157" t="e">
        <f>Produtos!BH17</f>
        <v>#DIV/0!</v>
      </c>
      <c r="L17" s="157" t="e">
        <f>Produtos!BI17</f>
        <v>#DIV/0!</v>
      </c>
      <c r="M17" s="157" t="e">
        <f>Produtos!BJ17</f>
        <v>#DIV/0!</v>
      </c>
      <c r="R17" s="202"/>
    </row>
    <row r="18" spans="1:22" s="171" customFormat="1" ht="87.75" customHeight="1">
      <c r="A18" s="170">
        <f>Produtos!A18</f>
        <v>0</v>
      </c>
      <c r="B18" s="170"/>
      <c r="C18" s="221" t="e">
        <f>Produtos!B18</f>
        <v>#N/A</v>
      </c>
      <c r="D18" s="210">
        <v>0.1</v>
      </c>
      <c r="E18" s="157" t="e">
        <f>Produtos!BD18</f>
        <v>#DIV/0!</v>
      </c>
      <c r="F18" s="157" t="e">
        <f>Produtos!BE18</f>
        <v>#DIV/0!</v>
      </c>
      <c r="G18" s="158" t="e">
        <f>Produtos!BF18</f>
        <v>#DIV/0!</v>
      </c>
      <c r="H18" s="157">
        <f>Produtos!BL18</f>
        <v>0</v>
      </c>
      <c r="I18" s="157" t="e">
        <f>Produtos!BM18</f>
        <v>#DIV/0!</v>
      </c>
      <c r="J18" s="157" t="e">
        <f>Produtos!BG18</f>
        <v>#DIV/0!</v>
      </c>
      <c r="K18" s="157" t="e">
        <f>Produtos!BH18</f>
        <v>#DIV/0!</v>
      </c>
      <c r="L18" s="157" t="e">
        <f>Produtos!BI18</f>
        <v>#DIV/0!</v>
      </c>
      <c r="M18" s="157" t="e">
        <f>Produtos!BJ18</f>
        <v>#DIV/0!</v>
      </c>
      <c r="R18" s="202"/>
    </row>
    <row r="19" spans="1:22" s="171" customFormat="1" ht="71.45" customHeight="1">
      <c r="A19" s="170">
        <f>Produtos!A19</f>
        <v>0</v>
      </c>
      <c r="B19" s="170"/>
      <c r="C19" s="221" t="e">
        <f>Produtos!B19</f>
        <v>#N/A</v>
      </c>
      <c r="D19" s="210">
        <v>0.1</v>
      </c>
      <c r="E19" s="157" t="e">
        <f>Produtos!BD19</f>
        <v>#DIV/0!</v>
      </c>
      <c r="F19" s="157" t="e">
        <f>Produtos!BE19</f>
        <v>#DIV/0!</v>
      </c>
      <c r="G19" s="158" t="e">
        <f>Produtos!BF19</f>
        <v>#DIV/0!</v>
      </c>
      <c r="H19" s="157">
        <f>Produtos!BL19</f>
        <v>0</v>
      </c>
      <c r="I19" s="157" t="e">
        <f>Produtos!BM19</f>
        <v>#DIV/0!</v>
      </c>
      <c r="J19" s="157" t="e">
        <f>Produtos!BG19</f>
        <v>#DIV/0!</v>
      </c>
      <c r="K19" s="157" t="e">
        <f>Produtos!BH19</f>
        <v>#DIV/0!</v>
      </c>
      <c r="L19" s="157" t="e">
        <f>Produtos!BI19</f>
        <v>#DIV/0!</v>
      </c>
      <c r="M19" s="157" t="e">
        <f>Produtos!BJ19</f>
        <v>#DIV/0!</v>
      </c>
      <c r="R19" s="202"/>
    </row>
    <row r="20" spans="1:22">
      <c r="A20" s="170">
        <f>Produtos!A20</f>
        <v>0</v>
      </c>
      <c r="B20" s="170"/>
      <c r="C20" s="142" t="e">
        <f>Produtos!B20</f>
        <v>#N/A</v>
      </c>
      <c r="D20" s="210"/>
      <c r="E20" s="157" t="e">
        <f>Produtos!BD20</f>
        <v>#DIV/0!</v>
      </c>
      <c r="F20" s="157" t="e">
        <f>Produtos!BE20</f>
        <v>#DIV/0!</v>
      </c>
      <c r="G20" s="158" t="e">
        <f>Produtos!BF20</f>
        <v>#DIV/0!</v>
      </c>
      <c r="H20" s="157">
        <f>Produtos!BL20</f>
        <v>0</v>
      </c>
      <c r="I20" s="157" t="e">
        <f>Produtos!BM20</f>
        <v>#DIV/0!</v>
      </c>
      <c r="J20" s="157" t="e">
        <f>Produtos!BG20</f>
        <v>#DIV/0!</v>
      </c>
      <c r="K20" s="157" t="e">
        <f>Produtos!BH20</f>
        <v>#DIV/0!</v>
      </c>
      <c r="L20" s="157" t="e">
        <f>Produtos!BI20</f>
        <v>#DIV/0!</v>
      </c>
      <c r="M20" s="157" t="e">
        <f>Produtos!BJ20</f>
        <v>#DIV/0!</v>
      </c>
      <c r="R20" s="202"/>
      <c r="V20" s="203"/>
    </row>
    <row r="21" spans="1:22">
      <c r="A21" s="170">
        <f>Produtos!A21</f>
        <v>0</v>
      </c>
      <c r="B21" s="170"/>
      <c r="C21" s="142" t="e">
        <f>Produtos!B21</f>
        <v>#N/A</v>
      </c>
      <c r="D21" s="210"/>
      <c r="E21" s="157" t="e">
        <f>Produtos!BD21</f>
        <v>#DIV/0!</v>
      </c>
      <c r="F21" s="157" t="e">
        <f>Produtos!BE21</f>
        <v>#DIV/0!</v>
      </c>
      <c r="G21" s="158" t="e">
        <f>Produtos!BF21</f>
        <v>#DIV/0!</v>
      </c>
      <c r="H21" s="157">
        <f>Produtos!BL21</f>
        <v>0</v>
      </c>
      <c r="I21" s="157" t="e">
        <f>Produtos!BM21</f>
        <v>#DIV/0!</v>
      </c>
      <c r="J21" s="157" t="e">
        <f>Produtos!BG21</f>
        <v>#DIV/0!</v>
      </c>
      <c r="K21" s="157" t="e">
        <f>Produtos!BH21</f>
        <v>#DIV/0!</v>
      </c>
      <c r="L21" s="157" t="e">
        <f>Produtos!BI21</f>
        <v>#DIV/0!</v>
      </c>
      <c r="M21" s="157" t="e">
        <f>Produtos!BJ21</f>
        <v>#DIV/0!</v>
      </c>
      <c r="R21" s="202"/>
      <c r="V21" s="203"/>
    </row>
    <row r="22" spans="1:22">
      <c r="A22" s="170">
        <f>Produtos!A22</f>
        <v>0</v>
      </c>
      <c r="B22" s="170"/>
      <c r="C22" s="142" t="e">
        <f>Produtos!B22</f>
        <v>#N/A</v>
      </c>
      <c r="D22" s="210"/>
      <c r="E22" s="157" t="e">
        <f>Produtos!BD22</f>
        <v>#DIV/0!</v>
      </c>
      <c r="F22" s="157" t="e">
        <f>Produtos!BE22</f>
        <v>#DIV/0!</v>
      </c>
      <c r="G22" s="158" t="e">
        <f>Produtos!BF22</f>
        <v>#DIV/0!</v>
      </c>
      <c r="H22" s="157">
        <f>Produtos!BL22</f>
        <v>0</v>
      </c>
      <c r="I22" s="157" t="e">
        <f>Produtos!BM22</f>
        <v>#DIV/0!</v>
      </c>
      <c r="J22" s="157" t="e">
        <f>Produtos!BG22</f>
        <v>#DIV/0!</v>
      </c>
      <c r="K22" s="157" t="e">
        <f>Produtos!BH22</f>
        <v>#DIV/0!</v>
      </c>
      <c r="L22" s="157" t="e">
        <f>Produtos!BI22</f>
        <v>#DIV/0!</v>
      </c>
      <c r="M22" s="157" t="e">
        <f>Produtos!BJ22</f>
        <v>#DIV/0!</v>
      </c>
      <c r="R22" s="202"/>
      <c r="V22" s="203"/>
    </row>
    <row r="23" spans="1:22">
      <c r="A23" s="170">
        <f>Produtos!A23</f>
        <v>0</v>
      </c>
      <c r="B23" s="170"/>
      <c r="C23" s="142" t="e">
        <f>Produtos!B23</f>
        <v>#N/A</v>
      </c>
      <c r="D23" s="210"/>
      <c r="E23" s="157" t="e">
        <f>Produtos!BD23</f>
        <v>#DIV/0!</v>
      </c>
      <c r="F23" s="157" t="e">
        <f>Produtos!BE23</f>
        <v>#DIV/0!</v>
      </c>
      <c r="G23" s="158" t="e">
        <f>Produtos!BF23</f>
        <v>#DIV/0!</v>
      </c>
      <c r="H23" s="157">
        <f>Produtos!BL23</f>
        <v>0</v>
      </c>
      <c r="I23" s="157" t="e">
        <f>Produtos!BM23</f>
        <v>#DIV/0!</v>
      </c>
      <c r="J23" s="157" t="e">
        <f>Produtos!BG23</f>
        <v>#DIV/0!</v>
      </c>
      <c r="K23" s="157" t="e">
        <f>Produtos!BH23</f>
        <v>#DIV/0!</v>
      </c>
      <c r="L23" s="157" t="e">
        <f>Produtos!BI23</f>
        <v>#DIV/0!</v>
      </c>
      <c r="M23" s="157" t="e">
        <f>Produtos!BJ23</f>
        <v>#DIV/0!</v>
      </c>
      <c r="R23" s="202"/>
    </row>
    <row r="24" spans="1:22">
      <c r="A24" s="170">
        <f>Produtos!A24</f>
        <v>0</v>
      </c>
      <c r="B24" s="170"/>
      <c r="C24" s="142" t="e">
        <f>Produtos!B24</f>
        <v>#N/A</v>
      </c>
      <c r="D24" s="210"/>
      <c r="E24" s="157" t="e">
        <f>Produtos!BD24</f>
        <v>#DIV/0!</v>
      </c>
      <c r="F24" s="157" t="e">
        <f>Produtos!BE24</f>
        <v>#DIV/0!</v>
      </c>
      <c r="G24" s="158" t="e">
        <f>Produtos!BF24</f>
        <v>#DIV/0!</v>
      </c>
      <c r="H24" s="157">
        <f>Produtos!BL24</f>
        <v>0</v>
      </c>
      <c r="I24" s="157" t="e">
        <f>Produtos!BM24</f>
        <v>#DIV/0!</v>
      </c>
      <c r="J24" s="157" t="e">
        <f>Produtos!BG24</f>
        <v>#DIV/0!</v>
      </c>
      <c r="K24" s="157" t="e">
        <f>Produtos!BH24</f>
        <v>#DIV/0!</v>
      </c>
      <c r="L24" s="157" t="e">
        <f>Produtos!BI24</f>
        <v>#DIV/0!</v>
      </c>
      <c r="M24" s="157" t="e">
        <f>Produtos!BJ24</f>
        <v>#DIV/0!</v>
      </c>
      <c r="R24" s="202"/>
    </row>
    <row r="25" spans="1:22">
      <c r="A25" s="170">
        <f>Produtos!A25</f>
        <v>0</v>
      </c>
      <c r="B25" s="170"/>
      <c r="C25" s="142" t="e">
        <f>Produtos!B25</f>
        <v>#N/A</v>
      </c>
      <c r="D25" s="210"/>
      <c r="E25" s="157" t="e">
        <f>Produtos!BD25</f>
        <v>#DIV/0!</v>
      </c>
      <c r="F25" s="157" t="e">
        <f>Produtos!BE25</f>
        <v>#DIV/0!</v>
      </c>
      <c r="G25" s="158" t="e">
        <f>Produtos!BF25</f>
        <v>#DIV/0!</v>
      </c>
      <c r="H25" s="157">
        <f>Produtos!BL25</f>
        <v>0</v>
      </c>
      <c r="I25" s="157" t="e">
        <f>Produtos!BM25</f>
        <v>#DIV/0!</v>
      </c>
      <c r="J25" s="157" t="e">
        <f>Produtos!BG25</f>
        <v>#DIV/0!</v>
      </c>
      <c r="K25" s="157" t="e">
        <f>Produtos!BH25</f>
        <v>#DIV/0!</v>
      </c>
      <c r="L25" s="157" t="e">
        <f>Produtos!BI25</f>
        <v>#DIV/0!</v>
      </c>
      <c r="M25" s="157" t="e">
        <f>Produtos!BJ25</f>
        <v>#DIV/0!</v>
      </c>
      <c r="R25" s="202"/>
    </row>
    <row r="26" spans="1:22">
      <c r="A26" s="170">
        <f>Produtos!A26</f>
        <v>0</v>
      </c>
      <c r="B26" s="170"/>
      <c r="C26" s="142" t="e">
        <f>Produtos!B26</f>
        <v>#N/A</v>
      </c>
      <c r="D26" s="210"/>
      <c r="E26" s="157" t="e">
        <f>Produtos!BD26</f>
        <v>#DIV/0!</v>
      </c>
      <c r="F26" s="157" t="e">
        <f>Produtos!BE26</f>
        <v>#DIV/0!</v>
      </c>
      <c r="G26" s="158" t="e">
        <f>Produtos!BF26</f>
        <v>#DIV/0!</v>
      </c>
      <c r="H26" s="157">
        <f>Produtos!BL26</f>
        <v>0</v>
      </c>
      <c r="I26" s="157" t="e">
        <f>Produtos!BM26</f>
        <v>#DIV/0!</v>
      </c>
      <c r="J26" s="157" t="e">
        <f>Produtos!BG26</f>
        <v>#DIV/0!</v>
      </c>
      <c r="K26" s="157" t="e">
        <f>Produtos!BH26</f>
        <v>#DIV/0!</v>
      </c>
      <c r="L26" s="157" t="e">
        <f>Produtos!BI26</f>
        <v>#DIV/0!</v>
      </c>
      <c r="M26" s="157" t="e">
        <f>Produtos!BJ26</f>
        <v>#DIV/0!</v>
      </c>
      <c r="R26" s="202"/>
    </row>
    <row r="27" spans="1:22">
      <c r="A27" s="170">
        <f>Produtos!A27</f>
        <v>0</v>
      </c>
      <c r="B27" s="170"/>
      <c r="C27" s="142" t="e">
        <f>Produtos!B27</f>
        <v>#N/A</v>
      </c>
      <c r="D27" s="210"/>
      <c r="E27" s="157" t="e">
        <f>Produtos!BD27</f>
        <v>#DIV/0!</v>
      </c>
      <c r="F27" s="159" t="e">
        <f>Produtos!BE27</f>
        <v>#DIV/0!</v>
      </c>
      <c r="G27" s="158" t="e">
        <f>Produtos!BF27</f>
        <v>#DIV/0!</v>
      </c>
      <c r="H27" s="159">
        <f>Produtos!BL27</f>
        <v>0</v>
      </c>
      <c r="I27" s="157" t="e">
        <f>Produtos!BM27</f>
        <v>#DIV/0!</v>
      </c>
      <c r="J27" s="157" t="e">
        <f>Produtos!BG27</f>
        <v>#DIV/0!</v>
      </c>
      <c r="K27" s="157" t="e">
        <f>Produtos!BH27</f>
        <v>#DIV/0!</v>
      </c>
      <c r="L27" s="157" t="e">
        <f>Produtos!BI27</f>
        <v>#DIV/0!</v>
      </c>
      <c r="M27" s="157" t="e">
        <f>Produtos!BJ27</f>
        <v>#DIV/0!</v>
      </c>
      <c r="R27" s="202"/>
    </row>
    <row r="28" spans="1:22">
      <c r="A28" s="170">
        <f>Produtos!A28</f>
        <v>0</v>
      </c>
      <c r="B28" s="170"/>
      <c r="C28" s="142" t="e">
        <f>Produtos!B28</f>
        <v>#N/A</v>
      </c>
      <c r="D28" s="210"/>
      <c r="E28" s="157" t="e">
        <f>Produtos!BD28</f>
        <v>#DIV/0!</v>
      </c>
      <c r="F28" s="159" t="e">
        <f>Produtos!BE28</f>
        <v>#DIV/0!</v>
      </c>
      <c r="G28" s="158" t="e">
        <f>Produtos!BF28</f>
        <v>#DIV/0!</v>
      </c>
      <c r="H28" s="159">
        <f>Produtos!BL28</f>
        <v>0</v>
      </c>
      <c r="I28" s="157" t="e">
        <f>Produtos!BM28</f>
        <v>#DIV/0!</v>
      </c>
      <c r="J28" s="157" t="e">
        <f>Produtos!BG28</f>
        <v>#DIV/0!</v>
      </c>
      <c r="K28" s="157" t="e">
        <f>Produtos!BH28</f>
        <v>#DIV/0!</v>
      </c>
      <c r="L28" s="157" t="e">
        <f>Produtos!BI28</f>
        <v>#DIV/0!</v>
      </c>
      <c r="M28" s="157" t="e">
        <f>Produtos!BJ28</f>
        <v>#DIV/0!</v>
      </c>
      <c r="R28" s="202"/>
    </row>
    <row r="29" spans="1:22">
      <c r="A29" s="170">
        <f>Produtos!A29</f>
        <v>0</v>
      </c>
      <c r="B29" s="170"/>
      <c r="C29" s="142" t="e">
        <f>Produtos!B29</f>
        <v>#N/A</v>
      </c>
      <c r="D29" s="210"/>
      <c r="E29" s="157" t="e">
        <f>Produtos!BD29</f>
        <v>#DIV/0!</v>
      </c>
      <c r="F29" s="159" t="e">
        <f>Produtos!BE29</f>
        <v>#DIV/0!</v>
      </c>
      <c r="G29" s="158" t="e">
        <f>Produtos!BF29</f>
        <v>#DIV/0!</v>
      </c>
      <c r="H29" s="159">
        <f>Produtos!BL29</f>
        <v>0</v>
      </c>
      <c r="I29" s="157" t="e">
        <f>Produtos!BM29</f>
        <v>#DIV/0!</v>
      </c>
      <c r="J29" s="157" t="e">
        <f>Produtos!BG29</f>
        <v>#DIV/0!</v>
      </c>
      <c r="K29" s="157" t="e">
        <f>Produtos!BH29</f>
        <v>#DIV/0!</v>
      </c>
      <c r="L29" s="157" t="e">
        <f>Produtos!BI29</f>
        <v>#DIV/0!</v>
      </c>
      <c r="M29" s="157" t="e">
        <f>Produtos!BJ29</f>
        <v>#DIV/0!</v>
      </c>
      <c r="R29" s="202"/>
    </row>
    <row r="30" spans="1:22">
      <c r="A30" s="170">
        <f>Produtos!A30</f>
        <v>0</v>
      </c>
      <c r="B30" s="170"/>
      <c r="C30" s="142" t="e">
        <f>Produtos!B30</f>
        <v>#N/A</v>
      </c>
      <c r="D30" s="210"/>
      <c r="E30" s="157" t="e">
        <f>Produtos!BD30</f>
        <v>#DIV/0!</v>
      </c>
      <c r="F30" s="159" t="e">
        <f>Produtos!BE30</f>
        <v>#DIV/0!</v>
      </c>
      <c r="G30" s="158" t="e">
        <f>Produtos!BF30</f>
        <v>#DIV/0!</v>
      </c>
      <c r="H30" s="159">
        <f>Produtos!BL30</f>
        <v>0</v>
      </c>
      <c r="I30" s="157" t="e">
        <f>Produtos!BM30</f>
        <v>#DIV/0!</v>
      </c>
      <c r="J30" s="157" t="e">
        <f>Produtos!BG30</f>
        <v>#DIV/0!</v>
      </c>
      <c r="K30" s="157" t="e">
        <f>Produtos!BH30</f>
        <v>#DIV/0!</v>
      </c>
      <c r="L30" s="157" t="e">
        <f>Produtos!BI30</f>
        <v>#DIV/0!</v>
      </c>
      <c r="M30" s="157" t="e">
        <f>Produtos!BJ30</f>
        <v>#DIV/0!</v>
      </c>
      <c r="R30" s="202"/>
    </row>
    <row r="31" spans="1:22">
      <c r="A31" s="170">
        <f>Produtos!A31</f>
        <v>0</v>
      </c>
      <c r="B31" s="170"/>
      <c r="C31" s="142" t="e">
        <f>Produtos!B31</f>
        <v>#N/A</v>
      </c>
      <c r="D31" s="210"/>
      <c r="E31" s="157" t="e">
        <f>Produtos!BD31</f>
        <v>#DIV/0!</v>
      </c>
      <c r="F31" s="159" t="e">
        <f>Produtos!BE31</f>
        <v>#DIV/0!</v>
      </c>
      <c r="G31" s="158" t="e">
        <f>Produtos!BF31</f>
        <v>#DIV/0!</v>
      </c>
      <c r="H31" s="159">
        <f>Produtos!BL31</f>
        <v>0</v>
      </c>
      <c r="I31" s="157" t="e">
        <f>Produtos!BM31</f>
        <v>#DIV/0!</v>
      </c>
      <c r="J31" s="157" t="e">
        <f>Produtos!BG31</f>
        <v>#DIV/0!</v>
      </c>
      <c r="K31" s="157" t="e">
        <f>Produtos!BH31</f>
        <v>#DIV/0!</v>
      </c>
      <c r="L31" s="157" t="e">
        <f>Produtos!BI31</f>
        <v>#DIV/0!</v>
      </c>
      <c r="M31" s="157" t="e">
        <f>Produtos!BJ31</f>
        <v>#DIV/0!</v>
      </c>
      <c r="R31" s="202"/>
    </row>
    <row r="32" spans="1:22">
      <c r="A32" s="170">
        <f>Produtos!A32</f>
        <v>0</v>
      </c>
      <c r="B32" s="170"/>
      <c r="C32" s="142" t="e">
        <f>Produtos!B32</f>
        <v>#N/A</v>
      </c>
      <c r="D32" s="210"/>
      <c r="E32" s="157" t="e">
        <f>Produtos!BD32</f>
        <v>#DIV/0!</v>
      </c>
      <c r="F32" s="159" t="e">
        <f>Produtos!BE32</f>
        <v>#DIV/0!</v>
      </c>
      <c r="G32" s="158" t="e">
        <f>Produtos!BF32</f>
        <v>#DIV/0!</v>
      </c>
      <c r="H32" s="159">
        <f>Produtos!BL32</f>
        <v>0</v>
      </c>
      <c r="I32" s="157" t="e">
        <f>Produtos!BM32</f>
        <v>#DIV/0!</v>
      </c>
      <c r="J32" s="157" t="e">
        <f>Produtos!BG32</f>
        <v>#DIV/0!</v>
      </c>
      <c r="K32" s="157" t="e">
        <f>Produtos!BH32</f>
        <v>#DIV/0!</v>
      </c>
      <c r="L32" s="157" t="e">
        <f>Produtos!BI32</f>
        <v>#DIV/0!</v>
      </c>
      <c r="M32" s="157" t="e">
        <f>Produtos!BJ32</f>
        <v>#DIV/0!</v>
      </c>
      <c r="R32" s="202"/>
    </row>
    <row r="33" spans="1:18">
      <c r="A33" s="170">
        <f>Produtos!A33</f>
        <v>0</v>
      </c>
      <c r="B33" s="170"/>
      <c r="C33" s="142" t="e">
        <f>Produtos!B33</f>
        <v>#N/A</v>
      </c>
      <c r="D33" s="210"/>
      <c r="E33" s="157" t="e">
        <f>Produtos!BD33</f>
        <v>#DIV/0!</v>
      </c>
      <c r="F33" s="159" t="e">
        <f>Produtos!BE33</f>
        <v>#DIV/0!</v>
      </c>
      <c r="G33" s="158" t="e">
        <f>Produtos!BF33</f>
        <v>#DIV/0!</v>
      </c>
      <c r="H33" s="159">
        <f>Produtos!BL33</f>
        <v>0</v>
      </c>
      <c r="I33" s="157" t="e">
        <f>Produtos!BM33</f>
        <v>#DIV/0!</v>
      </c>
      <c r="J33" s="157" t="e">
        <f>Produtos!BG33</f>
        <v>#DIV/0!</v>
      </c>
      <c r="K33" s="157" t="e">
        <f>Produtos!BH33</f>
        <v>#DIV/0!</v>
      </c>
      <c r="L33" s="157" t="e">
        <f>Produtos!BI33</f>
        <v>#DIV/0!</v>
      </c>
      <c r="M33" s="157" t="e">
        <f>Produtos!BJ33</f>
        <v>#DIV/0!</v>
      </c>
      <c r="R33" s="202"/>
    </row>
    <row r="34" spans="1:18">
      <c r="A34" s="170">
        <f>Produtos!A34</f>
        <v>0</v>
      </c>
      <c r="B34" s="170"/>
      <c r="C34" s="142" t="e">
        <f>Produtos!B34</f>
        <v>#N/A</v>
      </c>
      <c r="D34" s="210"/>
      <c r="E34" s="157" t="e">
        <f>Produtos!BD34</f>
        <v>#DIV/0!</v>
      </c>
      <c r="F34" s="159" t="e">
        <f>Produtos!BE34</f>
        <v>#DIV/0!</v>
      </c>
      <c r="G34" s="158" t="e">
        <f>Produtos!BF34</f>
        <v>#DIV/0!</v>
      </c>
      <c r="H34" s="159">
        <f>Produtos!BL34</f>
        <v>0</v>
      </c>
      <c r="I34" s="157" t="e">
        <f>Produtos!BM34</f>
        <v>#DIV/0!</v>
      </c>
      <c r="J34" s="157" t="e">
        <f>Produtos!BG34</f>
        <v>#DIV/0!</v>
      </c>
      <c r="K34" s="157" t="e">
        <f>Produtos!BH34</f>
        <v>#DIV/0!</v>
      </c>
      <c r="L34" s="157" t="e">
        <f>Produtos!BI34</f>
        <v>#DIV/0!</v>
      </c>
      <c r="M34" s="157" t="e">
        <f>Produtos!BJ34</f>
        <v>#DIV/0!</v>
      </c>
      <c r="R34" s="202"/>
    </row>
    <row r="35" spans="1:18">
      <c r="A35" s="170">
        <f>Produtos!A35</f>
        <v>0</v>
      </c>
      <c r="B35" s="170"/>
      <c r="C35" s="142" t="e">
        <f>Produtos!B35</f>
        <v>#N/A</v>
      </c>
      <c r="D35" s="210"/>
      <c r="E35" s="157" t="e">
        <f>Produtos!BD35</f>
        <v>#DIV/0!</v>
      </c>
      <c r="F35" s="159" t="e">
        <f>Produtos!BE35</f>
        <v>#DIV/0!</v>
      </c>
      <c r="G35" s="158" t="e">
        <f>Produtos!BF35</f>
        <v>#DIV/0!</v>
      </c>
      <c r="H35" s="159">
        <f>Produtos!BL35</f>
        <v>0</v>
      </c>
      <c r="I35" s="157" t="e">
        <f>Produtos!BM35</f>
        <v>#DIV/0!</v>
      </c>
      <c r="J35" s="157" t="e">
        <f>Produtos!BG35</f>
        <v>#DIV/0!</v>
      </c>
      <c r="K35" s="157" t="e">
        <f>Produtos!BH35</f>
        <v>#DIV/0!</v>
      </c>
      <c r="L35" s="157" t="e">
        <f>Produtos!BI35</f>
        <v>#DIV/0!</v>
      </c>
      <c r="M35" s="157" t="e">
        <f>Produtos!BJ35</f>
        <v>#DIV/0!</v>
      </c>
      <c r="R35" s="202"/>
    </row>
    <row r="36" spans="1:18">
      <c r="A36" s="170">
        <f>Produtos!A36</f>
        <v>0</v>
      </c>
      <c r="B36" s="170"/>
      <c r="C36" s="142" t="e">
        <f>Produtos!B36</f>
        <v>#N/A</v>
      </c>
      <c r="D36" s="210"/>
      <c r="E36" s="157" t="e">
        <f>Produtos!BD36</f>
        <v>#DIV/0!</v>
      </c>
      <c r="F36" s="159" t="e">
        <f>Produtos!BE36</f>
        <v>#DIV/0!</v>
      </c>
      <c r="G36" s="158" t="e">
        <f>Produtos!BF36</f>
        <v>#DIV/0!</v>
      </c>
      <c r="H36" s="159">
        <f>Produtos!BL36</f>
        <v>0</v>
      </c>
      <c r="I36" s="157" t="e">
        <f>Produtos!BM36</f>
        <v>#DIV/0!</v>
      </c>
      <c r="J36" s="157" t="e">
        <f>Produtos!BG36</f>
        <v>#DIV/0!</v>
      </c>
      <c r="K36" s="157" t="e">
        <f>Produtos!BH36</f>
        <v>#DIV/0!</v>
      </c>
      <c r="L36" s="157" t="e">
        <f>Produtos!BI36</f>
        <v>#DIV/0!</v>
      </c>
      <c r="M36" s="157" t="e">
        <f>Produtos!BJ36</f>
        <v>#DIV/0!</v>
      </c>
      <c r="R36" s="202"/>
    </row>
    <row r="37" spans="1:18">
      <c r="A37" s="170">
        <f>Produtos!A37</f>
        <v>0</v>
      </c>
      <c r="B37" s="170"/>
      <c r="C37" s="142" t="e">
        <f>Produtos!B37</f>
        <v>#N/A</v>
      </c>
      <c r="D37" s="210"/>
      <c r="E37" s="157" t="e">
        <f>Produtos!BD37</f>
        <v>#DIV/0!</v>
      </c>
      <c r="F37" s="159" t="e">
        <f>Produtos!BE37</f>
        <v>#DIV/0!</v>
      </c>
      <c r="G37" s="158" t="e">
        <f>Produtos!BF37</f>
        <v>#DIV/0!</v>
      </c>
      <c r="H37" s="159">
        <f>Produtos!BL37</f>
        <v>0</v>
      </c>
      <c r="I37" s="157" t="e">
        <f>Produtos!BM37</f>
        <v>#DIV/0!</v>
      </c>
      <c r="J37" s="157" t="e">
        <f>Produtos!BG37</f>
        <v>#DIV/0!</v>
      </c>
      <c r="K37" s="157" t="e">
        <f>Produtos!BH37</f>
        <v>#DIV/0!</v>
      </c>
      <c r="L37" s="157" t="e">
        <f>Produtos!BI37</f>
        <v>#DIV/0!</v>
      </c>
      <c r="M37" s="157" t="e">
        <f>Produtos!BJ37</f>
        <v>#DIV/0!</v>
      </c>
      <c r="R37" s="202"/>
    </row>
    <row r="38" spans="1:18">
      <c r="A38" s="170">
        <f>Produtos!A38</f>
        <v>0</v>
      </c>
      <c r="B38" s="170"/>
      <c r="C38" s="142" t="e">
        <f>Produtos!B38</f>
        <v>#N/A</v>
      </c>
      <c r="D38" s="210"/>
      <c r="E38" s="157" t="e">
        <f>Produtos!BD38</f>
        <v>#DIV/0!</v>
      </c>
      <c r="F38" s="159" t="e">
        <f>Produtos!BE38</f>
        <v>#DIV/0!</v>
      </c>
      <c r="G38" s="158" t="e">
        <f>Produtos!BF38</f>
        <v>#DIV/0!</v>
      </c>
      <c r="H38" s="159">
        <f>Produtos!BL38</f>
        <v>0</v>
      </c>
      <c r="I38" s="157" t="e">
        <f>Produtos!BM38</f>
        <v>#DIV/0!</v>
      </c>
      <c r="J38" s="157" t="e">
        <f>Produtos!BG38</f>
        <v>#DIV/0!</v>
      </c>
      <c r="K38" s="157" t="e">
        <f>Produtos!BH38</f>
        <v>#DIV/0!</v>
      </c>
      <c r="L38" s="157" t="e">
        <f>Produtos!BI38</f>
        <v>#DIV/0!</v>
      </c>
      <c r="M38" s="157" t="e">
        <f>Produtos!BJ38</f>
        <v>#DIV/0!</v>
      </c>
      <c r="R38" s="202"/>
    </row>
    <row r="39" spans="1:18">
      <c r="A39" s="170">
        <f>Produtos!A39</f>
        <v>0</v>
      </c>
      <c r="B39" s="170"/>
      <c r="C39" s="142" t="e">
        <f>Produtos!B39</f>
        <v>#N/A</v>
      </c>
      <c r="D39" s="210"/>
      <c r="E39" s="157" t="e">
        <f>Produtos!BD39</f>
        <v>#DIV/0!</v>
      </c>
      <c r="F39" s="159" t="e">
        <f>Produtos!BE39</f>
        <v>#DIV/0!</v>
      </c>
      <c r="G39" s="158" t="e">
        <f>Produtos!BF39</f>
        <v>#DIV/0!</v>
      </c>
      <c r="H39" s="159">
        <f>Produtos!BL39</f>
        <v>0</v>
      </c>
      <c r="I39" s="157" t="e">
        <f>Produtos!BM39</f>
        <v>#DIV/0!</v>
      </c>
      <c r="J39" s="157" t="e">
        <f>Produtos!BG39</f>
        <v>#DIV/0!</v>
      </c>
      <c r="K39" s="157" t="e">
        <f>Produtos!BH39</f>
        <v>#DIV/0!</v>
      </c>
      <c r="L39" s="157" t="e">
        <f>Produtos!BI39</f>
        <v>#DIV/0!</v>
      </c>
      <c r="M39" s="157" t="e">
        <f>Produtos!BJ39</f>
        <v>#DIV/0!</v>
      </c>
      <c r="R39" s="202"/>
    </row>
    <row r="40" spans="1:18">
      <c r="A40" s="170">
        <f>Produtos!A40</f>
        <v>0</v>
      </c>
      <c r="B40" s="170"/>
      <c r="C40" s="142" t="e">
        <f>Produtos!B40</f>
        <v>#N/A</v>
      </c>
      <c r="D40" s="210"/>
      <c r="E40" s="157" t="e">
        <f>Produtos!BD40</f>
        <v>#DIV/0!</v>
      </c>
      <c r="F40" s="159" t="e">
        <f>Produtos!BE40</f>
        <v>#DIV/0!</v>
      </c>
      <c r="G40" s="158" t="e">
        <f>Produtos!BF40</f>
        <v>#DIV/0!</v>
      </c>
      <c r="H40" s="159">
        <f>Produtos!BL40</f>
        <v>0</v>
      </c>
      <c r="I40" s="157" t="e">
        <f>Produtos!BM40</f>
        <v>#DIV/0!</v>
      </c>
      <c r="J40" s="157" t="e">
        <f>Produtos!BG40</f>
        <v>#DIV/0!</v>
      </c>
      <c r="K40" s="157" t="e">
        <f>Produtos!BH40</f>
        <v>#DIV/0!</v>
      </c>
      <c r="L40" s="157" t="e">
        <f>Produtos!BI40</f>
        <v>#DIV/0!</v>
      </c>
      <c r="M40" s="157" t="e">
        <f>Produtos!BJ40</f>
        <v>#DIV/0!</v>
      </c>
      <c r="R40" s="202"/>
    </row>
    <row r="41" spans="1:18">
      <c r="A41" s="170">
        <f>Produtos!A41</f>
        <v>0</v>
      </c>
      <c r="B41" s="170"/>
      <c r="C41" s="142" t="e">
        <f>Produtos!B41</f>
        <v>#N/A</v>
      </c>
      <c r="D41" s="210"/>
      <c r="E41" s="157" t="e">
        <f>Produtos!BD41</f>
        <v>#DIV/0!</v>
      </c>
      <c r="F41" s="159" t="e">
        <f>Produtos!BE41</f>
        <v>#DIV/0!</v>
      </c>
      <c r="G41" s="158" t="e">
        <f>Produtos!BF41</f>
        <v>#DIV/0!</v>
      </c>
      <c r="H41" s="159">
        <f>Produtos!BL41</f>
        <v>0</v>
      </c>
      <c r="I41" s="157" t="e">
        <f>Produtos!BM41</f>
        <v>#DIV/0!</v>
      </c>
      <c r="J41" s="157" t="e">
        <f>Produtos!BG41</f>
        <v>#DIV/0!</v>
      </c>
      <c r="K41" s="157" t="e">
        <f>Produtos!BH41</f>
        <v>#DIV/0!</v>
      </c>
      <c r="L41" s="157" t="e">
        <f>Produtos!BI41</f>
        <v>#DIV/0!</v>
      </c>
      <c r="M41" s="157" t="e">
        <f>Produtos!BJ41</f>
        <v>#DIV/0!</v>
      </c>
      <c r="R41" s="202"/>
    </row>
    <row r="42" spans="1:18">
      <c r="A42" s="170">
        <f>Produtos!A42</f>
        <v>0</v>
      </c>
      <c r="B42" s="170"/>
      <c r="C42" s="142" t="e">
        <f>Produtos!B42</f>
        <v>#N/A</v>
      </c>
      <c r="D42" s="210"/>
      <c r="E42" s="157" t="e">
        <f>Produtos!BD42</f>
        <v>#DIV/0!</v>
      </c>
      <c r="F42" s="159" t="e">
        <f>Produtos!BE42</f>
        <v>#DIV/0!</v>
      </c>
      <c r="G42" s="158" t="e">
        <f>Produtos!BF42</f>
        <v>#DIV/0!</v>
      </c>
      <c r="H42" s="159">
        <f>Produtos!BL42</f>
        <v>0</v>
      </c>
      <c r="I42" s="157" t="e">
        <f>Produtos!BM42</f>
        <v>#DIV/0!</v>
      </c>
      <c r="J42" s="157" t="e">
        <f>Produtos!BG42</f>
        <v>#DIV/0!</v>
      </c>
      <c r="K42" s="157" t="e">
        <f>Produtos!BH42</f>
        <v>#DIV/0!</v>
      </c>
      <c r="L42" s="157" t="e">
        <f>Produtos!BI42</f>
        <v>#DIV/0!</v>
      </c>
      <c r="M42" s="157" t="e">
        <f>Produtos!BJ42</f>
        <v>#DIV/0!</v>
      </c>
      <c r="R42" s="202"/>
    </row>
    <row r="43" spans="1:18">
      <c r="A43" s="170">
        <f>Produtos!A43</f>
        <v>0</v>
      </c>
      <c r="B43" s="170"/>
      <c r="C43" s="142" t="e">
        <f>Produtos!B43</f>
        <v>#N/A</v>
      </c>
      <c r="D43" s="210"/>
      <c r="E43" s="157" t="e">
        <f>Produtos!BD43</f>
        <v>#DIV/0!</v>
      </c>
      <c r="F43" s="159" t="e">
        <f>Produtos!BE43</f>
        <v>#DIV/0!</v>
      </c>
      <c r="G43" s="158" t="e">
        <f>Produtos!BF43</f>
        <v>#DIV/0!</v>
      </c>
      <c r="H43" s="159">
        <f>Produtos!BL43</f>
        <v>0</v>
      </c>
      <c r="I43" s="157" t="e">
        <f>Produtos!BM43</f>
        <v>#DIV/0!</v>
      </c>
      <c r="J43" s="157" t="e">
        <f>Produtos!BG43</f>
        <v>#DIV/0!</v>
      </c>
      <c r="K43" s="157" t="e">
        <f>Produtos!BH43</f>
        <v>#DIV/0!</v>
      </c>
      <c r="L43" s="157" t="e">
        <f>Produtos!BI43</f>
        <v>#DIV/0!</v>
      </c>
      <c r="M43" s="157" t="e">
        <f>Produtos!BJ43</f>
        <v>#DIV/0!</v>
      </c>
      <c r="R43" s="202"/>
    </row>
    <row r="44" spans="1:18">
      <c r="A44" s="170">
        <f>Produtos!A44</f>
        <v>0</v>
      </c>
      <c r="B44" s="170"/>
      <c r="C44" s="142" t="e">
        <f>Produtos!B44</f>
        <v>#N/A</v>
      </c>
      <c r="D44" s="210"/>
      <c r="E44" s="157" t="e">
        <f>Produtos!BD44</f>
        <v>#DIV/0!</v>
      </c>
      <c r="F44" s="159" t="e">
        <f>Produtos!BE44</f>
        <v>#DIV/0!</v>
      </c>
      <c r="G44" s="158" t="e">
        <f>Produtos!BF44</f>
        <v>#DIV/0!</v>
      </c>
      <c r="H44" s="159">
        <f>Produtos!BL44</f>
        <v>0</v>
      </c>
      <c r="I44" s="157" t="e">
        <f>Produtos!BM44</f>
        <v>#DIV/0!</v>
      </c>
      <c r="J44" s="157" t="e">
        <f>Produtos!BG44</f>
        <v>#DIV/0!</v>
      </c>
      <c r="K44" s="157" t="e">
        <f>Produtos!BH44</f>
        <v>#DIV/0!</v>
      </c>
      <c r="L44" s="157" t="e">
        <f>Produtos!BI44</f>
        <v>#DIV/0!</v>
      </c>
      <c r="M44" s="157" t="e">
        <f>Produtos!BJ44</f>
        <v>#DIV/0!</v>
      </c>
      <c r="R44" s="202"/>
    </row>
    <row r="45" spans="1:18">
      <c r="A45" s="170">
        <f>Produtos!A45</f>
        <v>0</v>
      </c>
      <c r="B45" s="170"/>
      <c r="C45" s="142" t="e">
        <f>Produtos!B45</f>
        <v>#N/A</v>
      </c>
      <c r="D45" s="210"/>
      <c r="E45" s="157" t="e">
        <f>Produtos!BD45</f>
        <v>#DIV/0!</v>
      </c>
      <c r="F45" s="159" t="e">
        <f>Produtos!BE45</f>
        <v>#DIV/0!</v>
      </c>
      <c r="G45" s="158" t="e">
        <f>Produtos!BF45</f>
        <v>#DIV/0!</v>
      </c>
      <c r="H45" s="159">
        <f>Produtos!BL45</f>
        <v>0</v>
      </c>
      <c r="I45" s="157" t="e">
        <f>Produtos!BM45</f>
        <v>#DIV/0!</v>
      </c>
      <c r="J45" s="157" t="e">
        <f>Produtos!BG45</f>
        <v>#DIV/0!</v>
      </c>
      <c r="K45" s="157" t="e">
        <f>Produtos!BH45</f>
        <v>#DIV/0!</v>
      </c>
      <c r="L45" s="157" t="e">
        <f>Produtos!BI45</f>
        <v>#DIV/0!</v>
      </c>
      <c r="M45" s="157" t="e">
        <f>Produtos!BJ45</f>
        <v>#DIV/0!</v>
      </c>
    </row>
    <row r="46" spans="1:18">
      <c r="A46" s="170">
        <f>Produtos!A46</f>
        <v>0</v>
      </c>
      <c r="B46" s="170"/>
      <c r="C46" s="142" t="e">
        <f>Produtos!B46</f>
        <v>#N/A</v>
      </c>
      <c r="D46" s="210"/>
      <c r="E46" s="157" t="e">
        <f>Produtos!BD46</f>
        <v>#DIV/0!</v>
      </c>
      <c r="F46" s="159" t="e">
        <f>Produtos!BE46</f>
        <v>#DIV/0!</v>
      </c>
      <c r="G46" s="158" t="e">
        <f>Produtos!BF46</f>
        <v>#DIV/0!</v>
      </c>
      <c r="H46" s="159">
        <f>Produtos!BL46</f>
        <v>0</v>
      </c>
      <c r="I46" s="157" t="e">
        <f>Produtos!BM46</f>
        <v>#DIV/0!</v>
      </c>
      <c r="J46" s="157" t="e">
        <f>Produtos!BG46</f>
        <v>#DIV/0!</v>
      </c>
      <c r="K46" s="157" t="e">
        <f>Produtos!BH46</f>
        <v>#DIV/0!</v>
      </c>
      <c r="L46" s="157" t="e">
        <f>Produtos!BI46</f>
        <v>#DIV/0!</v>
      </c>
      <c r="M46" s="157" t="e">
        <f>Produtos!BJ46</f>
        <v>#DIV/0!</v>
      </c>
    </row>
    <row r="47" spans="1:18">
      <c r="A47" s="170">
        <f>Produtos!A47</f>
        <v>0</v>
      </c>
      <c r="B47" s="170"/>
      <c r="C47" s="142" t="e">
        <f>Produtos!B47</f>
        <v>#N/A</v>
      </c>
      <c r="D47" s="210"/>
      <c r="E47" s="157" t="e">
        <f>Produtos!BD47</f>
        <v>#DIV/0!</v>
      </c>
      <c r="F47" s="159" t="e">
        <f>Produtos!BE47</f>
        <v>#DIV/0!</v>
      </c>
      <c r="G47" s="158" t="e">
        <f>Produtos!BF47</f>
        <v>#DIV/0!</v>
      </c>
      <c r="H47" s="159">
        <f>Produtos!BL47</f>
        <v>0</v>
      </c>
      <c r="I47" s="157" t="e">
        <f>Produtos!BM47</f>
        <v>#DIV/0!</v>
      </c>
      <c r="J47" s="157" t="e">
        <f>Produtos!BG47</f>
        <v>#DIV/0!</v>
      </c>
      <c r="K47" s="157" t="e">
        <f>Produtos!BH47</f>
        <v>#DIV/0!</v>
      </c>
      <c r="L47" s="157" t="e">
        <f>Produtos!BI47</f>
        <v>#DIV/0!</v>
      </c>
      <c r="M47" s="157" t="e">
        <f>Produtos!BJ47</f>
        <v>#DIV/0!</v>
      </c>
    </row>
    <row r="48" spans="1:18">
      <c r="A48" s="170">
        <f>Produtos!A48</f>
        <v>0</v>
      </c>
      <c r="B48" s="170"/>
      <c r="C48" s="142" t="e">
        <f>Produtos!B48</f>
        <v>#N/A</v>
      </c>
      <c r="D48" s="210"/>
      <c r="E48" s="157" t="e">
        <f>Produtos!BD48</f>
        <v>#DIV/0!</v>
      </c>
      <c r="F48" s="159" t="e">
        <f>Produtos!BE48</f>
        <v>#DIV/0!</v>
      </c>
      <c r="G48" s="158" t="e">
        <f>Produtos!BF48</f>
        <v>#DIV/0!</v>
      </c>
      <c r="H48" s="159">
        <f>Produtos!BL48</f>
        <v>0</v>
      </c>
      <c r="I48" s="157" t="e">
        <f>Produtos!BM48</f>
        <v>#DIV/0!</v>
      </c>
      <c r="J48" s="157" t="e">
        <f>Produtos!BG48</f>
        <v>#DIV/0!</v>
      </c>
      <c r="K48" s="157" t="e">
        <f>Produtos!BH48</f>
        <v>#DIV/0!</v>
      </c>
      <c r="L48" s="157" t="e">
        <f>Produtos!BI48</f>
        <v>#DIV/0!</v>
      </c>
      <c r="M48" s="157" t="e">
        <f>Produtos!BJ48</f>
        <v>#DIV/0!</v>
      </c>
    </row>
    <row r="49" spans="1:13">
      <c r="A49" s="170">
        <f>Produtos!A49</f>
        <v>0</v>
      </c>
      <c r="B49" s="170"/>
      <c r="C49" s="142" t="e">
        <f>Produtos!B49</f>
        <v>#N/A</v>
      </c>
      <c r="D49" s="210"/>
      <c r="E49" s="157" t="e">
        <f>Produtos!BD49</f>
        <v>#DIV/0!</v>
      </c>
      <c r="F49" s="159" t="e">
        <f>Produtos!BE49</f>
        <v>#DIV/0!</v>
      </c>
      <c r="G49" s="158" t="e">
        <f>Produtos!BF49</f>
        <v>#DIV/0!</v>
      </c>
      <c r="H49" s="159">
        <f>Produtos!BL49</f>
        <v>0</v>
      </c>
      <c r="I49" s="157" t="e">
        <f>Produtos!BM49</f>
        <v>#DIV/0!</v>
      </c>
      <c r="J49" s="157" t="e">
        <f>Produtos!BG49</f>
        <v>#DIV/0!</v>
      </c>
      <c r="K49" s="157" t="e">
        <f>Produtos!BH49</f>
        <v>#DIV/0!</v>
      </c>
      <c r="L49" s="157" t="e">
        <f>Produtos!BI49</f>
        <v>#DIV/0!</v>
      </c>
      <c r="M49" s="157" t="e">
        <f>Produtos!BJ49</f>
        <v>#DIV/0!</v>
      </c>
    </row>
    <row r="50" spans="1:13">
      <c r="A50" s="170">
        <f>Produtos!A50</f>
        <v>0</v>
      </c>
      <c r="B50" s="170"/>
      <c r="C50" s="142" t="e">
        <f>Produtos!B50</f>
        <v>#N/A</v>
      </c>
      <c r="D50" s="210"/>
      <c r="E50" s="157" t="e">
        <f>Produtos!BD50</f>
        <v>#DIV/0!</v>
      </c>
      <c r="F50" s="159" t="e">
        <f>Produtos!BE50</f>
        <v>#DIV/0!</v>
      </c>
      <c r="G50" s="158" t="e">
        <f>Produtos!BF50</f>
        <v>#DIV/0!</v>
      </c>
      <c r="H50" s="159">
        <f>Produtos!BL50</f>
        <v>0</v>
      </c>
      <c r="I50" s="157" t="e">
        <f>Produtos!BM50</f>
        <v>#DIV/0!</v>
      </c>
      <c r="J50" s="157" t="e">
        <f>Produtos!BG50</f>
        <v>#DIV/0!</v>
      </c>
      <c r="K50" s="157" t="e">
        <f>Produtos!BH50</f>
        <v>#DIV/0!</v>
      </c>
      <c r="L50" s="157" t="e">
        <f>Produtos!BI50</f>
        <v>#DIV/0!</v>
      </c>
      <c r="M50" s="157" t="e">
        <f>Produtos!BJ50</f>
        <v>#DIV/0!</v>
      </c>
    </row>
    <row r="51" spans="1:13">
      <c r="A51" s="170">
        <f>Produtos!A51</f>
        <v>0</v>
      </c>
      <c r="B51" s="170"/>
      <c r="C51" s="142" t="e">
        <f>Produtos!B51</f>
        <v>#N/A</v>
      </c>
      <c r="D51" s="210"/>
      <c r="E51" s="157" t="e">
        <f>Produtos!BD51</f>
        <v>#DIV/0!</v>
      </c>
      <c r="F51" s="159" t="e">
        <f>Produtos!BE51</f>
        <v>#DIV/0!</v>
      </c>
      <c r="G51" s="158" t="e">
        <f>Produtos!BF51</f>
        <v>#DIV/0!</v>
      </c>
      <c r="H51" s="159">
        <f>Produtos!BL51</f>
        <v>0</v>
      </c>
      <c r="I51" s="157" t="e">
        <f>Produtos!BM51</f>
        <v>#DIV/0!</v>
      </c>
      <c r="J51" s="157" t="e">
        <f>Produtos!BG51</f>
        <v>#DIV/0!</v>
      </c>
      <c r="K51" s="157" t="e">
        <f>Produtos!BH51</f>
        <v>#DIV/0!</v>
      </c>
      <c r="L51" s="157" t="e">
        <f>Produtos!BI51</f>
        <v>#DIV/0!</v>
      </c>
      <c r="M51" s="157" t="e">
        <f>Produtos!BJ51</f>
        <v>#DIV/0!</v>
      </c>
    </row>
    <row r="52" spans="1:13">
      <c r="A52" s="170">
        <f>Produtos!A52</f>
        <v>0</v>
      </c>
      <c r="B52" s="170"/>
      <c r="C52" s="142" t="e">
        <f>Produtos!B52</f>
        <v>#N/A</v>
      </c>
      <c r="D52" s="210"/>
      <c r="E52" s="157" t="e">
        <f>Produtos!BD52</f>
        <v>#DIV/0!</v>
      </c>
      <c r="F52" s="159" t="e">
        <f>Produtos!BE52</f>
        <v>#DIV/0!</v>
      </c>
      <c r="G52" s="158" t="e">
        <f>Produtos!BF52</f>
        <v>#DIV/0!</v>
      </c>
      <c r="H52" s="159">
        <f>Produtos!BL52</f>
        <v>0</v>
      </c>
      <c r="I52" s="157" t="e">
        <f>Produtos!BM52</f>
        <v>#DIV/0!</v>
      </c>
      <c r="J52" s="157" t="e">
        <f>Produtos!BG52</f>
        <v>#DIV/0!</v>
      </c>
      <c r="K52" s="157" t="e">
        <f>Produtos!BH52</f>
        <v>#DIV/0!</v>
      </c>
      <c r="L52" s="157" t="e">
        <f>Produtos!BI52</f>
        <v>#DIV/0!</v>
      </c>
      <c r="M52" s="157" t="e">
        <f>Produtos!BJ52</f>
        <v>#DIV/0!</v>
      </c>
    </row>
    <row r="53" spans="1:13">
      <c r="A53" s="170">
        <f>Produtos!A53</f>
        <v>0</v>
      </c>
      <c r="B53" s="170"/>
      <c r="C53" s="142" t="e">
        <f>Produtos!B53</f>
        <v>#N/A</v>
      </c>
      <c r="D53" s="210"/>
      <c r="E53" s="157" t="e">
        <f>Produtos!BD53</f>
        <v>#DIV/0!</v>
      </c>
      <c r="F53" s="159" t="e">
        <f>Produtos!BE53</f>
        <v>#DIV/0!</v>
      </c>
      <c r="G53" s="158" t="e">
        <f>Produtos!BF53</f>
        <v>#DIV/0!</v>
      </c>
      <c r="H53" s="159">
        <f>Produtos!BL53</f>
        <v>0</v>
      </c>
      <c r="I53" s="157" t="e">
        <f>Produtos!BM53</f>
        <v>#DIV/0!</v>
      </c>
      <c r="J53" s="157" t="e">
        <f>Produtos!BG53</f>
        <v>#DIV/0!</v>
      </c>
      <c r="K53" s="157" t="e">
        <f>Produtos!BH53</f>
        <v>#DIV/0!</v>
      </c>
      <c r="L53" s="157" t="e">
        <f>Produtos!BI53</f>
        <v>#DIV/0!</v>
      </c>
      <c r="M53" s="157" t="e">
        <f>Produtos!BJ53</f>
        <v>#DIV/0!</v>
      </c>
    </row>
    <row r="54" spans="1:13">
      <c r="A54" s="170">
        <f>Produtos!A54</f>
        <v>0</v>
      </c>
      <c r="B54" s="170"/>
      <c r="C54" s="142" t="e">
        <f>Produtos!B54</f>
        <v>#N/A</v>
      </c>
      <c r="D54" s="210"/>
      <c r="E54" s="157" t="e">
        <f>Produtos!BD54</f>
        <v>#DIV/0!</v>
      </c>
      <c r="F54" s="159" t="e">
        <f>Produtos!BE54</f>
        <v>#DIV/0!</v>
      </c>
      <c r="G54" s="158" t="e">
        <f>Produtos!BF54</f>
        <v>#DIV/0!</v>
      </c>
      <c r="H54" s="159">
        <f>Produtos!BL54</f>
        <v>0</v>
      </c>
      <c r="I54" s="157" t="e">
        <f>Produtos!BM54</f>
        <v>#DIV/0!</v>
      </c>
      <c r="J54" s="157" t="e">
        <f>Produtos!BG54</f>
        <v>#DIV/0!</v>
      </c>
      <c r="K54" s="157" t="e">
        <f>Produtos!BH54</f>
        <v>#DIV/0!</v>
      </c>
      <c r="L54" s="157" t="e">
        <f>Produtos!BI54</f>
        <v>#DIV/0!</v>
      </c>
      <c r="M54" s="157" t="e">
        <f>Produtos!BJ54</f>
        <v>#DIV/0!</v>
      </c>
    </row>
    <row r="55" spans="1:13">
      <c r="A55" s="170">
        <f>Produtos!A55</f>
        <v>0</v>
      </c>
      <c r="B55" s="170"/>
      <c r="C55" s="142" t="e">
        <f>Produtos!B55</f>
        <v>#N/A</v>
      </c>
      <c r="D55" s="210"/>
      <c r="E55" s="157" t="e">
        <f>Produtos!BD55</f>
        <v>#DIV/0!</v>
      </c>
      <c r="F55" s="159" t="e">
        <f>Produtos!BE55</f>
        <v>#DIV/0!</v>
      </c>
      <c r="G55" s="158" t="e">
        <f>Produtos!BF55</f>
        <v>#DIV/0!</v>
      </c>
      <c r="H55" s="159">
        <f>Produtos!BL55</f>
        <v>0</v>
      </c>
      <c r="I55" s="157" t="e">
        <f>Produtos!BM55</f>
        <v>#DIV/0!</v>
      </c>
      <c r="J55" s="157" t="e">
        <f>Produtos!BG55</f>
        <v>#DIV/0!</v>
      </c>
      <c r="K55" s="157" t="e">
        <f>Produtos!BH55</f>
        <v>#DIV/0!</v>
      </c>
      <c r="L55" s="157" t="e">
        <f>Produtos!BI55</f>
        <v>#DIV/0!</v>
      </c>
      <c r="M55" s="157" t="e">
        <f>Produtos!BJ55</f>
        <v>#DIV/0!</v>
      </c>
    </row>
    <row r="56" spans="1:13">
      <c r="A56" s="170">
        <f>Produtos!A56</f>
        <v>0</v>
      </c>
      <c r="B56" s="170"/>
      <c r="C56" s="142" t="e">
        <f>Produtos!B56</f>
        <v>#N/A</v>
      </c>
      <c r="D56" s="210"/>
      <c r="E56" s="157" t="e">
        <f>Produtos!BD56</f>
        <v>#DIV/0!</v>
      </c>
      <c r="F56" s="159" t="e">
        <f>Produtos!BE56</f>
        <v>#DIV/0!</v>
      </c>
      <c r="G56" s="158" t="e">
        <f>Produtos!BF56</f>
        <v>#DIV/0!</v>
      </c>
      <c r="H56" s="159">
        <f>Produtos!BL56</f>
        <v>0</v>
      </c>
      <c r="I56" s="157" t="e">
        <f>Produtos!BM56</f>
        <v>#DIV/0!</v>
      </c>
      <c r="J56" s="157" t="e">
        <f>Produtos!BG56</f>
        <v>#DIV/0!</v>
      </c>
      <c r="K56" s="157" t="e">
        <f>Produtos!BH56</f>
        <v>#DIV/0!</v>
      </c>
      <c r="L56" s="157" t="e">
        <f>Produtos!BI56</f>
        <v>#DIV/0!</v>
      </c>
      <c r="M56" s="157" t="e">
        <f>Produtos!BJ56</f>
        <v>#DIV/0!</v>
      </c>
    </row>
    <row r="57" spans="1:13">
      <c r="A57" s="170">
        <f>Produtos!A57</f>
        <v>0</v>
      </c>
      <c r="B57" s="170"/>
      <c r="C57" s="142" t="e">
        <f>Produtos!B57</f>
        <v>#N/A</v>
      </c>
      <c r="D57" s="210"/>
      <c r="E57" s="157" t="e">
        <f>Produtos!BD57</f>
        <v>#DIV/0!</v>
      </c>
      <c r="F57" s="159" t="e">
        <f>Produtos!BE57</f>
        <v>#DIV/0!</v>
      </c>
      <c r="G57" s="158" t="e">
        <f>Produtos!BF57</f>
        <v>#DIV/0!</v>
      </c>
      <c r="H57" s="159">
        <f>Produtos!BL57</f>
        <v>0</v>
      </c>
      <c r="I57" s="157" t="e">
        <f>Produtos!BM57</f>
        <v>#DIV/0!</v>
      </c>
      <c r="J57" s="157" t="e">
        <f>Produtos!BG57</f>
        <v>#DIV/0!</v>
      </c>
      <c r="K57" s="157" t="e">
        <f>Produtos!BH57</f>
        <v>#DIV/0!</v>
      </c>
      <c r="L57" s="157" t="e">
        <f>Produtos!BI57</f>
        <v>#DIV/0!</v>
      </c>
      <c r="M57" s="157" t="e">
        <f>Produtos!BJ57</f>
        <v>#DIV/0!</v>
      </c>
    </row>
    <row r="58" spans="1:13">
      <c r="A58" s="170">
        <f>Produtos!A58</f>
        <v>0</v>
      </c>
      <c r="B58" s="170"/>
      <c r="C58" s="142" t="e">
        <f>Produtos!B58</f>
        <v>#N/A</v>
      </c>
      <c r="D58" s="210"/>
      <c r="E58" s="157" t="e">
        <f>Produtos!BD58</f>
        <v>#DIV/0!</v>
      </c>
      <c r="F58" s="159" t="e">
        <f>Produtos!BE58</f>
        <v>#DIV/0!</v>
      </c>
      <c r="G58" s="158" t="e">
        <f>Produtos!BF58</f>
        <v>#DIV/0!</v>
      </c>
      <c r="H58" s="159">
        <f>Produtos!BL58</f>
        <v>0</v>
      </c>
      <c r="I58" s="157" t="e">
        <f>Produtos!BM58</f>
        <v>#DIV/0!</v>
      </c>
      <c r="J58" s="157" t="e">
        <f>Produtos!BG58</f>
        <v>#DIV/0!</v>
      </c>
      <c r="K58" s="157" t="e">
        <f>Produtos!BH58</f>
        <v>#DIV/0!</v>
      </c>
      <c r="L58" s="157" t="e">
        <f>Produtos!BI58</f>
        <v>#DIV/0!</v>
      </c>
      <c r="M58" s="157" t="e">
        <f>Produtos!BJ58</f>
        <v>#DIV/0!</v>
      </c>
    </row>
    <row r="59" spans="1:13">
      <c r="A59" s="170">
        <f>Produtos!A59</f>
        <v>0</v>
      </c>
      <c r="B59" s="170"/>
      <c r="C59" s="142" t="e">
        <f>Produtos!B59</f>
        <v>#N/A</v>
      </c>
      <c r="D59" s="210"/>
      <c r="E59" s="157" t="e">
        <f>Produtos!BD59</f>
        <v>#DIV/0!</v>
      </c>
      <c r="F59" s="159" t="e">
        <f>Produtos!BE59</f>
        <v>#DIV/0!</v>
      </c>
      <c r="G59" s="158" t="e">
        <f>Produtos!BF59</f>
        <v>#DIV/0!</v>
      </c>
      <c r="H59" s="159">
        <f>Produtos!BL59</f>
        <v>0</v>
      </c>
      <c r="I59" s="157" t="e">
        <f>Produtos!BM59</f>
        <v>#DIV/0!</v>
      </c>
      <c r="J59" s="157" t="e">
        <f>Produtos!BG59</f>
        <v>#DIV/0!</v>
      </c>
      <c r="K59" s="157" t="e">
        <f>Produtos!BH59</f>
        <v>#DIV/0!</v>
      </c>
      <c r="L59" s="157" t="e">
        <f>Produtos!BI59</f>
        <v>#DIV/0!</v>
      </c>
      <c r="M59" s="157" t="e">
        <f>Produtos!BJ59</f>
        <v>#DIV/0!</v>
      </c>
    </row>
    <row r="60" spans="1:13">
      <c r="A60" s="170">
        <f>Produtos!A60</f>
        <v>0</v>
      </c>
      <c r="B60" s="170"/>
      <c r="C60" s="142" t="e">
        <f>Produtos!B60</f>
        <v>#N/A</v>
      </c>
      <c r="D60" s="210"/>
      <c r="E60" s="157" t="e">
        <f>Produtos!BD60</f>
        <v>#DIV/0!</v>
      </c>
      <c r="F60" s="159" t="e">
        <f>Produtos!BE60</f>
        <v>#DIV/0!</v>
      </c>
      <c r="G60" s="158" t="e">
        <f>Produtos!BF60</f>
        <v>#DIV/0!</v>
      </c>
      <c r="H60" s="159">
        <f>Produtos!BL60</f>
        <v>0</v>
      </c>
      <c r="I60" s="157" t="e">
        <f>Produtos!BM60</f>
        <v>#DIV/0!</v>
      </c>
      <c r="J60" s="157" t="e">
        <f>Produtos!BG60</f>
        <v>#DIV/0!</v>
      </c>
      <c r="K60" s="157" t="e">
        <f>Produtos!BH60</f>
        <v>#DIV/0!</v>
      </c>
      <c r="L60" s="157" t="e">
        <f>Produtos!BI60</f>
        <v>#DIV/0!</v>
      </c>
      <c r="M60" s="157" t="e">
        <f>Produtos!BJ60</f>
        <v>#DIV/0!</v>
      </c>
    </row>
    <row r="61" spans="1:13">
      <c r="A61" s="170">
        <f>Produtos!A61</f>
        <v>0</v>
      </c>
      <c r="B61" s="170"/>
      <c r="C61" s="142" t="e">
        <f>Produtos!B61</f>
        <v>#N/A</v>
      </c>
      <c r="D61" s="210"/>
      <c r="E61" s="157" t="e">
        <f>Produtos!BD61</f>
        <v>#DIV/0!</v>
      </c>
      <c r="F61" s="159" t="e">
        <f>Produtos!BE61</f>
        <v>#DIV/0!</v>
      </c>
      <c r="G61" s="158" t="e">
        <f>Produtos!BF61</f>
        <v>#DIV/0!</v>
      </c>
      <c r="H61" s="159">
        <f>Produtos!BL61</f>
        <v>0</v>
      </c>
      <c r="I61" s="157" t="e">
        <f>Produtos!BM61</f>
        <v>#DIV/0!</v>
      </c>
      <c r="J61" s="157" t="e">
        <f>Produtos!BG61</f>
        <v>#DIV/0!</v>
      </c>
      <c r="K61" s="157" t="e">
        <f>Produtos!BH61</f>
        <v>#DIV/0!</v>
      </c>
      <c r="L61" s="157" t="e">
        <f>Produtos!BI61</f>
        <v>#DIV/0!</v>
      </c>
      <c r="M61" s="157" t="e">
        <f>Produtos!BJ61</f>
        <v>#DIV/0!</v>
      </c>
    </row>
    <row r="62" spans="1:13">
      <c r="A62" s="170">
        <f>Produtos!A62</f>
        <v>0</v>
      </c>
      <c r="B62" s="170"/>
      <c r="C62" s="142" t="e">
        <f>Produtos!B62</f>
        <v>#N/A</v>
      </c>
      <c r="D62" s="210"/>
      <c r="E62" s="157" t="e">
        <f>Produtos!BD62</f>
        <v>#DIV/0!</v>
      </c>
      <c r="F62" s="159" t="e">
        <f>Produtos!BE62</f>
        <v>#DIV/0!</v>
      </c>
      <c r="G62" s="158" t="e">
        <f>Produtos!BF62</f>
        <v>#DIV/0!</v>
      </c>
      <c r="H62" s="159">
        <f>Produtos!BL62</f>
        <v>0</v>
      </c>
      <c r="I62" s="157" t="e">
        <f>Produtos!BM62</f>
        <v>#DIV/0!</v>
      </c>
      <c r="J62" s="157" t="e">
        <f>Produtos!BG62</f>
        <v>#DIV/0!</v>
      </c>
      <c r="K62" s="157" t="e">
        <f>Produtos!BH62</f>
        <v>#DIV/0!</v>
      </c>
      <c r="L62" s="157" t="e">
        <f>Produtos!BI62</f>
        <v>#DIV/0!</v>
      </c>
      <c r="M62" s="157" t="e">
        <f>Produtos!BJ62</f>
        <v>#DIV/0!</v>
      </c>
    </row>
    <row r="63" spans="1:13">
      <c r="A63" s="170">
        <f>Produtos!A63</f>
        <v>0</v>
      </c>
      <c r="B63" s="170"/>
      <c r="C63" s="142" t="e">
        <f>Produtos!B63</f>
        <v>#N/A</v>
      </c>
      <c r="D63" s="210"/>
      <c r="E63" s="157" t="e">
        <f>Produtos!BD63</f>
        <v>#DIV/0!</v>
      </c>
      <c r="F63" s="159" t="e">
        <f>Produtos!BE63</f>
        <v>#DIV/0!</v>
      </c>
      <c r="G63" s="158" t="e">
        <f>Produtos!BF63</f>
        <v>#DIV/0!</v>
      </c>
      <c r="H63" s="159">
        <f>Produtos!BL63</f>
        <v>0</v>
      </c>
      <c r="I63" s="157" t="e">
        <f>Produtos!BM63</f>
        <v>#DIV/0!</v>
      </c>
      <c r="J63" s="157" t="e">
        <f>Produtos!BG63</f>
        <v>#DIV/0!</v>
      </c>
      <c r="K63" s="157" t="e">
        <f>Produtos!BH63</f>
        <v>#DIV/0!</v>
      </c>
      <c r="L63" s="157" t="e">
        <f>Produtos!BI63</f>
        <v>#DIV/0!</v>
      </c>
      <c r="M63" s="157" t="e">
        <f>Produtos!BJ63</f>
        <v>#DIV/0!</v>
      </c>
    </row>
    <row r="64" spans="1:13">
      <c r="A64" s="170">
        <f>Produtos!A64</f>
        <v>0</v>
      </c>
      <c r="B64" s="170"/>
      <c r="C64" s="142" t="e">
        <f>Produtos!B64</f>
        <v>#N/A</v>
      </c>
      <c r="D64" s="210"/>
      <c r="E64" s="157" t="e">
        <f>Produtos!BD64</f>
        <v>#DIV/0!</v>
      </c>
      <c r="F64" s="159" t="e">
        <f>Produtos!BE64</f>
        <v>#DIV/0!</v>
      </c>
      <c r="G64" s="158" t="e">
        <f>Produtos!BF64</f>
        <v>#DIV/0!</v>
      </c>
      <c r="H64" s="159">
        <f>Produtos!BL64</f>
        <v>0</v>
      </c>
      <c r="I64" s="157" t="e">
        <f>Produtos!BM64</f>
        <v>#DIV/0!</v>
      </c>
      <c r="J64" s="157" t="e">
        <f>Produtos!BG64</f>
        <v>#DIV/0!</v>
      </c>
      <c r="K64" s="157" t="e">
        <f>Produtos!BH64</f>
        <v>#DIV/0!</v>
      </c>
      <c r="L64" s="157" t="e">
        <f>Produtos!BI64</f>
        <v>#DIV/0!</v>
      </c>
      <c r="M64" s="157" t="e">
        <f>Produtos!BJ64</f>
        <v>#DIV/0!</v>
      </c>
    </row>
    <row r="65" spans="1:13">
      <c r="A65" s="170">
        <f>Produtos!A65</f>
        <v>0</v>
      </c>
      <c r="B65" s="170"/>
      <c r="C65" s="142" t="e">
        <f>Produtos!B65</f>
        <v>#N/A</v>
      </c>
      <c r="D65" s="210"/>
      <c r="E65" s="157" t="e">
        <f>Produtos!BD65</f>
        <v>#DIV/0!</v>
      </c>
      <c r="F65" s="159" t="e">
        <f>Produtos!BE65</f>
        <v>#DIV/0!</v>
      </c>
      <c r="G65" s="158" t="e">
        <f>Produtos!BF65</f>
        <v>#DIV/0!</v>
      </c>
      <c r="H65" s="159">
        <f>Produtos!BL65</f>
        <v>0</v>
      </c>
      <c r="I65" s="157" t="e">
        <f>Produtos!BM65</f>
        <v>#DIV/0!</v>
      </c>
      <c r="J65" s="157" t="e">
        <f>Produtos!BG65</f>
        <v>#DIV/0!</v>
      </c>
      <c r="K65" s="157" t="e">
        <f>Produtos!BH65</f>
        <v>#DIV/0!</v>
      </c>
      <c r="L65" s="157" t="e">
        <f>Produtos!BI65</f>
        <v>#DIV/0!</v>
      </c>
      <c r="M65" s="157" t="e">
        <f>Produtos!BJ65</f>
        <v>#DIV/0!</v>
      </c>
    </row>
    <row r="66" spans="1:13">
      <c r="A66" s="170">
        <f>Produtos!A66</f>
        <v>0</v>
      </c>
      <c r="B66" s="170"/>
      <c r="C66" s="142" t="e">
        <f>Produtos!B66</f>
        <v>#N/A</v>
      </c>
      <c r="D66" s="210"/>
      <c r="E66" s="157" t="e">
        <f>Produtos!BD66</f>
        <v>#DIV/0!</v>
      </c>
      <c r="F66" s="159" t="e">
        <f>Produtos!BE66</f>
        <v>#DIV/0!</v>
      </c>
      <c r="G66" s="158" t="e">
        <f>Produtos!BF66</f>
        <v>#DIV/0!</v>
      </c>
      <c r="H66" s="159">
        <f>Produtos!BL66</f>
        <v>0</v>
      </c>
      <c r="I66" s="157" t="e">
        <f>Produtos!BM66</f>
        <v>#DIV/0!</v>
      </c>
      <c r="J66" s="157" t="e">
        <f>Produtos!BG66</f>
        <v>#DIV/0!</v>
      </c>
      <c r="K66" s="157" t="e">
        <f>Produtos!BH66</f>
        <v>#DIV/0!</v>
      </c>
      <c r="L66" s="157" t="e">
        <f>Produtos!BI66</f>
        <v>#DIV/0!</v>
      </c>
      <c r="M66" s="157" t="e">
        <f>Produtos!BJ66</f>
        <v>#DIV/0!</v>
      </c>
    </row>
    <row r="67" spans="1:13">
      <c r="A67" s="170">
        <f>Produtos!A67</f>
        <v>0</v>
      </c>
      <c r="B67" s="170"/>
      <c r="C67" s="142" t="e">
        <f>Produtos!B67</f>
        <v>#N/A</v>
      </c>
      <c r="D67" s="210"/>
      <c r="E67" s="157" t="e">
        <f>Produtos!BD67</f>
        <v>#DIV/0!</v>
      </c>
      <c r="F67" s="159" t="e">
        <f>Produtos!BE67</f>
        <v>#DIV/0!</v>
      </c>
      <c r="G67" s="158" t="e">
        <f>Produtos!BF67</f>
        <v>#DIV/0!</v>
      </c>
      <c r="H67" s="159">
        <f>Produtos!BL67</f>
        <v>0</v>
      </c>
      <c r="I67" s="157" t="e">
        <f>Produtos!BM67</f>
        <v>#DIV/0!</v>
      </c>
      <c r="J67" s="157" t="e">
        <f>Produtos!BG67</f>
        <v>#DIV/0!</v>
      </c>
      <c r="K67" s="157" t="e">
        <f>Produtos!BH67</f>
        <v>#DIV/0!</v>
      </c>
      <c r="L67" s="157" t="e">
        <f>Produtos!BI67</f>
        <v>#DIV/0!</v>
      </c>
      <c r="M67" s="157" t="e">
        <f>Produtos!BJ67</f>
        <v>#DIV/0!</v>
      </c>
    </row>
    <row r="68" spans="1:13">
      <c r="A68" s="170">
        <f>Produtos!A68</f>
        <v>0</v>
      </c>
      <c r="B68" s="170"/>
      <c r="C68" s="142" t="e">
        <f>Produtos!B68</f>
        <v>#N/A</v>
      </c>
      <c r="D68" s="210"/>
      <c r="E68" s="157" t="e">
        <f>Produtos!BD68</f>
        <v>#DIV/0!</v>
      </c>
      <c r="F68" s="159" t="e">
        <f>Produtos!BE68</f>
        <v>#DIV/0!</v>
      </c>
      <c r="G68" s="158" t="e">
        <f>Produtos!BF68</f>
        <v>#DIV/0!</v>
      </c>
      <c r="H68" s="159">
        <f>Produtos!BL68</f>
        <v>0</v>
      </c>
      <c r="I68" s="157" t="e">
        <f>Produtos!BM68</f>
        <v>#DIV/0!</v>
      </c>
      <c r="J68" s="157" t="e">
        <f>Produtos!BG68</f>
        <v>#DIV/0!</v>
      </c>
      <c r="K68" s="157" t="e">
        <f>Produtos!BH68</f>
        <v>#DIV/0!</v>
      </c>
      <c r="L68" s="157" t="e">
        <f>Produtos!BI68</f>
        <v>#DIV/0!</v>
      </c>
      <c r="M68" s="157" t="e">
        <f>Produtos!BJ68</f>
        <v>#DIV/0!</v>
      </c>
    </row>
    <row r="69" spans="1:13">
      <c r="A69" s="170">
        <f>Produtos!A69</f>
        <v>0</v>
      </c>
      <c r="B69" s="170"/>
      <c r="C69" s="142" t="e">
        <f>Produtos!B69</f>
        <v>#N/A</v>
      </c>
      <c r="D69" s="210"/>
      <c r="E69" s="157" t="e">
        <f>Produtos!BD69</f>
        <v>#DIV/0!</v>
      </c>
      <c r="F69" s="159" t="e">
        <f>Produtos!BE69</f>
        <v>#DIV/0!</v>
      </c>
      <c r="G69" s="158" t="e">
        <f>Produtos!BF69</f>
        <v>#DIV/0!</v>
      </c>
      <c r="H69" s="159">
        <f>Produtos!BL69</f>
        <v>0</v>
      </c>
      <c r="I69" s="157" t="e">
        <f>Produtos!BM69</f>
        <v>#DIV/0!</v>
      </c>
      <c r="J69" s="157" t="e">
        <f>Produtos!BG69</f>
        <v>#DIV/0!</v>
      </c>
      <c r="K69" s="157" t="e">
        <f>Produtos!BH69</f>
        <v>#DIV/0!</v>
      </c>
      <c r="L69" s="157" t="e">
        <f>Produtos!BI69</f>
        <v>#DIV/0!</v>
      </c>
      <c r="M69" s="157" t="e">
        <f>Produtos!BJ69</f>
        <v>#DIV/0!</v>
      </c>
    </row>
    <row r="70" spans="1:13">
      <c r="A70" s="170">
        <f>Produtos!A70</f>
        <v>0</v>
      </c>
      <c r="B70" s="170"/>
      <c r="C70" s="142" t="e">
        <f>Produtos!B70</f>
        <v>#N/A</v>
      </c>
      <c r="D70" s="210"/>
      <c r="E70" s="157" t="e">
        <f>Produtos!BD70</f>
        <v>#DIV/0!</v>
      </c>
      <c r="F70" s="159" t="e">
        <f>Produtos!BE70</f>
        <v>#DIV/0!</v>
      </c>
      <c r="G70" s="158" t="e">
        <f>Produtos!BF70</f>
        <v>#DIV/0!</v>
      </c>
      <c r="H70" s="159">
        <f>Produtos!BL70</f>
        <v>0</v>
      </c>
      <c r="I70" s="157" t="e">
        <f>Produtos!BM70</f>
        <v>#DIV/0!</v>
      </c>
      <c r="J70" s="157" t="e">
        <f>Produtos!BG70</f>
        <v>#DIV/0!</v>
      </c>
      <c r="K70" s="157" t="e">
        <f>Produtos!BH70</f>
        <v>#DIV/0!</v>
      </c>
      <c r="L70" s="157" t="e">
        <f>Produtos!BI70</f>
        <v>#DIV/0!</v>
      </c>
      <c r="M70" s="157" t="e">
        <f>Produtos!BJ70</f>
        <v>#DIV/0!</v>
      </c>
    </row>
    <row r="71" spans="1:13">
      <c r="A71" s="170">
        <f>Produtos!A71</f>
        <v>0</v>
      </c>
      <c r="B71" s="170"/>
      <c r="C71" s="142" t="e">
        <f>Produtos!B71</f>
        <v>#N/A</v>
      </c>
      <c r="D71" s="210"/>
      <c r="E71" s="157" t="e">
        <f>Produtos!BD71</f>
        <v>#DIV/0!</v>
      </c>
      <c r="F71" s="159" t="e">
        <f>Produtos!BE71</f>
        <v>#DIV/0!</v>
      </c>
      <c r="G71" s="158" t="e">
        <f>Produtos!BF71</f>
        <v>#DIV/0!</v>
      </c>
      <c r="H71" s="159">
        <f>Produtos!BL71</f>
        <v>0</v>
      </c>
      <c r="I71" s="157" t="e">
        <f>Produtos!BM71</f>
        <v>#DIV/0!</v>
      </c>
      <c r="J71" s="157" t="e">
        <f>Produtos!BG71</f>
        <v>#DIV/0!</v>
      </c>
      <c r="K71" s="157" t="e">
        <f>Produtos!BH71</f>
        <v>#DIV/0!</v>
      </c>
      <c r="L71" s="157" t="e">
        <f>Produtos!BI71</f>
        <v>#DIV/0!</v>
      </c>
      <c r="M71" s="157" t="e">
        <f>Produtos!BJ71</f>
        <v>#DIV/0!</v>
      </c>
    </row>
    <row r="72" spans="1:13">
      <c r="A72" s="170">
        <f>Produtos!A72</f>
        <v>0</v>
      </c>
      <c r="B72" s="170"/>
      <c r="C72" s="142" t="e">
        <f>Produtos!B72</f>
        <v>#N/A</v>
      </c>
      <c r="D72" s="210"/>
      <c r="E72" s="157" t="e">
        <f>Produtos!BD72</f>
        <v>#DIV/0!</v>
      </c>
      <c r="F72" s="159" t="e">
        <f>Produtos!BE72</f>
        <v>#DIV/0!</v>
      </c>
      <c r="G72" s="158" t="e">
        <f>Produtos!BF72</f>
        <v>#DIV/0!</v>
      </c>
      <c r="H72" s="159">
        <f>Produtos!BL72</f>
        <v>0</v>
      </c>
      <c r="I72" s="157" t="e">
        <f>Produtos!BM72</f>
        <v>#DIV/0!</v>
      </c>
      <c r="J72" s="157" t="e">
        <f>Produtos!BG72</f>
        <v>#DIV/0!</v>
      </c>
      <c r="K72" s="157" t="e">
        <f>Produtos!BH72</f>
        <v>#DIV/0!</v>
      </c>
      <c r="L72" s="157" t="e">
        <f>Produtos!BI72</f>
        <v>#DIV/0!</v>
      </c>
      <c r="M72" s="157" t="e">
        <f>Produtos!BJ72</f>
        <v>#DIV/0!</v>
      </c>
    </row>
    <row r="73" spans="1:13">
      <c r="A73" s="170">
        <f>Produtos!A73</f>
        <v>0</v>
      </c>
      <c r="B73" s="170"/>
      <c r="C73" s="142" t="e">
        <f>Produtos!B73</f>
        <v>#N/A</v>
      </c>
      <c r="D73" s="210"/>
      <c r="E73" s="157" t="e">
        <f>Produtos!BD73</f>
        <v>#DIV/0!</v>
      </c>
      <c r="F73" s="159" t="e">
        <f>Produtos!BE73</f>
        <v>#DIV/0!</v>
      </c>
      <c r="G73" s="158" t="e">
        <f>Produtos!BF73</f>
        <v>#DIV/0!</v>
      </c>
      <c r="H73" s="159">
        <f>Produtos!BL73</f>
        <v>0</v>
      </c>
      <c r="I73" s="157" t="e">
        <f>Produtos!BM73</f>
        <v>#DIV/0!</v>
      </c>
      <c r="J73" s="157" t="e">
        <f>Produtos!BG73</f>
        <v>#DIV/0!</v>
      </c>
      <c r="K73" s="157" t="e">
        <f>Produtos!BH73</f>
        <v>#DIV/0!</v>
      </c>
      <c r="L73" s="157" t="e">
        <f>Produtos!BI73</f>
        <v>#DIV/0!</v>
      </c>
      <c r="M73" s="157" t="e">
        <f>Produtos!BJ73</f>
        <v>#DIV/0!</v>
      </c>
    </row>
    <row r="74" spans="1:13">
      <c r="A74" s="170">
        <f>Produtos!A74</f>
        <v>0</v>
      </c>
      <c r="B74" s="257"/>
      <c r="C74" s="249" t="e">
        <f>Produtos!B74</f>
        <v>#N/A</v>
      </c>
      <c r="D74" s="250"/>
      <c r="E74" s="251" t="e">
        <f>Produtos!BD74</f>
        <v>#DIV/0!</v>
      </c>
      <c r="F74" s="159" t="e">
        <f>Produtos!BE74</f>
        <v>#DIV/0!</v>
      </c>
      <c r="G74" s="252" t="e">
        <f>Produtos!BF74</f>
        <v>#DIV/0!</v>
      </c>
      <c r="H74" s="159">
        <f>Produtos!BL74</f>
        <v>0</v>
      </c>
      <c r="I74" s="157" t="e">
        <f>Produtos!BM74</f>
        <v>#DIV/0!</v>
      </c>
      <c r="J74" s="157" t="e">
        <f>Produtos!BG74</f>
        <v>#DIV/0!</v>
      </c>
      <c r="K74" s="157" t="e">
        <f>Produtos!BH74</f>
        <v>#DIV/0!</v>
      </c>
      <c r="L74" s="157" t="e">
        <f>Produtos!BI74</f>
        <v>#DIV/0!</v>
      </c>
      <c r="M74" s="157" t="e">
        <f>Produtos!BJ74</f>
        <v>#DIV/0!</v>
      </c>
    </row>
    <row r="75" spans="1:13">
      <c r="A75" s="170">
        <f>Produtos!A75</f>
        <v>0</v>
      </c>
      <c r="B75" s="170"/>
      <c r="C75" s="142" t="e">
        <f>Produtos!B75</f>
        <v>#N/A</v>
      </c>
      <c r="D75" s="210"/>
      <c r="E75" s="157" t="e">
        <f>Produtos!BD75</f>
        <v>#DIV/0!</v>
      </c>
      <c r="F75" s="157" t="e">
        <f>Produtos!BE75</f>
        <v>#DIV/0!</v>
      </c>
      <c r="G75" s="158" t="e">
        <f>Produtos!BF75</f>
        <v>#DIV/0!</v>
      </c>
      <c r="H75" s="159">
        <f>Produtos!BL75</f>
        <v>0</v>
      </c>
      <c r="I75" s="157" t="e">
        <f>Produtos!BM75</f>
        <v>#DIV/0!</v>
      </c>
      <c r="J75" s="157" t="e">
        <f>Produtos!BG75</f>
        <v>#DIV/0!</v>
      </c>
      <c r="K75" s="157" t="e">
        <f>Produtos!BH75</f>
        <v>#DIV/0!</v>
      </c>
      <c r="L75" s="157" t="e">
        <f>Produtos!BI75</f>
        <v>#DIV/0!</v>
      </c>
      <c r="M75" s="157" t="e">
        <f>Produtos!BJ75</f>
        <v>#DIV/0!</v>
      </c>
    </row>
    <row r="76" spans="1:13">
      <c r="A76" s="170">
        <f>Produtos!A76</f>
        <v>0</v>
      </c>
      <c r="B76" s="170"/>
      <c r="C76" s="142" t="e">
        <f>Produtos!B76</f>
        <v>#N/A</v>
      </c>
      <c r="D76" s="210"/>
      <c r="E76" s="157" t="e">
        <f>Produtos!BD76</f>
        <v>#DIV/0!</v>
      </c>
      <c r="F76" s="157" t="e">
        <f>Produtos!BE76</f>
        <v>#DIV/0!</v>
      </c>
      <c r="G76" s="158" t="e">
        <f>Produtos!BF76</f>
        <v>#DIV/0!</v>
      </c>
      <c r="H76" s="159">
        <f>Produtos!BL76</f>
        <v>0</v>
      </c>
      <c r="I76" s="157" t="e">
        <f>Produtos!BM76</f>
        <v>#DIV/0!</v>
      </c>
      <c r="J76" s="157" t="e">
        <f>Produtos!BG76</f>
        <v>#DIV/0!</v>
      </c>
      <c r="K76" s="157" t="e">
        <f>Produtos!BH76</f>
        <v>#DIV/0!</v>
      </c>
      <c r="L76" s="157" t="e">
        <f>Produtos!BI76</f>
        <v>#DIV/0!</v>
      </c>
      <c r="M76" s="157" t="e">
        <f>Produtos!BJ76</f>
        <v>#DIV/0!</v>
      </c>
    </row>
    <row r="77" spans="1:13">
      <c r="A77" s="170">
        <f>Produtos!A77</f>
        <v>0</v>
      </c>
      <c r="B77" s="170"/>
      <c r="C77" s="142" t="e">
        <f>Produtos!B77</f>
        <v>#N/A</v>
      </c>
      <c r="D77" s="210"/>
      <c r="E77" s="157" t="e">
        <f>Produtos!BD77</f>
        <v>#DIV/0!</v>
      </c>
      <c r="F77" s="157" t="e">
        <f>Produtos!BE77</f>
        <v>#DIV/0!</v>
      </c>
      <c r="G77" s="158" t="e">
        <f>Produtos!BF77</f>
        <v>#DIV/0!</v>
      </c>
      <c r="H77" s="159">
        <f>Produtos!BL77</f>
        <v>0</v>
      </c>
      <c r="I77" s="157" t="e">
        <f>Produtos!BM77</f>
        <v>#DIV/0!</v>
      </c>
      <c r="J77" s="157" t="e">
        <f>Produtos!BG77</f>
        <v>#DIV/0!</v>
      </c>
      <c r="K77" s="157" t="e">
        <f>Produtos!BH77</f>
        <v>#DIV/0!</v>
      </c>
      <c r="L77" s="157" t="e">
        <f>Produtos!BI77</f>
        <v>#DIV/0!</v>
      </c>
      <c r="M77" s="157" t="e">
        <f>Produtos!BJ77</f>
        <v>#DIV/0!</v>
      </c>
    </row>
    <row r="78" spans="1:13">
      <c r="A78" s="170">
        <f>Produtos!A78</f>
        <v>0</v>
      </c>
      <c r="B78" s="170"/>
      <c r="C78" s="142" t="e">
        <f>Produtos!B78</f>
        <v>#N/A</v>
      </c>
      <c r="D78" s="256"/>
      <c r="E78" s="157" t="e">
        <f>Produtos!BD78</f>
        <v>#DIV/0!</v>
      </c>
      <c r="F78" s="157" t="e">
        <f>Produtos!BE78</f>
        <v>#DIV/0!</v>
      </c>
      <c r="G78" s="158" t="e">
        <f>Produtos!BF78</f>
        <v>#DIV/0!</v>
      </c>
      <c r="H78" s="159">
        <f>Produtos!BL78</f>
        <v>0</v>
      </c>
      <c r="I78" s="157" t="e">
        <f>Produtos!BM78</f>
        <v>#DIV/0!</v>
      </c>
      <c r="J78" s="157" t="e">
        <f>Produtos!BG78</f>
        <v>#DIV/0!</v>
      </c>
      <c r="K78" s="157" t="e">
        <f>Produtos!BH78</f>
        <v>#DIV/0!</v>
      </c>
      <c r="L78" s="157" t="e">
        <f>Produtos!BI78</f>
        <v>#DIV/0!</v>
      </c>
      <c r="M78" s="157" t="e">
        <f>Produtos!BJ78</f>
        <v>#DIV/0!</v>
      </c>
    </row>
    <row r="79" spans="1:13">
      <c r="A79" s="170">
        <f>Produtos!A79</f>
        <v>0</v>
      </c>
      <c r="B79" s="170"/>
      <c r="C79" s="142" t="e">
        <f>Produtos!B79</f>
        <v>#N/A</v>
      </c>
      <c r="D79" s="256"/>
      <c r="E79" s="157" t="e">
        <f>Produtos!BD79</f>
        <v>#DIV/0!</v>
      </c>
      <c r="F79" s="157" t="e">
        <f>Produtos!BE79</f>
        <v>#DIV/0!</v>
      </c>
      <c r="G79" s="158" t="e">
        <f>Produtos!BF79</f>
        <v>#DIV/0!</v>
      </c>
      <c r="H79" s="159">
        <f>Produtos!BL79</f>
        <v>0</v>
      </c>
      <c r="I79" s="157" t="e">
        <f>Produtos!BM79</f>
        <v>#DIV/0!</v>
      </c>
      <c r="J79" s="157" t="e">
        <f>Produtos!BG79</f>
        <v>#DIV/0!</v>
      </c>
      <c r="K79" s="157" t="e">
        <f>Produtos!BH79</f>
        <v>#DIV/0!</v>
      </c>
      <c r="L79" s="157" t="e">
        <f>Produtos!BI79</f>
        <v>#DIV/0!</v>
      </c>
      <c r="M79" s="157" t="e">
        <f>Produtos!BJ79</f>
        <v>#DIV/0!</v>
      </c>
    </row>
    <row r="80" spans="1:13">
      <c r="A80" s="170">
        <f>Produtos!A80</f>
        <v>0</v>
      </c>
      <c r="B80" s="170"/>
      <c r="C80" s="142" t="e">
        <f>Produtos!B80</f>
        <v>#N/A</v>
      </c>
      <c r="D80" s="256"/>
      <c r="E80" s="157" t="e">
        <f>Produtos!BD80</f>
        <v>#DIV/0!</v>
      </c>
      <c r="F80" s="157" t="e">
        <f>Produtos!BE80</f>
        <v>#DIV/0!</v>
      </c>
      <c r="G80" s="158" t="e">
        <f>Produtos!BF80</f>
        <v>#DIV/0!</v>
      </c>
      <c r="H80" s="159">
        <f>Produtos!BL80</f>
        <v>0</v>
      </c>
      <c r="I80" s="157" t="e">
        <f>Produtos!BM80</f>
        <v>#DIV/0!</v>
      </c>
      <c r="J80" s="157" t="e">
        <f>Produtos!BG80</f>
        <v>#DIV/0!</v>
      </c>
      <c r="K80" s="157" t="e">
        <f>Produtos!BH80</f>
        <v>#DIV/0!</v>
      </c>
      <c r="L80" s="157" t="e">
        <f>Produtos!BI80</f>
        <v>#DIV/0!</v>
      </c>
      <c r="M80" s="157" t="e">
        <f>Produtos!BJ80</f>
        <v>#DIV/0!</v>
      </c>
    </row>
    <row r="81" spans="1:13">
      <c r="A81" s="170">
        <f>Produtos!A81</f>
        <v>0</v>
      </c>
      <c r="B81" s="170"/>
      <c r="C81" s="142" t="e">
        <f>Produtos!B81</f>
        <v>#N/A</v>
      </c>
      <c r="D81" s="256"/>
      <c r="E81" s="157" t="e">
        <f>Produtos!BD81</f>
        <v>#DIV/0!</v>
      </c>
      <c r="F81" s="157" t="e">
        <f>Produtos!BE81</f>
        <v>#DIV/0!</v>
      </c>
      <c r="G81" s="158" t="e">
        <f>Produtos!BF81</f>
        <v>#DIV/0!</v>
      </c>
      <c r="H81" s="159">
        <f>Produtos!BL81</f>
        <v>0</v>
      </c>
      <c r="I81" s="157" t="e">
        <f>Produtos!BM81</f>
        <v>#DIV/0!</v>
      </c>
      <c r="J81" s="157" t="e">
        <f>Produtos!BG81</f>
        <v>#DIV/0!</v>
      </c>
      <c r="K81" s="157" t="e">
        <f>Produtos!BH81</f>
        <v>#DIV/0!</v>
      </c>
      <c r="L81" s="157" t="e">
        <f>Produtos!BI81</f>
        <v>#DIV/0!</v>
      </c>
      <c r="M81" s="157" t="e">
        <f>Produtos!BJ81</f>
        <v>#DIV/0!</v>
      </c>
    </row>
    <row r="82" spans="1:13">
      <c r="A82" s="170">
        <f>Produtos!A82</f>
        <v>0</v>
      </c>
      <c r="B82" s="170"/>
      <c r="C82" s="142" t="e">
        <f>Produtos!B82</f>
        <v>#N/A</v>
      </c>
      <c r="D82" s="256"/>
      <c r="E82" s="157" t="e">
        <f>Produtos!BD82</f>
        <v>#DIV/0!</v>
      </c>
      <c r="F82" s="157" t="e">
        <f>Produtos!BE82</f>
        <v>#DIV/0!</v>
      </c>
      <c r="G82" s="158" t="e">
        <f>Produtos!BF82</f>
        <v>#DIV/0!</v>
      </c>
      <c r="H82" s="159">
        <f>Produtos!BL82</f>
        <v>0</v>
      </c>
      <c r="I82" s="157" t="e">
        <f>Produtos!BM82</f>
        <v>#DIV/0!</v>
      </c>
      <c r="J82" s="157" t="e">
        <f>Produtos!BG82</f>
        <v>#DIV/0!</v>
      </c>
      <c r="K82" s="157" t="e">
        <f>Produtos!BH82</f>
        <v>#DIV/0!</v>
      </c>
      <c r="L82" s="157" t="e">
        <f>Produtos!BI82</f>
        <v>#DIV/0!</v>
      </c>
      <c r="M82" s="157" t="e">
        <f>Produtos!BJ82</f>
        <v>#DIV/0!</v>
      </c>
    </row>
    <row r="83" spans="1:13">
      <c r="A83" s="170">
        <f>Produtos!A83</f>
        <v>0</v>
      </c>
      <c r="B83" s="170"/>
      <c r="C83" s="142" t="e">
        <f>Produtos!B83</f>
        <v>#N/A</v>
      </c>
      <c r="D83" s="256"/>
      <c r="E83" s="157" t="e">
        <f>Produtos!BD83</f>
        <v>#DIV/0!</v>
      </c>
      <c r="F83" s="157" t="e">
        <f>Produtos!BE83</f>
        <v>#DIV/0!</v>
      </c>
      <c r="G83" s="158" t="e">
        <f>Produtos!BF83</f>
        <v>#DIV/0!</v>
      </c>
      <c r="H83" s="159">
        <f>Produtos!BL83</f>
        <v>0</v>
      </c>
      <c r="I83" s="157" t="e">
        <f>Produtos!BM83</f>
        <v>#DIV/0!</v>
      </c>
      <c r="J83" s="157" t="e">
        <f>Produtos!BG83</f>
        <v>#DIV/0!</v>
      </c>
      <c r="K83" s="157" t="e">
        <f>Produtos!BH83</f>
        <v>#DIV/0!</v>
      </c>
      <c r="L83" s="157" t="e">
        <f>Produtos!BI83</f>
        <v>#DIV/0!</v>
      </c>
      <c r="M83" s="157" t="e">
        <f>Produtos!BJ83</f>
        <v>#DIV/0!</v>
      </c>
    </row>
    <row r="84" spans="1:13">
      <c r="A84" s="170">
        <f>Produtos!A84</f>
        <v>0</v>
      </c>
      <c r="B84" s="170"/>
      <c r="C84" s="142" t="e">
        <f>Produtos!B84</f>
        <v>#N/A</v>
      </c>
      <c r="D84" s="256"/>
      <c r="E84" s="157" t="e">
        <f>Produtos!BD84</f>
        <v>#DIV/0!</v>
      </c>
      <c r="F84" s="157" t="e">
        <f>Produtos!BE84</f>
        <v>#DIV/0!</v>
      </c>
      <c r="G84" s="158" t="e">
        <f>Produtos!BF84</f>
        <v>#DIV/0!</v>
      </c>
      <c r="H84" s="159">
        <f>Produtos!BL84</f>
        <v>0</v>
      </c>
      <c r="I84" s="157" t="e">
        <f>Produtos!BM84</f>
        <v>#DIV/0!</v>
      </c>
      <c r="J84" s="157" t="e">
        <f>Produtos!BG84</f>
        <v>#DIV/0!</v>
      </c>
      <c r="K84" s="157" t="e">
        <f>Produtos!BH84</f>
        <v>#DIV/0!</v>
      </c>
      <c r="L84" s="157" t="e">
        <f>Produtos!BI84</f>
        <v>#DIV/0!</v>
      </c>
      <c r="M84" s="157" t="e">
        <f>Produtos!BJ84</f>
        <v>#DIV/0!</v>
      </c>
    </row>
    <row r="85" spans="1:13">
      <c r="A85" s="170">
        <f>Produtos!A85</f>
        <v>0</v>
      </c>
      <c r="B85" s="170"/>
      <c r="C85" s="142" t="e">
        <f>Produtos!B85</f>
        <v>#N/A</v>
      </c>
      <c r="D85" s="256"/>
      <c r="E85" s="157" t="e">
        <f>Produtos!BD85</f>
        <v>#DIV/0!</v>
      </c>
      <c r="F85" s="157" t="e">
        <f>Produtos!BE85</f>
        <v>#DIV/0!</v>
      </c>
      <c r="G85" s="158" t="e">
        <f>Produtos!BF85</f>
        <v>#DIV/0!</v>
      </c>
      <c r="H85" s="159">
        <f>Produtos!BL85</f>
        <v>0</v>
      </c>
      <c r="I85" s="157" t="e">
        <f>Produtos!BM85</f>
        <v>#DIV/0!</v>
      </c>
      <c r="J85" s="157" t="e">
        <f>Produtos!BG85</f>
        <v>#DIV/0!</v>
      </c>
      <c r="K85" s="157" t="e">
        <f>Produtos!BH85</f>
        <v>#DIV/0!</v>
      </c>
      <c r="L85" s="157" t="e">
        <f>Produtos!BI85</f>
        <v>#DIV/0!</v>
      </c>
      <c r="M85" s="157" t="e">
        <f>Produtos!BJ85</f>
        <v>#DIV/0!</v>
      </c>
    </row>
    <row r="86" spans="1:13">
      <c r="A86" s="170">
        <f>Produtos!A86</f>
        <v>0</v>
      </c>
      <c r="B86" s="170"/>
      <c r="C86" s="142" t="e">
        <f>Produtos!B86</f>
        <v>#N/A</v>
      </c>
      <c r="D86" s="256"/>
      <c r="E86" s="157" t="e">
        <f>Produtos!BD86</f>
        <v>#DIV/0!</v>
      </c>
      <c r="F86" s="157" t="e">
        <f>Produtos!BE86</f>
        <v>#DIV/0!</v>
      </c>
      <c r="G86" s="158" t="e">
        <f>Produtos!BF86</f>
        <v>#DIV/0!</v>
      </c>
      <c r="H86" s="159">
        <f>Produtos!BL86</f>
        <v>0</v>
      </c>
      <c r="I86" s="157" t="e">
        <f>Produtos!BM86</f>
        <v>#DIV/0!</v>
      </c>
      <c r="J86" s="157" t="e">
        <f>Produtos!BG86</f>
        <v>#DIV/0!</v>
      </c>
      <c r="K86" s="157" t="e">
        <f>Produtos!BH86</f>
        <v>#DIV/0!</v>
      </c>
      <c r="L86" s="157" t="e">
        <f>Produtos!BI86</f>
        <v>#DIV/0!</v>
      </c>
      <c r="M86" s="157" t="e">
        <f>Produtos!BJ86</f>
        <v>#DIV/0!</v>
      </c>
    </row>
    <row r="87" spans="1:13">
      <c r="A87" s="170">
        <f>Produtos!A87</f>
        <v>0</v>
      </c>
      <c r="B87" s="170"/>
      <c r="C87" s="142" t="e">
        <f>Produtos!B87</f>
        <v>#N/A</v>
      </c>
      <c r="D87" s="256"/>
      <c r="E87" s="157" t="e">
        <f>Produtos!BD87</f>
        <v>#DIV/0!</v>
      </c>
      <c r="F87" s="157" t="e">
        <f>Produtos!BE87</f>
        <v>#DIV/0!</v>
      </c>
      <c r="G87" s="158" t="e">
        <f>Produtos!BF87</f>
        <v>#DIV/0!</v>
      </c>
      <c r="H87" s="159">
        <f>Produtos!BL87</f>
        <v>0</v>
      </c>
      <c r="I87" s="157" t="e">
        <f>Produtos!BM87</f>
        <v>#DIV/0!</v>
      </c>
      <c r="J87" s="157" t="e">
        <f>Produtos!BG87</f>
        <v>#DIV/0!</v>
      </c>
      <c r="K87" s="157" t="e">
        <f>Produtos!BH87</f>
        <v>#DIV/0!</v>
      </c>
      <c r="L87" s="157" t="e">
        <f>Produtos!BI87</f>
        <v>#DIV/0!</v>
      </c>
      <c r="M87" s="157" t="e">
        <f>Produtos!BJ87</f>
        <v>#DIV/0!</v>
      </c>
    </row>
    <row r="88" spans="1:13">
      <c r="A88" s="170">
        <f>Produtos!A88</f>
        <v>0</v>
      </c>
      <c r="B88" s="170"/>
      <c r="C88" s="142" t="e">
        <f>Produtos!B88</f>
        <v>#N/A</v>
      </c>
      <c r="D88" s="256"/>
      <c r="E88" s="157" t="e">
        <f>Produtos!BD88</f>
        <v>#DIV/0!</v>
      </c>
      <c r="F88" s="157" t="e">
        <f>Produtos!BE88</f>
        <v>#DIV/0!</v>
      </c>
      <c r="G88" s="158" t="e">
        <f>Produtos!BF88</f>
        <v>#DIV/0!</v>
      </c>
      <c r="H88" s="159">
        <f>Produtos!BL88</f>
        <v>0</v>
      </c>
      <c r="I88" s="157" t="e">
        <f>Produtos!BM88</f>
        <v>#DIV/0!</v>
      </c>
      <c r="J88" s="157" t="e">
        <f>Produtos!BG88</f>
        <v>#DIV/0!</v>
      </c>
      <c r="K88" s="157" t="e">
        <f>Produtos!BH88</f>
        <v>#DIV/0!</v>
      </c>
      <c r="L88" s="157" t="e">
        <f>Produtos!BI88</f>
        <v>#DIV/0!</v>
      </c>
      <c r="M88" s="157" t="e">
        <f>Produtos!BJ88</f>
        <v>#DIV/0!</v>
      </c>
    </row>
    <row r="89" spans="1:13">
      <c r="A89" s="170">
        <f>Produtos!A89</f>
        <v>0</v>
      </c>
      <c r="B89" s="170"/>
      <c r="C89" s="142" t="e">
        <f>Produtos!B89</f>
        <v>#N/A</v>
      </c>
      <c r="D89" s="256"/>
      <c r="E89" s="157" t="e">
        <f>Produtos!BD89</f>
        <v>#DIV/0!</v>
      </c>
      <c r="F89" s="157" t="e">
        <f>Produtos!BE89</f>
        <v>#DIV/0!</v>
      </c>
      <c r="G89" s="158" t="e">
        <f>Produtos!BF89</f>
        <v>#DIV/0!</v>
      </c>
      <c r="H89" s="159">
        <f>Produtos!BL89</f>
        <v>0</v>
      </c>
      <c r="I89" s="157" t="e">
        <f>Produtos!BM89</f>
        <v>#DIV/0!</v>
      </c>
      <c r="J89" s="157" t="e">
        <f>Produtos!BG89</f>
        <v>#DIV/0!</v>
      </c>
      <c r="K89" s="157" t="e">
        <f>Produtos!BH89</f>
        <v>#DIV/0!</v>
      </c>
      <c r="L89" s="157" t="e">
        <f>Produtos!BI89</f>
        <v>#DIV/0!</v>
      </c>
      <c r="M89" s="157" t="e">
        <f>Produtos!BJ89</f>
        <v>#DIV/0!</v>
      </c>
    </row>
    <row r="90" spans="1:13">
      <c r="A90" s="170">
        <f>Produtos!A90</f>
        <v>0</v>
      </c>
      <c r="B90" s="170"/>
      <c r="C90" s="142" t="e">
        <f>Produtos!B90</f>
        <v>#N/A</v>
      </c>
      <c r="D90" s="256"/>
      <c r="E90" s="157" t="e">
        <f>Produtos!BD90</f>
        <v>#DIV/0!</v>
      </c>
      <c r="F90" s="157" t="e">
        <f>Produtos!BE90</f>
        <v>#DIV/0!</v>
      </c>
      <c r="G90" s="158" t="e">
        <f>Produtos!BF90</f>
        <v>#DIV/0!</v>
      </c>
      <c r="H90" s="159">
        <f>Produtos!BL90</f>
        <v>0</v>
      </c>
      <c r="I90" s="157" t="e">
        <f>Produtos!BM90</f>
        <v>#DIV/0!</v>
      </c>
      <c r="J90" s="157" t="e">
        <f>Produtos!BG90</f>
        <v>#DIV/0!</v>
      </c>
      <c r="K90" s="157" t="e">
        <f>Produtos!BH90</f>
        <v>#DIV/0!</v>
      </c>
      <c r="L90" s="157" t="e">
        <f>Produtos!BI90</f>
        <v>#DIV/0!</v>
      </c>
      <c r="M90" s="157" t="e">
        <f>Produtos!BJ90</f>
        <v>#DIV/0!</v>
      </c>
    </row>
    <row r="91" spans="1:13">
      <c r="A91" s="170">
        <f>Produtos!A91</f>
        <v>0</v>
      </c>
      <c r="B91" s="170"/>
      <c r="C91" s="142" t="e">
        <f>Produtos!B91</f>
        <v>#N/A</v>
      </c>
      <c r="D91" s="256"/>
      <c r="E91" s="157" t="e">
        <f>Produtos!BD91</f>
        <v>#DIV/0!</v>
      </c>
      <c r="F91" s="157" t="e">
        <f>Produtos!BE91</f>
        <v>#DIV/0!</v>
      </c>
      <c r="G91" s="158" t="e">
        <f>Produtos!BF91</f>
        <v>#DIV/0!</v>
      </c>
      <c r="H91" s="159">
        <f>Produtos!BL91</f>
        <v>0</v>
      </c>
      <c r="I91" s="157" t="e">
        <f>Produtos!BM91</f>
        <v>#DIV/0!</v>
      </c>
      <c r="J91" s="157" t="e">
        <f>Produtos!BG91</f>
        <v>#DIV/0!</v>
      </c>
      <c r="K91" s="157" t="e">
        <f>Produtos!BH91</f>
        <v>#DIV/0!</v>
      </c>
      <c r="L91" s="157" t="e">
        <f>Produtos!BI91</f>
        <v>#DIV/0!</v>
      </c>
      <c r="M91" s="157" t="e">
        <f>Produtos!BJ91</f>
        <v>#DIV/0!</v>
      </c>
    </row>
    <row r="92" spans="1:13">
      <c r="A92" s="170">
        <f>Produtos!A92</f>
        <v>0</v>
      </c>
      <c r="B92" s="170"/>
      <c r="C92" s="142" t="e">
        <f>Produtos!B92</f>
        <v>#N/A</v>
      </c>
      <c r="D92" s="256"/>
      <c r="E92" s="157" t="e">
        <f>Produtos!BD92</f>
        <v>#DIV/0!</v>
      </c>
      <c r="F92" s="157" t="e">
        <f>Produtos!BE92</f>
        <v>#DIV/0!</v>
      </c>
      <c r="G92" s="158" t="e">
        <f>Produtos!BF92</f>
        <v>#DIV/0!</v>
      </c>
      <c r="H92" s="159">
        <f>Produtos!BL92</f>
        <v>0</v>
      </c>
      <c r="I92" s="157" t="e">
        <f>Produtos!BM92</f>
        <v>#DIV/0!</v>
      </c>
      <c r="J92" s="157" t="e">
        <f>Produtos!BG92</f>
        <v>#DIV/0!</v>
      </c>
      <c r="K92" s="157" t="e">
        <f>Produtos!BH92</f>
        <v>#DIV/0!</v>
      </c>
      <c r="L92" s="157" t="e">
        <f>Produtos!BI92</f>
        <v>#DIV/0!</v>
      </c>
      <c r="M92" s="157" t="e">
        <f>Produtos!BJ92</f>
        <v>#DIV/0!</v>
      </c>
    </row>
    <row r="93" spans="1:13">
      <c r="A93" s="170">
        <f>Produtos!A93</f>
        <v>0</v>
      </c>
      <c r="B93" s="170"/>
      <c r="C93" s="142" t="e">
        <f>Produtos!B93</f>
        <v>#N/A</v>
      </c>
      <c r="D93" s="256"/>
      <c r="E93" s="157" t="e">
        <f>Produtos!BD93</f>
        <v>#DIV/0!</v>
      </c>
      <c r="F93" s="157" t="e">
        <f>Produtos!BE93</f>
        <v>#DIV/0!</v>
      </c>
      <c r="G93" s="158" t="e">
        <f>Produtos!BF93</f>
        <v>#DIV/0!</v>
      </c>
      <c r="H93" s="159">
        <f>Produtos!BL93</f>
        <v>0</v>
      </c>
      <c r="I93" s="157" t="e">
        <f>Produtos!BM93</f>
        <v>#DIV/0!</v>
      </c>
      <c r="J93" s="157" t="e">
        <f>Produtos!BG93</f>
        <v>#DIV/0!</v>
      </c>
      <c r="K93" s="157" t="e">
        <f>Produtos!BH93</f>
        <v>#DIV/0!</v>
      </c>
      <c r="L93" s="157" t="e">
        <f>Produtos!BI93</f>
        <v>#DIV/0!</v>
      </c>
      <c r="M93" s="157" t="e">
        <f>Produtos!BJ93</f>
        <v>#DIV/0!</v>
      </c>
    </row>
    <row r="94" spans="1:13">
      <c r="A94" s="170">
        <f>Produtos!A94</f>
        <v>0</v>
      </c>
      <c r="B94" s="170"/>
      <c r="C94" s="142" t="e">
        <f>Produtos!B94</f>
        <v>#N/A</v>
      </c>
      <c r="D94" s="256"/>
      <c r="E94" s="157" t="e">
        <f>Produtos!BD94</f>
        <v>#DIV/0!</v>
      </c>
      <c r="F94" s="157" t="e">
        <f>Produtos!BE94</f>
        <v>#DIV/0!</v>
      </c>
      <c r="G94" s="158" t="e">
        <f>Produtos!BF94</f>
        <v>#DIV/0!</v>
      </c>
      <c r="H94" s="159">
        <f>Produtos!BL94</f>
        <v>0</v>
      </c>
      <c r="I94" s="157" t="e">
        <f>Produtos!BM94</f>
        <v>#DIV/0!</v>
      </c>
      <c r="J94" s="157" t="e">
        <f>Produtos!BG94</f>
        <v>#DIV/0!</v>
      </c>
      <c r="K94" s="157" t="e">
        <f>Produtos!BH94</f>
        <v>#DIV/0!</v>
      </c>
      <c r="L94" s="157" t="e">
        <f>Produtos!BI94</f>
        <v>#DIV/0!</v>
      </c>
      <c r="M94" s="157" t="e">
        <f>Produtos!BJ94</f>
        <v>#DIV/0!</v>
      </c>
    </row>
    <row r="95" spans="1:13">
      <c r="A95" s="170">
        <f>Produtos!A95</f>
        <v>0</v>
      </c>
      <c r="B95" s="170"/>
      <c r="C95" s="142" t="e">
        <f>Produtos!B95</f>
        <v>#N/A</v>
      </c>
      <c r="D95" s="256"/>
      <c r="E95" s="157" t="e">
        <f>Produtos!BD95</f>
        <v>#DIV/0!</v>
      </c>
      <c r="F95" s="157" t="e">
        <f>Produtos!BE95</f>
        <v>#DIV/0!</v>
      </c>
      <c r="G95" s="158" t="e">
        <f>Produtos!BF95</f>
        <v>#DIV/0!</v>
      </c>
      <c r="H95" s="159">
        <f>Produtos!BL95</f>
        <v>0</v>
      </c>
      <c r="I95" s="157" t="e">
        <f>Produtos!BM95</f>
        <v>#DIV/0!</v>
      </c>
      <c r="J95" s="157" t="e">
        <f>Produtos!BG95</f>
        <v>#DIV/0!</v>
      </c>
      <c r="K95" s="157" t="e">
        <f>Produtos!BH95</f>
        <v>#DIV/0!</v>
      </c>
      <c r="L95" s="157" t="e">
        <f>Produtos!BI95</f>
        <v>#DIV/0!</v>
      </c>
      <c r="M95" s="157" t="e">
        <f>Produtos!BJ95</f>
        <v>#DIV/0!</v>
      </c>
    </row>
    <row r="96" spans="1:13">
      <c r="A96" s="170">
        <f>Produtos!A96</f>
        <v>0</v>
      </c>
      <c r="B96" s="170"/>
      <c r="C96" s="142" t="e">
        <f>Produtos!B96</f>
        <v>#N/A</v>
      </c>
      <c r="D96" s="256"/>
      <c r="E96" s="157" t="e">
        <f>Produtos!BD96</f>
        <v>#DIV/0!</v>
      </c>
      <c r="F96" s="157" t="e">
        <f>Produtos!BE96</f>
        <v>#DIV/0!</v>
      </c>
      <c r="G96" s="158" t="e">
        <f>Produtos!BF96</f>
        <v>#DIV/0!</v>
      </c>
      <c r="H96" s="159">
        <f>Produtos!BL96</f>
        <v>0</v>
      </c>
      <c r="I96" s="157" t="e">
        <f>Produtos!BM96</f>
        <v>#DIV/0!</v>
      </c>
      <c r="J96" s="157" t="e">
        <f>Produtos!BG96</f>
        <v>#DIV/0!</v>
      </c>
      <c r="K96" s="157" t="e">
        <f>Produtos!BH96</f>
        <v>#DIV/0!</v>
      </c>
      <c r="L96" s="157" t="e">
        <f>Produtos!BI96</f>
        <v>#DIV/0!</v>
      </c>
      <c r="M96" s="157" t="e">
        <f>Produtos!BJ96</f>
        <v>#DIV/0!</v>
      </c>
    </row>
    <row r="97" spans="1:13">
      <c r="A97" s="170">
        <f>Produtos!A97</f>
        <v>0</v>
      </c>
      <c r="B97" s="170"/>
      <c r="C97" s="142">
        <f>Produtos!B97</f>
        <v>0</v>
      </c>
      <c r="D97" s="256"/>
      <c r="E97" s="157" t="e">
        <f>Produtos!BD97</f>
        <v>#DIV/0!</v>
      </c>
      <c r="F97" s="157" t="e">
        <f>Produtos!BE97</f>
        <v>#DIV/0!</v>
      </c>
      <c r="G97" s="158" t="e">
        <f>Produtos!BF97</f>
        <v>#DIV/0!</v>
      </c>
      <c r="H97" s="159">
        <f>Produtos!BL97</f>
        <v>0</v>
      </c>
      <c r="I97" s="157" t="e">
        <f>Produtos!BM97</f>
        <v>#DIV/0!</v>
      </c>
      <c r="J97" s="157" t="e">
        <f>Produtos!BG97</f>
        <v>#DIV/0!</v>
      </c>
      <c r="K97" s="157" t="e">
        <f>Produtos!BH97</f>
        <v>#DIV/0!</v>
      </c>
      <c r="L97" s="157" t="e">
        <f>Produtos!BI97</f>
        <v>#DIV/0!</v>
      </c>
      <c r="M97" s="157" t="e">
        <f>Produtos!BJ97</f>
        <v>#DIV/0!</v>
      </c>
    </row>
    <row r="98" spans="1:13">
      <c r="A98" s="170">
        <f>Produtos!A98</f>
        <v>0</v>
      </c>
      <c r="B98" s="258"/>
      <c r="C98" s="253">
        <f>Produtos!B98</f>
        <v>0</v>
      </c>
      <c r="D98" s="160"/>
      <c r="E98" s="254" t="e">
        <f>Produtos!BD98</f>
        <v>#DIV/0!</v>
      </c>
      <c r="F98" s="159" t="e">
        <f>Produtos!BE98</f>
        <v>#DIV/0!</v>
      </c>
      <c r="G98" s="255" t="e">
        <f>Produtos!BF98</f>
        <v>#DIV/0!</v>
      </c>
      <c r="H98" s="159">
        <f>Produtos!BL98</f>
        <v>0</v>
      </c>
      <c r="I98" s="157" t="e">
        <f>Produtos!BM98</f>
        <v>#DIV/0!</v>
      </c>
      <c r="J98" s="157" t="e">
        <f>Produtos!BG98</f>
        <v>#DIV/0!</v>
      </c>
      <c r="K98" s="157" t="e">
        <f>Produtos!BH98</f>
        <v>#DIV/0!</v>
      </c>
      <c r="L98" s="157" t="e">
        <f>Produtos!BI98</f>
        <v>#DIV/0!</v>
      </c>
      <c r="M98" s="157" t="e">
        <f>Produtos!BJ98</f>
        <v>#DIV/0!</v>
      </c>
    </row>
    <row r="99" spans="1:13">
      <c r="A99" s="170">
        <f>Produtos!A99</f>
        <v>0</v>
      </c>
      <c r="B99" s="170"/>
      <c r="C99" s="142">
        <f>Produtos!B99</f>
        <v>0</v>
      </c>
      <c r="D99" s="160"/>
      <c r="E99" s="157" t="e">
        <f>Produtos!BD99</f>
        <v>#DIV/0!</v>
      </c>
      <c r="F99" s="159" t="e">
        <f>Produtos!BE99</f>
        <v>#DIV/0!</v>
      </c>
      <c r="G99" s="158" t="e">
        <f>Produtos!BF99</f>
        <v>#DIV/0!</v>
      </c>
      <c r="H99" s="159">
        <f>Produtos!BL99</f>
        <v>0</v>
      </c>
      <c r="I99" s="157" t="e">
        <f>Produtos!BM99</f>
        <v>#DIV/0!</v>
      </c>
      <c r="J99" s="157" t="e">
        <f>Produtos!BG99</f>
        <v>#DIV/0!</v>
      </c>
      <c r="K99" s="157" t="e">
        <f>Produtos!BH99</f>
        <v>#DIV/0!</v>
      </c>
      <c r="L99" s="157" t="e">
        <f>Produtos!BI99</f>
        <v>#DIV/0!</v>
      </c>
      <c r="M99" s="157" t="e">
        <f>Produtos!BJ99</f>
        <v>#DIV/0!</v>
      </c>
    </row>
    <row r="100" spans="1:13">
      <c r="A100" s="170">
        <f>Produtos!A100</f>
        <v>0</v>
      </c>
      <c r="B100" s="170"/>
      <c r="C100" s="142">
        <f>Produtos!B100</f>
        <v>0</v>
      </c>
      <c r="D100" s="160"/>
      <c r="E100" s="157" t="e">
        <f>Produtos!BD100</f>
        <v>#DIV/0!</v>
      </c>
      <c r="F100" s="159" t="e">
        <f>Produtos!BE100</f>
        <v>#DIV/0!</v>
      </c>
      <c r="G100" s="158" t="e">
        <f>Produtos!BF100</f>
        <v>#DIV/0!</v>
      </c>
      <c r="H100" s="159">
        <f>Produtos!BL100</f>
        <v>0</v>
      </c>
      <c r="I100" s="157" t="e">
        <f>Produtos!BM100</f>
        <v>#DIV/0!</v>
      </c>
      <c r="J100" s="157" t="e">
        <f>Produtos!BG100</f>
        <v>#DIV/0!</v>
      </c>
      <c r="K100" s="157" t="e">
        <f>Produtos!BH100</f>
        <v>#DIV/0!</v>
      </c>
      <c r="L100" s="157" t="e">
        <f>Produtos!BI100</f>
        <v>#DIV/0!</v>
      </c>
      <c r="M100" s="157" t="e">
        <f>Produtos!BJ100</f>
        <v>#DIV/0!</v>
      </c>
    </row>
    <row r="101" spans="1:13">
      <c r="A101" s="170">
        <f>Produtos!A101</f>
        <v>0</v>
      </c>
      <c r="B101" s="170"/>
      <c r="C101" s="142">
        <f>Produtos!B101</f>
        <v>0</v>
      </c>
      <c r="D101" s="160"/>
      <c r="E101" s="157" t="e">
        <f>Produtos!BD101</f>
        <v>#DIV/0!</v>
      </c>
      <c r="F101" s="159" t="e">
        <f>Produtos!BE101</f>
        <v>#DIV/0!</v>
      </c>
      <c r="G101" s="158" t="e">
        <f>Produtos!BF101</f>
        <v>#DIV/0!</v>
      </c>
      <c r="H101" s="159">
        <f>Produtos!BL101</f>
        <v>0</v>
      </c>
      <c r="I101" s="157" t="e">
        <f>Produtos!BM101</f>
        <v>#DIV/0!</v>
      </c>
      <c r="J101" s="157" t="e">
        <f>Produtos!BG101</f>
        <v>#DIV/0!</v>
      </c>
      <c r="K101" s="157" t="e">
        <f>Produtos!BH101</f>
        <v>#DIV/0!</v>
      </c>
      <c r="L101" s="157" t="e">
        <f>Produtos!BI101</f>
        <v>#DIV/0!</v>
      </c>
      <c r="M101" s="157" t="e">
        <f>Produtos!BJ101</f>
        <v>#DIV/0!</v>
      </c>
    </row>
    <row r="102" spans="1:13">
      <c r="A102" s="170">
        <f>Produtos!A102</f>
        <v>0</v>
      </c>
      <c r="B102" s="170"/>
      <c r="C102" s="142">
        <f>Produtos!B102</f>
        <v>0</v>
      </c>
      <c r="D102" s="160"/>
      <c r="E102" s="157" t="e">
        <f>Produtos!BD102</f>
        <v>#DIV/0!</v>
      </c>
      <c r="F102" s="159" t="e">
        <f>Produtos!BE102</f>
        <v>#DIV/0!</v>
      </c>
      <c r="G102" s="158" t="e">
        <f>Produtos!BF102</f>
        <v>#DIV/0!</v>
      </c>
      <c r="H102" s="159">
        <f>Produtos!BL102</f>
        <v>0</v>
      </c>
      <c r="I102" s="157" t="e">
        <f>Produtos!BM102</f>
        <v>#DIV/0!</v>
      </c>
      <c r="J102" s="157" t="e">
        <f>Produtos!BG102</f>
        <v>#DIV/0!</v>
      </c>
      <c r="K102" s="157" t="e">
        <f>Produtos!BH102</f>
        <v>#DIV/0!</v>
      </c>
      <c r="L102" s="157" t="e">
        <f>Produtos!BI102</f>
        <v>#DIV/0!</v>
      </c>
      <c r="M102" s="157" t="e">
        <f>Produtos!BJ102</f>
        <v>#DIV/0!</v>
      </c>
    </row>
    <row r="103" spans="1:13">
      <c r="A103" s="170">
        <f>Produtos!A103</f>
        <v>0</v>
      </c>
      <c r="B103" s="170"/>
      <c r="C103" s="142">
        <f>Produtos!B103</f>
        <v>0</v>
      </c>
      <c r="D103" s="160"/>
      <c r="E103" s="157" t="e">
        <f>Produtos!BD103</f>
        <v>#DIV/0!</v>
      </c>
      <c r="F103" s="159" t="e">
        <f>Produtos!BE103</f>
        <v>#DIV/0!</v>
      </c>
      <c r="G103" s="158" t="e">
        <f>Produtos!BF103</f>
        <v>#DIV/0!</v>
      </c>
      <c r="H103" s="159">
        <f>Produtos!BL103</f>
        <v>0</v>
      </c>
      <c r="I103" s="157" t="e">
        <f>Produtos!BM103</f>
        <v>#DIV/0!</v>
      </c>
      <c r="J103" s="157" t="e">
        <f>Produtos!BG103</f>
        <v>#DIV/0!</v>
      </c>
      <c r="K103" s="157" t="e">
        <f>Produtos!BH103</f>
        <v>#DIV/0!</v>
      </c>
      <c r="L103" s="157" t="e">
        <f>Produtos!BI103</f>
        <v>#DIV/0!</v>
      </c>
      <c r="M103" s="157" t="e">
        <f>Produtos!BJ103</f>
        <v>#DIV/0!</v>
      </c>
    </row>
    <row r="104" spans="1:13">
      <c r="A104" s="170">
        <f>Produtos!A104</f>
        <v>0</v>
      </c>
      <c r="B104" s="170"/>
      <c r="C104" s="142">
        <f>Produtos!B104</f>
        <v>0</v>
      </c>
      <c r="D104" s="160"/>
      <c r="E104" s="157" t="e">
        <f>Produtos!BD104</f>
        <v>#DIV/0!</v>
      </c>
      <c r="F104" s="159" t="e">
        <f>Produtos!BE104</f>
        <v>#DIV/0!</v>
      </c>
      <c r="G104" s="158" t="e">
        <f>Produtos!BF104</f>
        <v>#DIV/0!</v>
      </c>
      <c r="H104" s="159">
        <f>Produtos!BL104</f>
        <v>0</v>
      </c>
      <c r="I104" s="157" t="e">
        <f>Produtos!BM104</f>
        <v>#DIV/0!</v>
      </c>
      <c r="J104" s="157" t="e">
        <f>Produtos!BG104</f>
        <v>#DIV/0!</v>
      </c>
      <c r="K104" s="157" t="e">
        <f>Produtos!BH104</f>
        <v>#DIV/0!</v>
      </c>
      <c r="L104" s="157" t="e">
        <f>Produtos!BI104</f>
        <v>#DIV/0!</v>
      </c>
      <c r="M104" s="157" t="e">
        <f>Produtos!BJ104</f>
        <v>#DIV/0!</v>
      </c>
    </row>
    <row r="105" spans="1:13">
      <c r="A105" s="170">
        <f>Produtos!A105</f>
        <v>0</v>
      </c>
      <c r="B105" s="170"/>
      <c r="C105" s="142">
        <f>Produtos!B105</f>
        <v>0</v>
      </c>
      <c r="D105" s="160"/>
      <c r="E105" s="157" t="e">
        <f>Produtos!BD105</f>
        <v>#DIV/0!</v>
      </c>
      <c r="F105" s="159" t="e">
        <f>Produtos!BE105</f>
        <v>#DIV/0!</v>
      </c>
      <c r="G105" s="158" t="e">
        <f>Produtos!BF105</f>
        <v>#DIV/0!</v>
      </c>
      <c r="H105" s="159">
        <f>Produtos!BL105</f>
        <v>0</v>
      </c>
      <c r="I105" s="157" t="e">
        <f>Produtos!BM105</f>
        <v>#DIV/0!</v>
      </c>
      <c r="J105" s="157" t="e">
        <f>Produtos!BG105</f>
        <v>#DIV/0!</v>
      </c>
      <c r="K105" s="157" t="e">
        <f>Produtos!BH105</f>
        <v>#DIV/0!</v>
      </c>
      <c r="L105" s="157" t="e">
        <f>Produtos!BI105</f>
        <v>#DIV/0!</v>
      </c>
      <c r="M105" s="157" t="e">
        <f>Produtos!BJ105</f>
        <v>#DIV/0!</v>
      </c>
    </row>
    <row r="106" spans="1:13">
      <c r="A106" s="170">
        <f>Produtos!A106</f>
        <v>0</v>
      </c>
      <c r="B106" s="170"/>
      <c r="C106" s="142">
        <f>Produtos!B106</f>
        <v>0</v>
      </c>
      <c r="D106" s="160"/>
      <c r="E106" s="157" t="e">
        <f>Produtos!BD106</f>
        <v>#DIV/0!</v>
      </c>
      <c r="F106" s="159" t="e">
        <f>Produtos!BE106</f>
        <v>#DIV/0!</v>
      </c>
      <c r="G106" s="158" t="e">
        <f>Produtos!BF106</f>
        <v>#DIV/0!</v>
      </c>
      <c r="H106" s="159">
        <f>Produtos!BL106</f>
        <v>0</v>
      </c>
      <c r="I106" s="157" t="e">
        <f>Produtos!BM106</f>
        <v>#DIV/0!</v>
      </c>
      <c r="J106" s="157" t="e">
        <f>Produtos!BG106</f>
        <v>#DIV/0!</v>
      </c>
      <c r="K106" s="157" t="e">
        <f>Produtos!BH106</f>
        <v>#DIV/0!</v>
      </c>
      <c r="L106" s="157" t="e">
        <f>Produtos!BI106</f>
        <v>#DIV/0!</v>
      </c>
      <c r="M106" s="157" t="e">
        <f>Produtos!BJ106</f>
        <v>#DIV/0!</v>
      </c>
    </row>
    <row r="107" spans="1:13">
      <c r="A107" s="170">
        <f>Produtos!A107</f>
        <v>0</v>
      </c>
      <c r="B107" s="170"/>
      <c r="C107" s="142">
        <f>Produtos!B107</f>
        <v>0</v>
      </c>
      <c r="D107" s="160"/>
      <c r="E107" s="157" t="e">
        <f>Produtos!BD107</f>
        <v>#DIV/0!</v>
      </c>
      <c r="F107" s="159" t="e">
        <f>Produtos!BE107</f>
        <v>#DIV/0!</v>
      </c>
      <c r="G107" s="158" t="e">
        <f>Produtos!BF107</f>
        <v>#DIV/0!</v>
      </c>
      <c r="H107" s="159">
        <f>Produtos!BL107</f>
        <v>0</v>
      </c>
      <c r="I107" s="157" t="e">
        <f>Produtos!BM107</f>
        <v>#DIV/0!</v>
      </c>
      <c r="J107" s="157" t="e">
        <f>Produtos!BG107</f>
        <v>#DIV/0!</v>
      </c>
      <c r="K107" s="157" t="e">
        <f>Produtos!BH107</f>
        <v>#DIV/0!</v>
      </c>
      <c r="L107" s="157" t="e">
        <f>Produtos!BI107</f>
        <v>#DIV/0!</v>
      </c>
      <c r="M107" s="157" t="e">
        <f>Produtos!BJ107</f>
        <v>#DIV/0!</v>
      </c>
    </row>
    <row r="108" spans="1:13">
      <c r="A108" s="170">
        <f>Produtos!A108</f>
        <v>0</v>
      </c>
      <c r="B108" s="170"/>
      <c r="C108" s="142">
        <f>Produtos!B108</f>
        <v>0</v>
      </c>
      <c r="D108" s="160"/>
      <c r="E108" s="157" t="e">
        <f>Produtos!BD108</f>
        <v>#DIV/0!</v>
      </c>
      <c r="F108" s="159" t="e">
        <f>Produtos!BE108</f>
        <v>#DIV/0!</v>
      </c>
      <c r="G108" s="158" t="e">
        <f>Produtos!BF108</f>
        <v>#DIV/0!</v>
      </c>
      <c r="H108" s="159">
        <f>Produtos!BL108</f>
        <v>0</v>
      </c>
      <c r="I108" s="157" t="e">
        <f>Produtos!BM108</f>
        <v>#DIV/0!</v>
      </c>
      <c r="J108" s="157" t="e">
        <f>Produtos!BG108</f>
        <v>#DIV/0!</v>
      </c>
      <c r="K108" s="157" t="e">
        <f>Produtos!BH108</f>
        <v>#DIV/0!</v>
      </c>
      <c r="L108" s="157" t="e">
        <f>Produtos!BI108</f>
        <v>#DIV/0!</v>
      </c>
      <c r="M108" s="157" t="e">
        <f>Produtos!BJ108</f>
        <v>#DIV/0!</v>
      </c>
    </row>
    <row r="109" spans="1:13">
      <c r="A109" s="170">
        <f>Produtos!A109</f>
        <v>0</v>
      </c>
      <c r="B109" s="170"/>
      <c r="C109" s="142">
        <f>Produtos!B109</f>
        <v>0</v>
      </c>
      <c r="D109" s="160"/>
      <c r="E109" s="157" t="e">
        <f>Produtos!BD109</f>
        <v>#DIV/0!</v>
      </c>
      <c r="F109" s="159" t="e">
        <f>Produtos!BE109</f>
        <v>#DIV/0!</v>
      </c>
      <c r="G109" s="158" t="e">
        <f>Produtos!BF109</f>
        <v>#DIV/0!</v>
      </c>
      <c r="H109" s="159">
        <f>Produtos!BL109</f>
        <v>0</v>
      </c>
      <c r="I109" s="157" t="e">
        <f>Produtos!BM109</f>
        <v>#DIV/0!</v>
      </c>
      <c r="J109" s="157" t="e">
        <f>Produtos!BG109</f>
        <v>#DIV/0!</v>
      </c>
      <c r="K109" s="157" t="e">
        <f>Produtos!BH109</f>
        <v>#DIV/0!</v>
      </c>
      <c r="L109" s="157" t="e">
        <f>Produtos!BI109</f>
        <v>#DIV/0!</v>
      </c>
      <c r="M109" s="157" t="e">
        <f>Produtos!BJ109</f>
        <v>#DIV/0!</v>
      </c>
    </row>
    <row r="110" spans="1:13">
      <c r="A110" s="170">
        <f>Produtos!A110</f>
        <v>0</v>
      </c>
      <c r="B110" s="170"/>
      <c r="C110" s="142">
        <f>Produtos!B110</f>
        <v>0</v>
      </c>
      <c r="D110" s="160"/>
      <c r="E110" s="157" t="e">
        <f>Produtos!BD110</f>
        <v>#DIV/0!</v>
      </c>
      <c r="F110" s="159" t="e">
        <f>Produtos!BE110</f>
        <v>#DIV/0!</v>
      </c>
      <c r="G110" s="158" t="e">
        <f>Produtos!BF110</f>
        <v>#DIV/0!</v>
      </c>
      <c r="H110" s="159">
        <f>Produtos!BL110</f>
        <v>0</v>
      </c>
      <c r="I110" s="157" t="e">
        <f>Produtos!BM110</f>
        <v>#DIV/0!</v>
      </c>
      <c r="J110" s="157" t="e">
        <f>Produtos!BG110</f>
        <v>#DIV/0!</v>
      </c>
      <c r="K110" s="157" t="e">
        <f>Produtos!BH110</f>
        <v>#DIV/0!</v>
      </c>
      <c r="L110" s="157" t="e">
        <f>Produtos!BI110</f>
        <v>#DIV/0!</v>
      </c>
      <c r="M110" s="157" t="e">
        <f>Produtos!BJ110</f>
        <v>#DIV/0!</v>
      </c>
    </row>
    <row r="111" spans="1:13">
      <c r="A111" s="170">
        <f>Produtos!A111</f>
        <v>0</v>
      </c>
      <c r="B111" s="170"/>
      <c r="C111" s="142">
        <f>Produtos!B111</f>
        <v>0</v>
      </c>
      <c r="D111" s="160"/>
      <c r="E111" s="157" t="e">
        <f>Produtos!BD111</f>
        <v>#DIV/0!</v>
      </c>
      <c r="F111" s="159" t="e">
        <f>Produtos!BE111</f>
        <v>#DIV/0!</v>
      </c>
      <c r="G111" s="158" t="e">
        <f>Produtos!BF111</f>
        <v>#DIV/0!</v>
      </c>
      <c r="H111" s="159">
        <f>Produtos!BL111</f>
        <v>0</v>
      </c>
      <c r="I111" s="157" t="e">
        <f>Produtos!BM111</f>
        <v>#DIV/0!</v>
      </c>
      <c r="J111" s="157" t="e">
        <f>Produtos!BG111</f>
        <v>#DIV/0!</v>
      </c>
      <c r="K111" s="157" t="e">
        <f>Produtos!BH111</f>
        <v>#DIV/0!</v>
      </c>
      <c r="L111" s="157" t="e">
        <f>Produtos!BI111</f>
        <v>#DIV/0!</v>
      </c>
      <c r="M111" s="157" t="e">
        <f>Produtos!BJ111</f>
        <v>#DIV/0!</v>
      </c>
    </row>
    <row r="112" spans="1:13">
      <c r="A112" s="170">
        <f>Produtos!A112</f>
        <v>0</v>
      </c>
      <c r="B112" s="170"/>
      <c r="C112" s="142">
        <f>Produtos!B112</f>
        <v>0</v>
      </c>
      <c r="D112" s="160"/>
      <c r="E112" s="157" t="e">
        <f>Produtos!BD112</f>
        <v>#DIV/0!</v>
      </c>
      <c r="F112" s="159" t="e">
        <f>Produtos!BE112</f>
        <v>#DIV/0!</v>
      </c>
      <c r="G112" s="158" t="e">
        <f>Produtos!BF112</f>
        <v>#DIV/0!</v>
      </c>
      <c r="H112" s="159">
        <f>Produtos!BL112</f>
        <v>0</v>
      </c>
      <c r="I112" s="157" t="e">
        <f>Produtos!BM112</f>
        <v>#DIV/0!</v>
      </c>
      <c r="J112" s="157" t="e">
        <f>Produtos!BG112</f>
        <v>#DIV/0!</v>
      </c>
      <c r="K112" s="157" t="e">
        <f>Produtos!BH112</f>
        <v>#DIV/0!</v>
      </c>
      <c r="L112" s="157" t="e">
        <f>Produtos!BI112</f>
        <v>#DIV/0!</v>
      </c>
      <c r="M112" s="157" t="e">
        <f>Produtos!BJ112</f>
        <v>#DIV/0!</v>
      </c>
    </row>
    <row r="113" spans="1:13">
      <c r="A113" s="170">
        <f>Produtos!A113</f>
        <v>0</v>
      </c>
      <c r="B113" s="170"/>
      <c r="C113" s="142">
        <f>Produtos!B113</f>
        <v>0</v>
      </c>
      <c r="D113" s="160"/>
      <c r="E113" s="157" t="e">
        <f>Produtos!BD113</f>
        <v>#DIV/0!</v>
      </c>
      <c r="F113" s="159" t="e">
        <f>Produtos!BE113</f>
        <v>#DIV/0!</v>
      </c>
      <c r="G113" s="158" t="e">
        <f>Produtos!BF113</f>
        <v>#DIV/0!</v>
      </c>
      <c r="H113" s="159">
        <f>Produtos!BL113</f>
        <v>0</v>
      </c>
      <c r="I113" s="157" t="e">
        <f>Produtos!BM113</f>
        <v>#DIV/0!</v>
      </c>
      <c r="J113" s="157" t="e">
        <f>Produtos!BG113</f>
        <v>#DIV/0!</v>
      </c>
      <c r="K113" s="157" t="e">
        <f>Produtos!BH113</f>
        <v>#DIV/0!</v>
      </c>
      <c r="L113" s="157" t="e">
        <f>Produtos!BI113</f>
        <v>#DIV/0!</v>
      </c>
      <c r="M113" s="157" t="e">
        <f>Produtos!BJ113</f>
        <v>#DIV/0!</v>
      </c>
    </row>
    <row r="114" spans="1:13">
      <c r="A114" s="170">
        <f>Produtos!A114</f>
        <v>0</v>
      </c>
      <c r="B114" s="170"/>
      <c r="C114" s="142">
        <f>Produtos!B114</f>
        <v>0</v>
      </c>
      <c r="D114" s="160"/>
      <c r="E114" s="157" t="e">
        <f>Produtos!BD114</f>
        <v>#DIV/0!</v>
      </c>
      <c r="F114" s="159" t="e">
        <f>Produtos!BE114</f>
        <v>#DIV/0!</v>
      </c>
      <c r="G114" s="158" t="e">
        <f>Produtos!BF114</f>
        <v>#DIV/0!</v>
      </c>
      <c r="H114" s="159">
        <f>Produtos!BL114</f>
        <v>0</v>
      </c>
      <c r="I114" s="157" t="e">
        <f>Produtos!BM114</f>
        <v>#DIV/0!</v>
      </c>
      <c r="J114" s="157" t="e">
        <f>Produtos!BG114</f>
        <v>#DIV/0!</v>
      </c>
      <c r="K114" s="157" t="e">
        <f>Produtos!BH114</f>
        <v>#DIV/0!</v>
      </c>
      <c r="L114" s="157" t="e">
        <f>Produtos!BI114</f>
        <v>#DIV/0!</v>
      </c>
      <c r="M114" s="157" t="e">
        <f>Produtos!BJ114</f>
        <v>#DIV/0!</v>
      </c>
    </row>
    <row r="115" spans="1:13">
      <c r="A115" s="170">
        <f>Produtos!A115</f>
        <v>0</v>
      </c>
      <c r="B115" s="170"/>
      <c r="C115" s="142">
        <f>Produtos!B115</f>
        <v>0</v>
      </c>
      <c r="D115" s="160"/>
      <c r="E115" s="157" t="e">
        <f>Produtos!BD115</f>
        <v>#DIV/0!</v>
      </c>
      <c r="F115" s="159" t="e">
        <f>Produtos!BE115</f>
        <v>#DIV/0!</v>
      </c>
      <c r="G115" s="158" t="e">
        <f>Produtos!BF115</f>
        <v>#DIV/0!</v>
      </c>
      <c r="H115" s="159">
        <f>Produtos!BL115</f>
        <v>0</v>
      </c>
      <c r="I115" s="157" t="e">
        <f>Produtos!BM115</f>
        <v>#DIV/0!</v>
      </c>
      <c r="J115" s="157" t="e">
        <f>Produtos!BG115</f>
        <v>#DIV/0!</v>
      </c>
      <c r="K115" s="157" t="e">
        <f>Produtos!BH115</f>
        <v>#DIV/0!</v>
      </c>
      <c r="L115" s="157" t="e">
        <f>Produtos!BI115</f>
        <v>#DIV/0!</v>
      </c>
      <c r="M115" s="157" t="e">
        <f>Produtos!BJ115</f>
        <v>#DIV/0!</v>
      </c>
    </row>
    <row r="116" spans="1:13">
      <c r="A116" s="170">
        <f>Produtos!A116</f>
        <v>0</v>
      </c>
      <c r="B116" s="170"/>
      <c r="C116" s="142">
        <f>Produtos!B116</f>
        <v>0</v>
      </c>
      <c r="D116" s="160"/>
      <c r="E116" s="157" t="e">
        <f>Produtos!BD116</f>
        <v>#DIV/0!</v>
      </c>
      <c r="F116" s="159" t="e">
        <f>Produtos!BE116</f>
        <v>#DIV/0!</v>
      </c>
      <c r="G116" s="158" t="e">
        <f>Produtos!BF116</f>
        <v>#DIV/0!</v>
      </c>
      <c r="H116" s="159">
        <f>Produtos!BL116</f>
        <v>0</v>
      </c>
      <c r="I116" s="157" t="e">
        <f>Produtos!BM116</f>
        <v>#DIV/0!</v>
      </c>
      <c r="J116" s="157" t="e">
        <f>Produtos!BG116</f>
        <v>#DIV/0!</v>
      </c>
      <c r="K116" s="157" t="e">
        <f>Produtos!BH116</f>
        <v>#DIV/0!</v>
      </c>
      <c r="L116" s="157" t="e">
        <f>Produtos!BI116</f>
        <v>#DIV/0!</v>
      </c>
      <c r="M116" s="157" t="e">
        <f>Produtos!BJ116</f>
        <v>#DIV/0!</v>
      </c>
    </row>
    <row r="117" spans="1:13">
      <c r="A117" s="170">
        <f>Produtos!A117</f>
        <v>0</v>
      </c>
      <c r="B117" s="170"/>
      <c r="C117" s="142">
        <f>Produtos!B117</f>
        <v>0</v>
      </c>
      <c r="D117" s="160"/>
      <c r="E117" s="157" t="e">
        <f>Produtos!BD117</f>
        <v>#DIV/0!</v>
      </c>
      <c r="F117" s="159" t="e">
        <f>Produtos!BE117</f>
        <v>#DIV/0!</v>
      </c>
      <c r="G117" s="158" t="e">
        <f>Produtos!BF117</f>
        <v>#DIV/0!</v>
      </c>
      <c r="H117" s="159">
        <f>Produtos!BL117</f>
        <v>0</v>
      </c>
      <c r="I117" s="157" t="e">
        <f>Produtos!BM117</f>
        <v>#DIV/0!</v>
      </c>
      <c r="J117" s="157" t="e">
        <f>Produtos!BG117</f>
        <v>#DIV/0!</v>
      </c>
      <c r="K117" s="157" t="e">
        <f>Produtos!BH117</f>
        <v>#DIV/0!</v>
      </c>
      <c r="L117" s="157" t="e">
        <f>Produtos!BI117</f>
        <v>#DIV/0!</v>
      </c>
      <c r="M117" s="157" t="e">
        <f>Produtos!BJ117</f>
        <v>#DIV/0!</v>
      </c>
    </row>
    <row r="118" spans="1:13">
      <c r="A118" s="170">
        <f>Produtos!A118</f>
        <v>0</v>
      </c>
      <c r="B118" s="170"/>
      <c r="C118" s="142">
        <f>Produtos!B118</f>
        <v>0</v>
      </c>
      <c r="D118" s="160"/>
      <c r="E118" s="157" t="e">
        <f>Produtos!BD118</f>
        <v>#DIV/0!</v>
      </c>
      <c r="F118" s="159" t="e">
        <f>Produtos!BE118</f>
        <v>#DIV/0!</v>
      </c>
      <c r="G118" s="158" t="e">
        <f>Produtos!BF118</f>
        <v>#DIV/0!</v>
      </c>
      <c r="H118" s="159">
        <f>Produtos!BL118</f>
        <v>0</v>
      </c>
      <c r="I118" s="157" t="e">
        <f>Produtos!BM118</f>
        <v>#DIV/0!</v>
      </c>
      <c r="J118" s="157" t="e">
        <f>Produtos!BG118</f>
        <v>#DIV/0!</v>
      </c>
      <c r="K118" s="157" t="e">
        <f>Produtos!BH118</f>
        <v>#DIV/0!</v>
      </c>
      <c r="L118" s="157" t="e">
        <f>Produtos!BI118</f>
        <v>#DIV/0!</v>
      </c>
      <c r="M118" s="157" t="e">
        <f>Produtos!BJ118</f>
        <v>#DIV/0!</v>
      </c>
    </row>
    <row r="119" spans="1:13">
      <c r="A119" s="170">
        <f>Produtos!A119</f>
        <v>0</v>
      </c>
      <c r="B119" s="170"/>
      <c r="C119" s="142">
        <f>Produtos!B119</f>
        <v>0</v>
      </c>
      <c r="D119" s="160"/>
      <c r="E119" s="157" t="e">
        <f>Produtos!BD119</f>
        <v>#DIV/0!</v>
      </c>
      <c r="F119" s="159" t="e">
        <f>Produtos!BE119</f>
        <v>#DIV/0!</v>
      </c>
      <c r="G119" s="158" t="e">
        <f>Produtos!BF119</f>
        <v>#DIV/0!</v>
      </c>
      <c r="H119" s="159">
        <f>Produtos!BL119</f>
        <v>0</v>
      </c>
      <c r="I119" s="157" t="e">
        <f>Produtos!BM119</f>
        <v>#DIV/0!</v>
      </c>
      <c r="J119" s="157" t="e">
        <f>Produtos!BG119</f>
        <v>#DIV/0!</v>
      </c>
      <c r="K119" s="157" t="e">
        <f>Produtos!BH119</f>
        <v>#DIV/0!</v>
      </c>
      <c r="L119" s="157" t="e">
        <f>Produtos!BI119</f>
        <v>#DIV/0!</v>
      </c>
      <c r="M119" s="157" t="e">
        <f>Produtos!BJ119</f>
        <v>#DIV/0!</v>
      </c>
    </row>
    <row r="120" spans="1:13">
      <c r="A120" s="170">
        <f>Produtos!A120</f>
        <v>0</v>
      </c>
      <c r="B120" s="170"/>
      <c r="C120" s="142">
        <f>Produtos!B120</f>
        <v>0</v>
      </c>
      <c r="D120" s="160"/>
      <c r="E120" s="157" t="e">
        <f>Produtos!BD120</f>
        <v>#DIV/0!</v>
      </c>
      <c r="F120" s="159" t="e">
        <f>Produtos!BE120</f>
        <v>#DIV/0!</v>
      </c>
      <c r="G120" s="158" t="e">
        <f>Produtos!BF120</f>
        <v>#DIV/0!</v>
      </c>
      <c r="H120" s="159">
        <f>Produtos!BL120</f>
        <v>0</v>
      </c>
      <c r="I120" s="157" t="e">
        <f>Produtos!BM120</f>
        <v>#DIV/0!</v>
      </c>
      <c r="J120" s="157" t="e">
        <f>Produtos!BG120</f>
        <v>#DIV/0!</v>
      </c>
      <c r="K120" s="157" t="e">
        <f>Produtos!BH120</f>
        <v>#DIV/0!</v>
      </c>
      <c r="L120" s="157" t="e">
        <f>Produtos!BI120</f>
        <v>#DIV/0!</v>
      </c>
      <c r="M120" s="157" t="e">
        <f>Produtos!BJ120</f>
        <v>#DIV/0!</v>
      </c>
    </row>
    <row r="121" spans="1:13">
      <c r="A121" s="170">
        <f>Produtos!A121</f>
        <v>0</v>
      </c>
      <c r="B121" s="170"/>
      <c r="C121" s="142">
        <f>Produtos!B121</f>
        <v>0</v>
      </c>
      <c r="D121" s="160"/>
      <c r="E121" s="157" t="e">
        <f>Produtos!BD121</f>
        <v>#DIV/0!</v>
      </c>
      <c r="F121" s="159" t="e">
        <f>Produtos!BE121</f>
        <v>#DIV/0!</v>
      </c>
      <c r="G121" s="158" t="e">
        <f>Produtos!BF121</f>
        <v>#DIV/0!</v>
      </c>
      <c r="H121" s="159">
        <f>Produtos!BL121</f>
        <v>0</v>
      </c>
      <c r="I121" s="157" t="e">
        <f>Produtos!BM121</f>
        <v>#DIV/0!</v>
      </c>
      <c r="J121" s="157" t="e">
        <f>Produtos!BG121</f>
        <v>#DIV/0!</v>
      </c>
      <c r="K121" s="157" t="e">
        <f>Produtos!BH121</f>
        <v>#DIV/0!</v>
      </c>
      <c r="L121" s="157" t="e">
        <f>Produtos!BI121</f>
        <v>#DIV/0!</v>
      </c>
      <c r="M121" s="157" t="e">
        <f>Produtos!BJ121</f>
        <v>#DIV/0!</v>
      </c>
    </row>
    <row r="122" spans="1:13">
      <c r="A122" s="170">
        <f>Produtos!A122</f>
        <v>0</v>
      </c>
      <c r="B122" s="170"/>
      <c r="C122" s="142">
        <f>Produtos!B122</f>
        <v>0</v>
      </c>
      <c r="D122" s="160"/>
      <c r="E122" s="157" t="e">
        <f>Produtos!BD122</f>
        <v>#DIV/0!</v>
      </c>
      <c r="F122" s="159" t="e">
        <f>Produtos!BE122</f>
        <v>#DIV/0!</v>
      </c>
      <c r="G122" s="158" t="e">
        <f>Produtos!BF122</f>
        <v>#DIV/0!</v>
      </c>
      <c r="H122" s="159">
        <f>Produtos!BL122</f>
        <v>0</v>
      </c>
      <c r="I122" s="157" t="e">
        <f>Produtos!BM122</f>
        <v>#DIV/0!</v>
      </c>
      <c r="J122" s="157" t="e">
        <f>Produtos!BG122</f>
        <v>#DIV/0!</v>
      </c>
      <c r="K122" s="157" t="e">
        <f>Produtos!BH122</f>
        <v>#DIV/0!</v>
      </c>
      <c r="L122" s="157" t="e">
        <f>Produtos!BI122</f>
        <v>#DIV/0!</v>
      </c>
      <c r="M122" s="157" t="e">
        <f>Produtos!BJ122</f>
        <v>#DIV/0!</v>
      </c>
    </row>
    <row r="123" spans="1:13">
      <c r="A123" s="170">
        <f>Produtos!A123</f>
        <v>0</v>
      </c>
      <c r="B123" s="170"/>
      <c r="C123" s="142">
        <f>Produtos!B123</f>
        <v>0</v>
      </c>
      <c r="D123" s="160"/>
      <c r="E123" s="157" t="e">
        <f>Produtos!BD123</f>
        <v>#DIV/0!</v>
      </c>
      <c r="F123" s="159" t="e">
        <f>Produtos!BE123</f>
        <v>#DIV/0!</v>
      </c>
      <c r="G123" s="158" t="e">
        <f>Produtos!BF123</f>
        <v>#DIV/0!</v>
      </c>
      <c r="H123" s="159">
        <f>Produtos!BL123</f>
        <v>0</v>
      </c>
      <c r="I123" s="157" t="e">
        <f>Produtos!BM123</f>
        <v>#DIV/0!</v>
      </c>
      <c r="J123" s="157" t="e">
        <f>Produtos!BG123</f>
        <v>#DIV/0!</v>
      </c>
      <c r="K123" s="157" t="e">
        <f>Produtos!BH123</f>
        <v>#DIV/0!</v>
      </c>
      <c r="L123" s="157" t="e">
        <f>Produtos!BI123</f>
        <v>#DIV/0!</v>
      </c>
      <c r="M123" s="157" t="e">
        <f>Produtos!BJ123</f>
        <v>#DIV/0!</v>
      </c>
    </row>
    <row r="124" spans="1:13">
      <c r="A124" s="170">
        <f>Produtos!A124</f>
        <v>0</v>
      </c>
      <c r="B124" s="170"/>
      <c r="C124" s="142">
        <f>Produtos!B124</f>
        <v>0</v>
      </c>
      <c r="D124" s="160"/>
      <c r="E124" s="157" t="e">
        <f>Produtos!BD124</f>
        <v>#DIV/0!</v>
      </c>
      <c r="F124" s="159" t="e">
        <f>Produtos!BE124</f>
        <v>#DIV/0!</v>
      </c>
      <c r="G124" s="158" t="e">
        <f>Produtos!BF124</f>
        <v>#DIV/0!</v>
      </c>
      <c r="H124" s="159">
        <f>Produtos!BL124</f>
        <v>0</v>
      </c>
      <c r="I124" s="157" t="e">
        <f>Produtos!BM124</f>
        <v>#DIV/0!</v>
      </c>
      <c r="J124" s="157" t="e">
        <f>Produtos!BG124</f>
        <v>#DIV/0!</v>
      </c>
      <c r="K124" s="157" t="e">
        <f>Produtos!BH124</f>
        <v>#DIV/0!</v>
      </c>
      <c r="L124" s="157" t="e">
        <f>Produtos!BI124</f>
        <v>#DIV/0!</v>
      </c>
      <c r="M124" s="157" t="e">
        <f>Produtos!BJ124</f>
        <v>#DIV/0!</v>
      </c>
    </row>
    <row r="125" spans="1:13">
      <c r="A125" s="170">
        <f>Produtos!A125</f>
        <v>0</v>
      </c>
      <c r="B125" s="170"/>
      <c r="C125" s="142">
        <f>Produtos!B125</f>
        <v>0</v>
      </c>
      <c r="D125" s="160"/>
      <c r="E125" s="157" t="e">
        <f>Produtos!BD125</f>
        <v>#DIV/0!</v>
      </c>
      <c r="F125" s="159" t="e">
        <f>Produtos!BE125</f>
        <v>#DIV/0!</v>
      </c>
      <c r="G125" s="158" t="e">
        <f>Produtos!BF125</f>
        <v>#DIV/0!</v>
      </c>
      <c r="H125" s="159">
        <f>Produtos!BL125</f>
        <v>0</v>
      </c>
      <c r="I125" s="157" t="e">
        <f>Produtos!BM125</f>
        <v>#DIV/0!</v>
      </c>
      <c r="J125" s="157" t="e">
        <f>Produtos!BG125</f>
        <v>#DIV/0!</v>
      </c>
      <c r="K125" s="157" t="e">
        <f>Produtos!BH125</f>
        <v>#DIV/0!</v>
      </c>
      <c r="L125" s="157" t="e">
        <f>Produtos!BI125</f>
        <v>#DIV/0!</v>
      </c>
      <c r="M125" s="157" t="e">
        <f>Produtos!BJ125</f>
        <v>#DIV/0!</v>
      </c>
    </row>
    <row r="126" spans="1:13">
      <c r="A126" s="170">
        <f>Produtos!A126</f>
        <v>0</v>
      </c>
      <c r="B126" s="170"/>
      <c r="C126" s="142">
        <f>Produtos!B126</f>
        <v>0</v>
      </c>
      <c r="D126" s="160"/>
      <c r="E126" s="157" t="e">
        <f>Produtos!BD126</f>
        <v>#DIV/0!</v>
      </c>
      <c r="F126" s="159" t="e">
        <f>Produtos!BE126</f>
        <v>#DIV/0!</v>
      </c>
      <c r="G126" s="158" t="e">
        <f>Produtos!BF126</f>
        <v>#DIV/0!</v>
      </c>
      <c r="H126" s="159">
        <f>Produtos!BL126</f>
        <v>0</v>
      </c>
      <c r="I126" s="157" t="e">
        <f>Produtos!BM126</f>
        <v>#DIV/0!</v>
      </c>
      <c r="J126" s="157" t="e">
        <f>Produtos!BG126</f>
        <v>#DIV/0!</v>
      </c>
      <c r="K126" s="157" t="e">
        <f>Produtos!BH126</f>
        <v>#DIV/0!</v>
      </c>
      <c r="L126" s="157" t="e">
        <f>Produtos!BI126</f>
        <v>#DIV/0!</v>
      </c>
      <c r="M126" s="157" t="e">
        <f>Produtos!BJ126</f>
        <v>#DIV/0!</v>
      </c>
    </row>
    <row r="127" spans="1:13">
      <c r="A127" s="170">
        <f>Produtos!A127</f>
        <v>0</v>
      </c>
      <c r="B127" s="170"/>
      <c r="C127" s="142">
        <f>Produtos!B127</f>
        <v>0</v>
      </c>
      <c r="D127" s="160"/>
      <c r="E127" s="157" t="e">
        <f>Produtos!BD127</f>
        <v>#DIV/0!</v>
      </c>
      <c r="F127" s="159" t="e">
        <f>Produtos!BE127</f>
        <v>#DIV/0!</v>
      </c>
      <c r="G127" s="158" t="e">
        <f>Produtos!BF127</f>
        <v>#DIV/0!</v>
      </c>
      <c r="H127" s="159">
        <f>Produtos!BL127</f>
        <v>0</v>
      </c>
      <c r="I127" s="157" t="e">
        <f>Produtos!BM127</f>
        <v>#DIV/0!</v>
      </c>
      <c r="J127" s="157" t="e">
        <f>Produtos!BG127</f>
        <v>#DIV/0!</v>
      </c>
      <c r="K127" s="157" t="e">
        <f>Produtos!BH127</f>
        <v>#DIV/0!</v>
      </c>
      <c r="L127" s="157" t="e">
        <f>Produtos!BI127</f>
        <v>#DIV/0!</v>
      </c>
      <c r="M127" s="157" t="e">
        <f>Produtos!BJ127</f>
        <v>#DIV/0!</v>
      </c>
    </row>
    <row r="128" spans="1:13">
      <c r="A128" s="170">
        <f>Produtos!A128</f>
        <v>0</v>
      </c>
      <c r="B128" s="170"/>
      <c r="C128" s="142">
        <f>Produtos!B128</f>
        <v>0</v>
      </c>
      <c r="D128" s="160"/>
      <c r="E128" s="157" t="e">
        <f>Produtos!BD128</f>
        <v>#DIV/0!</v>
      </c>
      <c r="F128" s="159" t="e">
        <f>Produtos!BE128</f>
        <v>#DIV/0!</v>
      </c>
      <c r="G128" s="158" t="e">
        <f>Produtos!BF128</f>
        <v>#DIV/0!</v>
      </c>
      <c r="H128" s="159">
        <f>Produtos!BL128</f>
        <v>0</v>
      </c>
      <c r="I128" s="157" t="e">
        <f>Produtos!BM128</f>
        <v>#DIV/0!</v>
      </c>
      <c r="J128" s="157" t="e">
        <f>Produtos!BG128</f>
        <v>#DIV/0!</v>
      </c>
      <c r="K128" s="157" t="e">
        <f>Produtos!BH128</f>
        <v>#DIV/0!</v>
      </c>
      <c r="L128" s="157" t="e">
        <f>Produtos!BI128</f>
        <v>#DIV/0!</v>
      </c>
      <c r="M128" s="157" t="e">
        <f>Produtos!BJ128</f>
        <v>#DIV/0!</v>
      </c>
    </row>
    <row r="129" spans="1:13">
      <c r="A129" s="170">
        <f>Produtos!A129</f>
        <v>0</v>
      </c>
      <c r="B129" s="170"/>
      <c r="C129" s="142">
        <f>Produtos!B129</f>
        <v>0</v>
      </c>
      <c r="D129" s="160"/>
      <c r="E129" s="157" t="e">
        <f>Produtos!BD129</f>
        <v>#DIV/0!</v>
      </c>
      <c r="F129" s="159" t="e">
        <f>Produtos!BE129</f>
        <v>#DIV/0!</v>
      </c>
      <c r="G129" s="158" t="e">
        <f>Produtos!BF129</f>
        <v>#DIV/0!</v>
      </c>
      <c r="H129" s="159">
        <f>Produtos!BL129</f>
        <v>0</v>
      </c>
      <c r="I129" s="157" t="e">
        <f>Produtos!BM129</f>
        <v>#DIV/0!</v>
      </c>
      <c r="J129" s="157" t="e">
        <f>Produtos!BG129</f>
        <v>#DIV/0!</v>
      </c>
      <c r="K129" s="157" t="e">
        <f>Produtos!BH129</f>
        <v>#DIV/0!</v>
      </c>
      <c r="L129" s="157" t="e">
        <f>Produtos!BI129</f>
        <v>#DIV/0!</v>
      </c>
      <c r="M129" s="157" t="e">
        <f>Produtos!BJ129</f>
        <v>#DIV/0!</v>
      </c>
    </row>
    <row r="130" spans="1:13">
      <c r="A130" s="170">
        <f>Produtos!A130</f>
        <v>0</v>
      </c>
      <c r="B130" s="170"/>
      <c r="C130" s="142">
        <f>Produtos!B130</f>
        <v>0</v>
      </c>
      <c r="D130" s="160"/>
      <c r="E130" s="157" t="e">
        <f>Produtos!BD130</f>
        <v>#DIV/0!</v>
      </c>
      <c r="F130" s="159" t="e">
        <f>Produtos!BE130</f>
        <v>#DIV/0!</v>
      </c>
      <c r="G130" s="158" t="e">
        <f>Produtos!BF130</f>
        <v>#DIV/0!</v>
      </c>
      <c r="H130" s="159">
        <f>Produtos!BL130</f>
        <v>0</v>
      </c>
      <c r="I130" s="157" t="e">
        <f>Produtos!BM130</f>
        <v>#DIV/0!</v>
      </c>
      <c r="J130" s="157" t="e">
        <f>Produtos!BG130</f>
        <v>#DIV/0!</v>
      </c>
      <c r="K130" s="157" t="e">
        <f>Produtos!BH130</f>
        <v>#DIV/0!</v>
      </c>
      <c r="L130" s="157" t="e">
        <f>Produtos!BI130</f>
        <v>#DIV/0!</v>
      </c>
      <c r="M130" s="157" t="e">
        <f>Produtos!BJ130</f>
        <v>#DIV/0!</v>
      </c>
    </row>
    <row r="131" spans="1:13">
      <c r="A131" s="170">
        <f>Produtos!A131</f>
        <v>0</v>
      </c>
      <c r="B131" s="170"/>
      <c r="C131" s="142">
        <f>Produtos!B131</f>
        <v>0</v>
      </c>
      <c r="D131" s="160"/>
      <c r="E131" s="157" t="e">
        <f>Produtos!BD131</f>
        <v>#DIV/0!</v>
      </c>
      <c r="F131" s="159" t="e">
        <f>Produtos!BE131</f>
        <v>#DIV/0!</v>
      </c>
      <c r="G131" s="158" t="e">
        <f>Produtos!BF131</f>
        <v>#DIV/0!</v>
      </c>
      <c r="H131" s="159">
        <f>Produtos!BL131</f>
        <v>0</v>
      </c>
      <c r="I131" s="157" t="e">
        <f>Produtos!BM131</f>
        <v>#DIV/0!</v>
      </c>
      <c r="J131" s="157" t="e">
        <f>Produtos!BG131</f>
        <v>#DIV/0!</v>
      </c>
      <c r="K131" s="157" t="e">
        <f>Produtos!BH131</f>
        <v>#DIV/0!</v>
      </c>
      <c r="L131" s="157" t="e">
        <f>Produtos!BI131</f>
        <v>#DIV/0!</v>
      </c>
      <c r="M131" s="157" t="e">
        <f>Produtos!BJ131</f>
        <v>#DIV/0!</v>
      </c>
    </row>
    <row r="132" spans="1:13">
      <c r="A132" s="170">
        <f>Produtos!A132</f>
        <v>0</v>
      </c>
      <c r="B132" s="170"/>
      <c r="C132" s="142">
        <f>Produtos!B132</f>
        <v>0</v>
      </c>
      <c r="D132" s="160"/>
      <c r="E132" s="157" t="e">
        <f>Produtos!BD132</f>
        <v>#DIV/0!</v>
      </c>
      <c r="F132" s="159" t="e">
        <f>Produtos!BE132</f>
        <v>#DIV/0!</v>
      </c>
      <c r="G132" s="158" t="e">
        <f>Produtos!BF132</f>
        <v>#DIV/0!</v>
      </c>
      <c r="H132" s="159">
        <f>Produtos!BL132</f>
        <v>0</v>
      </c>
      <c r="I132" s="157" t="e">
        <f>Produtos!BM132</f>
        <v>#DIV/0!</v>
      </c>
      <c r="J132" s="157" t="e">
        <f>Produtos!BG132</f>
        <v>#DIV/0!</v>
      </c>
      <c r="K132" s="157" t="e">
        <f>Produtos!BH132</f>
        <v>#DIV/0!</v>
      </c>
      <c r="L132" s="157" t="e">
        <f>Produtos!BI132</f>
        <v>#DIV/0!</v>
      </c>
      <c r="M132" s="157" t="e">
        <f>Produtos!BJ132</f>
        <v>#DIV/0!</v>
      </c>
    </row>
    <row r="133" spans="1:13">
      <c r="A133" s="170">
        <f>Produtos!A133</f>
        <v>0</v>
      </c>
      <c r="B133" s="170"/>
      <c r="C133" s="142">
        <f>Produtos!B133</f>
        <v>0</v>
      </c>
      <c r="D133" s="160"/>
      <c r="E133" s="157" t="e">
        <f>Produtos!BD133</f>
        <v>#DIV/0!</v>
      </c>
      <c r="F133" s="159" t="e">
        <f>Produtos!BE133</f>
        <v>#DIV/0!</v>
      </c>
      <c r="G133" s="158" t="e">
        <f>Produtos!BF133</f>
        <v>#DIV/0!</v>
      </c>
      <c r="H133" s="159">
        <f>Produtos!BL133</f>
        <v>0</v>
      </c>
      <c r="I133" s="157" t="e">
        <f>Produtos!BM133</f>
        <v>#DIV/0!</v>
      </c>
      <c r="J133" s="157" t="e">
        <f>Produtos!BG133</f>
        <v>#DIV/0!</v>
      </c>
      <c r="K133" s="157" t="e">
        <f>Produtos!BH133</f>
        <v>#DIV/0!</v>
      </c>
      <c r="L133" s="157" t="e">
        <f>Produtos!BI133</f>
        <v>#DIV/0!</v>
      </c>
      <c r="M133" s="157" t="e">
        <f>Produtos!BJ133</f>
        <v>#DIV/0!</v>
      </c>
    </row>
    <row r="134" spans="1:13">
      <c r="A134" s="170">
        <f>Produtos!A134</f>
        <v>0</v>
      </c>
      <c r="B134" s="170"/>
      <c r="C134" s="142">
        <f>Produtos!B134</f>
        <v>0</v>
      </c>
      <c r="D134" s="160"/>
      <c r="E134" s="157" t="e">
        <f>Produtos!BD134</f>
        <v>#DIV/0!</v>
      </c>
      <c r="F134" s="159" t="e">
        <f>Produtos!BE134</f>
        <v>#DIV/0!</v>
      </c>
      <c r="G134" s="158" t="e">
        <f>Produtos!BF134</f>
        <v>#DIV/0!</v>
      </c>
      <c r="H134" s="159">
        <f>Produtos!BL134</f>
        <v>0</v>
      </c>
      <c r="I134" s="157" t="e">
        <f>Produtos!BM134</f>
        <v>#DIV/0!</v>
      </c>
      <c r="J134" s="157" t="e">
        <f>Produtos!BG134</f>
        <v>#DIV/0!</v>
      </c>
      <c r="K134" s="157" t="e">
        <f>Produtos!BH134</f>
        <v>#DIV/0!</v>
      </c>
      <c r="L134" s="157" t="e">
        <f>Produtos!BI134</f>
        <v>#DIV/0!</v>
      </c>
      <c r="M134" s="157" t="e">
        <f>Produtos!BJ134</f>
        <v>#DIV/0!</v>
      </c>
    </row>
    <row r="135" spans="1:13">
      <c r="A135" s="170">
        <f>Produtos!A135</f>
        <v>0</v>
      </c>
      <c r="B135" s="170"/>
      <c r="C135" s="142">
        <f>Produtos!B135</f>
        <v>0</v>
      </c>
      <c r="D135" s="160"/>
      <c r="E135" s="157" t="e">
        <f>Produtos!BD135</f>
        <v>#DIV/0!</v>
      </c>
      <c r="F135" s="159" t="e">
        <f>Produtos!BE135</f>
        <v>#DIV/0!</v>
      </c>
      <c r="G135" s="158" t="e">
        <f>Produtos!BF135</f>
        <v>#DIV/0!</v>
      </c>
      <c r="H135" s="159">
        <f>Produtos!BL135</f>
        <v>0</v>
      </c>
      <c r="I135" s="157" t="e">
        <f>Produtos!BM135</f>
        <v>#DIV/0!</v>
      </c>
      <c r="J135" s="157" t="e">
        <f>Produtos!BG135</f>
        <v>#DIV/0!</v>
      </c>
      <c r="K135" s="157" t="e">
        <f>Produtos!BH135</f>
        <v>#DIV/0!</v>
      </c>
      <c r="L135" s="157" t="e">
        <f>Produtos!BI135</f>
        <v>#DIV/0!</v>
      </c>
      <c r="M135" s="157" t="e">
        <f>Produtos!BJ135</f>
        <v>#DIV/0!</v>
      </c>
    </row>
    <row r="136" spans="1:13">
      <c r="A136" s="170">
        <f>Produtos!A136</f>
        <v>0</v>
      </c>
      <c r="B136" s="170"/>
      <c r="C136" s="142">
        <f>Produtos!B136</f>
        <v>0</v>
      </c>
      <c r="D136" s="160"/>
      <c r="E136" s="157" t="e">
        <f>Produtos!BD136</f>
        <v>#DIV/0!</v>
      </c>
      <c r="F136" s="159" t="e">
        <f>Produtos!BE136</f>
        <v>#DIV/0!</v>
      </c>
      <c r="G136" s="158" t="e">
        <f>Produtos!BF136</f>
        <v>#DIV/0!</v>
      </c>
      <c r="H136" s="159">
        <f>Produtos!BL136</f>
        <v>0</v>
      </c>
      <c r="I136" s="157" t="e">
        <f>Produtos!BM136</f>
        <v>#DIV/0!</v>
      </c>
      <c r="J136" s="157" t="e">
        <f>Produtos!BG136</f>
        <v>#DIV/0!</v>
      </c>
      <c r="K136" s="157" t="e">
        <f>Produtos!BH136</f>
        <v>#DIV/0!</v>
      </c>
      <c r="L136" s="157" t="e">
        <f>Produtos!BI136</f>
        <v>#DIV/0!</v>
      </c>
      <c r="M136" s="157" t="e">
        <f>Produtos!BJ136</f>
        <v>#DIV/0!</v>
      </c>
    </row>
    <row r="137" spans="1:13">
      <c r="A137" s="170">
        <f>Produtos!A137</f>
        <v>0</v>
      </c>
      <c r="B137" s="170"/>
      <c r="C137" s="142">
        <f>Produtos!B137</f>
        <v>0</v>
      </c>
      <c r="D137" s="160"/>
      <c r="E137" s="157" t="e">
        <f>Produtos!BD137</f>
        <v>#DIV/0!</v>
      </c>
      <c r="F137" s="159" t="e">
        <f>Produtos!BE137</f>
        <v>#DIV/0!</v>
      </c>
      <c r="G137" s="158" t="e">
        <f>Produtos!BF137</f>
        <v>#DIV/0!</v>
      </c>
      <c r="H137" s="159">
        <f>Produtos!BL137</f>
        <v>0</v>
      </c>
      <c r="I137" s="157" t="e">
        <f>Produtos!BM137</f>
        <v>#DIV/0!</v>
      </c>
      <c r="J137" s="157" t="e">
        <f>Produtos!BG137</f>
        <v>#DIV/0!</v>
      </c>
      <c r="K137" s="157" t="e">
        <f>Produtos!BH137</f>
        <v>#DIV/0!</v>
      </c>
      <c r="L137" s="157" t="e">
        <f>Produtos!BI137</f>
        <v>#DIV/0!</v>
      </c>
      <c r="M137" s="157" t="e">
        <f>Produtos!BJ137</f>
        <v>#DIV/0!</v>
      </c>
    </row>
    <row r="138" spans="1:13">
      <c r="A138" s="170">
        <f>Produtos!A138</f>
        <v>0</v>
      </c>
      <c r="B138" s="170"/>
      <c r="C138" s="142">
        <f>Produtos!B138</f>
        <v>0</v>
      </c>
      <c r="D138" s="160"/>
      <c r="E138" s="157" t="e">
        <f>Produtos!BD138</f>
        <v>#DIV/0!</v>
      </c>
      <c r="F138" s="159" t="e">
        <f>Produtos!BE138</f>
        <v>#DIV/0!</v>
      </c>
      <c r="G138" s="158" t="e">
        <f>Produtos!BF138</f>
        <v>#DIV/0!</v>
      </c>
      <c r="H138" s="159">
        <f>Produtos!BL138</f>
        <v>0</v>
      </c>
      <c r="I138" s="157" t="e">
        <f>Produtos!BM138</f>
        <v>#DIV/0!</v>
      </c>
      <c r="J138" s="157" t="e">
        <f>Produtos!BG138</f>
        <v>#DIV/0!</v>
      </c>
      <c r="K138" s="157" t="e">
        <f>Produtos!BH138</f>
        <v>#DIV/0!</v>
      </c>
      <c r="L138" s="157" t="e">
        <f>Produtos!BI138</f>
        <v>#DIV/0!</v>
      </c>
      <c r="M138" s="157" t="e">
        <f>Produtos!BJ138</f>
        <v>#DIV/0!</v>
      </c>
    </row>
    <row r="139" spans="1:13">
      <c r="A139" s="170">
        <f>Produtos!A139</f>
        <v>0</v>
      </c>
      <c r="B139" s="170"/>
      <c r="C139" s="142">
        <f>Produtos!B139</f>
        <v>0</v>
      </c>
      <c r="D139" s="160"/>
      <c r="E139" s="157" t="e">
        <f>Produtos!BD139</f>
        <v>#DIV/0!</v>
      </c>
      <c r="F139" s="159" t="e">
        <f>Produtos!BE139</f>
        <v>#DIV/0!</v>
      </c>
      <c r="G139" s="158" t="e">
        <f>Produtos!BF139</f>
        <v>#DIV/0!</v>
      </c>
      <c r="H139" s="159">
        <f>Produtos!BL139</f>
        <v>0</v>
      </c>
      <c r="I139" s="157" t="e">
        <f>Produtos!BM139</f>
        <v>#DIV/0!</v>
      </c>
      <c r="J139" s="157" t="e">
        <f>Produtos!BG139</f>
        <v>#DIV/0!</v>
      </c>
      <c r="K139" s="157" t="e">
        <f>Produtos!BH139</f>
        <v>#DIV/0!</v>
      </c>
      <c r="L139" s="157" t="e">
        <f>Produtos!BI139</f>
        <v>#DIV/0!</v>
      </c>
      <c r="M139" s="157" t="e">
        <f>Produtos!BJ139</f>
        <v>#DIV/0!</v>
      </c>
    </row>
    <row r="140" spans="1:13">
      <c r="A140" s="170">
        <f>Produtos!A140</f>
        <v>0</v>
      </c>
      <c r="B140" s="170"/>
      <c r="C140" s="142">
        <f>Produtos!B140</f>
        <v>0</v>
      </c>
      <c r="D140" s="160"/>
      <c r="E140" s="157" t="e">
        <f>Produtos!BD140</f>
        <v>#DIV/0!</v>
      </c>
      <c r="F140" s="159" t="e">
        <f>Produtos!BE140</f>
        <v>#DIV/0!</v>
      </c>
      <c r="G140" s="158" t="e">
        <f>Produtos!BF140</f>
        <v>#DIV/0!</v>
      </c>
      <c r="H140" s="159">
        <f>Produtos!BL140</f>
        <v>0</v>
      </c>
      <c r="I140" s="157" t="e">
        <f>Produtos!BM140</f>
        <v>#DIV/0!</v>
      </c>
      <c r="J140" s="157" t="e">
        <f>Produtos!BG140</f>
        <v>#DIV/0!</v>
      </c>
      <c r="K140" s="157" t="e">
        <f>Produtos!BH140</f>
        <v>#DIV/0!</v>
      </c>
      <c r="L140" s="157" t="e">
        <f>Produtos!BI140</f>
        <v>#DIV/0!</v>
      </c>
      <c r="M140" s="157" t="e">
        <f>Produtos!BJ140</f>
        <v>#DIV/0!</v>
      </c>
    </row>
    <row r="141" spans="1:13">
      <c r="A141" s="170">
        <f>Produtos!A141</f>
        <v>0</v>
      </c>
      <c r="B141" s="170"/>
      <c r="C141" s="142">
        <f>Produtos!B141</f>
        <v>0</v>
      </c>
      <c r="D141" s="160"/>
      <c r="E141" s="157" t="e">
        <f>Produtos!BD141</f>
        <v>#DIV/0!</v>
      </c>
      <c r="F141" s="159" t="e">
        <f>Produtos!BE141</f>
        <v>#DIV/0!</v>
      </c>
      <c r="G141" s="158" t="e">
        <f>Produtos!BF141</f>
        <v>#DIV/0!</v>
      </c>
      <c r="H141" s="159">
        <f>Produtos!BL141</f>
        <v>0</v>
      </c>
      <c r="I141" s="157" t="e">
        <f>Produtos!BM141</f>
        <v>#DIV/0!</v>
      </c>
      <c r="J141" s="157" t="e">
        <f>Produtos!BG141</f>
        <v>#DIV/0!</v>
      </c>
      <c r="K141" s="157" t="e">
        <f>Produtos!BH141</f>
        <v>#DIV/0!</v>
      </c>
      <c r="L141" s="157" t="e">
        <f>Produtos!BI141</f>
        <v>#DIV/0!</v>
      </c>
      <c r="M141" s="157" t="e">
        <f>Produtos!BJ141</f>
        <v>#DIV/0!</v>
      </c>
    </row>
    <row r="142" spans="1:13">
      <c r="A142" s="170">
        <f>Produtos!A142</f>
        <v>0</v>
      </c>
      <c r="B142" s="170"/>
      <c r="C142" s="142">
        <f>Produtos!B142</f>
        <v>0</v>
      </c>
      <c r="D142" s="160"/>
      <c r="E142" s="157" t="e">
        <f>Produtos!BD142</f>
        <v>#DIV/0!</v>
      </c>
      <c r="F142" s="159" t="e">
        <f>Produtos!BE142</f>
        <v>#DIV/0!</v>
      </c>
      <c r="G142" s="158" t="e">
        <f>Produtos!BF142</f>
        <v>#DIV/0!</v>
      </c>
      <c r="H142" s="159">
        <f>Produtos!BL142</f>
        <v>0</v>
      </c>
      <c r="I142" s="157" t="e">
        <f>Produtos!BM142</f>
        <v>#DIV/0!</v>
      </c>
      <c r="J142" s="157" t="e">
        <f>Produtos!BG142</f>
        <v>#DIV/0!</v>
      </c>
      <c r="K142" s="157" t="e">
        <f>Produtos!BH142</f>
        <v>#DIV/0!</v>
      </c>
      <c r="L142" s="157" t="e">
        <f>Produtos!BI142</f>
        <v>#DIV/0!</v>
      </c>
      <c r="M142" s="157" t="e">
        <f>Produtos!BJ142</f>
        <v>#DIV/0!</v>
      </c>
    </row>
    <row r="143" spans="1:13">
      <c r="A143" s="170">
        <f>Produtos!A143</f>
        <v>0</v>
      </c>
      <c r="B143" s="170"/>
      <c r="C143" s="142">
        <f>Produtos!B143</f>
        <v>0</v>
      </c>
      <c r="D143" s="160"/>
      <c r="E143" s="157" t="e">
        <f>Produtos!BD143</f>
        <v>#DIV/0!</v>
      </c>
      <c r="F143" s="159" t="e">
        <f>Produtos!BE143</f>
        <v>#DIV/0!</v>
      </c>
      <c r="G143" s="158" t="e">
        <f>Produtos!BF143</f>
        <v>#DIV/0!</v>
      </c>
      <c r="H143" s="159">
        <f>Produtos!BL143</f>
        <v>0</v>
      </c>
      <c r="I143" s="157" t="e">
        <f>Produtos!BM143</f>
        <v>#DIV/0!</v>
      </c>
      <c r="J143" s="157" t="e">
        <f>Produtos!BG143</f>
        <v>#DIV/0!</v>
      </c>
      <c r="K143" s="157" t="e">
        <f>Produtos!BH143</f>
        <v>#DIV/0!</v>
      </c>
      <c r="L143" s="157" t="e">
        <f>Produtos!BI143</f>
        <v>#DIV/0!</v>
      </c>
      <c r="M143" s="157" t="e">
        <f>Produtos!BJ143</f>
        <v>#DIV/0!</v>
      </c>
    </row>
    <row r="144" spans="1:13">
      <c r="A144" s="170">
        <f>Produtos!A144</f>
        <v>0</v>
      </c>
      <c r="B144" s="170"/>
      <c r="C144" s="142">
        <f>Produtos!B144</f>
        <v>0</v>
      </c>
      <c r="D144" s="160"/>
      <c r="E144" s="157" t="e">
        <f>Produtos!BD144</f>
        <v>#DIV/0!</v>
      </c>
      <c r="F144" s="159" t="e">
        <f>Produtos!BE144</f>
        <v>#DIV/0!</v>
      </c>
      <c r="G144" s="158" t="e">
        <f>Produtos!BF144</f>
        <v>#DIV/0!</v>
      </c>
      <c r="H144" s="159">
        <f>Produtos!BL144</f>
        <v>0</v>
      </c>
      <c r="I144" s="157" t="e">
        <f>Produtos!BM144</f>
        <v>#DIV/0!</v>
      </c>
      <c r="J144" s="157" t="e">
        <f>Produtos!BG144</f>
        <v>#DIV/0!</v>
      </c>
      <c r="K144" s="157" t="e">
        <f>Produtos!BH144</f>
        <v>#DIV/0!</v>
      </c>
      <c r="L144" s="157" t="e">
        <f>Produtos!BI144</f>
        <v>#DIV/0!</v>
      </c>
      <c r="M144" s="157" t="e">
        <f>Produtos!BJ144</f>
        <v>#DIV/0!</v>
      </c>
    </row>
    <row r="145" spans="1:13">
      <c r="A145" s="170">
        <f>Produtos!A145</f>
        <v>0</v>
      </c>
      <c r="B145" s="170"/>
      <c r="C145" s="142">
        <f>Produtos!B145</f>
        <v>0</v>
      </c>
      <c r="D145" s="160"/>
      <c r="E145" s="157" t="e">
        <f>Produtos!BD145</f>
        <v>#DIV/0!</v>
      </c>
      <c r="F145" s="159" t="e">
        <f>Produtos!BE145</f>
        <v>#DIV/0!</v>
      </c>
      <c r="G145" s="158" t="e">
        <f>Produtos!BF145</f>
        <v>#DIV/0!</v>
      </c>
      <c r="H145" s="159">
        <f>Produtos!BL145</f>
        <v>0</v>
      </c>
      <c r="I145" s="157" t="e">
        <f>Produtos!BM145</f>
        <v>#DIV/0!</v>
      </c>
      <c r="J145" s="157" t="e">
        <f>Produtos!BG145</f>
        <v>#DIV/0!</v>
      </c>
      <c r="K145" s="157" t="e">
        <f>Produtos!BH145</f>
        <v>#DIV/0!</v>
      </c>
      <c r="L145" s="157" t="e">
        <f>Produtos!BI145</f>
        <v>#DIV/0!</v>
      </c>
      <c r="M145" s="157" t="e">
        <f>Produtos!BJ145</f>
        <v>#DIV/0!</v>
      </c>
    </row>
    <row r="146" spans="1:13">
      <c r="A146" s="170">
        <f>Produtos!A146</f>
        <v>0</v>
      </c>
      <c r="B146" s="170"/>
      <c r="C146" s="142">
        <f>Produtos!B146</f>
        <v>0</v>
      </c>
      <c r="D146" s="160"/>
      <c r="E146" s="157" t="e">
        <f>Produtos!BD146</f>
        <v>#DIV/0!</v>
      </c>
      <c r="F146" s="159" t="e">
        <f>Produtos!BE146</f>
        <v>#DIV/0!</v>
      </c>
      <c r="G146" s="158" t="e">
        <f>Produtos!BF146</f>
        <v>#DIV/0!</v>
      </c>
      <c r="H146" s="159">
        <f>Produtos!BL146</f>
        <v>0</v>
      </c>
      <c r="I146" s="157" t="e">
        <f>Produtos!BM146</f>
        <v>#DIV/0!</v>
      </c>
      <c r="J146" s="157" t="e">
        <f>Produtos!BG146</f>
        <v>#DIV/0!</v>
      </c>
      <c r="K146" s="157" t="e">
        <f>Produtos!BH146</f>
        <v>#DIV/0!</v>
      </c>
      <c r="L146" s="157" t="e">
        <f>Produtos!BI146</f>
        <v>#DIV/0!</v>
      </c>
      <c r="M146" s="157" t="e">
        <f>Produtos!BJ146</f>
        <v>#DIV/0!</v>
      </c>
    </row>
    <row r="147" spans="1:13">
      <c r="A147" s="170">
        <f>Produtos!A147</f>
        <v>0</v>
      </c>
      <c r="B147" s="170"/>
      <c r="C147" s="142">
        <f>Produtos!B147</f>
        <v>0</v>
      </c>
      <c r="D147" s="160"/>
      <c r="E147" s="157" t="e">
        <f>Produtos!BD147</f>
        <v>#DIV/0!</v>
      </c>
      <c r="F147" s="159" t="e">
        <f>Produtos!BE147</f>
        <v>#DIV/0!</v>
      </c>
      <c r="G147" s="158" t="e">
        <f>Produtos!BF147</f>
        <v>#DIV/0!</v>
      </c>
      <c r="H147" s="159">
        <f>Produtos!BL147</f>
        <v>0</v>
      </c>
      <c r="I147" s="157" t="e">
        <f>Produtos!BM147</f>
        <v>#DIV/0!</v>
      </c>
      <c r="J147" s="157" t="e">
        <f>Produtos!BG147</f>
        <v>#DIV/0!</v>
      </c>
      <c r="K147" s="157" t="e">
        <f>Produtos!BH147</f>
        <v>#DIV/0!</v>
      </c>
      <c r="L147" s="157" t="e">
        <f>Produtos!BI147</f>
        <v>#DIV/0!</v>
      </c>
      <c r="M147" s="157" t="e">
        <f>Produtos!BJ147</f>
        <v>#DIV/0!</v>
      </c>
    </row>
    <row r="148" spans="1:13">
      <c r="A148" s="170">
        <f>Produtos!A148</f>
        <v>0</v>
      </c>
      <c r="B148" s="170"/>
      <c r="C148" s="142">
        <f>Produtos!B148</f>
        <v>0</v>
      </c>
      <c r="D148" s="160"/>
      <c r="E148" s="157" t="e">
        <f>Produtos!BD148</f>
        <v>#DIV/0!</v>
      </c>
      <c r="F148" s="159" t="e">
        <f>Produtos!BE148</f>
        <v>#DIV/0!</v>
      </c>
      <c r="G148" s="158" t="e">
        <f>Produtos!BF148</f>
        <v>#DIV/0!</v>
      </c>
      <c r="H148" s="159">
        <f>Produtos!BL148</f>
        <v>0</v>
      </c>
      <c r="I148" s="157" t="e">
        <f>Produtos!BM148</f>
        <v>#DIV/0!</v>
      </c>
      <c r="J148" s="157" t="e">
        <f>Produtos!BG148</f>
        <v>#DIV/0!</v>
      </c>
      <c r="K148" s="157" t="e">
        <f>Produtos!BH148</f>
        <v>#DIV/0!</v>
      </c>
      <c r="L148" s="157" t="e">
        <f>Produtos!BI148</f>
        <v>#DIV/0!</v>
      </c>
      <c r="M148" s="157" t="e">
        <f>Produtos!BJ148</f>
        <v>#DIV/0!</v>
      </c>
    </row>
    <row r="149" spans="1:13">
      <c r="A149" s="170">
        <f>Produtos!A149</f>
        <v>0</v>
      </c>
      <c r="B149" s="170"/>
      <c r="C149" s="142">
        <f>Produtos!B149</f>
        <v>0</v>
      </c>
      <c r="D149" s="160"/>
      <c r="E149" s="157" t="e">
        <f>Produtos!BD149</f>
        <v>#DIV/0!</v>
      </c>
      <c r="F149" s="159" t="e">
        <f>Produtos!BE149</f>
        <v>#DIV/0!</v>
      </c>
      <c r="G149" s="158" t="e">
        <f>Produtos!BF149</f>
        <v>#DIV/0!</v>
      </c>
      <c r="H149" s="159">
        <f>Produtos!BL149</f>
        <v>0</v>
      </c>
      <c r="I149" s="157" t="e">
        <f>Produtos!BM149</f>
        <v>#DIV/0!</v>
      </c>
      <c r="J149" s="157" t="e">
        <f>Produtos!BG149</f>
        <v>#DIV/0!</v>
      </c>
      <c r="K149" s="157" t="e">
        <f>Produtos!BH149</f>
        <v>#DIV/0!</v>
      </c>
      <c r="L149" s="157" t="e">
        <f>Produtos!BI149</f>
        <v>#DIV/0!</v>
      </c>
      <c r="M149" s="157" t="e">
        <f>Produtos!BJ149</f>
        <v>#DIV/0!</v>
      </c>
    </row>
    <row r="150" spans="1:13">
      <c r="A150" s="170">
        <f>Produtos!A150</f>
        <v>0</v>
      </c>
      <c r="B150" s="170"/>
      <c r="C150" s="142">
        <f>Produtos!B150</f>
        <v>0</v>
      </c>
      <c r="D150" s="160"/>
      <c r="E150" s="157" t="e">
        <f>Produtos!BD150</f>
        <v>#DIV/0!</v>
      </c>
      <c r="F150" s="159" t="e">
        <f>Produtos!BE150</f>
        <v>#DIV/0!</v>
      </c>
      <c r="G150" s="158" t="e">
        <f>Produtos!BF150</f>
        <v>#DIV/0!</v>
      </c>
      <c r="H150" s="159">
        <f>Produtos!BL150</f>
        <v>0</v>
      </c>
      <c r="I150" s="157" t="e">
        <f>Produtos!BM150</f>
        <v>#DIV/0!</v>
      </c>
      <c r="J150" s="157" t="e">
        <f>Produtos!BG150</f>
        <v>#DIV/0!</v>
      </c>
      <c r="K150" s="157" t="e">
        <f>Produtos!BH150</f>
        <v>#DIV/0!</v>
      </c>
      <c r="L150" s="157" t="e">
        <f>Produtos!BI150</f>
        <v>#DIV/0!</v>
      </c>
      <c r="M150" s="157" t="e">
        <f>Produtos!BJ150</f>
        <v>#DIV/0!</v>
      </c>
    </row>
    <row r="151" spans="1:13">
      <c r="A151" s="170">
        <f>Produtos!A151</f>
        <v>0</v>
      </c>
      <c r="B151" s="170"/>
      <c r="C151" s="142">
        <f>Produtos!B151</f>
        <v>0</v>
      </c>
      <c r="D151" s="160"/>
      <c r="E151" s="157" t="e">
        <f>Produtos!BD151</f>
        <v>#DIV/0!</v>
      </c>
      <c r="F151" s="159" t="e">
        <f>Produtos!BE151</f>
        <v>#DIV/0!</v>
      </c>
      <c r="G151" s="158" t="e">
        <f>Produtos!BF151</f>
        <v>#DIV/0!</v>
      </c>
      <c r="H151" s="159">
        <f>Produtos!BL151</f>
        <v>0</v>
      </c>
      <c r="I151" s="157" t="e">
        <f>Produtos!BM151</f>
        <v>#DIV/0!</v>
      </c>
      <c r="J151" s="157" t="e">
        <f>Produtos!BG151</f>
        <v>#DIV/0!</v>
      </c>
      <c r="K151" s="157" t="e">
        <f>Produtos!BH151</f>
        <v>#DIV/0!</v>
      </c>
      <c r="L151" s="157" t="e">
        <f>Produtos!BI151</f>
        <v>#DIV/0!</v>
      </c>
      <c r="M151" s="157" t="e">
        <f>Produtos!BJ151</f>
        <v>#DIV/0!</v>
      </c>
    </row>
    <row r="152" spans="1:13">
      <c r="A152" s="170">
        <f>Produtos!A152</f>
        <v>0</v>
      </c>
      <c r="B152" s="170"/>
      <c r="C152" s="142">
        <f>Produtos!B152</f>
        <v>0</v>
      </c>
      <c r="D152" s="160"/>
      <c r="E152" s="157" t="e">
        <f>Produtos!BD152</f>
        <v>#DIV/0!</v>
      </c>
      <c r="F152" s="159" t="e">
        <f>Produtos!BE152</f>
        <v>#DIV/0!</v>
      </c>
      <c r="G152" s="158" t="e">
        <f>Produtos!BF152</f>
        <v>#DIV/0!</v>
      </c>
      <c r="H152" s="159">
        <f>Produtos!BL152</f>
        <v>0</v>
      </c>
      <c r="I152" s="157" t="e">
        <f>Produtos!BM152</f>
        <v>#DIV/0!</v>
      </c>
      <c r="J152" s="157" t="e">
        <f>Produtos!BG152</f>
        <v>#DIV/0!</v>
      </c>
      <c r="K152" s="157" t="e">
        <f>Produtos!BH152</f>
        <v>#DIV/0!</v>
      </c>
      <c r="L152" s="157" t="e">
        <f>Produtos!BI152</f>
        <v>#DIV/0!</v>
      </c>
      <c r="M152" s="157" t="e">
        <f>Produtos!BJ152</f>
        <v>#DIV/0!</v>
      </c>
    </row>
    <row r="153" spans="1:13">
      <c r="A153" s="170">
        <f>Produtos!A153</f>
        <v>0</v>
      </c>
      <c r="B153" s="170"/>
      <c r="C153" s="142">
        <f>Produtos!B153</f>
        <v>0</v>
      </c>
      <c r="D153" s="160"/>
      <c r="E153" s="157" t="e">
        <f>Produtos!BD153</f>
        <v>#DIV/0!</v>
      </c>
      <c r="F153" s="159" t="e">
        <f>Produtos!BE153</f>
        <v>#DIV/0!</v>
      </c>
      <c r="G153" s="158" t="e">
        <f>Produtos!BF153</f>
        <v>#DIV/0!</v>
      </c>
      <c r="H153" s="159">
        <f>Produtos!BL153</f>
        <v>0</v>
      </c>
      <c r="I153" s="157" t="e">
        <f>Produtos!BM153</f>
        <v>#DIV/0!</v>
      </c>
      <c r="J153" s="157" t="e">
        <f>Produtos!BG153</f>
        <v>#DIV/0!</v>
      </c>
      <c r="K153" s="157" t="e">
        <f>Produtos!BH153</f>
        <v>#DIV/0!</v>
      </c>
      <c r="L153" s="157" t="e">
        <f>Produtos!BI153</f>
        <v>#DIV/0!</v>
      </c>
      <c r="M153" s="157" t="e">
        <f>Produtos!BJ153</f>
        <v>#DIV/0!</v>
      </c>
    </row>
    <row r="154" spans="1:13">
      <c r="A154" s="170">
        <f>Produtos!A154</f>
        <v>0</v>
      </c>
      <c r="B154" s="170"/>
      <c r="C154" s="142">
        <f>Produtos!B154</f>
        <v>0</v>
      </c>
      <c r="D154" s="160"/>
      <c r="E154" s="157" t="e">
        <f>Produtos!BD154</f>
        <v>#DIV/0!</v>
      </c>
      <c r="F154" s="159" t="e">
        <f>Produtos!BE154</f>
        <v>#DIV/0!</v>
      </c>
      <c r="G154" s="158" t="e">
        <f>Produtos!BF154</f>
        <v>#DIV/0!</v>
      </c>
      <c r="H154" s="159">
        <f>Produtos!BL154</f>
        <v>0</v>
      </c>
      <c r="I154" s="157" t="e">
        <f>Produtos!BM154</f>
        <v>#DIV/0!</v>
      </c>
      <c r="J154" s="157" t="e">
        <f>Produtos!BG154</f>
        <v>#DIV/0!</v>
      </c>
      <c r="K154" s="157" t="e">
        <f>Produtos!BH154</f>
        <v>#DIV/0!</v>
      </c>
      <c r="L154" s="157" t="e">
        <f>Produtos!BI154</f>
        <v>#DIV/0!</v>
      </c>
      <c r="M154" s="157" t="e">
        <f>Produtos!BJ154</f>
        <v>#DIV/0!</v>
      </c>
    </row>
    <row r="155" spans="1:13">
      <c r="A155" s="170">
        <f>Produtos!A155</f>
        <v>0</v>
      </c>
      <c r="B155" s="170"/>
      <c r="C155" s="142">
        <f>Produtos!B155</f>
        <v>0</v>
      </c>
      <c r="D155" s="160"/>
      <c r="E155" s="157" t="e">
        <f>Produtos!BD155</f>
        <v>#DIV/0!</v>
      </c>
      <c r="F155" s="159" t="e">
        <f>Produtos!BE155</f>
        <v>#DIV/0!</v>
      </c>
      <c r="G155" s="158" t="e">
        <f>Produtos!BF155</f>
        <v>#DIV/0!</v>
      </c>
      <c r="H155" s="159">
        <f>Produtos!BL155</f>
        <v>0</v>
      </c>
      <c r="I155" s="157" t="e">
        <f>Produtos!BM155</f>
        <v>#DIV/0!</v>
      </c>
      <c r="J155" s="157" t="e">
        <f>Produtos!BG155</f>
        <v>#DIV/0!</v>
      </c>
      <c r="K155" s="157" t="e">
        <f>Produtos!BH155</f>
        <v>#DIV/0!</v>
      </c>
      <c r="L155" s="157" t="e">
        <f>Produtos!BI155</f>
        <v>#DIV/0!</v>
      </c>
      <c r="M155" s="157" t="e">
        <f>Produtos!BJ155</f>
        <v>#DIV/0!</v>
      </c>
    </row>
    <row r="156" spans="1:13">
      <c r="A156" s="170">
        <f>Produtos!A156</f>
        <v>0</v>
      </c>
      <c r="B156" s="170"/>
      <c r="C156" s="142">
        <f>Produtos!B156</f>
        <v>0</v>
      </c>
      <c r="D156" s="160"/>
      <c r="E156" s="157" t="e">
        <f>Produtos!BD156</f>
        <v>#DIV/0!</v>
      </c>
      <c r="F156" s="159" t="e">
        <f>Produtos!BE156</f>
        <v>#DIV/0!</v>
      </c>
      <c r="G156" s="158" t="e">
        <f>Produtos!BF156</f>
        <v>#DIV/0!</v>
      </c>
      <c r="H156" s="159">
        <f>Produtos!BL156</f>
        <v>0</v>
      </c>
      <c r="I156" s="157" t="e">
        <f>Produtos!BM156</f>
        <v>#DIV/0!</v>
      </c>
      <c r="J156" s="157" t="e">
        <f>Produtos!BG156</f>
        <v>#DIV/0!</v>
      </c>
      <c r="K156" s="157" t="e">
        <f>Produtos!BH156</f>
        <v>#DIV/0!</v>
      </c>
      <c r="L156" s="157" t="e">
        <f>Produtos!BI156</f>
        <v>#DIV/0!</v>
      </c>
      <c r="M156" s="157" t="e">
        <f>Produtos!BJ156</f>
        <v>#DIV/0!</v>
      </c>
    </row>
    <row r="157" spans="1:13">
      <c r="A157" s="170">
        <f>Produtos!A157</f>
        <v>0</v>
      </c>
      <c r="B157" s="170"/>
      <c r="C157" s="142">
        <f>Produtos!B157</f>
        <v>0</v>
      </c>
      <c r="D157" s="160"/>
      <c r="E157" s="157" t="e">
        <f>Produtos!BD157</f>
        <v>#DIV/0!</v>
      </c>
      <c r="F157" s="159" t="e">
        <f>Produtos!BE157</f>
        <v>#DIV/0!</v>
      </c>
      <c r="G157" s="158" t="e">
        <f>Produtos!BF157</f>
        <v>#DIV/0!</v>
      </c>
      <c r="H157" s="159">
        <f>Produtos!BL157</f>
        <v>0</v>
      </c>
      <c r="I157" s="157" t="e">
        <f>Produtos!BM157</f>
        <v>#DIV/0!</v>
      </c>
      <c r="J157" s="157" t="e">
        <f>Produtos!BG157</f>
        <v>#DIV/0!</v>
      </c>
      <c r="K157" s="157" t="e">
        <f>Produtos!BH157</f>
        <v>#DIV/0!</v>
      </c>
      <c r="L157" s="157" t="e">
        <f>Produtos!BI157</f>
        <v>#DIV/0!</v>
      </c>
      <c r="M157" s="157" t="e">
        <f>Produtos!BJ157</f>
        <v>#DIV/0!</v>
      </c>
    </row>
    <row r="158" spans="1:13">
      <c r="A158" s="170">
        <f>Produtos!A158</f>
        <v>0</v>
      </c>
      <c r="B158" s="170"/>
      <c r="C158" s="142">
        <f>Produtos!B158</f>
        <v>0</v>
      </c>
      <c r="D158" s="160"/>
      <c r="E158" s="157" t="e">
        <f>Produtos!BD158</f>
        <v>#DIV/0!</v>
      </c>
      <c r="F158" s="159" t="e">
        <f>Produtos!BE158</f>
        <v>#DIV/0!</v>
      </c>
      <c r="G158" s="158" t="e">
        <f>Produtos!BF158</f>
        <v>#DIV/0!</v>
      </c>
      <c r="H158" s="159">
        <f>Produtos!BL158</f>
        <v>0</v>
      </c>
      <c r="I158" s="157" t="e">
        <f>Produtos!BM158</f>
        <v>#DIV/0!</v>
      </c>
      <c r="J158" s="157" t="e">
        <f>Produtos!BG158</f>
        <v>#DIV/0!</v>
      </c>
      <c r="K158" s="157" t="e">
        <f>Produtos!BH158</f>
        <v>#DIV/0!</v>
      </c>
      <c r="L158" s="157" t="e">
        <f>Produtos!BI158</f>
        <v>#DIV/0!</v>
      </c>
      <c r="M158" s="157" t="e">
        <f>Produtos!BJ158</f>
        <v>#DIV/0!</v>
      </c>
    </row>
    <row r="159" spans="1:13">
      <c r="A159" s="170">
        <f>Produtos!A159</f>
        <v>0</v>
      </c>
      <c r="B159" s="170"/>
      <c r="C159" s="142">
        <f>Produtos!B159</f>
        <v>0</v>
      </c>
      <c r="D159" s="160"/>
      <c r="E159" s="157" t="e">
        <f>Produtos!BD159</f>
        <v>#DIV/0!</v>
      </c>
      <c r="F159" s="159" t="e">
        <f>Produtos!BE159</f>
        <v>#DIV/0!</v>
      </c>
      <c r="G159" s="158" t="e">
        <f>Produtos!BF159</f>
        <v>#DIV/0!</v>
      </c>
      <c r="H159" s="159">
        <f>Produtos!BL159</f>
        <v>0</v>
      </c>
      <c r="I159" s="157" t="e">
        <f>Produtos!BM159</f>
        <v>#DIV/0!</v>
      </c>
      <c r="J159" s="157" t="e">
        <f>Produtos!BG159</f>
        <v>#DIV/0!</v>
      </c>
      <c r="K159" s="157" t="e">
        <f>Produtos!BH159</f>
        <v>#DIV/0!</v>
      </c>
      <c r="L159" s="157" t="e">
        <f>Produtos!BI159</f>
        <v>#DIV/0!</v>
      </c>
      <c r="M159" s="157" t="e">
        <f>Produtos!BJ159</f>
        <v>#DIV/0!</v>
      </c>
    </row>
    <row r="160" spans="1:13">
      <c r="A160" s="170">
        <f>Produtos!A160</f>
        <v>0</v>
      </c>
      <c r="B160" s="170"/>
      <c r="C160" s="142">
        <f>Produtos!B160</f>
        <v>0</v>
      </c>
      <c r="D160" s="160"/>
      <c r="E160" s="157" t="e">
        <f>Produtos!BD160</f>
        <v>#DIV/0!</v>
      </c>
      <c r="F160" s="159" t="e">
        <f>Produtos!BE160</f>
        <v>#DIV/0!</v>
      </c>
      <c r="G160" s="158" t="e">
        <f>Produtos!BF160</f>
        <v>#DIV/0!</v>
      </c>
      <c r="H160" s="159">
        <f>Produtos!BL160</f>
        <v>0</v>
      </c>
      <c r="I160" s="157" t="e">
        <f>Produtos!BM160</f>
        <v>#DIV/0!</v>
      </c>
      <c r="J160" s="157" t="e">
        <f>Produtos!BG160</f>
        <v>#DIV/0!</v>
      </c>
      <c r="K160" s="157" t="e">
        <f>Produtos!BH160</f>
        <v>#DIV/0!</v>
      </c>
      <c r="L160" s="157" t="e">
        <f>Produtos!BI160</f>
        <v>#DIV/0!</v>
      </c>
      <c r="M160" s="157" t="e">
        <f>Produtos!BJ160</f>
        <v>#DIV/0!</v>
      </c>
    </row>
    <row r="161" spans="1:13">
      <c r="A161" s="170">
        <f>Produtos!A161</f>
        <v>0</v>
      </c>
      <c r="B161" s="170"/>
      <c r="C161" s="142">
        <f>Produtos!B161</f>
        <v>0</v>
      </c>
      <c r="D161" s="160"/>
      <c r="E161" s="157" t="e">
        <f>Produtos!BD161</f>
        <v>#DIV/0!</v>
      </c>
      <c r="F161" s="159" t="e">
        <f>Produtos!BE161</f>
        <v>#DIV/0!</v>
      </c>
      <c r="G161" s="158" t="e">
        <f>Produtos!BF161</f>
        <v>#DIV/0!</v>
      </c>
      <c r="H161" s="159">
        <f>Produtos!BL161</f>
        <v>0</v>
      </c>
      <c r="I161" s="157" t="e">
        <f>Produtos!BM161</f>
        <v>#DIV/0!</v>
      </c>
      <c r="J161" s="157" t="e">
        <f>Produtos!BG161</f>
        <v>#DIV/0!</v>
      </c>
      <c r="K161" s="157" t="e">
        <f>Produtos!BH161</f>
        <v>#DIV/0!</v>
      </c>
      <c r="L161" s="157" t="e">
        <f>Produtos!BI161</f>
        <v>#DIV/0!</v>
      </c>
      <c r="M161" s="157" t="e">
        <f>Produtos!BJ161</f>
        <v>#DIV/0!</v>
      </c>
    </row>
    <row r="162" spans="1:13">
      <c r="A162" s="170">
        <f>Produtos!A162</f>
        <v>0</v>
      </c>
      <c r="B162" s="170"/>
      <c r="C162" s="142">
        <f>Produtos!B162</f>
        <v>0</v>
      </c>
      <c r="D162" s="160"/>
      <c r="E162" s="157" t="e">
        <f>Produtos!BD162</f>
        <v>#DIV/0!</v>
      </c>
      <c r="F162" s="159" t="e">
        <f>Produtos!BE162</f>
        <v>#DIV/0!</v>
      </c>
      <c r="G162" s="158" t="e">
        <f>Produtos!BF162</f>
        <v>#DIV/0!</v>
      </c>
      <c r="H162" s="159">
        <f>Produtos!BL162</f>
        <v>0</v>
      </c>
      <c r="I162" s="157" t="e">
        <f>Produtos!BM162</f>
        <v>#DIV/0!</v>
      </c>
      <c r="J162" s="157" t="e">
        <f>Produtos!BG162</f>
        <v>#DIV/0!</v>
      </c>
      <c r="K162" s="157" t="e">
        <f>Produtos!BH162</f>
        <v>#DIV/0!</v>
      </c>
      <c r="L162" s="157" t="e">
        <f>Produtos!BI162</f>
        <v>#DIV/0!</v>
      </c>
      <c r="M162" s="157" t="e">
        <f>Produtos!BJ162</f>
        <v>#DIV/0!</v>
      </c>
    </row>
    <row r="163" spans="1:13">
      <c r="A163" s="170">
        <f>Produtos!A163</f>
        <v>0</v>
      </c>
      <c r="B163" s="170"/>
      <c r="C163" s="142">
        <f>Produtos!B163</f>
        <v>0</v>
      </c>
      <c r="D163" s="160"/>
      <c r="E163" s="157" t="e">
        <f>Produtos!BD163</f>
        <v>#DIV/0!</v>
      </c>
      <c r="F163" s="159" t="e">
        <f>Produtos!BE163</f>
        <v>#DIV/0!</v>
      </c>
      <c r="G163" s="158" t="e">
        <f>Produtos!BF163</f>
        <v>#DIV/0!</v>
      </c>
      <c r="H163" s="159">
        <f>Produtos!BL163</f>
        <v>0</v>
      </c>
      <c r="I163" s="157" t="e">
        <f>Produtos!BM163</f>
        <v>#DIV/0!</v>
      </c>
      <c r="J163" s="157" t="e">
        <f>Produtos!BG163</f>
        <v>#DIV/0!</v>
      </c>
      <c r="K163" s="157" t="e">
        <f>Produtos!BH163</f>
        <v>#DIV/0!</v>
      </c>
      <c r="L163" s="157" t="e">
        <f>Produtos!BI163</f>
        <v>#DIV/0!</v>
      </c>
      <c r="M163" s="157" t="e">
        <f>Produtos!BJ163</f>
        <v>#DIV/0!</v>
      </c>
    </row>
    <row r="164" spans="1:13">
      <c r="A164" s="170">
        <f>Produtos!A164</f>
        <v>0</v>
      </c>
      <c r="B164" s="170"/>
      <c r="C164" s="142">
        <f>Produtos!B164</f>
        <v>0</v>
      </c>
      <c r="D164" s="160"/>
      <c r="E164" s="157" t="e">
        <f>Produtos!BD164</f>
        <v>#DIV/0!</v>
      </c>
      <c r="F164" s="159" t="e">
        <f>Produtos!BE164</f>
        <v>#DIV/0!</v>
      </c>
      <c r="G164" s="158" t="e">
        <f>Produtos!BF164</f>
        <v>#DIV/0!</v>
      </c>
      <c r="H164" s="159">
        <f>Produtos!BL164</f>
        <v>0</v>
      </c>
      <c r="I164" s="157" t="e">
        <f>Produtos!BM164</f>
        <v>#DIV/0!</v>
      </c>
      <c r="J164" s="157" t="e">
        <f>Produtos!BG164</f>
        <v>#DIV/0!</v>
      </c>
      <c r="K164" s="157" t="e">
        <f>Produtos!BH164</f>
        <v>#DIV/0!</v>
      </c>
      <c r="L164" s="157" t="e">
        <f>Produtos!BI164</f>
        <v>#DIV/0!</v>
      </c>
      <c r="M164" s="157" t="e">
        <f>Produtos!BJ164</f>
        <v>#DIV/0!</v>
      </c>
    </row>
    <row r="165" spans="1:13">
      <c r="A165" s="170">
        <f>Produtos!A165</f>
        <v>0</v>
      </c>
      <c r="B165" s="170"/>
      <c r="C165" s="142">
        <f>Produtos!B165</f>
        <v>0</v>
      </c>
      <c r="D165" s="160"/>
      <c r="E165" s="157" t="e">
        <f>Produtos!BD165</f>
        <v>#DIV/0!</v>
      </c>
      <c r="F165" s="159" t="e">
        <f>Produtos!BE165</f>
        <v>#DIV/0!</v>
      </c>
      <c r="G165" s="158" t="e">
        <f>Produtos!BF165</f>
        <v>#DIV/0!</v>
      </c>
      <c r="H165" s="159">
        <f>Produtos!BL165</f>
        <v>0</v>
      </c>
      <c r="I165" s="157" t="e">
        <f>Produtos!BM165</f>
        <v>#DIV/0!</v>
      </c>
      <c r="J165" s="157" t="e">
        <f>Produtos!BG165</f>
        <v>#DIV/0!</v>
      </c>
      <c r="K165" s="157" t="e">
        <f>Produtos!BH165</f>
        <v>#DIV/0!</v>
      </c>
      <c r="L165" s="157" t="e">
        <f>Produtos!BI165</f>
        <v>#DIV/0!</v>
      </c>
      <c r="M165" s="157" t="e">
        <f>Produtos!BJ165</f>
        <v>#DIV/0!</v>
      </c>
    </row>
    <row r="166" spans="1:13">
      <c r="A166" s="170">
        <f>Produtos!A166</f>
        <v>0</v>
      </c>
      <c r="B166" s="170"/>
      <c r="C166" s="142">
        <f>Produtos!B166</f>
        <v>0</v>
      </c>
      <c r="D166" s="160"/>
      <c r="E166" s="157" t="e">
        <f>Produtos!BD166</f>
        <v>#DIV/0!</v>
      </c>
      <c r="F166" s="159" t="e">
        <f>Produtos!BE166</f>
        <v>#DIV/0!</v>
      </c>
      <c r="G166" s="158" t="e">
        <f>Produtos!BF166</f>
        <v>#DIV/0!</v>
      </c>
      <c r="H166" s="159">
        <f>Produtos!BL166</f>
        <v>0</v>
      </c>
      <c r="I166" s="157" t="e">
        <f>Produtos!BM166</f>
        <v>#DIV/0!</v>
      </c>
      <c r="J166" s="157" t="e">
        <f>Produtos!BG166</f>
        <v>#DIV/0!</v>
      </c>
      <c r="K166" s="157" t="e">
        <f>Produtos!BH166</f>
        <v>#DIV/0!</v>
      </c>
      <c r="L166" s="157" t="e">
        <f>Produtos!BI166</f>
        <v>#DIV/0!</v>
      </c>
      <c r="M166" s="157" t="e">
        <f>Produtos!BJ166</f>
        <v>#DIV/0!</v>
      </c>
    </row>
    <row r="167" spans="1:13">
      <c r="A167" s="170">
        <f>Produtos!A167</f>
        <v>0</v>
      </c>
      <c r="B167" s="170"/>
      <c r="C167" s="142">
        <f>Produtos!B167</f>
        <v>0</v>
      </c>
      <c r="D167" s="160"/>
      <c r="E167" s="157" t="e">
        <f>Produtos!BD167</f>
        <v>#DIV/0!</v>
      </c>
      <c r="F167" s="159" t="e">
        <f>Produtos!BE167</f>
        <v>#DIV/0!</v>
      </c>
      <c r="G167" s="158" t="e">
        <f>Produtos!BF167</f>
        <v>#DIV/0!</v>
      </c>
      <c r="H167" s="159">
        <f>Produtos!BL167</f>
        <v>0</v>
      </c>
      <c r="I167" s="157" t="e">
        <f>Produtos!BM167</f>
        <v>#DIV/0!</v>
      </c>
      <c r="J167" s="157" t="e">
        <f>Produtos!BG167</f>
        <v>#DIV/0!</v>
      </c>
      <c r="K167" s="157" t="e">
        <f>Produtos!BH167</f>
        <v>#DIV/0!</v>
      </c>
      <c r="L167" s="157" t="e">
        <f>Produtos!BI167</f>
        <v>#DIV/0!</v>
      </c>
      <c r="M167" s="157" t="e">
        <f>Produtos!BJ167</f>
        <v>#DIV/0!</v>
      </c>
    </row>
    <row r="168" spans="1:13">
      <c r="A168" s="170">
        <f>Produtos!A168</f>
        <v>0</v>
      </c>
      <c r="B168" s="170"/>
      <c r="C168" s="142">
        <f>Produtos!B168</f>
        <v>0</v>
      </c>
      <c r="D168" s="160"/>
      <c r="E168" s="157" t="e">
        <f>Produtos!BD168</f>
        <v>#DIV/0!</v>
      </c>
      <c r="F168" s="159" t="e">
        <f>Produtos!BE168</f>
        <v>#DIV/0!</v>
      </c>
      <c r="G168" s="158" t="e">
        <f>Produtos!BF168</f>
        <v>#DIV/0!</v>
      </c>
      <c r="H168" s="159">
        <f>Produtos!BL168</f>
        <v>0</v>
      </c>
      <c r="I168" s="157" t="e">
        <f>Produtos!BM168</f>
        <v>#DIV/0!</v>
      </c>
      <c r="J168" s="157" t="e">
        <f>Produtos!BG168</f>
        <v>#DIV/0!</v>
      </c>
      <c r="K168" s="157" t="e">
        <f>Produtos!BH168</f>
        <v>#DIV/0!</v>
      </c>
      <c r="L168" s="157" t="e">
        <f>Produtos!BI168</f>
        <v>#DIV/0!</v>
      </c>
      <c r="M168" s="157" t="e">
        <f>Produtos!BJ168</f>
        <v>#DIV/0!</v>
      </c>
    </row>
    <row r="169" spans="1:13">
      <c r="A169" s="170">
        <f>Produtos!A169</f>
        <v>0</v>
      </c>
      <c r="B169" s="170"/>
      <c r="C169" s="142">
        <f>Produtos!B169</f>
        <v>0</v>
      </c>
      <c r="D169" s="160"/>
      <c r="E169" s="157" t="e">
        <f>Produtos!BD169</f>
        <v>#DIV/0!</v>
      </c>
      <c r="F169" s="159" t="e">
        <f>Produtos!BE169</f>
        <v>#DIV/0!</v>
      </c>
      <c r="G169" s="158" t="e">
        <f>Produtos!BF169</f>
        <v>#DIV/0!</v>
      </c>
      <c r="H169" s="159">
        <f>Produtos!BL169</f>
        <v>0</v>
      </c>
      <c r="I169" s="157" t="e">
        <f>Produtos!BM169</f>
        <v>#DIV/0!</v>
      </c>
      <c r="J169" s="157" t="e">
        <f>Produtos!BG169</f>
        <v>#DIV/0!</v>
      </c>
      <c r="K169" s="157" t="e">
        <f>Produtos!BH169</f>
        <v>#DIV/0!</v>
      </c>
      <c r="L169" s="157" t="e">
        <f>Produtos!BI169</f>
        <v>#DIV/0!</v>
      </c>
      <c r="M169" s="157" t="e">
        <f>Produtos!BJ169</f>
        <v>#DIV/0!</v>
      </c>
    </row>
    <row r="170" spans="1:13">
      <c r="A170" s="170">
        <f>Produtos!A170</f>
        <v>0</v>
      </c>
      <c r="B170" s="170"/>
      <c r="C170" s="142">
        <f>Produtos!B170</f>
        <v>0</v>
      </c>
      <c r="D170" s="160"/>
      <c r="E170" s="157" t="e">
        <f>Produtos!BD170</f>
        <v>#DIV/0!</v>
      </c>
      <c r="F170" s="159" t="e">
        <f>Produtos!BE170</f>
        <v>#DIV/0!</v>
      </c>
      <c r="G170" s="158" t="e">
        <f>Produtos!BF170</f>
        <v>#DIV/0!</v>
      </c>
      <c r="H170" s="159">
        <f>Produtos!BL170</f>
        <v>0</v>
      </c>
      <c r="I170" s="157" t="e">
        <f>Produtos!BM170</f>
        <v>#DIV/0!</v>
      </c>
      <c r="J170" s="157" t="e">
        <f>Produtos!BG170</f>
        <v>#DIV/0!</v>
      </c>
      <c r="K170" s="157" t="e">
        <f>Produtos!BH170</f>
        <v>#DIV/0!</v>
      </c>
      <c r="L170" s="157" t="e">
        <f>Produtos!BI170</f>
        <v>#DIV/0!</v>
      </c>
      <c r="M170" s="157" t="e">
        <f>Produtos!BJ170</f>
        <v>#DIV/0!</v>
      </c>
    </row>
    <row r="171" spans="1:13">
      <c r="A171" s="170">
        <f>Produtos!A171</f>
        <v>0</v>
      </c>
      <c r="B171" s="170"/>
      <c r="C171" s="142">
        <f>Produtos!B171</f>
        <v>0</v>
      </c>
      <c r="D171" s="160"/>
      <c r="E171" s="157" t="e">
        <f>Produtos!BD171</f>
        <v>#DIV/0!</v>
      </c>
      <c r="F171" s="159" t="e">
        <f>Produtos!BE171</f>
        <v>#DIV/0!</v>
      </c>
      <c r="G171" s="158" t="e">
        <f>Produtos!BF171</f>
        <v>#DIV/0!</v>
      </c>
      <c r="H171" s="159">
        <f>Produtos!BL171</f>
        <v>0</v>
      </c>
      <c r="I171" s="157" t="e">
        <f>Produtos!BM171</f>
        <v>#DIV/0!</v>
      </c>
      <c r="J171" s="157" t="e">
        <f>Produtos!BG171</f>
        <v>#DIV/0!</v>
      </c>
      <c r="K171" s="157" t="e">
        <f>Produtos!BH171</f>
        <v>#DIV/0!</v>
      </c>
      <c r="L171" s="157" t="e">
        <f>Produtos!BI171</f>
        <v>#DIV/0!</v>
      </c>
      <c r="M171" s="157" t="e">
        <f>Produtos!BJ171</f>
        <v>#DIV/0!</v>
      </c>
    </row>
    <row r="172" spans="1:13">
      <c r="A172" s="170">
        <f>Produtos!A172</f>
        <v>0</v>
      </c>
      <c r="B172" s="170"/>
      <c r="C172" s="142">
        <f>Produtos!B172</f>
        <v>0</v>
      </c>
      <c r="D172" s="160"/>
      <c r="E172" s="157" t="e">
        <f>Produtos!BD172</f>
        <v>#DIV/0!</v>
      </c>
      <c r="F172" s="159" t="e">
        <f>Produtos!BE172</f>
        <v>#DIV/0!</v>
      </c>
      <c r="G172" s="158" t="e">
        <f>Produtos!BF172</f>
        <v>#DIV/0!</v>
      </c>
      <c r="H172" s="159">
        <f>Produtos!BL172</f>
        <v>0</v>
      </c>
      <c r="I172" s="157" t="e">
        <f>Produtos!BM172</f>
        <v>#DIV/0!</v>
      </c>
      <c r="J172" s="157" t="e">
        <f>Produtos!BG172</f>
        <v>#DIV/0!</v>
      </c>
      <c r="K172" s="157" t="e">
        <f>Produtos!BH172</f>
        <v>#DIV/0!</v>
      </c>
      <c r="L172" s="157" t="e">
        <f>Produtos!BI172</f>
        <v>#DIV/0!</v>
      </c>
      <c r="M172" s="157" t="e">
        <f>Produtos!BJ172</f>
        <v>#DIV/0!</v>
      </c>
    </row>
    <row r="173" spans="1:13">
      <c r="A173" s="170">
        <f>Produtos!A173</f>
        <v>0</v>
      </c>
      <c r="B173" s="170"/>
      <c r="C173" s="142">
        <f>Produtos!B173</f>
        <v>0</v>
      </c>
      <c r="D173" s="160"/>
      <c r="E173" s="157" t="e">
        <f>Produtos!BD173</f>
        <v>#DIV/0!</v>
      </c>
      <c r="F173" s="159" t="e">
        <f>Produtos!BE173</f>
        <v>#DIV/0!</v>
      </c>
      <c r="G173" s="158" t="e">
        <f>Produtos!BF173</f>
        <v>#DIV/0!</v>
      </c>
      <c r="H173" s="159">
        <f>Produtos!BL173</f>
        <v>0</v>
      </c>
      <c r="I173" s="157" t="e">
        <f>Produtos!BM173</f>
        <v>#DIV/0!</v>
      </c>
      <c r="J173" s="157" t="e">
        <f>Produtos!BG173</f>
        <v>#DIV/0!</v>
      </c>
      <c r="K173" s="157" t="e">
        <f>Produtos!BH173</f>
        <v>#DIV/0!</v>
      </c>
      <c r="L173" s="157" t="e">
        <f>Produtos!BI173</f>
        <v>#DIV/0!</v>
      </c>
      <c r="M173" s="157" t="e">
        <f>Produtos!BJ173</f>
        <v>#DIV/0!</v>
      </c>
    </row>
    <row r="174" spans="1:13">
      <c r="A174" s="170">
        <f>Produtos!A174</f>
        <v>0</v>
      </c>
      <c r="B174" s="170"/>
      <c r="C174" s="142">
        <f>Produtos!B174</f>
        <v>0</v>
      </c>
      <c r="D174" s="160"/>
      <c r="E174" s="157" t="e">
        <f>Produtos!BD174</f>
        <v>#DIV/0!</v>
      </c>
      <c r="F174" s="159" t="e">
        <f>Produtos!BE174</f>
        <v>#DIV/0!</v>
      </c>
      <c r="G174" s="158" t="e">
        <f>Produtos!BF174</f>
        <v>#DIV/0!</v>
      </c>
      <c r="H174" s="159">
        <f>Produtos!BL174</f>
        <v>0</v>
      </c>
      <c r="I174" s="157" t="e">
        <f>Produtos!BM174</f>
        <v>#DIV/0!</v>
      </c>
      <c r="J174" s="157" t="e">
        <f>Produtos!BG174</f>
        <v>#DIV/0!</v>
      </c>
      <c r="K174" s="157" t="e">
        <f>Produtos!BH174</f>
        <v>#DIV/0!</v>
      </c>
      <c r="L174" s="157" t="e">
        <f>Produtos!BI174</f>
        <v>#DIV/0!</v>
      </c>
      <c r="M174" s="157" t="e">
        <f>Produtos!BJ174</f>
        <v>#DIV/0!</v>
      </c>
    </row>
    <row r="175" spans="1:13">
      <c r="A175" s="170">
        <f>Produtos!A175</f>
        <v>0</v>
      </c>
      <c r="B175" s="170"/>
      <c r="C175" s="142">
        <f>Produtos!B175</f>
        <v>0</v>
      </c>
      <c r="D175" s="160"/>
      <c r="E175" s="157" t="e">
        <f>Produtos!BD175</f>
        <v>#DIV/0!</v>
      </c>
      <c r="F175" s="159" t="e">
        <f>Produtos!BE175</f>
        <v>#DIV/0!</v>
      </c>
      <c r="G175" s="158" t="e">
        <f>Produtos!BF175</f>
        <v>#DIV/0!</v>
      </c>
      <c r="H175" s="159">
        <f>Produtos!BL175</f>
        <v>0</v>
      </c>
      <c r="I175" s="157" t="e">
        <f>Produtos!BM175</f>
        <v>#DIV/0!</v>
      </c>
      <c r="J175" s="157" t="e">
        <f>Produtos!BG175</f>
        <v>#DIV/0!</v>
      </c>
      <c r="K175" s="157" t="e">
        <f>Produtos!BH175</f>
        <v>#DIV/0!</v>
      </c>
      <c r="L175" s="157" t="e">
        <f>Produtos!BI175</f>
        <v>#DIV/0!</v>
      </c>
      <c r="M175" s="157" t="e">
        <f>Produtos!BJ175</f>
        <v>#DIV/0!</v>
      </c>
    </row>
    <row r="176" spans="1:13">
      <c r="A176" s="170">
        <f>Produtos!A176</f>
        <v>0</v>
      </c>
      <c r="B176" s="170"/>
      <c r="C176" s="142">
        <f>Produtos!B176</f>
        <v>0</v>
      </c>
      <c r="D176" s="160"/>
      <c r="E176" s="157" t="e">
        <f>Produtos!BD176</f>
        <v>#DIV/0!</v>
      </c>
      <c r="F176" s="159" t="e">
        <f>Produtos!BE176</f>
        <v>#DIV/0!</v>
      </c>
      <c r="G176" s="158" t="e">
        <f>Produtos!BF176</f>
        <v>#DIV/0!</v>
      </c>
      <c r="H176" s="159">
        <f>Produtos!BL176</f>
        <v>0</v>
      </c>
      <c r="I176" s="157" t="e">
        <f>Produtos!BM176</f>
        <v>#DIV/0!</v>
      </c>
      <c r="J176" s="157" t="e">
        <f>Produtos!BG176</f>
        <v>#DIV/0!</v>
      </c>
      <c r="K176" s="157" t="e">
        <f>Produtos!BH176</f>
        <v>#DIV/0!</v>
      </c>
      <c r="L176" s="157" t="e">
        <f>Produtos!BI176</f>
        <v>#DIV/0!</v>
      </c>
      <c r="M176" s="157" t="e">
        <f>Produtos!BJ176</f>
        <v>#DIV/0!</v>
      </c>
    </row>
    <row r="177" spans="1:13">
      <c r="A177" s="170">
        <f>Produtos!A177</f>
        <v>0</v>
      </c>
      <c r="B177" s="170"/>
      <c r="C177" s="142">
        <f>Produtos!B177</f>
        <v>0</v>
      </c>
      <c r="D177" s="160"/>
      <c r="E177" s="157" t="e">
        <f>Produtos!BD177</f>
        <v>#DIV/0!</v>
      </c>
      <c r="F177" s="159" t="e">
        <f>Produtos!BE177</f>
        <v>#DIV/0!</v>
      </c>
      <c r="G177" s="158" t="e">
        <f>Produtos!BF177</f>
        <v>#DIV/0!</v>
      </c>
      <c r="H177" s="159">
        <f>Produtos!BL177</f>
        <v>0</v>
      </c>
      <c r="I177" s="157" t="e">
        <f>Produtos!BM177</f>
        <v>#DIV/0!</v>
      </c>
      <c r="J177" s="157" t="e">
        <f>Produtos!BG177</f>
        <v>#DIV/0!</v>
      </c>
      <c r="K177" s="157" t="e">
        <f>Produtos!BH177</f>
        <v>#DIV/0!</v>
      </c>
      <c r="L177" s="157" t="e">
        <f>Produtos!BI177</f>
        <v>#DIV/0!</v>
      </c>
      <c r="M177" s="157" t="e">
        <f>Produtos!BJ177</f>
        <v>#DIV/0!</v>
      </c>
    </row>
    <row r="178" spans="1:13">
      <c r="A178" s="170">
        <f>Produtos!A178</f>
        <v>0</v>
      </c>
      <c r="B178" s="170"/>
      <c r="C178" s="142">
        <f>Produtos!B178</f>
        <v>0</v>
      </c>
      <c r="D178" s="160"/>
      <c r="E178" s="157" t="e">
        <f>Produtos!BD178</f>
        <v>#DIV/0!</v>
      </c>
      <c r="F178" s="159" t="e">
        <f>Produtos!BE178</f>
        <v>#DIV/0!</v>
      </c>
      <c r="G178" s="158" t="e">
        <f>Produtos!BF178</f>
        <v>#DIV/0!</v>
      </c>
      <c r="H178" s="159">
        <f>Produtos!BL178</f>
        <v>0</v>
      </c>
      <c r="I178" s="157" t="e">
        <f>Produtos!BM178</f>
        <v>#DIV/0!</v>
      </c>
      <c r="J178" s="157" t="e">
        <f>Produtos!BG178</f>
        <v>#DIV/0!</v>
      </c>
      <c r="K178" s="157" t="e">
        <f>Produtos!BH178</f>
        <v>#DIV/0!</v>
      </c>
      <c r="L178" s="157" t="e">
        <f>Produtos!BI178</f>
        <v>#DIV/0!</v>
      </c>
      <c r="M178" s="157" t="e">
        <f>Produtos!BJ178</f>
        <v>#DIV/0!</v>
      </c>
    </row>
    <row r="179" spans="1:13">
      <c r="A179" s="170">
        <f>Produtos!A179</f>
        <v>0</v>
      </c>
      <c r="B179" s="170"/>
      <c r="C179" s="142">
        <f>Produtos!B179</f>
        <v>0</v>
      </c>
      <c r="D179" s="160"/>
      <c r="E179" s="157" t="e">
        <f>Produtos!BD179</f>
        <v>#DIV/0!</v>
      </c>
      <c r="F179" s="159" t="e">
        <f>Produtos!BE179</f>
        <v>#DIV/0!</v>
      </c>
      <c r="G179" s="158" t="e">
        <f>Produtos!BF179</f>
        <v>#DIV/0!</v>
      </c>
      <c r="H179" s="159">
        <f>Produtos!BL179</f>
        <v>0</v>
      </c>
      <c r="I179" s="157" t="e">
        <f>Produtos!BM179</f>
        <v>#DIV/0!</v>
      </c>
      <c r="J179" s="157" t="e">
        <f>Produtos!BG179</f>
        <v>#DIV/0!</v>
      </c>
      <c r="K179" s="157" t="e">
        <f>Produtos!BH179</f>
        <v>#DIV/0!</v>
      </c>
      <c r="L179" s="157" t="e">
        <f>Produtos!BI179</f>
        <v>#DIV/0!</v>
      </c>
      <c r="M179" s="157" t="e">
        <f>Produtos!BJ179</f>
        <v>#DIV/0!</v>
      </c>
    </row>
    <row r="180" spans="1:13">
      <c r="A180" s="170">
        <f>Produtos!A180</f>
        <v>0</v>
      </c>
      <c r="B180" s="170"/>
      <c r="C180" s="142">
        <f>Produtos!B180</f>
        <v>0</v>
      </c>
      <c r="D180" s="160"/>
      <c r="E180" s="157" t="e">
        <f>Produtos!BD180</f>
        <v>#DIV/0!</v>
      </c>
      <c r="F180" s="159" t="e">
        <f>Produtos!BE180</f>
        <v>#DIV/0!</v>
      </c>
      <c r="G180" s="158" t="e">
        <f>Produtos!BF180</f>
        <v>#DIV/0!</v>
      </c>
      <c r="H180" s="159">
        <f>Produtos!BL180</f>
        <v>0</v>
      </c>
      <c r="I180" s="157" t="e">
        <f>Produtos!BM180</f>
        <v>#DIV/0!</v>
      </c>
      <c r="J180" s="157" t="e">
        <f>Produtos!BG180</f>
        <v>#DIV/0!</v>
      </c>
      <c r="K180" s="157" t="e">
        <f>Produtos!BH180</f>
        <v>#DIV/0!</v>
      </c>
      <c r="L180" s="157" t="e">
        <f>Produtos!BI180</f>
        <v>#DIV/0!</v>
      </c>
      <c r="M180" s="157" t="e">
        <f>Produtos!BJ180</f>
        <v>#DIV/0!</v>
      </c>
    </row>
    <row r="181" spans="1:13">
      <c r="A181" s="170">
        <f>Produtos!A181</f>
        <v>0</v>
      </c>
      <c r="B181" s="170"/>
      <c r="C181" s="142">
        <f>Produtos!B181</f>
        <v>0</v>
      </c>
      <c r="D181" s="160"/>
      <c r="E181" s="157" t="e">
        <f>Produtos!BD181</f>
        <v>#DIV/0!</v>
      </c>
      <c r="F181" s="159" t="e">
        <f>Produtos!BE181</f>
        <v>#DIV/0!</v>
      </c>
      <c r="G181" s="158" t="e">
        <f>Produtos!BF181</f>
        <v>#DIV/0!</v>
      </c>
      <c r="H181" s="159">
        <f>Produtos!BL181</f>
        <v>0</v>
      </c>
      <c r="I181" s="157" t="e">
        <f>Produtos!BM181</f>
        <v>#DIV/0!</v>
      </c>
      <c r="J181" s="157" t="e">
        <f>Produtos!BG181</f>
        <v>#DIV/0!</v>
      </c>
      <c r="K181" s="157" t="e">
        <f>Produtos!BH181</f>
        <v>#DIV/0!</v>
      </c>
      <c r="L181" s="157" t="e">
        <f>Produtos!BI181</f>
        <v>#DIV/0!</v>
      </c>
      <c r="M181" s="157" t="e">
        <f>Produtos!BJ181</f>
        <v>#DIV/0!</v>
      </c>
    </row>
    <row r="182" spans="1:13">
      <c r="A182" s="170">
        <f>Produtos!A182</f>
        <v>0</v>
      </c>
      <c r="B182" s="170"/>
      <c r="C182" s="142">
        <f>Produtos!B182</f>
        <v>0</v>
      </c>
      <c r="D182" s="160"/>
      <c r="E182" s="157" t="e">
        <f>Produtos!BD182</f>
        <v>#DIV/0!</v>
      </c>
      <c r="F182" s="159" t="e">
        <f>Produtos!BE182</f>
        <v>#DIV/0!</v>
      </c>
      <c r="G182" s="158" t="e">
        <f>Produtos!BF182</f>
        <v>#DIV/0!</v>
      </c>
      <c r="H182" s="159">
        <f>Produtos!BL182</f>
        <v>0</v>
      </c>
      <c r="I182" s="157" t="e">
        <f>Produtos!BM182</f>
        <v>#DIV/0!</v>
      </c>
      <c r="J182" s="157" t="e">
        <f>Produtos!BG182</f>
        <v>#DIV/0!</v>
      </c>
      <c r="K182" s="157" t="e">
        <f>Produtos!BH182</f>
        <v>#DIV/0!</v>
      </c>
      <c r="L182" s="157" t="e">
        <f>Produtos!BI182</f>
        <v>#DIV/0!</v>
      </c>
      <c r="M182" s="157" t="e">
        <f>Produtos!BJ182</f>
        <v>#DIV/0!</v>
      </c>
    </row>
    <row r="183" spans="1:13">
      <c r="A183" s="170">
        <f>Produtos!A183</f>
        <v>0</v>
      </c>
      <c r="B183" s="170"/>
      <c r="C183" s="142">
        <f>Produtos!B183</f>
        <v>0</v>
      </c>
      <c r="D183" s="160"/>
      <c r="E183" s="157" t="e">
        <f>Produtos!BD183</f>
        <v>#DIV/0!</v>
      </c>
      <c r="F183" s="159" t="e">
        <f>Produtos!BE183</f>
        <v>#DIV/0!</v>
      </c>
      <c r="G183" s="158" t="e">
        <f>Produtos!BF183</f>
        <v>#DIV/0!</v>
      </c>
      <c r="H183" s="159">
        <f>Produtos!BL183</f>
        <v>0</v>
      </c>
      <c r="I183" s="157" t="e">
        <f>Produtos!BM183</f>
        <v>#DIV/0!</v>
      </c>
      <c r="J183" s="157" t="e">
        <f>Produtos!BG183</f>
        <v>#DIV/0!</v>
      </c>
      <c r="K183" s="157" t="e">
        <f>Produtos!BH183</f>
        <v>#DIV/0!</v>
      </c>
      <c r="L183" s="157" t="e">
        <f>Produtos!BI183</f>
        <v>#DIV/0!</v>
      </c>
      <c r="M183" s="157" t="e">
        <f>Produtos!BJ183</f>
        <v>#DIV/0!</v>
      </c>
    </row>
    <row r="184" spans="1:13">
      <c r="A184" s="170">
        <f>Produtos!A184</f>
        <v>0</v>
      </c>
      <c r="B184" s="170"/>
      <c r="C184" s="142">
        <f>Produtos!B184</f>
        <v>0</v>
      </c>
      <c r="D184" s="160"/>
      <c r="E184" s="157" t="e">
        <f>Produtos!BD184</f>
        <v>#DIV/0!</v>
      </c>
      <c r="F184" s="159" t="e">
        <f>Produtos!BE184</f>
        <v>#DIV/0!</v>
      </c>
      <c r="G184" s="158" t="e">
        <f>Produtos!BF184</f>
        <v>#DIV/0!</v>
      </c>
      <c r="H184" s="159">
        <f>Produtos!BL184</f>
        <v>0</v>
      </c>
      <c r="I184" s="157" t="e">
        <f>Produtos!BM184</f>
        <v>#DIV/0!</v>
      </c>
      <c r="J184" s="157" t="e">
        <f>Produtos!BG184</f>
        <v>#DIV/0!</v>
      </c>
      <c r="K184" s="157" t="e">
        <f>Produtos!BH184</f>
        <v>#DIV/0!</v>
      </c>
      <c r="L184" s="157" t="e">
        <f>Produtos!BI184</f>
        <v>#DIV/0!</v>
      </c>
      <c r="M184" s="157" t="e">
        <f>Produtos!BJ184</f>
        <v>#DIV/0!</v>
      </c>
    </row>
    <row r="185" spans="1:13">
      <c r="A185" s="170">
        <f>Produtos!A185</f>
        <v>0</v>
      </c>
      <c r="B185" s="170"/>
      <c r="C185" s="142">
        <f>Produtos!B185</f>
        <v>0</v>
      </c>
      <c r="D185" s="160"/>
      <c r="E185" s="157" t="e">
        <f>Produtos!BD185</f>
        <v>#DIV/0!</v>
      </c>
      <c r="F185" s="159" t="e">
        <f>Produtos!BE185</f>
        <v>#DIV/0!</v>
      </c>
      <c r="G185" s="158" t="e">
        <f>Produtos!BF185</f>
        <v>#DIV/0!</v>
      </c>
      <c r="H185" s="159">
        <f>Produtos!BL185</f>
        <v>0</v>
      </c>
      <c r="I185" s="157" t="e">
        <f>Produtos!BM185</f>
        <v>#DIV/0!</v>
      </c>
      <c r="J185" s="157" t="e">
        <f>Produtos!BG185</f>
        <v>#DIV/0!</v>
      </c>
      <c r="K185" s="157" t="e">
        <f>Produtos!BH185</f>
        <v>#DIV/0!</v>
      </c>
      <c r="L185" s="157" t="e">
        <f>Produtos!BI185</f>
        <v>#DIV/0!</v>
      </c>
      <c r="M185" s="157" t="e">
        <f>Produtos!BJ185</f>
        <v>#DIV/0!</v>
      </c>
    </row>
    <row r="186" spans="1:13">
      <c r="A186" s="170">
        <f>Produtos!A186</f>
        <v>0</v>
      </c>
      <c r="B186" s="170"/>
      <c r="C186" s="142">
        <f>Produtos!B186</f>
        <v>0</v>
      </c>
      <c r="D186" s="160"/>
      <c r="E186" s="157" t="e">
        <f>Produtos!BD186</f>
        <v>#DIV/0!</v>
      </c>
      <c r="F186" s="159" t="e">
        <f>Produtos!BE186</f>
        <v>#DIV/0!</v>
      </c>
      <c r="G186" s="158" t="e">
        <f>Produtos!BF186</f>
        <v>#DIV/0!</v>
      </c>
      <c r="H186" s="159">
        <f>Produtos!BL186</f>
        <v>0</v>
      </c>
      <c r="I186" s="157" t="e">
        <f>Produtos!BM186</f>
        <v>#DIV/0!</v>
      </c>
      <c r="J186" s="157" t="e">
        <f>Produtos!BG186</f>
        <v>#DIV/0!</v>
      </c>
      <c r="K186" s="157" t="e">
        <f>Produtos!BH186</f>
        <v>#DIV/0!</v>
      </c>
      <c r="L186" s="157" t="e">
        <f>Produtos!BI186</f>
        <v>#DIV/0!</v>
      </c>
      <c r="M186" s="157" t="e">
        <f>Produtos!BJ186</f>
        <v>#DIV/0!</v>
      </c>
    </row>
    <row r="187" spans="1:13">
      <c r="A187" s="170">
        <f>Produtos!A187</f>
        <v>0</v>
      </c>
      <c r="B187" s="170"/>
      <c r="C187" s="142">
        <f>Produtos!B187</f>
        <v>0</v>
      </c>
      <c r="D187" s="160"/>
      <c r="E187" s="157" t="e">
        <f>Produtos!BD187</f>
        <v>#DIV/0!</v>
      </c>
      <c r="F187" s="159" t="e">
        <f>Produtos!BE187</f>
        <v>#DIV/0!</v>
      </c>
      <c r="G187" s="158" t="e">
        <f>Produtos!BF187</f>
        <v>#DIV/0!</v>
      </c>
      <c r="H187" s="159">
        <f>Produtos!BL187</f>
        <v>0</v>
      </c>
      <c r="I187" s="157" t="e">
        <f>Produtos!BM187</f>
        <v>#DIV/0!</v>
      </c>
      <c r="J187" s="157" t="e">
        <f>Produtos!BG187</f>
        <v>#DIV/0!</v>
      </c>
      <c r="K187" s="157" t="e">
        <f>Produtos!BH187</f>
        <v>#DIV/0!</v>
      </c>
      <c r="L187" s="157" t="e">
        <f>Produtos!BI187</f>
        <v>#DIV/0!</v>
      </c>
      <c r="M187" s="157" t="e">
        <f>Produtos!BJ187</f>
        <v>#DIV/0!</v>
      </c>
    </row>
    <row r="188" spans="1:13">
      <c r="A188" s="170">
        <f>Produtos!A188</f>
        <v>0</v>
      </c>
      <c r="B188" s="170"/>
      <c r="C188" s="142">
        <f>Produtos!B188</f>
        <v>0</v>
      </c>
      <c r="D188" s="160"/>
      <c r="E188" s="157" t="e">
        <f>Produtos!BD188</f>
        <v>#DIV/0!</v>
      </c>
      <c r="F188" s="159" t="e">
        <f>Produtos!BE188</f>
        <v>#DIV/0!</v>
      </c>
      <c r="G188" s="158" t="e">
        <f>Produtos!BF188</f>
        <v>#DIV/0!</v>
      </c>
      <c r="H188" s="159">
        <f>Produtos!BL188</f>
        <v>0</v>
      </c>
      <c r="I188" s="157" t="e">
        <f>Produtos!BM188</f>
        <v>#DIV/0!</v>
      </c>
      <c r="J188" s="157" t="e">
        <f>Produtos!BG188</f>
        <v>#DIV/0!</v>
      </c>
      <c r="K188" s="157" t="e">
        <f>Produtos!BH188</f>
        <v>#DIV/0!</v>
      </c>
      <c r="L188" s="157" t="e">
        <f>Produtos!BI188</f>
        <v>#DIV/0!</v>
      </c>
      <c r="M188" s="157" t="e">
        <f>Produtos!BJ188</f>
        <v>#DIV/0!</v>
      </c>
    </row>
    <row r="189" spans="1:13">
      <c r="A189" s="170">
        <f>Produtos!A189</f>
        <v>0</v>
      </c>
      <c r="B189" s="170"/>
      <c r="C189" s="142">
        <f>Produtos!B189</f>
        <v>0</v>
      </c>
      <c r="D189" s="160"/>
      <c r="E189" s="157" t="e">
        <f>Produtos!BD189</f>
        <v>#DIV/0!</v>
      </c>
      <c r="F189" s="159" t="e">
        <f>Produtos!BE189</f>
        <v>#DIV/0!</v>
      </c>
      <c r="G189" s="158" t="e">
        <f>Produtos!BF189</f>
        <v>#DIV/0!</v>
      </c>
      <c r="H189" s="159">
        <f>Produtos!BL189</f>
        <v>0</v>
      </c>
      <c r="I189" s="157" t="e">
        <f>Produtos!BM189</f>
        <v>#DIV/0!</v>
      </c>
      <c r="J189" s="157" t="e">
        <f>Produtos!BG189</f>
        <v>#DIV/0!</v>
      </c>
      <c r="K189" s="157" t="e">
        <f>Produtos!BH189</f>
        <v>#DIV/0!</v>
      </c>
      <c r="L189" s="157" t="e">
        <f>Produtos!BI189</f>
        <v>#DIV/0!</v>
      </c>
      <c r="M189" s="157" t="e">
        <f>Produtos!BJ189</f>
        <v>#DIV/0!</v>
      </c>
    </row>
    <row r="190" spans="1:13">
      <c r="A190" s="170">
        <f>Produtos!A190</f>
        <v>0</v>
      </c>
      <c r="B190" s="170"/>
      <c r="C190" s="142">
        <f>Produtos!B190</f>
        <v>0</v>
      </c>
      <c r="D190" s="160"/>
      <c r="E190" s="157" t="e">
        <f>Produtos!BD190</f>
        <v>#DIV/0!</v>
      </c>
      <c r="F190" s="159" t="e">
        <f>Produtos!BE190</f>
        <v>#DIV/0!</v>
      </c>
      <c r="G190" s="158" t="e">
        <f>Produtos!BF190</f>
        <v>#DIV/0!</v>
      </c>
      <c r="H190" s="159">
        <f>Produtos!BL190</f>
        <v>0</v>
      </c>
      <c r="I190" s="157" t="e">
        <f>Produtos!BM190</f>
        <v>#DIV/0!</v>
      </c>
      <c r="J190" s="157" t="e">
        <f>Produtos!BG190</f>
        <v>#DIV/0!</v>
      </c>
      <c r="K190" s="157" t="e">
        <f>Produtos!BH190</f>
        <v>#DIV/0!</v>
      </c>
      <c r="L190" s="157" t="e">
        <f>Produtos!BI190</f>
        <v>#DIV/0!</v>
      </c>
      <c r="M190" s="157" t="e">
        <f>Produtos!BJ190</f>
        <v>#DIV/0!</v>
      </c>
    </row>
    <row r="191" spans="1:13">
      <c r="A191" s="170">
        <f>Produtos!A191</f>
        <v>0</v>
      </c>
      <c r="B191" s="170"/>
      <c r="C191" s="142">
        <f>Produtos!B191</f>
        <v>0</v>
      </c>
      <c r="D191" s="160"/>
      <c r="E191" s="157" t="e">
        <f>Produtos!BD191</f>
        <v>#DIV/0!</v>
      </c>
      <c r="F191" s="159" t="e">
        <f>Produtos!BE191</f>
        <v>#DIV/0!</v>
      </c>
      <c r="G191" s="158" t="e">
        <f>Produtos!BF191</f>
        <v>#DIV/0!</v>
      </c>
      <c r="H191" s="159">
        <f>Produtos!BL191</f>
        <v>0</v>
      </c>
      <c r="I191" s="157" t="e">
        <f>Produtos!BM191</f>
        <v>#DIV/0!</v>
      </c>
      <c r="J191" s="157" t="e">
        <f>Produtos!BG191</f>
        <v>#DIV/0!</v>
      </c>
      <c r="K191" s="157" t="e">
        <f>Produtos!BH191</f>
        <v>#DIV/0!</v>
      </c>
      <c r="L191" s="157" t="e">
        <f>Produtos!BI191</f>
        <v>#DIV/0!</v>
      </c>
      <c r="M191" s="157" t="e">
        <f>Produtos!BJ191</f>
        <v>#DIV/0!</v>
      </c>
    </row>
    <row r="192" spans="1:13">
      <c r="A192" s="170">
        <f>Produtos!A192</f>
        <v>0</v>
      </c>
      <c r="B192" s="170"/>
      <c r="C192" s="142">
        <f>Produtos!B192</f>
        <v>0</v>
      </c>
      <c r="D192" s="160"/>
      <c r="E192" s="157" t="e">
        <f>Produtos!BD192</f>
        <v>#DIV/0!</v>
      </c>
      <c r="F192" s="159" t="e">
        <f>Produtos!BE192</f>
        <v>#DIV/0!</v>
      </c>
      <c r="G192" s="158" t="e">
        <f>Produtos!BF192</f>
        <v>#DIV/0!</v>
      </c>
      <c r="H192" s="159">
        <f>Produtos!BL192</f>
        <v>0</v>
      </c>
      <c r="I192" s="157" t="e">
        <f>Produtos!BM192</f>
        <v>#DIV/0!</v>
      </c>
      <c r="J192" s="157" t="e">
        <f>Produtos!BG192</f>
        <v>#DIV/0!</v>
      </c>
      <c r="K192" s="157" t="e">
        <f>Produtos!BH192</f>
        <v>#DIV/0!</v>
      </c>
      <c r="L192" s="157" t="e">
        <f>Produtos!BI192</f>
        <v>#DIV/0!</v>
      </c>
      <c r="M192" s="157" t="e">
        <f>Produtos!BJ192</f>
        <v>#DIV/0!</v>
      </c>
    </row>
    <row r="193" spans="1:13">
      <c r="A193" s="170">
        <f>Produtos!A193</f>
        <v>0</v>
      </c>
      <c r="B193" s="170"/>
      <c r="C193" s="142">
        <f>Produtos!B193</f>
        <v>0</v>
      </c>
      <c r="D193" s="160"/>
      <c r="E193" s="157" t="e">
        <f>Produtos!BD193</f>
        <v>#DIV/0!</v>
      </c>
      <c r="F193" s="159" t="e">
        <f>Produtos!BE193</f>
        <v>#DIV/0!</v>
      </c>
      <c r="G193" s="158" t="e">
        <f>Produtos!BF193</f>
        <v>#DIV/0!</v>
      </c>
      <c r="H193" s="159">
        <f>Produtos!BL193</f>
        <v>0</v>
      </c>
      <c r="I193" s="157" t="e">
        <f>Produtos!BM193</f>
        <v>#DIV/0!</v>
      </c>
      <c r="J193" s="157" t="e">
        <f>Produtos!BG193</f>
        <v>#DIV/0!</v>
      </c>
      <c r="K193" s="157" t="e">
        <f>Produtos!BH193</f>
        <v>#DIV/0!</v>
      </c>
      <c r="L193" s="157" t="e">
        <f>Produtos!BI193</f>
        <v>#DIV/0!</v>
      </c>
      <c r="M193" s="157" t="e">
        <f>Produtos!BJ193</f>
        <v>#DIV/0!</v>
      </c>
    </row>
    <row r="194" spans="1:13">
      <c r="A194" s="170">
        <f>Produtos!A194</f>
        <v>0</v>
      </c>
      <c r="B194" s="170"/>
      <c r="C194" s="142">
        <f>Produtos!B194</f>
        <v>0</v>
      </c>
      <c r="D194" s="160"/>
      <c r="E194" s="157" t="e">
        <f>Produtos!BD194</f>
        <v>#DIV/0!</v>
      </c>
      <c r="F194" s="159" t="e">
        <f>Produtos!BE194</f>
        <v>#DIV/0!</v>
      </c>
      <c r="G194" s="158" t="e">
        <f>Produtos!BF194</f>
        <v>#DIV/0!</v>
      </c>
      <c r="H194" s="159">
        <f>Produtos!BL194</f>
        <v>0</v>
      </c>
      <c r="I194" s="157" t="e">
        <f>Produtos!BM194</f>
        <v>#DIV/0!</v>
      </c>
      <c r="J194" s="157" t="e">
        <f>Produtos!BG194</f>
        <v>#DIV/0!</v>
      </c>
      <c r="K194" s="157" t="e">
        <f>Produtos!BH194</f>
        <v>#DIV/0!</v>
      </c>
      <c r="L194" s="157" t="e">
        <f>Produtos!BI194</f>
        <v>#DIV/0!</v>
      </c>
      <c r="M194" s="157" t="e">
        <f>Produtos!BJ194</f>
        <v>#DIV/0!</v>
      </c>
    </row>
    <row r="195" spans="1:13">
      <c r="A195" s="170">
        <f>Produtos!A195</f>
        <v>0</v>
      </c>
      <c r="B195" s="170"/>
      <c r="C195" s="142">
        <f>Produtos!B195</f>
        <v>0</v>
      </c>
      <c r="D195" s="160"/>
      <c r="E195" s="157" t="e">
        <f>Produtos!BD195</f>
        <v>#DIV/0!</v>
      </c>
      <c r="F195" s="159" t="e">
        <f>Produtos!BE195</f>
        <v>#DIV/0!</v>
      </c>
      <c r="G195" s="158" t="e">
        <f>Produtos!BF195</f>
        <v>#DIV/0!</v>
      </c>
      <c r="H195" s="159">
        <f>Produtos!BL195</f>
        <v>0</v>
      </c>
      <c r="I195" s="157" t="e">
        <f>Produtos!BM195</f>
        <v>#DIV/0!</v>
      </c>
      <c r="J195" s="157" t="e">
        <f>Produtos!BG195</f>
        <v>#DIV/0!</v>
      </c>
      <c r="K195" s="157" t="e">
        <f>Produtos!BH195</f>
        <v>#DIV/0!</v>
      </c>
      <c r="L195" s="157" t="e">
        <f>Produtos!BI195</f>
        <v>#DIV/0!</v>
      </c>
      <c r="M195" s="157" t="e">
        <f>Produtos!BJ195</f>
        <v>#DIV/0!</v>
      </c>
    </row>
    <row r="196" spans="1:13">
      <c r="A196" s="170">
        <f>Produtos!A196</f>
        <v>0</v>
      </c>
      <c r="B196" s="170"/>
      <c r="C196" s="142">
        <f>Produtos!B196</f>
        <v>0</v>
      </c>
      <c r="D196" s="160"/>
      <c r="E196" s="157" t="e">
        <f>Produtos!BD196</f>
        <v>#DIV/0!</v>
      </c>
      <c r="F196" s="159" t="e">
        <f>Produtos!BE196</f>
        <v>#DIV/0!</v>
      </c>
      <c r="G196" s="158" t="e">
        <f>Produtos!BF196</f>
        <v>#DIV/0!</v>
      </c>
      <c r="H196" s="159">
        <f>Produtos!BL196</f>
        <v>0</v>
      </c>
      <c r="I196" s="157" t="e">
        <f>Produtos!BM196</f>
        <v>#DIV/0!</v>
      </c>
      <c r="J196" s="157" t="e">
        <f>Produtos!BG196</f>
        <v>#DIV/0!</v>
      </c>
      <c r="K196" s="157" t="e">
        <f>Produtos!BH196</f>
        <v>#DIV/0!</v>
      </c>
      <c r="L196" s="157" t="e">
        <f>Produtos!BI196</f>
        <v>#DIV/0!</v>
      </c>
      <c r="M196" s="157" t="e">
        <f>Produtos!BJ196</f>
        <v>#DIV/0!</v>
      </c>
    </row>
    <row r="197" spans="1:13">
      <c r="A197" s="170">
        <f>Produtos!A197</f>
        <v>0</v>
      </c>
      <c r="B197" s="170"/>
      <c r="C197" s="142">
        <f>Produtos!B197</f>
        <v>0</v>
      </c>
      <c r="D197" s="160"/>
      <c r="E197" s="157" t="e">
        <f>Produtos!BD197</f>
        <v>#DIV/0!</v>
      </c>
      <c r="F197" s="159" t="e">
        <f>Produtos!BE197</f>
        <v>#DIV/0!</v>
      </c>
      <c r="G197" s="158" t="e">
        <f>Produtos!BF197</f>
        <v>#DIV/0!</v>
      </c>
      <c r="H197" s="159">
        <f>Produtos!BL197</f>
        <v>0</v>
      </c>
      <c r="I197" s="157" t="e">
        <f>Produtos!BM197</f>
        <v>#DIV/0!</v>
      </c>
      <c r="J197" s="157" t="e">
        <f>Produtos!BG197</f>
        <v>#DIV/0!</v>
      </c>
      <c r="K197" s="157" t="e">
        <f>Produtos!BH197</f>
        <v>#DIV/0!</v>
      </c>
      <c r="L197" s="157" t="e">
        <f>Produtos!BI197</f>
        <v>#DIV/0!</v>
      </c>
      <c r="M197" s="157" t="e">
        <f>Produtos!BJ197</f>
        <v>#DIV/0!</v>
      </c>
    </row>
    <row r="198" spans="1:13">
      <c r="A198" s="170">
        <f>Produtos!A198</f>
        <v>0</v>
      </c>
      <c r="B198" s="170"/>
      <c r="C198" s="142">
        <f>Produtos!B198</f>
        <v>0</v>
      </c>
      <c r="D198" s="160"/>
      <c r="E198" s="157" t="e">
        <f>Produtos!BD198</f>
        <v>#DIV/0!</v>
      </c>
      <c r="F198" s="159" t="e">
        <f>Produtos!BE198</f>
        <v>#DIV/0!</v>
      </c>
      <c r="G198" s="158" t="e">
        <f>Produtos!BF198</f>
        <v>#DIV/0!</v>
      </c>
      <c r="H198" s="159">
        <f>Produtos!BL198</f>
        <v>0</v>
      </c>
      <c r="I198" s="157" t="e">
        <f>Produtos!BM198</f>
        <v>#DIV/0!</v>
      </c>
      <c r="J198" s="157" t="e">
        <f>Produtos!BG198</f>
        <v>#DIV/0!</v>
      </c>
      <c r="K198" s="157" t="e">
        <f>Produtos!BH198</f>
        <v>#DIV/0!</v>
      </c>
      <c r="L198" s="157" t="e">
        <f>Produtos!BI198</f>
        <v>#DIV/0!</v>
      </c>
      <c r="M198" s="157" t="e">
        <f>Produtos!BJ198</f>
        <v>#DIV/0!</v>
      </c>
    </row>
    <row r="199" spans="1:13">
      <c r="A199" s="170">
        <f>Produtos!A199</f>
        <v>0</v>
      </c>
      <c r="B199" s="170"/>
      <c r="C199" s="142">
        <f>Produtos!B199</f>
        <v>0</v>
      </c>
      <c r="D199" s="160"/>
      <c r="E199" s="157" t="e">
        <f>Produtos!BD199</f>
        <v>#DIV/0!</v>
      </c>
      <c r="F199" s="159" t="e">
        <f>Produtos!BE199</f>
        <v>#DIV/0!</v>
      </c>
      <c r="G199" s="158" t="e">
        <f>Produtos!BF199</f>
        <v>#DIV/0!</v>
      </c>
      <c r="H199" s="159">
        <f>Produtos!BL199</f>
        <v>0</v>
      </c>
      <c r="I199" s="157" t="e">
        <f>Produtos!BM199</f>
        <v>#DIV/0!</v>
      </c>
      <c r="J199" s="157" t="e">
        <f>Produtos!BG199</f>
        <v>#DIV/0!</v>
      </c>
      <c r="K199" s="157" t="e">
        <f>Produtos!BH199</f>
        <v>#DIV/0!</v>
      </c>
      <c r="L199" s="157" t="e">
        <f>Produtos!BI199</f>
        <v>#DIV/0!</v>
      </c>
      <c r="M199" s="157" t="e">
        <f>Produtos!BJ199</f>
        <v>#DIV/0!</v>
      </c>
    </row>
    <row r="200" spans="1:13">
      <c r="A200" s="170">
        <f>Produtos!A200</f>
        <v>0</v>
      </c>
      <c r="B200" s="170"/>
      <c r="C200" s="142">
        <f>Produtos!B200</f>
        <v>0</v>
      </c>
      <c r="D200" s="160"/>
      <c r="E200" s="157" t="e">
        <f>Produtos!BD200</f>
        <v>#DIV/0!</v>
      </c>
      <c r="F200" s="159" t="e">
        <f>Produtos!BE200</f>
        <v>#DIV/0!</v>
      </c>
      <c r="G200" s="158" t="e">
        <f>Produtos!BF200</f>
        <v>#DIV/0!</v>
      </c>
      <c r="H200" s="159">
        <f>Produtos!BL200</f>
        <v>0</v>
      </c>
      <c r="I200" s="157" t="e">
        <f>Produtos!BM200</f>
        <v>#DIV/0!</v>
      </c>
      <c r="J200" s="157" t="e">
        <f>Produtos!BG200</f>
        <v>#DIV/0!</v>
      </c>
      <c r="K200" s="157" t="e">
        <f>Produtos!BH200</f>
        <v>#DIV/0!</v>
      </c>
      <c r="L200" s="157" t="e">
        <f>Produtos!BI200</f>
        <v>#DIV/0!</v>
      </c>
      <c r="M200" s="157" t="e">
        <f>Produtos!BJ200</f>
        <v>#DIV/0!</v>
      </c>
    </row>
    <row r="201" spans="1:13">
      <c r="A201" s="170">
        <f>Produtos!A201</f>
        <v>0</v>
      </c>
      <c r="B201" s="170"/>
      <c r="C201" s="142">
        <f>Produtos!B201</f>
        <v>0</v>
      </c>
      <c r="D201" s="160"/>
      <c r="E201" s="157" t="e">
        <f>Produtos!BD201</f>
        <v>#DIV/0!</v>
      </c>
      <c r="F201" s="159" t="e">
        <f>Produtos!BE201</f>
        <v>#DIV/0!</v>
      </c>
      <c r="G201" s="158" t="e">
        <f>Produtos!BF201</f>
        <v>#DIV/0!</v>
      </c>
      <c r="H201" s="159">
        <f>Produtos!BL201</f>
        <v>0</v>
      </c>
      <c r="I201" s="157" t="e">
        <f>Produtos!BM201</f>
        <v>#DIV/0!</v>
      </c>
      <c r="J201" s="157" t="e">
        <f>Produtos!BG201</f>
        <v>#DIV/0!</v>
      </c>
      <c r="K201" s="157" t="e">
        <f>Produtos!BH201</f>
        <v>#DIV/0!</v>
      </c>
      <c r="L201" s="157" t="e">
        <f>Produtos!BI201</f>
        <v>#DIV/0!</v>
      </c>
      <c r="M201" s="157" t="e">
        <f>Produtos!BJ201</f>
        <v>#DIV/0!</v>
      </c>
    </row>
    <row r="202" spans="1:13">
      <c r="A202" s="170">
        <f>Produtos!A202</f>
        <v>0</v>
      </c>
      <c r="B202" s="170"/>
      <c r="C202" s="142">
        <f>Produtos!B202</f>
        <v>0</v>
      </c>
      <c r="D202" s="160"/>
      <c r="E202" s="157" t="e">
        <f>Produtos!BD202</f>
        <v>#DIV/0!</v>
      </c>
      <c r="F202" s="159" t="e">
        <f>Produtos!BE202</f>
        <v>#DIV/0!</v>
      </c>
      <c r="G202" s="158" t="e">
        <f>Produtos!BF202</f>
        <v>#DIV/0!</v>
      </c>
      <c r="H202" s="159">
        <f>Produtos!BL202</f>
        <v>0</v>
      </c>
      <c r="I202" s="157" t="e">
        <f>Produtos!BM202</f>
        <v>#DIV/0!</v>
      </c>
      <c r="J202" s="157" t="e">
        <f>Produtos!BG202</f>
        <v>#DIV/0!</v>
      </c>
      <c r="K202" s="157" t="e">
        <f>Produtos!BH202</f>
        <v>#DIV/0!</v>
      </c>
      <c r="L202" s="157" t="e">
        <f>Produtos!BI202</f>
        <v>#DIV/0!</v>
      </c>
      <c r="M202" s="157" t="e">
        <f>Produtos!BJ202</f>
        <v>#DIV/0!</v>
      </c>
    </row>
    <row r="203" spans="1:13">
      <c r="A203" s="170">
        <f>Produtos!A203</f>
        <v>0</v>
      </c>
      <c r="B203" s="170"/>
      <c r="C203" s="142">
        <f>Produtos!B203</f>
        <v>0</v>
      </c>
      <c r="D203" s="160"/>
      <c r="E203" s="157" t="e">
        <f>Produtos!BD203</f>
        <v>#DIV/0!</v>
      </c>
      <c r="F203" s="159" t="e">
        <f>Produtos!BE203</f>
        <v>#DIV/0!</v>
      </c>
      <c r="G203" s="158" t="e">
        <f>Produtos!BF203</f>
        <v>#DIV/0!</v>
      </c>
      <c r="H203" s="159">
        <f>Produtos!BL203</f>
        <v>0</v>
      </c>
      <c r="I203" s="157" t="e">
        <f>Produtos!BM203</f>
        <v>#DIV/0!</v>
      </c>
      <c r="J203" s="157" t="e">
        <f>Produtos!BG203</f>
        <v>#DIV/0!</v>
      </c>
      <c r="K203" s="157" t="e">
        <f>Produtos!BH203</f>
        <v>#DIV/0!</v>
      </c>
      <c r="L203" s="157" t="e">
        <f>Produtos!BI203</f>
        <v>#DIV/0!</v>
      </c>
      <c r="M203" s="157" t="e">
        <f>Produtos!BJ203</f>
        <v>#DIV/0!</v>
      </c>
    </row>
    <row r="204" spans="1:13">
      <c r="A204" s="170">
        <f>Produtos!A204</f>
        <v>0</v>
      </c>
      <c r="B204" s="170"/>
      <c r="C204" s="142">
        <f>Produtos!B204</f>
        <v>0</v>
      </c>
      <c r="D204" s="160"/>
      <c r="E204" s="157" t="e">
        <f>Produtos!BD204</f>
        <v>#DIV/0!</v>
      </c>
      <c r="F204" s="159" t="e">
        <f>Produtos!BE204</f>
        <v>#DIV/0!</v>
      </c>
      <c r="G204" s="158" t="e">
        <f>Produtos!BF204</f>
        <v>#DIV/0!</v>
      </c>
      <c r="H204" s="159">
        <f>Produtos!BL204</f>
        <v>0</v>
      </c>
      <c r="I204" s="157" t="e">
        <f>Produtos!BM204</f>
        <v>#DIV/0!</v>
      </c>
      <c r="J204" s="157" t="e">
        <f>Produtos!BG204</f>
        <v>#DIV/0!</v>
      </c>
      <c r="K204" s="157" t="e">
        <f>Produtos!BH204</f>
        <v>#DIV/0!</v>
      </c>
      <c r="L204" s="157" t="e">
        <f>Produtos!BI204</f>
        <v>#DIV/0!</v>
      </c>
      <c r="M204" s="157" t="e">
        <f>Produtos!BJ204</f>
        <v>#DIV/0!</v>
      </c>
    </row>
    <row r="205" spans="1:13">
      <c r="A205" s="170">
        <f>Produtos!A205</f>
        <v>0</v>
      </c>
      <c r="B205" s="170"/>
      <c r="C205" s="142">
        <f>Produtos!B205</f>
        <v>0</v>
      </c>
      <c r="D205" s="160"/>
      <c r="E205" s="157" t="e">
        <f>Produtos!BD205</f>
        <v>#DIV/0!</v>
      </c>
      <c r="F205" s="159" t="e">
        <f>Produtos!BE205</f>
        <v>#DIV/0!</v>
      </c>
      <c r="G205" s="158" t="e">
        <f>Produtos!BF205</f>
        <v>#DIV/0!</v>
      </c>
      <c r="H205" s="159">
        <f>Produtos!BL205</f>
        <v>0</v>
      </c>
      <c r="I205" s="157" t="e">
        <f>Produtos!BM205</f>
        <v>#DIV/0!</v>
      </c>
      <c r="J205" s="157" t="e">
        <f>Produtos!BG205</f>
        <v>#DIV/0!</v>
      </c>
      <c r="K205" s="157" t="e">
        <f>Produtos!BH205</f>
        <v>#DIV/0!</v>
      </c>
      <c r="L205" s="157" t="e">
        <f>Produtos!BI205</f>
        <v>#DIV/0!</v>
      </c>
      <c r="M205" s="157" t="e">
        <f>Produtos!BJ205</f>
        <v>#DIV/0!</v>
      </c>
    </row>
    <row r="206" spans="1:13">
      <c r="A206" s="170">
        <f>Produtos!A206</f>
        <v>0</v>
      </c>
      <c r="B206" s="170"/>
      <c r="C206" s="142">
        <f>Produtos!B206</f>
        <v>0</v>
      </c>
      <c r="D206" s="160"/>
      <c r="E206" s="157" t="e">
        <f>Produtos!BD206</f>
        <v>#DIV/0!</v>
      </c>
      <c r="F206" s="159" t="e">
        <f>Produtos!BE206</f>
        <v>#DIV/0!</v>
      </c>
      <c r="G206" s="158" t="e">
        <f>Produtos!BF206</f>
        <v>#DIV/0!</v>
      </c>
      <c r="H206" s="159">
        <f>Produtos!BL206</f>
        <v>0</v>
      </c>
      <c r="I206" s="157" t="e">
        <f>Produtos!BM206</f>
        <v>#DIV/0!</v>
      </c>
      <c r="J206" s="157" t="e">
        <f>Produtos!BG206</f>
        <v>#DIV/0!</v>
      </c>
      <c r="K206" s="157" t="e">
        <f>Produtos!BH206</f>
        <v>#DIV/0!</v>
      </c>
      <c r="L206" s="157" t="e">
        <f>Produtos!BI206</f>
        <v>#DIV/0!</v>
      </c>
      <c r="M206" s="157" t="e">
        <f>Produtos!BJ206</f>
        <v>#DIV/0!</v>
      </c>
    </row>
    <row r="207" spans="1:13">
      <c r="A207" s="170">
        <f>Produtos!A207</f>
        <v>0</v>
      </c>
      <c r="B207" s="170"/>
      <c r="C207" s="142">
        <f>Produtos!B207</f>
        <v>0</v>
      </c>
      <c r="D207" s="160"/>
      <c r="E207" s="157" t="e">
        <f>Produtos!BD207</f>
        <v>#DIV/0!</v>
      </c>
      <c r="F207" s="159" t="e">
        <f>Produtos!BE207</f>
        <v>#DIV/0!</v>
      </c>
      <c r="G207" s="158" t="e">
        <f>Produtos!BF207</f>
        <v>#DIV/0!</v>
      </c>
      <c r="H207" s="159">
        <f>Produtos!BL207</f>
        <v>0</v>
      </c>
      <c r="I207" s="157" t="e">
        <f>Produtos!BM207</f>
        <v>#DIV/0!</v>
      </c>
      <c r="J207" s="157" t="e">
        <f>Produtos!BG207</f>
        <v>#DIV/0!</v>
      </c>
      <c r="K207" s="157" t="e">
        <f>Produtos!BH207</f>
        <v>#DIV/0!</v>
      </c>
      <c r="L207" s="157" t="e">
        <f>Produtos!BI207</f>
        <v>#DIV/0!</v>
      </c>
      <c r="M207" s="157" t="e">
        <f>Produtos!BJ207</f>
        <v>#DIV/0!</v>
      </c>
    </row>
    <row r="208" spans="1:13">
      <c r="A208" s="170">
        <f>Produtos!A208</f>
        <v>0</v>
      </c>
      <c r="B208" s="170"/>
      <c r="C208" s="142">
        <f>Produtos!B208</f>
        <v>0</v>
      </c>
      <c r="D208" s="160"/>
      <c r="E208" s="157" t="e">
        <f>Produtos!BD208</f>
        <v>#DIV/0!</v>
      </c>
      <c r="F208" s="159" t="e">
        <f>Produtos!BE208</f>
        <v>#DIV/0!</v>
      </c>
      <c r="G208" s="158" t="e">
        <f>Produtos!BF208</f>
        <v>#DIV/0!</v>
      </c>
      <c r="H208" s="159">
        <f>Produtos!BL208</f>
        <v>0</v>
      </c>
      <c r="I208" s="157" t="e">
        <f>Produtos!BM208</f>
        <v>#DIV/0!</v>
      </c>
      <c r="J208" s="157" t="e">
        <f>Produtos!BG208</f>
        <v>#DIV/0!</v>
      </c>
      <c r="K208" s="157" t="e">
        <f>Produtos!BH208</f>
        <v>#DIV/0!</v>
      </c>
      <c r="L208" s="157" t="e">
        <f>Produtos!BI208</f>
        <v>#DIV/0!</v>
      </c>
      <c r="M208" s="157" t="e">
        <f>Produtos!BJ208</f>
        <v>#DIV/0!</v>
      </c>
    </row>
    <row r="209" spans="1:13">
      <c r="A209" s="170">
        <f>Produtos!A209</f>
        <v>0</v>
      </c>
      <c r="B209" s="170"/>
      <c r="C209" s="142">
        <f>Produtos!B209</f>
        <v>0</v>
      </c>
      <c r="D209" s="160"/>
      <c r="E209" s="157" t="e">
        <f>Produtos!BD209</f>
        <v>#DIV/0!</v>
      </c>
      <c r="F209" s="159" t="e">
        <f>Produtos!BE209</f>
        <v>#DIV/0!</v>
      </c>
      <c r="G209" s="158" t="e">
        <f>Produtos!BF209</f>
        <v>#DIV/0!</v>
      </c>
      <c r="H209" s="159">
        <f>Produtos!BL209</f>
        <v>0</v>
      </c>
      <c r="I209" s="157" t="e">
        <f>Produtos!BM209</f>
        <v>#DIV/0!</v>
      </c>
      <c r="J209" s="157" t="e">
        <f>Produtos!BG209</f>
        <v>#DIV/0!</v>
      </c>
      <c r="K209" s="157" t="e">
        <f>Produtos!BH209</f>
        <v>#DIV/0!</v>
      </c>
      <c r="L209" s="157" t="e">
        <f>Produtos!BI209</f>
        <v>#DIV/0!</v>
      </c>
      <c r="M209" s="157" t="e">
        <f>Produtos!BJ209</f>
        <v>#DIV/0!</v>
      </c>
    </row>
    <row r="210" spans="1:13">
      <c r="A210" s="170">
        <f>Produtos!A210</f>
        <v>0</v>
      </c>
      <c r="B210" s="170"/>
      <c r="C210" s="142">
        <f>Produtos!B210</f>
        <v>0</v>
      </c>
      <c r="D210" s="160"/>
      <c r="E210" s="157" t="e">
        <f>Produtos!BD210</f>
        <v>#DIV/0!</v>
      </c>
      <c r="F210" s="159" t="e">
        <f>Produtos!BE210</f>
        <v>#DIV/0!</v>
      </c>
      <c r="G210" s="158" t="e">
        <f>Produtos!BF210</f>
        <v>#DIV/0!</v>
      </c>
      <c r="H210" s="159">
        <f>Produtos!BL210</f>
        <v>0</v>
      </c>
      <c r="I210" s="157" t="e">
        <f>Produtos!BM210</f>
        <v>#DIV/0!</v>
      </c>
      <c r="J210" s="157" t="e">
        <f>Produtos!BG210</f>
        <v>#DIV/0!</v>
      </c>
      <c r="K210" s="157" t="e">
        <f>Produtos!BH210</f>
        <v>#DIV/0!</v>
      </c>
      <c r="L210" s="157" t="e">
        <f>Produtos!BI210</f>
        <v>#DIV/0!</v>
      </c>
      <c r="M210" s="157" t="e">
        <f>Produtos!BJ210</f>
        <v>#DIV/0!</v>
      </c>
    </row>
    <row r="211" spans="1:13">
      <c r="A211" s="170">
        <f>Produtos!A211</f>
        <v>0</v>
      </c>
      <c r="B211" s="170"/>
      <c r="C211" s="142">
        <f>Produtos!B211</f>
        <v>0</v>
      </c>
      <c r="D211" s="160"/>
      <c r="E211" s="157" t="e">
        <f>Produtos!BD211</f>
        <v>#DIV/0!</v>
      </c>
      <c r="F211" s="159" t="e">
        <f>Produtos!BE211</f>
        <v>#DIV/0!</v>
      </c>
      <c r="G211" s="158" t="e">
        <f>Produtos!BF211</f>
        <v>#DIV/0!</v>
      </c>
      <c r="H211" s="159">
        <f>Produtos!BL211</f>
        <v>0</v>
      </c>
      <c r="I211" s="157" t="e">
        <f>Produtos!BM211</f>
        <v>#DIV/0!</v>
      </c>
      <c r="J211" s="157" t="e">
        <f>Produtos!BG211</f>
        <v>#DIV/0!</v>
      </c>
      <c r="K211" s="157" t="e">
        <f>Produtos!BH211</f>
        <v>#DIV/0!</v>
      </c>
      <c r="L211" s="157" t="e">
        <f>Produtos!BI211</f>
        <v>#DIV/0!</v>
      </c>
      <c r="M211" s="157" t="e">
        <f>Produtos!BJ211</f>
        <v>#DIV/0!</v>
      </c>
    </row>
    <row r="212" spans="1:13">
      <c r="A212" s="170">
        <f>Produtos!A212</f>
        <v>0</v>
      </c>
      <c r="B212" s="170"/>
      <c r="C212" s="142">
        <f>Produtos!B212</f>
        <v>0</v>
      </c>
      <c r="D212" s="160"/>
      <c r="E212" s="157" t="e">
        <f>Produtos!BD212</f>
        <v>#DIV/0!</v>
      </c>
      <c r="F212" s="159" t="e">
        <f>Produtos!BE212</f>
        <v>#DIV/0!</v>
      </c>
      <c r="G212" s="158" t="e">
        <f>Produtos!BF212</f>
        <v>#DIV/0!</v>
      </c>
      <c r="H212" s="159">
        <f>Produtos!BL212</f>
        <v>0</v>
      </c>
      <c r="I212" s="157" t="e">
        <f>Produtos!BM212</f>
        <v>#DIV/0!</v>
      </c>
      <c r="J212" s="157" t="e">
        <f>Produtos!BG212</f>
        <v>#DIV/0!</v>
      </c>
      <c r="K212" s="157" t="e">
        <f>Produtos!BH212</f>
        <v>#DIV/0!</v>
      </c>
      <c r="L212" s="157" t="e">
        <f>Produtos!BI212</f>
        <v>#DIV/0!</v>
      </c>
      <c r="M212" s="157" t="e">
        <f>Produtos!BJ212</f>
        <v>#DIV/0!</v>
      </c>
    </row>
    <row r="213" spans="1:13">
      <c r="A213" s="170">
        <f>Produtos!A213</f>
        <v>0</v>
      </c>
      <c r="B213" s="170"/>
      <c r="C213" s="142">
        <f>Produtos!B213</f>
        <v>0</v>
      </c>
      <c r="D213" s="160"/>
      <c r="E213" s="157" t="e">
        <f>Produtos!BD213</f>
        <v>#DIV/0!</v>
      </c>
      <c r="F213" s="159" t="e">
        <f>Produtos!BE213</f>
        <v>#DIV/0!</v>
      </c>
      <c r="G213" s="158" t="e">
        <f>Produtos!BF213</f>
        <v>#DIV/0!</v>
      </c>
      <c r="H213" s="159">
        <f>Produtos!BL213</f>
        <v>0</v>
      </c>
      <c r="I213" s="157" t="e">
        <f>Produtos!BM213</f>
        <v>#DIV/0!</v>
      </c>
      <c r="J213" s="157" t="e">
        <f>Produtos!BG213</f>
        <v>#DIV/0!</v>
      </c>
      <c r="K213" s="157" t="e">
        <f>Produtos!BH213</f>
        <v>#DIV/0!</v>
      </c>
      <c r="L213" s="157" t="e">
        <f>Produtos!BI213</f>
        <v>#DIV/0!</v>
      </c>
      <c r="M213" s="157" t="e">
        <f>Produtos!BJ213</f>
        <v>#DIV/0!</v>
      </c>
    </row>
    <row r="214" spans="1:13">
      <c r="A214" s="170">
        <f>Produtos!A214</f>
        <v>0</v>
      </c>
      <c r="B214" s="170"/>
      <c r="C214" s="142">
        <f>Produtos!B214</f>
        <v>0</v>
      </c>
      <c r="D214" s="160"/>
      <c r="E214" s="157" t="e">
        <f>Produtos!BD214</f>
        <v>#DIV/0!</v>
      </c>
      <c r="F214" s="159" t="e">
        <f>Produtos!BE214</f>
        <v>#DIV/0!</v>
      </c>
      <c r="G214" s="158" t="e">
        <f>Produtos!BF214</f>
        <v>#DIV/0!</v>
      </c>
      <c r="H214" s="159">
        <f>Produtos!BL214</f>
        <v>0</v>
      </c>
      <c r="I214" s="157" t="e">
        <f>Produtos!BM214</f>
        <v>#DIV/0!</v>
      </c>
      <c r="J214" s="157" t="e">
        <f>Produtos!BG214</f>
        <v>#DIV/0!</v>
      </c>
      <c r="K214" s="157" t="e">
        <f>Produtos!BH214</f>
        <v>#DIV/0!</v>
      </c>
      <c r="L214" s="157" t="e">
        <f>Produtos!BI214</f>
        <v>#DIV/0!</v>
      </c>
      <c r="M214" s="157" t="e">
        <f>Produtos!BJ214</f>
        <v>#DIV/0!</v>
      </c>
    </row>
    <row r="215" spans="1:13">
      <c r="A215" s="170">
        <f>Produtos!A215</f>
        <v>0</v>
      </c>
      <c r="B215" s="170"/>
      <c r="C215" s="142">
        <f>Produtos!B215</f>
        <v>0</v>
      </c>
      <c r="D215" s="160"/>
      <c r="E215" s="157" t="e">
        <f>Produtos!BD215</f>
        <v>#DIV/0!</v>
      </c>
      <c r="F215" s="159" t="e">
        <f>Produtos!BE215</f>
        <v>#DIV/0!</v>
      </c>
      <c r="G215" s="158" t="e">
        <f>Produtos!BF215</f>
        <v>#DIV/0!</v>
      </c>
      <c r="H215" s="159">
        <f>Produtos!BL215</f>
        <v>0</v>
      </c>
      <c r="I215" s="157" t="e">
        <f>Produtos!BM215</f>
        <v>#DIV/0!</v>
      </c>
      <c r="J215" s="157" t="e">
        <f>Produtos!BG215</f>
        <v>#DIV/0!</v>
      </c>
      <c r="K215" s="157" t="e">
        <f>Produtos!BH215</f>
        <v>#DIV/0!</v>
      </c>
      <c r="L215" s="157" t="e">
        <f>Produtos!BI215</f>
        <v>#DIV/0!</v>
      </c>
      <c r="M215" s="157" t="e">
        <f>Produtos!BJ215</f>
        <v>#DIV/0!</v>
      </c>
    </row>
    <row r="216" spans="1:13">
      <c r="A216" s="170">
        <f>Produtos!A216</f>
        <v>0</v>
      </c>
      <c r="B216" s="170"/>
      <c r="C216" s="142">
        <f>Produtos!B216</f>
        <v>0</v>
      </c>
      <c r="D216" s="160"/>
      <c r="E216" s="157" t="e">
        <f>Produtos!BD216</f>
        <v>#DIV/0!</v>
      </c>
      <c r="F216" s="159" t="e">
        <f>Produtos!BE216</f>
        <v>#DIV/0!</v>
      </c>
      <c r="G216" s="158" t="e">
        <f>Produtos!BF216</f>
        <v>#DIV/0!</v>
      </c>
      <c r="H216" s="159">
        <f>Produtos!BL216</f>
        <v>0</v>
      </c>
      <c r="I216" s="157" t="e">
        <f>Produtos!BM216</f>
        <v>#DIV/0!</v>
      </c>
      <c r="J216" s="157" t="e">
        <f>Produtos!BG216</f>
        <v>#DIV/0!</v>
      </c>
      <c r="K216" s="157" t="e">
        <f>Produtos!BH216</f>
        <v>#DIV/0!</v>
      </c>
      <c r="L216" s="157" t="e">
        <f>Produtos!BI216</f>
        <v>#DIV/0!</v>
      </c>
      <c r="M216" s="157" t="e">
        <f>Produtos!BJ216</f>
        <v>#DIV/0!</v>
      </c>
    </row>
    <row r="217" spans="1:13">
      <c r="A217" s="170">
        <f>Produtos!A217</f>
        <v>0</v>
      </c>
      <c r="B217" s="170"/>
      <c r="C217" s="142">
        <f>Produtos!B217</f>
        <v>0</v>
      </c>
      <c r="D217" s="160"/>
      <c r="E217" s="157" t="e">
        <f>Produtos!BD217</f>
        <v>#DIV/0!</v>
      </c>
      <c r="F217" s="159" t="e">
        <f>Produtos!BE217</f>
        <v>#DIV/0!</v>
      </c>
      <c r="G217" s="158" t="e">
        <f>Produtos!BF217</f>
        <v>#DIV/0!</v>
      </c>
      <c r="H217" s="159">
        <f>Produtos!BL217</f>
        <v>0</v>
      </c>
      <c r="I217" s="157" t="e">
        <f>Produtos!BM217</f>
        <v>#DIV/0!</v>
      </c>
      <c r="J217" s="157" t="e">
        <f>Produtos!BG217</f>
        <v>#DIV/0!</v>
      </c>
      <c r="K217" s="157" t="e">
        <f>Produtos!BH217</f>
        <v>#DIV/0!</v>
      </c>
      <c r="L217" s="157" t="e">
        <f>Produtos!BI217</f>
        <v>#DIV/0!</v>
      </c>
      <c r="M217" s="157" t="e">
        <f>Produtos!BJ217</f>
        <v>#DIV/0!</v>
      </c>
    </row>
    <row r="218" spans="1:13">
      <c r="A218" s="170">
        <f>Produtos!A218</f>
        <v>0</v>
      </c>
      <c r="B218" s="170"/>
      <c r="C218" s="142">
        <f>Produtos!B218</f>
        <v>0</v>
      </c>
      <c r="D218" s="160"/>
      <c r="E218" s="157" t="e">
        <f>Produtos!BD218</f>
        <v>#DIV/0!</v>
      </c>
      <c r="F218" s="159" t="e">
        <f>Produtos!BE218</f>
        <v>#DIV/0!</v>
      </c>
      <c r="G218" s="158" t="e">
        <f>Produtos!BF218</f>
        <v>#DIV/0!</v>
      </c>
      <c r="H218" s="159">
        <f>Produtos!BL218</f>
        <v>0</v>
      </c>
      <c r="I218" s="157" t="e">
        <f>Produtos!BM218</f>
        <v>#DIV/0!</v>
      </c>
      <c r="J218" s="157" t="e">
        <f>Produtos!BG218</f>
        <v>#DIV/0!</v>
      </c>
      <c r="K218" s="157" t="e">
        <f>Produtos!BH218</f>
        <v>#DIV/0!</v>
      </c>
      <c r="L218" s="157" t="e">
        <f>Produtos!BI218</f>
        <v>#DIV/0!</v>
      </c>
      <c r="M218" s="157" t="e">
        <f>Produtos!BJ218</f>
        <v>#DIV/0!</v>
      </c>
    </row>
    <row r="219" spans="1:13">
      <c r="A219" s="170">
        <f>Produtos!A219</f>
        <v>0</v>
      </c>
      <c r="B219" s="170"/>
      <c r="C219" s="142">
        <f>Produtos!B219</f>
        <v>0</v>
      </c>
      <c r="D219" s="160"/>
      <c r="E219" s="157" t="e">
        <f>Produtos!BD219</f>
        <v>#DIV/0!</v>
      </c>
      <c r="F219" s="159" t="e">
        <f>Produtos!BE219</f>
        <v>#DIV/0!</v>
      </c>
      <c r="G219" s="158" t="e">
        <f>Produtos!BF219</f>
        <v>#DIV/0!</v>
      </c>
      <c r="H219" s="159">
        <f>Produtos!BL219</f>
        <v>0</v>
      </c>
      <c r="I219" s="157" t="e">
        <f>Produtos!BM219</f>
        <v>#DIV/0!</v>
      </c>
      <c r="J219" s="157" t="e">
        <f>Produtos!BG219</f>
        <v>#DIV/0!</v>
      </c>
      <c r="K219" s="157" t="e">
        <f>Produtos!BH219</f>
        <v>#DIV/0!</v>
      </c>
      <c r="L219" s="157" t="e">
        <f>Produtos!BI219</f>
        <v>#DIV/0!</v>
      </c>
      <c r="M219" s="157" t="e">
        <f>Produtos!BJ219</f>
        <v>#DIV/0!</v>
      </c>
    </row>
    <row r="220" spans="1:13">
      <c r="A220" s="170">
        <f>Produtos!A220</f>
        <v>0</v>
      </c>
      <c r="B220" s="170"/>
      <c r="C220" s="142">
        <f>Produtos!B220</f>
        <v>0</v>
      </c>
      <c r="D220" s="160"/>
      <c r="E220" s="157" t="e">
        <f>Produtos!BD220</f>
        <v>#DIV/0!</v>
      </c>
      <c r="F220" s="159" t="e">
        <f>Produtos!BE220</f>
        <v>#DIV/0!</v>
      </c>
      <c r="G220" s="158" t="e">
        <f>Produtos!BF220</f>
        <v>#DIV/0!</v>
      </c>
      <c r="H220" s="159">
        <f>Produtos!BL220</f>
        <v>0</v>
      </c>
      <c r="I220" s="157" t="e">
        <f>Produtos!BM220</f>
        <v>#DIV/0!</v>
      </c>
      <c r="J220" s="157" t="e">
        <f>Produtos!BG220</f>
        <v>#DIV/0!</v>
      </c>
      <c r="K220" s="157" t="e">
        <f>Produtos!BH220</f>
        <v>#DIV/0!</v>
      </c>
      <c r="L220" s="157" t="e">
        <f>Produtos!BI220</f>
        <v>#DIV/0!</v>
      </c>
      <c r="M220" s="157" t="e">
        <f>Produtos!BJ220</f>
        <v>#DIV/0!</v>
      </c>
    </row>
    <row r="221" spans="1:13">
      <c r="A221" s="170">
        <f>Produtos!A221</f>
        <v>0</v>
      </c>
      <c r="B221" s="170"/>
      <c r="C221" s="142">
        <f>Produtos!B221</f>
        <v>0</v>
      </c>
      <c r="D221" s="160"/>
      <c r="E221" s="157" t="e">
        <f>Produtos!BD221</f>
        <v>#DIV/0!</v>
      </c>
      <c r="F221" s="159" t="e">
        <f>Produtos!BE221</f>
        <v>#DIV/0!</v>
      </c>
      <c r="G221" s="158" t="e">
        <f>Produtos!BF221</f>
        <v>#DIV/0!</v>
      </c>
      <c r="H221" s="159">
        <f>Produtos!BL221</f>
        <v>0</v>
      </c>
      <c r="I221" s="157" t="e">
        <f>Produtos!BM221</f>
        <v>#DIV/0!</v>
      </c>
      <c r="J221" s="157" t="e">
        <f>Produtos!BG221</f>
        <v>#DIV/0!</v>
      </c>
      <c r="K221" s="157" t="e">
        <f>Produtos!BH221</f>
        <v>#DIV/0!</v>
      </c>
      <c r="L221" s="157" t="e">
        <f>Produtos!BI221</f>
        <v>#DIV/0!</v>
      </c>
      <c r="M221" s="157" t="e">
        <f>Produtos!BJ221</f>
        <v>#DIV/0!</v>
      </c>
    </row>
    <row r="222" spans="1:13">
      <c r="A222" s="170">
        <f>Produtos!A222</f>
        <v>0</v>
      </c>
      <c r="B222" s="170"/>
      <c r="C222" s="142">
        <f>Produtos!B222</f>
        <v>0</v>
      </c>
      <c r="D222" s="160"/>
      <c r="E222" s="157" t="e">
        <f>Produtos!BD222</f>
        <v>#DIV/0!</v>
      </c>
      <c r="F222" s="159" t="e">
        <f>Produtos!BE222</f>
        <v>#DIV/0!</v>
      </c>
      <c r="G222" s="158" t="e">
        <f>Produtos!BF222</f>
        <v>#DIV/0!</v>
      </c>
      <c r="H222" s="159">
        <f>Produtos!BL222</f>
        <v>0</v>
      </c>
      <c r="I222" s="157" t="e">
        <f>Produtos!BM222</f>
        <v>#DIV/0!</v>
      </c>
      <c r="J222" s="157" t="e">
        <f>Produtos!BG222</f>
        <v>#DIV/0!</v>
      </c>
      <c r="K222" s="157" t="e">
        <f>Produtos!BH222</f>
        <v>#DIV/0!</v>
      </c>
      <c r="L222" s="157" t="e">
        <f>Produtos!BI222</f>
        <v>#DIV/0!</v>
      </c>
      <c r="M222" s="157" t="e">
        <f>Produtos!BJ222</f>
        <v>#DIV/0!</v>
      </c>
    </row>
    <row r="223" spans="1:13">
      <c r="A223" s="170">
        <f>Produtos!A223</f>
        <v>0</v>
      </c>
      <c r="B223" s="170"/>
      <c r="C223" s="142">
        <f>Produtos!B223</f>
        <v>0</v>
      </c>
      <c r="D223" s="160"/>
      <c r="E223" s="157" t="e">
        <f>Produtos!BD223</f>
        <v>#DIV/0!</v>
      </c>
      <c r="F223" s="159" t="e">
        <f>Produtos!BE223</f>
        <v>#DIV/0!</v>
      </c>
      <c r="G223" s="158" t="e">
        <f>Produtos!BF223</f>
        <v>#DIV/0!</v>
      </c>
      <c r="H223" s="159">
        <f>Produtos!BL223</f>
        <v>0</v>
      </c>
      <c r="I223" s="157" t="e">
        <f>Produtos!BM223</f>
        <v>#DIV/0!</v>
      </c>
      <c r="J223" s="157" t="e">
        <f>Produtos!BG223</f>
        <v>#DIV/0!</v>
      </c>
      <c r="K223" s="157" t="e">
        <f>Produtos!BH223</f>
        <v>#DIV/0!</v>
      </c>
      <c r="L223" s="157" t="e">
        <f>Produtos!BI223</f>
        <v>#DIV/0!</v>
      </c>
      <c r="M223" s="157" t="e">
        <f>Produtos!BJ223</f>
        <v>#DIV/0!</v>
      </c>
    </row>
    <row r="224" spans="1:13">
      <c r="A224" s="170">
        <f>Produtos!A224</f>
        <v>0</v>
      </c>
      <c r="B224" s="170"/>
      <c r="C224" s="142">
        <f>Produtos!B224</f>
        <v>0</v>
      </c>
      <c r="D224" s="160"/>
      <c r="E224" s="157" t="e">
        <f>Produtos!BD224</f>
        <v>#DIV/0!</v>
      </c>
      <c r="F224" s="159" t="e">
        <f>Produtos!BE224</f>
        <v>#DIV/0!</v>
      </c>
      <c r="G224" s="158" t="e">
        <f>Produtos!BF224</f>
        <v>#DIV/0!</v>
      </c>
      <c r="H224" s="159">
        <f>Produtos!BL224</f>
        <v>0</v>
      </c>
      <c r="I224" s="157" t="e">
        <f>Produtos!BM224</f>
        <v>#DIV/0!</v>
      </c>
      <c r="J224" s="157" t="e">
        <f>Produtos!BG224</f>
        <v>#DIV/0!</v>
      </c>
      <c r="K224" s="157" t="e">
        <f>Produtos!BH224</f>
        <v>#DIV/0!</v>
      </c>
      <c r="L224" s="157" t="e">
        <f>Produtos!BI224</f>
        <v>#DIV/0!</v>
      </c>
      <c r="M224" s="157" t="e">
        <f>Produtos!BJ224</f>
        <v>#DIV/0!</v>
      </c>
    </row>
    <row r="225" spans="1:13">
      <c r="A225" s="170">
        <f>Produtos!A225</f>
        <v>0</v>
      </c>
      <c r="B225" s="170"/>
      <c r="C225" s="142">
        <f>Produtos!B225</f>
        <v>0</v>
      </c>
      <c r="D225" s="160"/>
      <c r="E225" s="157" t="e">
        <f>Produtos!BD225</f>
        <v>#DIV/0!</v>
      </c>
      <c r="F225" s="159" t="e">
        <f>Produtos!BE225</f>
        <v>#DIV/0!</v>
      </c>
      <c r="G225" s="158" t="e">
        <f>Produtos!BF225</f>
        <v>#DIV/0!</v>
      </c>
      <c r="H225" s="159">
        <f>Produtos!BL225</f>
        <v>0</v>
      </c>
      <c r="I225" s="157" t="e">
        <f>Produtos!BM225</f>
        <v>#DIV/0!</v>
      </c>
      <c r="J225" s="157" t="e">
        <f>Produtos!BG225</f>
        <v>#DIV/0!</v>
      </c>
      <c r="K225" s="157" t="e">
        <f>Produtos!BH225</f>
        <v>#DIV/0!</v>
      </c>
      <c r="L225" s="157" t="e">
        <f>Produtos!BI225</f>
        <v>#DIV/0!</v>
      </c>
      <c r="M225" s="157" t="e">
        <f>Produtos!BJ225</f>
        <v>#DIV/0!</v>
      </c>
    </row>
    <row r="226" spans="1:13">
      <c r="A226" s="170">
        <f>Produtos!A226</f>
        <v>0</v>
      </c>
      <c r="B226" s="170"/>
      <c r="C226" s="142">
        <f>Produtos!B226</f>
        <v>0</v>
      </c>
      <c r="D226" s="160"/>
      <c r="E226" s="157" t="e">
        <f>Produtos!BD226</f>
        <v>#DIV/0!</v>
      </c>
      <c r="F226" s="159" t="e">
        <f>Produtos!BE226</f>
        <v>#DIV/0!</v>
      </c>
      <c r="G226" s="158" t="e">
        <f>Produtos!BF226</f>
        <v>#DIV/0!</v>
      </c>
      <c r="H226" s="159">
        <f>Produtos!BL226</f>
        <v>0</v>
      </c>
      <c r="I226" s="157" t="e">
        <f>Produtos!BM226</f>
        <v>#DIV/0!</v>
      </c>
      <c r="J226" s="157" t="e">
        <f>Produtos!BG226</f>
        <v>#DIV/0!</v>
      </c>
      <c r="K226" s="157" t="e">
        <f>Produtos!BH226</f>
        <v>#DIV/0!</v>
      </c>
      <c r="L226" s="157" t="e">
        <f>Produtos!BI226</f>
        <v>#DIV/0!</v>
      </c>
      <c r="M226" s="157" t="e">
        <f>Produtos!BJ226</f>
        <v>#DIV/0!</v>
      </c>
    </row>
    <row r="227" spans="1:13">
      <c r="A227" s="170">
        <f>Produtos!A227</f>
        <v>0</v>
      </c>
      <c r="B227" s="170"/>
      <c r="C227" s="142">
        <f>Produtos!B227</f>
        <v>0</v>
      </c>
      <c r="D227" s="160"/>
      <c r="E227" s="157" t="e">
        <f>Produtos!BD227</f>
        <v>#DIV/0!</v>
      </c>
      <c r="F227" s="159" t="e">
        <f>Produtos!BE227</f>
        <v>#DIV/0!</v>
      </c>
      <c r="G227" s="158" t="e">
        <f>Produtos!BF227</f>
        <v>#DIV/0!</v>
      </c>
      <c r="H227" s="159">
        <f>Produtos!BL227</f>
        <v>0</v>
      </c>
      <c r="I227" s="157" t="e">
        <f>Produtos!BM227</f>
        <v>#DIV/0!</v>
      </c>
      <c r="J227" s="157" t="e">
        <f>Produtos!BG227</f>
        <v>#DIV/0!</v>
      </c>
      <c r="K227" s="157" t="e">
        <f>Produtos!BH227</f>
        <v>#DIV/0!</v>
      </c>
      <c r="L227" s="157" t="e">
        <f>Produtos!BI227</f>
        <v>#DIV/0!</v>
      </c>
      <c r="M227" s="157" t="e">
        <f>Produtos!BJ227</f>
        <v>#DIV/0!</v>
      </c>
    </row>
    <row r="228" spans="1:13">
      <c r="A228" s="170">
        <f>Produtos!A228</f>
        <v>0</v>
      </c>
      <c r="B228" s="170"/>
      <c r="C228" s="142">
        <f>Produtos!B228</f>
        <v>0</v>
      </c>
      <c r="D228" s="160"/>
      <c r="E228" s="157" t="e">
        <f>Produtos!BD228</f>
        <v>#DIV/0!</v>
      </c>
      <c r="F228" s="159" t="e">
        <f>Produtos!BE228</f>
        <v>#DIV/0!</v>
      </c>
      <c r="G228" s="158" t="e">
        <f>Produtos!BF228</f>
        <v>#DIV/0!</v>
      </c>
      <c r="H228" s="159">
        <f>Produtos!BL228</f>
        <v>0</v>
      </c>
      <c r="I228" s="157" t="e">
        <f>Produtos!BM228</f>
        <v>#DIV/0!</v>
      </c>
      <c r="J228" s="157" t="e">
        <f>Produtos!BG228</f>
        <v>#DIV/0!</v>
      </c>
      <c r="K228" s="157" t="e">
        <f>Produtos!BH228</f>
        <v>#DIV/0!</v>
      </c>
      <c r="L228" s="157" t="e">
        <f>Produtos!BI228</f>
        <v>#DIV/0!</v>
      </c>
      <c r="M228" s="157" t="e">
        <f>Produtos!BJ228</f>
        <v>#DIV/0!</v>
      </c>
    </row>
    <row r="229" spans="1:13">
      <c r="A229" s="170">
        <f>Produtos!A229</f>
        <v>0</v>
      </c>
      <c r="B229" s="170"/>
      <c r="C229" s="142">
        <f>Produtos!B229</f>
        <v>0</v>
      </c>
      <c r="D229" s="160"/>
      <c r="E229" s="157" t="e">
        <f>Produtos!BD229</f>
        <v>#DIV/0!</v>
      </c>
      <c r="F229" s="159" t="e">
        <f>Produtos!BE229</f>
        <v>#DIV/0!</v>
      </c>
      <c r="G229" s="158" t="e">
        <f>Produtos!BF229</f>
        <v>#DIV/0!</v>
      </c>
      <c r="H229" s="159">
        <f>Produtos!BL229</f>
        <v>0</v>
      </c>
      <c r="I229" s="157" t="e">
        <f>Produtos!BM229</f>
        <v>#DIV/0!</v>
      </c>
      <c r="J229" s="157" t="e">
        <f>Produtos!BG229</f>
        <v>#DIV/0!</v>
      </c>
      <c r="K229" s="157" t="e">
        <f>Produtos!BH229</f>
        <v>#DIV/0!</v>
      </c>
      <c r="L229" s="157" t="e">
        <f>Produtos!BI229</f>
        <v>#DIV/0!</v>
      </c>
      <c r="M229" s="157" t="e">
        <f>Produtos!BJ229</f>
        <v>#DIV/0!</v>
      </c>
    </row>
    <row r="230" spans="1:13">
      <c r="A230" s="170">
        <f>Produtos!A230</f>
        <v>0</v>
      </c>
      <c r="B230" s="170"/>
      <c r="C230" s="142">
        <f>Produtos!B230</f>
        <v>0</v>
      </c>
      <c r="D230" s="160"/>
      <c r="E230" s="157" t="e">
        <f>Produtos!BD230</f>
        <v>#DIV/0!</v>
      </c>
      <c r="F230" s="159" t="e">
        <f>Produtos!BE230</f>
        <v>#DIV/0!</v>
      </c>
      <c r="G230" s="158" t="e">
        <f>Produtos!BF230</f>
        <v>#DIV/0!</v>
      </c>
      <c r="H230" s="159">
        <f>Produtos!BL230</f>
        <v>0</v>
      </c>
      <c r="I230" s="157" t="e">
        <f>Produtos!BM230</f>
        <v>#DIV/0!</v>
      </c>
      <c r="J230" s="157" t="e">
        <f>Produtos!BG230</f>
        <v>#DIV/0!</v>
      </c>
      <c r="K230" s="157" t="e">
        <f>Produtos!BH230</f>
        <v>#DIV/0!</v>
      </c>
      <c r="L230" s="157" t="e">
        <f>Produtos!BI230</f>
        <v>#DIV/0!</v>
      </c>
      <c r="M230" s="157" t="e">
        <f>Produtos!BJ230</f>
        <v>#DIV/0!</v>
      </c>
    </row>
    <row r="231" spans="1:13">
      <c r="A231" s="170">
        <f>Produtos!A231</f>
        <v>0</v>
      </c>
      <c r="B231" s="170"/>
      <c r="C231" s="142">
        <f>Produtos!B231</f>
        <v>0</v>
      </c>
      <c r="D231" s="160"/>
      <c r="E231" s="157" t="e">
        <f>Produtos!BD231</f>
        <v>#DIV/0!</v>
      </c>
      <c r="F231" s="159" t="e">
        <f>Produtos!BE231</f>
        <v>#DIV/0!</v>
      </c>
      <c r="G231" s="158" t="e">
        <f>Produtos!BF231</f>
        <v>#DIV/0!</v>
      </c>
      <c r="H231" s="159">
        <f>Produtos!BL231</f>
        <v>0</v>
      </c>
      <c r="I231" s="157" t="e">
        <f>Produtos!BM231</f>
        <v>#DIV/0!</v>
      </c>
      <c r="J231" s="157" t="e">
        <f>Produtos!BG231</f>
        <v>#DIV/0!</v>
      </c>
      <c r="K231" s="157" t="e">
        <f>Produtos!BH231</f>
        <v>#DIV/0!</v>
      </c>
      <c r="L231" s="157" t="e">
        <f>Produtos!BI231</f>
        <v>#DIV/0!</v>
      </c>
      <c r="M231" s="157" t="e">
        <f>Produtos!BJ231</f>
        <v>#DIV/0!</v>
      </c>
    </row>
    <row r="232" spans="1:13">
      <c r="A232" s="170">
        <f>Produtos!A232</f>
        <v>0</v>
      </c>
      <c r="B232" s="170"/>
      <c r="C232" s="142">
        <f>Produtos!B232</f>
        <v>0</v>
      </c>
      <c r="D232" s="160"/>
      <c r="E232" s="157" t="e">
        <f>Produtos!BD232</f>
        <v>#DIV/0!</v>
      </c>
      <c r="F232" s="159" t="e">
        <f>Produtos!BE232</f>
        <v>#DIV/0!</v>
      </c>
      <c r="G232" s="158" t="e">
        <f>Produtos!BF232</f>
        <v>#DIV/0!</v>
      </c>
      <c r="H232" s="159">
        <f>Produtos!BL232</f>
        <v>0</v>
      </c>
      <c r="I232" s="157" t="e">
        <f>Produtos!BM232</f>
        <v>#DIV/0!</v>
      </c>
      <c r="J232" s="157" t="e">
        <f>Produtos!BG232</f>
        <v>#DIV/0!</v>
      </c>
      <c r="K232" s="157" t="e">
        <f>Produtos!BH232</f>
        <v>#DIV/0!</v>
      </c>
      <c r="L232" s="157" t="e">
        <f>Produtos!BI232</f>
        <v>#DIV/0!</v>
      </c>
      <c r="M232" s="157" t="e">
        <f>Produtos!BJ232</f>
        <v>#DIV/0!</v>
      </c>
    </row>
    <row r="233" spans="1:13">
      <c r="A233" s="170">
        <f>Produtos!A233</f>
        <v>0</v>
      </c>
      <c r="B233" s="170"/>
      <c r="C233" s="142">
        <f>Produtos!B233</f>
        <v>0</v>
      </c>
      <c r="D233" s="160"/>
      <c r="E233" s="157" t="e">
        <f>Produtos!BD233</f>
        <v>#DIV/0!</v>
      </c>
      <c r="F233" s="159" t="e">
        <f>Produtos!BE233</f>
        <v>#DIV/0!</v>
      </c>
      <c r="G233" s="158" t="e">
        <f>Produtos!BF233</f>
        <v>#DIV/0!</v>
      </c>
      <c r="H233" s="159">
        <f>Produtos!BL233</f>
        <v>0</v>
      </c>
      <c r="I233" s="157" t="e">
        <f>Produtos!BM233</f>
        <v>#DIV/0!</v>
      </c>
      <c r="J233" s="157" t="e">
        <f>Produtos!BG233</f>
        <v>#DIV/0!</v>
      </c>
      <c r="K233" s="157" t="e">
        <f>Produtos!BH233</f>
        <v>#DIV/0!</v>
      </c>
      <c r="L233" s="157" t="e">
        <f>Produtos!BI233</f>
        <v>#DIV/0!</v>
      </c>
      <c r="M233" s="157" t="e">
        <f>Produtos!BJ233</f>
        <v>#DIV/0!</v>
      </c>
    </row>
    <row r="234" spans="1:13">
      <c r="A234" s="170">
        <f>Produtos!A234</f>
        <v>0</v>
      </c>
      <c r="B234" s="170"/>
      <c r="C234" s="142">
        <f>Produtos!B234</f>
        <v>0</v>
      </c>
      <c r="D234" s="160"/>
      <c r="E234" s="157" t="e">
        <f>Produtos!BD234</f>
        <v>#DIV/0!</v>
      </c>
      <c r="F234" s="159" t="e">
        <f>Produtos!BE234</f>
        <v>#DIV/0!</v>
      </c>
      <c r="G234" s="158" t="e">
        <f>Produtos!BF234</f>
        <v>#DIV/0!</v>
      </c>
      <c r="H234" s="159">
        <f>Produtos!BL234</f>
        <v>0</v>
      </c>
      <c r="I234" s="157" t="e">
        <f>Produtos!BM234</f>
        <v>#DIV/0!</v>
      </c>
      <c r="J234" s="157" t="e">
        <f>Produtos!BG234</f>
        <v>#DIV/0!</v>
      </c>
      <c r="K234" s="157" t="e">
        <f>Produtos!BH234</f>
        <v>#DIV/0!</v>
      </c>
      <c r="L234" s="157" t="e">
        <f>Produtos!BI234</f>
        <v>#DIV/0!</v>
      </c>
      <c r="M234" s="157" t="e">
        <f>Produtos!BJ234</f>
        <v>#DIV/0!</v>
      </c>
    </row>
    <row r="235" spans="1:13">
      <c r="A235" s="170">
        <f>Produtos!A235</f>
        <v>0</v>
      </c>
      <c r="B235" s="170"/>
      <c r="C235" s="142">
        <f>Produtos!B235</f>
        <v>0</v>
      </c>
      <c r="D235" s="160"/>
      <c r="E235" s="157" t="e">
        <f>Produtos!BD235</f>
        <v>#DIV/0!</v>
      </c>
      <c r="F235" s="159" t="e">
        <f>Produtos!BE235</f>
        <v>#DIV/0!</v>
      </c>
      <c r="G235" s="158" t="e">
        <f>Produtos!BF235</f>
        <v>#DIV/0!</v>
      </c>
      <c r="H235" s="159">
        <f>Produtos!BL235</f>
        <v>0</v>
      </c>
      <c r="I235" s="157" t="e">
        <f>Produtos!BM235</f>
        <v>#DIV/0!</v>
      </c>
      <c r="J235" s="157" t="e">
        <f>Produtos!BG235</f>
        <v>#DIV/0!</v>
      </c>
      <c r="K235" s="157" t="e">
        <f>Produtos!BH235</f>
        <v>#DIV/0!</v>
      </c>
      <c r="L235" s="157" t="e">
        <f>Produtos!BI235</f>
        <v>#DIV/0!</v>
      </c>
      <c r="M235" s="157" t="e">
        <f>Produtos!BJ235</f>
        <v>#DIV/0!</v>
      </c>
    </row>
    <row r="236" spans="1:13">
      <c r="A236" s="170">
        <f>Produtos!A236</f>
        <v>0</v>
      </c>
      <c r="B236" s="170"/>
      <c r="C236" s="142">
        <f>Produtos!B236</f>
        <v>0</v>
      </c>
      <c r="D236" s="160"/>
      <c r="E236" s="157" t="e">
        <f>Produtos!BD236</f>
        <v>#DIV/0!</v>
      </c>
      <c r="F236" s="159" t="e">
        <f>Produtos!BE236</f>
        <v>#DIV/0!</v>
      </c>
      <c r="G236" s="158" t="e">
        <f>Produtos!BF236</f>
        <v>#DIV/0!</v>
      </c>
      <c r="H236" s="159">
        <f>Produtos!BL236</f>
        <v>0</v>
      </c>
      <c r="I236" s="157" t="e">
        <f>Produtos!BM236</f>
        <v>#DIV/0!</v>
      </c>
      <c r="J236" s="157" t="e">
        <f>Produtos!BG236</f>
        <v>#DIV/0!</v>
      </c>
      <c r="K236" s="157" t="e">
        <f>Produtos!BH236</f>
        <v>#DIV/0!</v>
      </c>
      <c r="L236" s="157" t="e">
        <f>Produtos!BI236</f>
        <v>#DIV/0!</v>
      </c>
      <c r="M236" s="157" t="e">
        <f>Produtos!BJ236</f>
        <v>#DIV/0!</v>
      </c>
    </row>
    <row r="237" spans="1:13">
      <c r="A237" s="170">
        <f>Produtos!A237</f>
        <v>0</v>
      </c>
      <c r="B237" s="170"/>
      <c r="C237" s="142">
        <f>Produtos!B237</f>
        <v>0</v>
      </c>
      <c r="D237" s="160"/>
      <c r="E237" s="157" t="e">
        <f>Produtos!BD237</f>
        <v>#DIV/0!</v>
      </c>
      <c r="F237" s="159" t="e">
        <f>Produtos!BE237</f>
        <v>#DIV/0!</v>
      </c>
      <c r="G237" s="158" t="e">
        <f>Produtos!BF237</f>
        <v>#DIV/0!</v>
      </c>
      <c r="H237" s="159">
        <f>Produtos!BL237</f>
        <v>0</v>
      </c>
      <c r="I237" s="157" t="e">
        <f>Produtos!BM237</f>
        <v>#DIV/0!</v>
      </c>
      <c r="J237" s="157" t="e">
        <f>Produtos!BG237</f>
        <v>#DIV/0!</v>
      </c>
      <c r="K237" s="157" t="e">
        <f>Produtos!BH237</f>
        <v>#DIV/0!</v>
      </c>
      <c r="L237" s="157" t="e">
        <f>Produtos!BI237</f>
        <v>#DIV/0!</v>
      </c>
      <c r="M237" s="157" t="e">
        <f>Produtos!BJ237</f>
        <v>#DIV/0!</v>
      </c>
    </row>
    <row r="238" spans="1:13">
      <c r="A238" s="170">
        <f>Produtos!A238</f>
        <v>0</v>
      </c>
      <c r="B238" s="170"/>
      <c r="C238" s="142">
        <f>Produtos!B238</f>
        <v>0</v>
      </c>
      <c r="D238" s="160"/>
      <c r="E238" s="157" t="e">
        <f>Produtos!BD238</f>
        <v>#DIV/0!</v>
      </c>
      <c r="F238" s="159" t="e">
        <f>Produtos!BE238</f>
        <v>#DIV/0!</v>
      </c>
      <c r="G238" s="158" t="e">
        <f>Produtos!BF238</f>
        <v>#DIV/0!</v>
      </c>
      <c r="H238" s="159">
        <f>Produtos!BL238</f>
        <v>0</v>
      </c>
      <c r="I238" s="157" t="e">
        <f>Produtos!BM238</f>
        <v>#DIV/0!</v>
      </c>
      <c r="J238" s="157" t="e">
        <f>Produtos!BG238</f>
        <v>#DIV/0!</v>
      </c>
      <c r="K238" s="157" t="e">
        <f>Produtos!BH238</f>
        <v>#DIV/0!</v>
      </c>
      <c r="L238" s="157" t="e">
        <f>Produtos!BI238</f>
        <v>#DIV/0!</v>
      </c>
      <c r="M238" s="157" t="e">
        <f>Produtos!BJ238</f>
        <v>#DIV/0!</v>
      </c>
    </row>
    <row r="239" spans="1:13">
      <c r="A239" s="170">
        <f>Produtos!A239</f>
        <v>0</v>
      </c>
      <c r="B239" s="170"/>
      <c r="C239" s="142">
        <f>Produtos!B239</f>
        <v>0</v>
      </c>
      <c r="D239" s="160"/>
      <c r="E239" s="157" t="e">
        <f>Produtos!BD239</f>
        <v>#DIV/0!</v>
      </c>
      <c r="F239" s="159" t="e">
        <f>Produtos!BE239</f>
        <v>#DIV/0!</v>
      </c>
      <c r="G239" s="158" t="e">
        <f>Produtos!BF239</f>
        <v>#DIV/0!</v>
      </c>
      <c r="H239" s="159">
        <f>Produtos!BL239</f>
        <v>0</v>
      </c>
      <c r="I239" s="157" t="e">
        <f>Produtos!BM239</f>
        <v>#DIV/0!</v>
      </c>
      <c r="J239" s="157" t="e">
        <f>Produtos!BG239</f>
        <v>#DIV/0!</v>
      </c>
      <c r="K239" s="157" t="e">
        <f>Produtos!BH239</f>
        <v>#DIV/0!</v>
      </c>
      <c r="L239" s="157" t="e">
        <f>Produtos!BI239</f>
        <v>#DIV/0!</v>
      </c>
      <c r="M239" s="157" t="e">
        <f>Produtos!BJ239</f>
        <v>#DIV/0!</v>
      </c>
    </row>
    <row r="240" spans="1:13">
      <c r="A240" s="170">
        <f>Produtos!A240</f>
        <v>0</v>
      </c>
      <c r="B240" s="170"/>
      <c r="C240" s="142">
        <f>Produtos!B240</f>
        <v>0</v>
      </c>
      <c r="D240" s="160"/>
      <c r="E240" s="157" t="e">
        <f>Produtos!BD240</f>
        <v>#DIV/0!</v>
      </c>
      <c r="F240" s="159" t="e">
        <f>Produtos!BE240</f>
        <v>#DIV/0!</v>
      </c>
      <c r="G240" s="158" t="e">
        <f>Produtos!BF240</f>
        <v>#DIV/0!</v>
      </c>
      <c r="H240" s="159">
        <f>Produtos!BL240</f>
        <v>0</v>
      </c>
      <c r="I240" s="157" t="e">
        <f>Produtos!BM240</f>
        <v>#DIV/0!</v>
      </c>
      <c r="J240" s="157" t="e">
        <f>Produtos!BG240</f>
        <v>#DIV/0!</v>
      </c>
      <c r="K240" s="157" t="e">
        <f>Produtos!BH240</f>
        <v>#DIV/0!</v>
      </c>
      <c r="L240" s="157" t="e">
        <f>Produtos!BI240</f>
        <v>#DIV/0!</v>
      </c>
      <c r="M240" s="157" t="e">
        <f>Produtos!BJ240</f>
        <v>#DIV/0!</v>
      </c>
    </row>
    <row r="241" spans="1:13">
      <c r="A241" s="170">
        <f>Produtos!A241</f>
        <v>0</v>
      </c>
      <c r="B241" s="170"/>
      <c r="C241" s="142">
        <f>Produtos!B241</f>
        <v>0</v>
      </c>
      <c r="D241" s="160"/>
      <c r="E241" s="157" t="e">
        <f>Produtos!BD241</f>
        <v>#DIV/0!</v>
      </c>
      <c r="F241" s="159" t="e">
        <f>Produtos!BE241</f>
        <v>#DIV/0!</v>
      </c>
      <c r="G241" s="158" t="e">
        <f>Produtos!BF241</f>
        <v>#DIV/0!</v>
      </c>
      <c r="H241" s="159">
        <f>Produtos!BL241</f>
        <v>0</v>
      </c>
      <c r="I241" s="157" t="e">
        <f>Produtos!BM241</f>
        <v>#DIV/0!</v>
      </c>
      <c r="J241" s="157" t="e">
        <f>Produtos!BG241</f>
        <v>#DIV/0!</v>
      </c>
      <c r="K241" s="157" t="e">
        <f>Produtos!BH241</f>
        <v>#DIV/0!</v>
      </c>
      <c r="L241" s="157" t="e">
        <f>Produtos!BI241</f>
        <v>#DIV/0!</v>
      </c>
      <c r="M241" s="157" t="e">
        <f>Produtos!BJ241</f>
        <v>#DIV/0!</v>
      </c>
    </row>
    <row r="242" spans="1:13">
      <c r="A242" s="170">
        <f>Produtos!A242</f>
        <v>0</v>
      </c>
      <c r="B242" s="170"/>
      <c r="C242" s="142">
        <f>Produtos!B242</f>
        <v>0</v>
      </c>
      <c r="D242" s="160"/>
      <c r="E242" s="157" t="e">
        <f>Produtos!BD242</f>
        <v>#DIV/0!</v>
      </c>
      <c r="F242" s="159" t="e">
        <f>Produtos!BE242</f>
        <v>#DIV/0!</v>
      </c>
      <c r="G242" s="158" t="e">
        <f>Produtos!BF242</f>
        <v>#DIV/0!</v>
      </c>
      <c r="H242" s="159">
        <f>Produtos!BL242</f>
        <v>0</v>
      </c>
      <c r="I242" s="157" t="e">
        <f>Produtos!BM242</f>
        <v>#DIV/0!</v>
      </c>
      <c r="J242" s="157" t="e">
        <f>Produtos!BG242</f>
        <v>#DIV/0!</v>
      </c>
      <c r="K242" s="157" t="e">
        <f>Produtos!BH242</f>
        <v>#DIV/0!</v>
      </c>
      <c r="L242" s="157" t="e">
        <f>Produtos!BI242</f>
        <v>#DIV/0!</v>
      </c>
      <c r="M242" s="157" t="e">
        <f>Produtos!BJ242</f>
        <v>#DIV/0!</v>
      </c>
    </row>
    <row r="243" spans="1:13">
      <c r="A243" s="170">
        <f>Produtos!A243</f>
        <v>0</v>
      </c>
      <c r="B243" s="170"/>
      <c r="C243" s="142">
        <f>Produtos!B243</f>
        <v>0</v>
      </c>
      <c r="D243" s="160"/>
      <c r="E243" s="157" t="e">
        <f>Produtos!BD243</f>
        <v>#DIV/0!</v>
      </c>
      <c r="F243" s="159" t="e">
        <f>Produtos!BE243</f>
        <v>#DIV/0!</v>
      </c>
      <c r="G243" s="158" t="e">
        <f>Produtos!BF243</f>
        <v>#DIV/0!</v>
      </c>
      <c r="H243" s="159">
        <f>Produtos!BL243</f>
        <v>0</v>
      </c>
      <c r="I243" s="157" t="e">
        <f>Produtos!BM243</f>
        <v>#DIV/0!</v>
      </c>
      <c r="J243" s="157" t="e">
        <f>Produtos!BG243</f>
        <v>#DIV/0!</v>
      </c>
      <c r="K243" s="157" t="e">
        <f>Produtos!BH243</f>
        <v>#DIV/0!</v>
      </c>
      <c r="L243" s="157" t="e">
        <f>Produtos!BI243</f>
        <v>#DIV/0!</v>
      </c>
      <c r="M243" s="157" t="e">
        <f>Produtos!BJ243</f>
        <v>#DIV/0!</v>
      </c>
    </row>
    <row r="244" spans="1:13">
      <c r="A244" s="170">
        <f>Produtos!A244</f>
        <v>0</v>
      </c>
      <c r="B244" s="170"/>
      <c r="C244" s="142">
        <f>Produtos!B244</f>
        <v>0</v>
      </c>
      <c r="D244" s="160"/>
      <c r="E244" s="157" t="e">
        <f>Produtos!BD244</f>
        <v>#DIV/0!</v>
      </c>
      <c r="F244" s="159" t="e">
        <f>Produtos!BE244</f>
        <v>#DIV/0!</v>
      </c>
      <c r="G244" s="158" t="e">
        <f>Produtos!BF244</f>
        <v>#DIV/0!</v>
      </c>
      <c r="H244" s="159">
        <f>Produtos!BL244</f>
        <v>0</v>
      </c>
      <c r="I244" s="157" t="e">
        <f>Produtos!BM244</f>
        <v>#DIV/0!</v>
      </c>
      <c r="J244" s="157" t="e">
        <f>Produtos!BG244</f>
        <v>#DIV/0!</v>
      </c>
      <c r="K244" s="157" t="e">
        <f>Produtos!BH244</f>
        <v>#DIV/0!</v>
      </c>
      <c r="L244" s="157" t="e">
        <f>Produtos!BI244</f>
        <v>#DIV/0!</v>
      </c>
      <c r="M244" s="157" t="e">
        <f>Produtos!BJ244</f>
        <v>#DIV/0!</v>
      </c>
    </row>
    <row r="245" spans="1:13">
      <c r="A245" s="170">
        <f>Produtos!A245</f>
        <v>0</v>
      </c>
      <c r="B245" s="170"/>
      <c r="C245" s="142">
        <f>Produtos!B245</f>
        <v>0</v>
      </c>
      <c r="D245" s="160"/>
      <c r="E245" s="157" t="e">
        <f>Produtos!BD245</f>
        <v>#DIV/0!</v>
      </c>
      <c r="F245" s="159" t="e">
        <f>Produtos!BE245</f>
        <v>#DIV/0!</v>
      </c>
      <c r="G245" s="158" t="e">
        <f>Produtos!BF245</f>
        <v>#DIV/0!</v>
      </c>
      <c r="H245" s="159">
        <f>Produtos!BL245</f>
        <v>0</v>
      </c>
      <c r="I245" s="157" t="e">
        <f>Produtos!BM245</f>
        <v>#DIV/0!</v>
      </c>
      <c r="J245" s="157" t="e">
        <f>Produtos!BG245</f>
        <v>#DIV/0!</v>
      </c>
      <c r="K245" s="157" t="e">
        <f>Produtos!BH245</f>
        <v>#DIV/0!</v>
      </c>
      <c r="L245" s="157" t="e">
        <f>Produtos!BI245</f>
        <v>#DIV/0!</v>
      </c>
      <c r="M245" s="157" t="e">
        <f>Produtos!BJ245</f>
        <v>#DIV/0!</v>
      </c>
    </row>
    <row r="246" spans="1:13">
      <c r="A246" s="170">
        <f>Produtos!A246</f>
        <v>0</v>
      </c>
      <c r="B246" s="170"/>
      <c r="C246" s="142">
        <f>Produtos!B246</f>
        <v>0</v>
      </c>
      <c r="D246" s="160"/>
      <c r="E246" s="157" t="e">
        <f>Produtos!BD246</f>
        <v>#DIV/0!</v>
      </c>
      <c r="F246" s="159" t="e">
        <f>Produtos!BE246</f>
        <v>#DIV/0!</v>
      </c>
      <c r="G246" s="158" t="e">
        <f>Produtos!BF246</f>
        <v>#DIV/0!</v>
      </c>
      <c r="H246" s="159">
        <f>Produtos!BL246</f>
        <v>0</v>
      </c>
      <c r="I246" s="157" t="e">
        <f>Produtos!BM246</f>
        <v>#DIV/0!</v>
      </c>
      <c r="J246" s="157" t="e">
        <f>Produtos!BG246</f>
        <v>#DIV/0!</v>
      </c>
      <c r="K246" s="157" t="e">
        <f>Produtos!BH246</f>
        <v>#DIV/0!</v>
      </c>
      <c r="L246" s="157" t="e">
        <f>Produtos!BI246</f>
        <v>#DIV/0!</v>
      </c>
      <c r="M246" s="157" t="e">
        <f>Produtos!BJ246</f>
        <v>#DIV/0!</v>
      </c>
    </row>
    <row r="247" spans="1:13">
      <c r="A247" s="170">
        <f>Produtos!A247</f>
        <v>0</v>
      </c>
      <c r="B247" s="170"/>
      <c r="C247" s="142">
        <f>Produtos!B247</f>
        <v>0</v>
      </c>
      <c r="D247" s="160"/>
      <c r="E247" s="157" t="e">
        <f>Produtos!BD247</f>
        <v>#DIV/0!</v>
      </c>
      <c r="F247" s="159" t="e">
        <f>Produtos!BE247</f>
        <v>#DIV/0!</v>
      </c>
      <c r="G247" s="158" t="e">
        <f>Produtos!BF247</f>
        <v>#DIV/0!</v>
      </c>
      <c r="H247" s="159">
        <f>Produtos!BL247</f>
        <v>0</v>
      </c>
      <c r="I247" s="157" t="e">
        <f>Produtos!BM247</f>
        <v>#DIV/0!</v>
      </c>
      <c r="J247" s="157" t="e">
        <f>Produtos!BG247</f>
        <v>#DIV/0!</v>
      </c>
      <c r="K247" s="157" t="e">
        <f>Produtos!BH247</f>
        <v>#DIV/0!</v>
      </c>
      <c r="L247" s="157" t="e">
        <f>Produtos!BI247</f>
        <v>#DIV/0!</v>
      </c>
      <c r="M247" s="157" t="e">
        <f>Produtos!BJ247</f>
        <v>#DIV/0!</v>
      </c>
    </row>
    <row r="248" spans="1:13">
      <c r="A248" s="170">
        <f>Produtos!A248</f>
        <v>0</v>
      </c>
      <c r="B248" s="170"/>
      <c r="C248" s="142">
        <f>Produtos!B248</f>
        <v>0</v>
      </c>
      <c r="D248" s="160"/>
      <c r="E248" s="157" t="e">
        <f>Produtos!BD248</f>
        <v>#DIV/0!</v>
      </c>
      <c r="F248" s="159" t="e">
        <f>Produtos!BE248</f>
        <v>#DIV/0!</v>
      </c>
      <c r="G248" s="158" t="e">
        <f>Produtos!BF248</f>
        <v>#DIV/0!</v>
      </c>
      <c r="H248" s="159">
        <f>Produtos!BL248</f>
        <v>0</v>
      </c>
      <c r="I248" s="157" t="e">
        <f>Produtos!BM248</f>
        <v>#DIV/0!</v>
      </c>
      <c r="J248" s="157" t="e">
        <f>Produtos!BG248</f>
        <v>#DIV/0!</v>
      </c>
      <c r="K248" s="157" t="e">
        <f>Produtos!BH248</f>
        <v>#DIV/0!</v>
      </c>
      <c r="L248" s="157" t="e">
        <f>Produtos!BI248</f>
        <v>#DIV/0!</v>
      </c>
      <c r="M248" s="157" t="e">
        <f>Produtos!BJ248</f>
        <v>#DIV/0!</v>
      </c>
    </row>
    <row r="249" spans="1:13">
      <c r="A249" s="170">
        <f>Produtos!A249</f>
        <v>0</v>
      </c>
      <c r="B249" s="170"/>
      <c r="C249" s="142">
        <f>Produtos!B249</f>
        <v>0</v>
      </c>
      <c r="D249" s="160"/>
      <c r="E249" s="157" t="e">
        <f>Produtos!BD249</f>
        <v>#DIV/0!</v>
      </c>
      <c r="F249" s="159" t="e">
        <f>Produtos!BE249</f>
        <v>#DIV/0!</v>
      </c>
      <c r="G249" s="158" t="e">
        <f>Produtos!BF249</f>
        <v>#DIV/0!</v>
      </c>
      <c r="H249" s="159">
        <f>Produtos!BL249</f>
        <v>0</v>
      </c>
      <c r="I249" s="157" t="e">
        <f>Produtos!BM249</f>
        <v>#DIV/0!</v>
      </c>
      <c r="J249" s="157" t="e">
        <f>Produtos!BG249</f>
        <v>#DIV/0!</v>
      </c>
      <c r="K249" s="157" t="e">
        <f>Produtos!BH249</f>
        <v>#DIV/0!</v>
      </c>
      <c r="L249" s="157" t="e">
        <f>Produtos!BI249</f>
        <v>#DIV/0!</v>
      </c>
      <c r="M249" s="157" t="e">
        <f>Produtos!BJ249</f>
        <v>#DIV/0!</v>
      </c>
    </row>
    <row r="250" spans="1:13">
      <c r="A250" s="170">
        <f>Produtos!A250</f>
        <v>0</v>
      </c>
      <c r="B250" s="170"/>
      <c r="C250" s="142">
        <f>Produtos!B250</f>
        <v>0</v>
      </c>
      <c r="D250" s="160"/>
      <c r="E250" s="157" t="e">
        <f>Produtos!BD250</f>
        <v>#DIV/0!</v>
      </c>
      <c r="F250" s="159" t="e">
        <f>Produtos!BE250</f>
        <v>#DIV/0!</v>
      </c>
      <c r="G250" s="158" t="e">
        <f>Produtos!BF250</f>
        <v>#DIV/0!</v>
      </c>
      <c r="H250" s="159">
        <f>Produtos!BL250</f>
        <v>0</v>
      </c>
      <c r="I250" s="157" t="e">
        <f>Produtos!BM250</f>
        <v>#DIV/0!</v>
      </c>
      <c r="J250" s="157" t="e">
        <f>Produtos!BG250</f>
        <v>#DIV/0!</v>
      </c>
      <c r="K250" s="157" t="e">
        <f>Produtos!BH250</f>
        <v>#DIV/0!</v>
      </c>
      <c r="L250" s="157" t="e">
        <f>Produtos!BI250</f>
        <v>#DIV/0!</v>
      </c>
      <c r="M250" s="157" t="e">
        <f>Produtos!BJ250</f>
        <v>#DIV/0!</v>
      </c>
    </row>
    <row r="251" spans="1:13">
      <c r="A251" s="170">
        <f>Produtos!A251</f>
        <v>0</v>
      </c>
      <c r="B251" s="170"/>
      <c r="C251" s="142">
        <f>Produtos!B251</f>
        <v>0</v>
      </c>
      <c r="D251" s="160"/>
      <c r="E251" s="157" t="e">
        <f>Produtos!BD251</f>
        <v>#DIV/0!</v>
      </c>
      <c r="F251" s="159" t="e">
        <f>Produtos!BE251</f>
        <v>#DIV/0!</v>
      </c>
      <c r="G251" s="158" t="e">
        <f>Produtos!BF251</f>
        <v>#DIV/0!</v>
      </c>
      <c r="H251" s="159">
        <f>Produtos!BL251</f>
        <v>0</v>
      </c>
      <c r="I251" s="157" t="e">
        <f>Produtos!BM251</f>
        <v>#DIV/0!</v>
      </c>
      <c r="J251" s="157" t="e">
        <f>Produtos!BG251</f>
        <v>#DIV/0!</v>
      </c>
      <c r="K251" s="157" t="e">
        <f>Produtos!BH251</f>
        <v>#DIV/0!</v>
      </c>
      <c r="L251" s="157" t="e">
        <f>Produtos!BI251</f>
        <v>#DIV/0!</v>
      </c>
      <c r="M251" s="157" t="e">
        <f>Produtos!BJ251</f>
        <v>#DIV/0!</v>
      </c>
    </row>
    <row r="252" spans="1:13">
      <c r="A252" s="170">
        <f>Produtos!A252</f>
        <v>0</v>
      </c>
      <c r="B252" s="170"/>
      <c r="C252" s="142">
        <f>Produtos!B252</f>
        <v>0</v>
      </c>
      <c r="D252" s="160"/>
      <c r="E252" s="157" t="e">
        <f>Produtos!BD252</f>
        <v>#DIV/0!</v>
      </c>
      <c r="F252" s="159" t="e">
        <f>Produtos!BE252</f>
        <v>#DIV/0!</v>
      </c>
      <c r="G252" s="158" t="e">
        <f>Produtos!BF252</f>
        <v>#DIV/0!</v>
      </c>
      <c r="H252" s="159">
        <f>Produtos!BL252</f>
        <v>0</v>
      </c>
      <c r="I252" s="157" t="e">
        <f>Produtos!BM252</f>
        <v>#DIV/0!</v>
      </c>
      <c r="J252" s="157" t="e">
        <f>Produtos!BG252</f>
        <v>#DIV/0!</v>
      </c>
      <c r="K252" s="157" t="e">
        <f>Produtos!BH252</f>
        <v>#DIV/0!</v>
      </c>
      <c r="L252" s="157" t="e">
        <f>Produtos!BI252</f>
        <v>#DIV/0!</v>
      </c>
      <c r="M252" s="157" t="e">
        <f>Produtos!BJ252</f>
        <v>#DIV/0!</v>
      </c>
    </row>
    <row r="253" spans="1:13">
      <c r="A253" s="170">
        <f>Produtos!A253</f>
        <v>0</v>
      </c>
      <c r="B253" s="170"/>
      <c r="C253" s="142">
        <f>Produtos!B253</f>
        <v>0</v>
      </c>
      <c r="D253" s="160"/>
      <c r="E253" s="157" t="e">
        <f>Produtos!BD253</f>
        <v>#DIV/0!</v>
      </c>
      <c r="F253" s="159" t="e">
        <f>Produtos!BE253</f>
        <v>#DIV/0!</v>
      </c>
      <c r="G253" s="158" t="e">
        <f>Produtos!BF253</f>
        <v>#DIV/0!</v>
      </c>
      <c r="H253" s="159">
        <f>Produtos!BL253</f>
        <v>0</v>
      </c>
      <c r="I253" s="157" t="e">
        <f>Produtos!BM253</f>
        <v>#DIV/0!</v>
      </c>
      <c r="J253" s="157" t="e">
        <f>Produtos!BG253</f>
        <v>#DIV/0!</v>
      </c>
      <c r="K253" s="157" t="e">
        <f>Produtos!BH253</f>
        <v>#DIV/0!</v>
      </c>
      <c r="L253" s="157" t="e">
        <f>Produtos!BI253</f>
        <v>#DIV/0!</v>
      </c>
      <c r="M253" s="157" t="e">
        <f>Produtos!BJ253</f>
        <v>#DIV/0!</v>
      </c>
    </row>
    <row r="254" spans="1:13">
      <c r="A254" s="170">
        <f>Produtos!A254</f>
        <v>0</v>
      </c>
      <c r="B254" s="170"/>
      <c r="C254" s="142">
        <f>Produtos!B254</f>
        <v>0</v>
      </c>
      <c r="D254" s="160"/>
      <c r="E254" s="157" t="e">
        <f>Produtos!BD254</f>
        <v>#DIV/0!</v>
      </c>
      <c r="F254" s="159" t="e">
        <f>Produtos!BE254</f>
        <v>#DIV/0!</v>
      </c>
      <c r="G254" s="158" t="e">
        <f>Produtos!BF254</f>
        <v>#DIV/0!</v>
      </c>
      <c r="H254" s="159">
        <f>Produtos!BL254</f>
        <v>0</v>
      </c>
      <c r="I254" s="157" t="e">
        <f>Produtos!BM254</f>
        <v>#DIV/0!</v>
      </c>
      <c r="J254" s="157" t="e">
        <f>Produtos!BG254</f>
        <v>#DIV/0!</v>
      </c>
      <c r="K254" s="157" t="e">
        <f>Produtos!BH254</f>
        <v>#DIV/0!</v>
      </c>
      <c r="L254" s="157" t="e">
        <f>Produtos!BI254</f>
        <v>#DIV/0!</v>
      </c>
      <c r="M254" s="157" t="e">
        <f>Produtos!BJ254</f>
        <v>#DIV/0!</v>
      </c>
    </row>
    <row r="255" spans="1:13">
      <c r="A255" s="170">
        <f>Produtos!A255</f>
        <v>0</v>
      </c>
      <c r="B255" s="170"/>
      <c r="C255" s="142">
        <f>Produtos!B255</f>
        <v>0</v>
      </c>
      <c r="D255" s="160"/>
      <c r="E255" s="157" t="e">
        <f>Produtos!BD255</f>
        <v>#DIV/0!</v>
      </c>
      <c r="F255" s="159" t="e">
        <f>Produtos!BE255</f>
        <v>#DIV/0!</v>
      </c>
      <c r="G255" s="158" t="e">
        <f>Produtos!BF255</f>
        <v>#DIV/0!</v>
      </c>
      <c r="H255" s="159">
        <f>Produtos!BL255</f>
        <v>0</v>
      </c>
      <c r="I255" s="157" t="e">
        <f>Produtos!BM255</f>
        <v>#DIV/0!</v>
      </c>
      <c r="J255" s="157" t="e">
        <f>Produtos!BG255</f>
        <v>#DIV/0!</v>
      </c>
      <c r="K255" s="157" t="e">
        <f>Produtos!BH255</f>
        <v>#DIV/0!</v>
      </c>
      <c r="L255" s="157" t="e">
        <f>Produtos!BI255</f>
        <v>#DIV/0!</v>
      </c>
      <c r="M255" s="157" t="e">
        <f>Produtos!BJ255</f>
        <v>#DIV/0!</v>
      </c>
    </row>
    <row r="256" spans="1:13">
      <c r="A256" s="170">
        <f>Produtos!A256</f>
        <v>0</v>
      </c>
      <c r="B256" s="170"/>
      <c r="C256" s="142">
        <f>Produtos!B256</f>
        <v>0</v>
      </c>
      <c r="D256" s="160"/>
      <c r="E256" s="157" t="e">
        <f>Produtos!BD256</f>
        <v>#DIV/0!</v>
      </c>
      <c r="F256" s="159" t="e">
        <f>Produtos!BE256</f>
        <v>#DIV/0!</v>
      </c>
      <c r="G256" s="158" t="e">
        <f>Produtos!BF256</f>
        <v>#DIV/0!</v>
      </c>
      <c r="H256" s="159">
        <f>Produtos!BL256</f>
        <v>0</v>
      </c>
      <c r="I256" s="157" t="e">
        <f>Produtos!BM256</f>
        <v>#DIV/0!</v>
      </c>
      <c r="J256" s="157" t="e">
        <f>Produtos!BG256</f>
        <v>#DIV/0!</v>
      </c>
      <c r="K256" s="157" t="e">
        <f>Produtos!BH256</f>
        <v>#DIV/0!</v>
      </c>
      <c r="L256" s="157" t="e">
        <f>Produtos!BI256</f>
        <v>#DIV/0!</v>
      </c>
      <c r="M256" s="157" t="e">
        <f>Produtos!BJ256</f>
        <v>#DIV/0!</v>
      </c>
    </row>
    <row r="257" spans="1:13">
      <c r="A257" s="170">
        <f>Produtos!A257</f>
        <v>0</v>
      </c>
      <c r="B257" s="170"/>
      <c r="C257" s="142">
        <f>Produtos!B257</f>
        <v>0</v>
      </c>
      <c r="D257" s="160"/>
      <c r="E257" s="157" t="e">
        <f>Produtos!BD257</f>
        <v>#DIV/0!</v>
      </c>
      <c r="F257" s="159" t="e">
        <f>Produtos!BE257</f>
        <v>#DIV/0!</v>
      </c>
      <c r="G257" s="158" t="e">
        <f>Produtos!BF257</f>
        <v>#DIV/0!</v>
      </c>
      <c r="H257" s="159">
        <f>Produtos!BL257</f>
        <v>0</v>
      </c>
      <c r="I257" s="157" t="e">
        <f>Produtos!BM257</f>
        <v>#DIV/0!</v>
      </c>
      <c r="J257" s="157" t="e">
        <f>Produtos!BG257</f>
        <v>#DIV/0!</v>
      </c>
      <c r="K257" s="157" t="e">
        <f>Produtos!BH257</f>
        <v>#DIV/0!</v>
      </c>
      <c r="L257" s="157" t="e">
        <f>Produtos!BI257</f>
        <v>#DIV/0!</v>
      </c>
      <c r="M257" s="157" t="e">
        <f>Produtos!BJ257</f>
        <v>#DIV/0!</v>
      </c>
    </row>
    <row r="258" spans="1:13">
      <c r="A258" s="170">
        <f>Produtos!A258</f>
        <v>0</v>
      </c>
      <c r="B258" s="170"/>
      <c r="C258" s="142">
        <f>Produtos!B258</f>
        <v>0</v>
      </c>
      <c r="D258" s="160"/>
      <c r="E258" s="157" t="e">
        <f>Produtos!BD258</f>
        <v>#DIV/0!</v>
      </c>
      <c r="F258" s="159" t="e">
        <f>Produtos!BE258</f>
        <v>#DIV/0!</v>
      </c>
      <c r="G258" s="158" t="e">
        <f>Produtos!BF258</f>
        <v>#DIV/0!</v>
      </c>
      <c r="H258" s="159">
        <f>Produtos!BL258</f>
        <v>0</v>
      </c>
      <c r="I258" s="157" t="e">
        <f>Produtos!BM258</f>
        <v>#DIV/0!</v>
      </c>
      <c r="J258" s="157" t="e">
        <f>Produtos!BG258</f>
        <v>#DIV/0!</v>
      </c>
      <c r="K258" s="157" t="e">
        <f>Produtos!BH258</f>
        <v>#DIV/0!</v>
      </c>
      <c r="L258" s="157" t="e">
        <f>Produtos!BI258</f>
        <v>#DIV/0!</v>
      </c>
      <c r="M258" s="157" t="e">
        <f>Produtos!BJ258</f>
        <v>#DIV/0!</v>
      </c>
    </row>
    <row r="259" spans="1:13">
      <c r="A259" s="170">
        <f>Produtos!A259</f>
        <v>0</v>
      </c>
      <c r="B259" s="170"/>
      <c r="C259" s="142">
        <f>Produtos!B259</f>
        <v>0</v>
      </c>
      <c r="D259" s="160"/>
      <c r="E259" s="157" t="e">
        <f>Produtos!BD259</f>
        <v>#DIV/0!</v>
      </c>
      <c r="F259" s="159" t="e">
        <f>Produtos!BE259</f>
        <v>#DIV/0!</v>
      </c>
      <c r="G259" s="158" t="e">
        <f>Produtos!BF259</f>
        <v>#DIV/0!</v>
      </c>
      <c r="H259" s="159">
        <f>Produtos!BL259</f>
        <v>0</v>
      </c>
      <c r="I259" s="157" t="e">
        <f>Produtos!BM259</f>
        <v>#DIV/0!</v>
      </c>
      <c r="J259" s="157" t="e">
        <f>Produtos!BG259</f>
        <v>#DIV/0!</v>
      </c>
      <c r="K259" s="157" t="e">
        <f>Produtos!BH259</f>
        <v>#DIV/0!</v>
      </c>
      <c r="L259" s="157" t="e">
        <f>Produtos!BI259</f>
        <v>#DIV/0!</v>
      </c>
      <c r="M259" s="157" t="e">
        <f>Produtos!BJ259</f>
        <v>#DIV/0!</v>
      </c>
    </row>
    <row r="260" spans="1:13">
      <c r="A260" s="170">
        <f>Produtos!A260</f>
        <v>0</v>
      </c>
      <c r="B260" s="170"/>
      <c r="C260" s="142">
        <f>Produtos!B260</f>
        <v>0</v>
      </c>
      <c r="D260" s="160"/>
      <c r="E260" s="157" t="e">
        <f>Produtos!BD260</f>
        <v>#DIV/0!</v>
      </c>
      <c r="F260" s="159" t="e">
        <f>Produtos!BE260</f>
        <v>#DIV/0!</v>
      </c>
      <c r="G260" s="158" t="e">
        <f>Produtos!BF260</f>
        <v>#DIV/0!</v>
      </c>
      <c r="H260" s="159">
        <f>Produtos!BL260</f>
        <v>0</v>
      </c>
      <c r="I260" s="157" t="e">
        <f>Produtos!BM260</f>
        <v>#DIV/0!</v>
      </c>
      <c r="J260" s="157" t="e">
        <f>Produtos!BG260</f>
        <v>#DIV/0!</v>
      </c>
      <c r="K260" s="157" t="e">
        <f>Produtos!BH260</f>
        <v>#DIV/0!</v>
      </c>
      <c r="L260" s="157" t="e">
        <f>Produtos!BI260</f>
        <v>#DIV/0!</v>
      </c>
      <c r="M260" s="157" t="e">
        <f>Produtos!BJ260</f>
        <v>#DIV/0!</v>
      </c>
    </row>
    <row r="261" spans="1:13">
      <c r="A261" s="170">
        <f>Produtos!A261</f>
        <v>0</v>
      </c>
      <c r="B261" s="170"/>
      <c r="C261" s="142">
        <f>Produtos!B261</f>
        <v>0</v>
      </c>
      <c r="D261" s="160"/>
      <c r="E261" s="157" t="e">
        <f>Produtos!BD261</f>
        <v>#DIV/0!</v>
      </c>
      <c r="F261" s="159" t="e">
        <f>Produtos!BE261</f>
        <v>#DIV/0!</v>
      </c>
      <c r="G261" s="158" t="e">
        <f>Produtos!BF261</f>
        <v>#DIV/0!</v>
      </c>
      <c r="H261" s="159">
        <f>Produtos!BL261</f>
        <v>0</v>
      </c>
      <c r="I261" s="157" t="e">
        <f>Produtos!BM261</f>
        <v>#DIV/0!</v>
      </c>
      <c r="J261" s="157" t="e">
        <f>Produtos!BG261</f>
        <v>#DIV/0!</v>
      </c>
      <c r="K261" s="157" t="e">
        <f>Produtos!BH261</f>
        <v>#DIV/0!</v>
      </c>
      <c r="L261" s="157" t="e">
        <f>Produtos!BI261</f>
        <v>#DIV/0!</v>
      </c>
      <c r="M261" s="157" t="e">
        <f>Produtos!BJ261</f>
        <v>#DIV/0!</v>
      </c>
    </row>
    <row r="262" spans="1:13">
      <c r="A262" s="170">
        <f>Produtos!A262</f>
        <v>0</v>
      </c>
      <c r="B262" s="170"/>
      <c r="C262" s="142">
        <f>Produtos!B262</f>
        <v>0</v>
      </c>
      <c r="D262" s="160"/>
      <c r="E262" s="157" t="e">
        <f>Produtos!BD262</f>
        <v>#DIV/0!</v>
      </c>
      <c r="F262" s="159" t="e">
        <f>Produtos!BE262</f>
        <v>#DIV/0!</v>
      </c>
      <c r="G262" s="158" t="e">
        <f>Produtos!BF262</f>
        <v>#DIV/0!</v>
      </c>
      <c r="H262" s="159">
        <f>Produtos!BL262</f>
        <v>0</v>
      </c>
      <c r="I262" s="157" t="e">
        <f>Produtos!BM262</f>
        <v>#DIV/0!</v>
      </c>
      <c r="J262" s="157" t="e">
        <f>Produtos!BG262</f>
        <v>#DIV/0!</v>
      </c>
      <c r="K262" s="157" t="e">
        <f>Produtos!BH262</f>
        <v>#DIV/0!</v>
      </c>
      <c r="L262" s="157" t="e">
        <f>Produtos!BI262</f>
        <v>#DIV/0!</v>
      </c>
      <c r="M262" s="157" t="e">
        <f>Produtos!BJ262</f>
        <v>#DIV/0!</v>
      </c>
    </row>
    <row r="263" spans="1:13">
      <c r="A263" s="170">
        <f>Produtos!A263</f>
        <v>0</v>
      </c>
      <c r="B263" s="170"/>
      <c r="C263" s="142">
        <f>Produtos!B263</f>
        <v>0</v>
      </c>
      <c r="D263" s="160"/>
      <c r="E263" s="157" t="e">
        <f>Produtos!BD263</f>
        <v>#DIV/0!</v>
      </c>
      <c r="F263" s="159" t="e">
        <f>Produtos!BE263</f>
        <v>#DIV/0!</v>
      </c>
      <c r="G263" s="158" t="e">
        <f>Produtos!BF263</f>
        <v>#DIV/0!</v>
      </c>
      <c r="H263" s="159">
        <f>Produtos!BL263</f>
        <v>0</v>
      </c>
      <c r="I263" s="157" t="e">
        <f>Produtos!BM263</f>
        <v>#DIV/0!</v>
      </c>
      <c r="J263" s="157" t="e">
        <f>Produtos!BG263</f>
        <v>#DIV/0!</v>
      </c>
      <c r="K263" s="157" t="e">
        <f>Produtos!BH263</f>
        <v>#DIV/0!</v>
      </c>
      <c r="L263" s="157" t="e">
        <f>Produtos!BI263</f>
        <v>#DIV/0!</v>
      </c>
      <c r="M263" s="157" t="e">
        <f>Produtos!BJ263</f>
        <v>#DIV/0!</v>
      </c>
    </row>
    <row r="264" spans="1:13">
      <c r="A264" s="170">
        <f>Produtos!A264</f>
        <v>0</v>
      </c>
      <c r="B264" s="170"/>
      <c r="C264" s="142">
        <f>Produtos!B264</f>
        <v>0</v>
      </c>
      <c r="D264" s="160"/>
      <c r="E264" s="157" t="e">
        <f>Produtos!BD264</f>
        <v>#DIV/0!</v>
      </c>
      <c r="F264" s="159" t="e">
        <f>Produtos!BE264</f>
        <v>#DIV/0!</v>
      </c>
      <c r="G264" s="158" t="e">
        <f>Produtos!BF264</f>
        <v>#DIV/0!</v>
      </c>
      <c r="H264" s="159">
        <f>Produtos!BL264</f>
        <v>0</v>
      </c>
      <c r="I264" s="157" t="e">
        <f>Produtos!BM264</f>
        <v>#DIV/0!</v>
      </c>
      <c r="J264" s="157" t="e">
        <f>Produtos!BG264</f>
        <v>#DIV/0!</v>
      </c>
      <c r="K264" s="157" t="e">
        <f>Produtos!BH264</f>
        <v>#DIV/0!</v>
      </c>
      <c r="L264" s="157" t="e">
        <f>Produtos!BI264</f>
        <v>#DIV/0!</v>
      </c>
      <c r="M264" s="157" t="e">
        <f>Produtos!BJ264</f>
        <v>#DIV/0!</v>
      </c>
    </row>
    <row r="265" spans="1:13">
      <c r="A265" s="170">
        <f>Produtos!A265</f>
        <v>0</v>
      </c>
      <c r="B265" s="170"/>
      <c r="C265" s="142">
        <f>Produtos!B265</f>
        <v>0</v>
      </c>
      <c r="D265" s="160"/>
      <c r="E265" s="157" t="e">
        <f>Produtos!BD265</f>
        <v>#DIV/0!</v>
      </c>
      <c r="F265" s="159" t="e">
        <f>Produtos!BE265</f>
        <v>#DIV/0!</v>
      </c>
      <c r="G265" s="158" t="e">
        <f>Produtos!BF265</f>
        <v>#DIV/0!</v>
      </c>
      <c r="H265" s="159">
        <f>Produtos!BL265</f>
        <v>0</v>
      </c>
      <c r="I265" s="157" t="e">
        <f>Produtos!BM265</f>
        <v>#DIV/0!</v>
      </c>
      <c r="J265" s="157" t="e">
        <f>Produtos!BG265</f>
        <v>#DIV/0!</v>
      </c>
      <c r="K265" s="157" t="e">
        <f>Produtos!BH265</f>
        <v>#DIV/0!</v>
      </c>
      <c r="L265" s="157" t="e">
        <f>Produtos!BI265</f>
        <v>#DIV/0!</v>
      </c>
      <c r="M265" s="157" t="e">
        <f>Produtos!BJ265</f>
        <v>#DIV/0!</v>
      </c>
    </row>
    <row r="266" spans="1:13">
      <c r="A266" s="170">
        <f>Produtos!A266</f>
        <v>0</v>
      </c>
      <c r="B266" s="170"/>
      <c r="C266" s="142">
        <f>Produtos!B266</f>
        <v>0</v>
      </c>
      <c r="D266" s="160"/>
      <c r="E266" s="157" t="e">
        <f>Produtos!BD266</f>
        <v>#DIV/0!</v>
      </c>
      <c r="F266" s="159" t="e">
        <f>Produtos!BE266</f>
        <v>#DIV/0!</v>
      </c>
      <c r="G266" s="158" t="e">
        <f>Produtos!BF266</f>
        <v>#DIV/0!</v>
      </c>
      <c r="H266" s="159">
        <f>Produtos!BL266</f>
        <v>0</v>
      </c>
      <c r="I266" s="157" t="e">
        <f>Produtos!BM266</f>
        <v>#DIV/0!</v>
      </c>
      <c r="J266" s="157" t="e">
        <f>Produtos!BG266</f>
        <v>#DIV/0!</v>
      </c>
      <c r="K266" s="157" t="e">
        <f>Produtos!BH266</f>
        <v>#DIV/0!</v>
      </c>
      <c r="L266" s="157" t="e">
        <f>Produtos!BI266</f>
        <v>#DIV/0!</v>
      </c>
      <c r="M266" s="157" t="e">
        <f>Produtos!BJ266</f>
        <v>#DIV/0!</v>
      </c>
    </row>
    <row r="267" spans="1:13">
      <c r="A267" s="170">
        <f>Produtos!A267</f>
        <v>0</v>
      </c>
      <c r="B267" s="170"/>
      <c r="C267" s="142">
        <f>Produtos!B267</f>
        <v>0</v>
      </c>
      <c r="D267" s="160"/>
      <c r="E267" s="157" t="e">
        <f>Produtos!BD267</f>
        <v>#DIV/0!</v>
      </c>
      <c r="F267" s="159" t="e">
        <f>Produtos!BE267</f>
        <v>#DIV/0!</v>
      </c>
      <c r="G267" s="158" t="e">
        <f>Produtos!BF267</f>
        <v>#DIV/0!</v>
      </c>
      <c r="H267" s="159">
        <f>Produtos!BL267</f>
        <v>0</v>
      </c>
      <c r="I267" s="157" t="e">
        <f>Produtos!BM267</f>
        <v>#DIV/0!</v>
      </c>
      <c r="J267" s="157" t="e">
        <f>Produtos!BG267</f>
        <v>#DIV/0!</v>
      </c>
      <c r="K267" s="157" t="e">
        <f>Produtos!BH267</f>
        <v>#DIV/0!</v>
      </c>
      <c r="L267" s="157" t="e">
        <f>Produtos!BI267</f>
        <v>#DIV/0!</v>
      </c>
      <c r="M267" s="157" t="e">
        <f>Produtos!BJ267</f>
        <v>#DIV/0!</v>
      </c>
    </row>
    <row r="268" spans="1:13">
      <c r="A268" s="170">
        <f>Produtos!A268</f>
        <v>0</v>
      </c>
      <c r="B268" s="170"/>
      <c r="C268" s="142">
        <f>Produtos!B268</f>
        <v>0</v>
      </c>
      <c r="D268" s="160"/>
      <c r="E268" s="157" t="e">
        <f>Produtos!BD268</f>
        <v>#DIV/0!</v>
      </c>
      <c r="F268" s="159" t="e">
        <f>Produtos!BE268</f>
        <v>#DIV/0!</v>
      </c>
      <c r="G268" s="158" t="e">
        <f>Produtos!BF268</f>
        <v>#DIV/0!</v>
      </c>
      <c r="H268" s="159">
        <f>Produtos!BL268</f>
        <v>0</v>
      </c>
      <c r="I268" s="157" t="e">
        <f>Produtos!BM268</f>
        <v>#DIV/0!</v>
      </c>
      <c r="J268" s="157" t="e">
        <f>Produtos!BG268</f>
        <v>#DIV/0!</v>
      </c>
      <c r="K268" s="157" t="e">
        <f>Produtos!BH268</f>
        <v>#DIV/0!</v>
      </c>
      <c r="L268" s="157" t="e">
        <f>Produtos!BI268</f>
        <v>#DIV/0!</v>
      </c>
      <c r="M268" s="157" t="e">
        <f>Produtos!BJ268</f>
        <v>#DIV/0!</v>
      </c>
    </row>
    <row r="269" spans="1:13">
      <c r="A269" s="170">
        <f>Produtos!A269</f>
        <v>0</v>
      </c>
      <c r="B269" s="170"/>
      <c r="C269" s="142">
        <f>Produtos!B269</f>
        <v>0</v>
      </c>
      <c r="D269" s="160"/>
      <c r="E269" s="157" t="e">
        <f>Produtos!BD269</f>
        <v>#DIV/0!</v>
      </c>
      <c r="F269" s="159" t="e">
        <f>Produtos!BE269</f>
        <v>#DIV/0!</v>
      </c>
      <c r="G269" s="158" t="e">
        <f>Produtos!BF269</f>
        <v>#DIV/0!</v>
      </c>
      <c r="H269" s="159">
        <f>Produtos!BL269</f>
        <v>0</v>
      </c>
      <c r="I269" s="157" t="e">
        <f>Produtos!BM269</f>
        <v>#DIV/0!</v>
      </c>
      <c r="J269" s="157" t="e">
        <f>Produtos!BG269</f>
        <v>#DIV/0!</v>
      </c>
      <c r="K269" s="157" t="e">
        <f>Produtos!BH269</f>
        <v>#DIV/0!</v>
      </c>
      <c r="L269" s="157" t="e">
        <f>Produtos!BI269</f>
        <v>#DIV/0!</v>
      </c>
      <c r="M269" s="157" t="e">
        <f>Produtos!BJ269</f>
        <v>#DIV/0!</v>
      </c>
    </row>
    <row r="270" spans="1:13">
      <c r="A270" s="170">
        <f>Produtos!A270</f>
        <v>0</v>
      </c>
      <c r="B270" s="170"/>
      <c r="C270" s="142">
        <f>Produtos!B270</f>
        <v>0</v>
      </c>
      <c r="D270" s="160"/>
      <c r="E270" s="157" t="e">
        <f>Produtos!BD270</f>
        <v>#DIV/0!</v>
      </c>
      <c r="F270" s="159" t="e">
        <f>Produtos!BE270</f>
        <v>#DIV/0!</v>
      </c>
      <c r="G270" s="158" t="e">
        <f>Produtos!BF270</f>
        <v>#DIV/0!</v>
      </c>
      <c r="H270" s="159">
        <f>Produtos!BL270</f>
        <v>0</v>
      </c>
      <c r="I270" s="157" t="e">
        <f>Produtos!BM270</f>
        <v>#DIV/0!</v>
      </c>
      <c r="J270" s="157" t="e">
        <f>Produtos!BG270</f>
        <v>#DIV/0!</v>
      </c>
      <c r="K270" s="157" t="e">
        <f>Produtos!BH270</f>
        <v>#DIV/0!</v>
      </c>
      <c r="L270" s="157" t="e">
        <f>Produtos!BI270</f>
        <v>#DIV/0!</v>
      </c>
      <c r="M270" s="157" t="e">
        <f>Produtos!BJ270</f>
        <v>#DIV/0!</v>
      </c>
    </row>
    <row r="271" spans="1:13">
      <c r="A271" s="170">
        <f>Produtos!A271</f>
        <v>0</v>
      </c>
      <c r="B271" s="170"/>
      <c r="C271" s="142">
        <f>Produtos!B271</f>
        <v>0</v>
      </c>
      <c r="D271" s="160"/>
      <c r="E271" s="157" t="e">
        <f>Produtos!BD271</f>
        <v>#DIV/0!</v>
      </c>
      <c r="F271" s="159" t="e">
        <f>Produtos!BE271</f>
        <v>#DIV/0!</v>
      </c>
      <c r="G271" s="158" t="e">
        <f>Produtos!BF271</f>
        <v>#DIV/0!</v>
      </c>
      <c r="H271" s="159">
        <f>Produtos!BL271</f>
        <v>0</v>
      </c>
      <c r="I271" s="157" t="e">
        <f>Produtos!BM271</f>
        <v>#DIV/0!</v>
      </c>
      <c r="J271" s="157" t="e">
        <f>Produtos!BG271</f>
        <v>#DIV/0!</v>
      </c>
      <c r="K271" s="157" t="e">
        <f>Produtos!BH271</f>
        <v>#DIV/0!</v>
      </c>
      <c r="L271" s="157" t="e">
        <f>Produtos!BI271</f>
        <v>#DIV/0!</v>
      </c>
      <c r="M271" s="157" t="e">
        <f>Produtos!BJ271</f>
        <v>#DIV/0!</v>
      </c>
    </row>
    <row r="272" spans="1:13">
      <c r="A272" s="170">
        <f>Produtos!A272</f>
        <v>0</v>
      </c>
      <c r="B272" s="170"/>
      <c r="C272" s="142">
        <f>Produtos!B272</f>
        <v>0</v>
      </c>
      <c r="D272" s="160"/>
      <c r="E272" s="157" t="e">
        <f>Produtos!BD272</f>
        <v>#DIV/0!</v>
      </c>
      <c r="F272" s="159" t="e">
        <f>Produtos!BE272</f>
        <v>#DIV/0!</v>
      </c>
      <c r="G272" s="158" t="e">
        <f>Produtos!BF272</f>
        <v>#DIV/0!</v>
      </c>
      <c r="H272" s="159">
        <f>Produtos!BL272</f>
        <v>0</v>
      </c>
      <c r="I272" s="157" t="e">
        <f>Produtos!BM272</f>
        <v>#DIV/0!</v>
      </c>
      <c r="J272" s="157" t="e">
        <f>Produtos!BG272</f>
        <v>#DIV/0!</v>
      </c>
      <c r="K272" s="157" t="e">
        <f>Produtos!BH272</f>
        <v>#DIV/0!</v>
      </c>
      <c r="L272" s="157" t="e">
        <f>Produtos!BI272</f>
        <v>#DIV/0!</v>
      </c>
      <c r="M272" s="157" t="e">
        <f>Produtos!BJ272</f>
        <v>#DIV/0!</v>
      </c>
    </row>
    <row r="273" spans="1:13">
      <c r="A273" s="170">
        <f>Produtos!A273</f>
        <v>0</v>
      </c>
      <c r="B273" s="170"/>
      <c r="C273" s="142">
        <f>Produtos!B273</f>
        <v>0</v>
      </c>
      <c r="D273" s="160"/>
      <c r="E273" s="157" t="e">
        <f>Produtos!BD273</f>
        <v>#DIV/0!</v>
      </c>
      <c r="F273" s="159" t="e">
        <f>Produtos!BE273</f>
        <v>#DIV/0!</v>
      </c>
      <c r="G273" s="158" t="e">
        <f>Produtos!BF273</f>
        <v>#DIV/0!</v>
      </c>
      <c r="H273" s="159">
        <f>Produtos!BL273</f>
        <v>0</v>
      </c>
      <c r="I273" s="157" t="e">
        <f>Produtos!BM273</f>
        <v>#DIV/0!</v>
      </c>
      <c r="J273" s="157" t="e">
        <f>Produtos!BG273</f>
        <v>#DIV/0!</v>
      </c>
      <c r="K273" s="157" t="e">
        <f>Produtos!BH273</f>
        <v>#DIV/0!</v>
      </c>
      <c r="L273" s="157" t="e">
        <f>Produtos!BI273</f>
        <v>#DIV/0!</v>
      </c>
      <c r="M273" s="157" t="e">
        <f>Produtos!BJ273</f>
        <v>#DIV/0!</v>
      </c>
    </row>
    <row r="274" spans="1:13">
      <c r="A274" s="170">
        <f>Produtos!A274</f>
        <v>0</v>
      </c>
      <c r="B274" s="170"/>
      <c r="C274" s="142">
        <f>Produtos!B274</f>
        <v>0</v>
      </c>
      <c r="D274" s="160"/>
      <c r="E274" s="157" t="e">
        <f>Produtos!BD274</f>
        <v>#DIV/0!</v>
      </c>
      <c r="F274" s="159" t="e">
        <f>Produtos!BE274</f>
        <v>#DIV/0!</v>
      </c>
      <c r="G274" s="158" t="e">
        <f>Produtos!BF274</f>
        <v>#DIV/0!</v>
      </c>
      <c r="H274" s="159">
        <f>Produtos!BL274</f>
        <v>0</v>
      </c>
      <c r="I274" s="157" t="e">
        <f>Produtos!BM274</f>
        <v>#DIV/0!</v>
      </c>
      <c r="J274" s="157" t="e">
        <f>Produtos!BG274</f>
        <v>#DIV/0!</v>
      </c>
      <c r="K274" s="157" t="e">
        <f>Produtos!BH274</f>
        <v>#DIV/0!</v>
      </c>
      <c r="L274" s="157" t="e">
        <f>Produtos!BI274</f>
        <v>#DIV/0!</v>
      </c>
      <c r="M274" s="157" t="e">
        <f>Produtos!BJ274</f>
        <v>#DIV/0!</v>
      </c>
    </row>
    <row r="275" spans="1:13">
      <c r="A275" s="170">
        <f>Produtos!A275</f>
        <v>0</v>
      </c>
      <c r="B275" s="170"/>
      <c r="C275" s="142">
        <f>Produtos!B275</f>
        <v>0</v>
      </c>
      <c r="D275" s="160"/>
      <c r="E275" s="157" t="e">
        <f>Produtos!BD275</f>
        <v>#DIV/0!</v>
      </c>
      <c r="F275" s="159" t="e">
        <f>Produtos!BE275</f>
        <v>#DIV/0!</v>
      </c>
      <c r="G275" s="158" t="e">
        <f>Produtos!BF275</f>
        <v>#DIV/0!</v>
      </c>
      <c r="H275" s="159">
        <f>Produtos!BL275</f>
        <v>0</v>
      </c>
      <c r="I275" s="157" t="e">
        <f>Produtos!BM275</f>
        <v>#DIV/0!</v>
      </c>
      <c r="J275" s="157" t="e">
        <f>Produtos!BG275</f>
        <v>#DIV/0!</v>
      </c>
      <c r="K275" s="157" t="e">
        <f>Produtos!BH275</f>
        <v>#DIV/0!</v>
      </c>
      <c r="L275" s="157" t="e">
        <f>Produtos!BI275</f>
        <v>#DIV/0!</v>
      </c>
      <c r="M275" s="157" t="e">
        <f>Produtos!BJ275</f>
        <v>#DIV/0!</v>
      </c>
    </row>
    <row r="276" spans="1:13">
      <c r="A276" s="170">
        <f>Produtos!A276</f>
        <v>0</v>
      </c>
      <c r="B276" s="170"/>
      <c r="C276" s="142">
        <f>Produtos!B276</f>
        <v>0</v>
      </c>
      <c r="D276" s="160"/>
      <c r="E276" s="157" t="e">
        <f>Produtos!BD276</f>
        <v>#DIV/0!</v>
      </c>
      <c r="F276" s="159" t="e">
        <f>Produtos!BE276</f>
        <v>#DIV/0!</v>
      </c>
      <c r="G276" s="158" t="e">
        <f>Produtos!BF276</f>
        <v>#DIV/0!</v>
      </c>
      <c r="H276" s="159">
        <f>Produtos!BL276</f>
        <v>0</v>
      </c>
      <c r="I276" s="157" t="e">
        <f>Produtos!BM276</f>
        <v>#DIV/0!</v>
      </c>
      <c r="J276" s="157" t="e">
        <f>Produtos!BG276</f>
        <v>#DIV/0!</v>
      </c>
      <c r="K276" s="157" t="e">
        <f>Produtos!BH276</f>
        <v>#DIV/0!</v>
      </c>
      <c r="L276" s="157" t="e">
        <f>Produtos!BI276</f>
        <v>#DIV/0!</v>
      </c>
      <c r="M276" s="157" t="e">
        <f>Produtos!BJ276</f>
        <v>#DIV/0!</v>
      </c>
    </row>
    <row r="277" spans="1:13">
      <c r="A277" s="170">
        <f>Produtos!A277</f>
        <v>0</v>
      </c>
      <c r="B277" s="170"/>
      <c r="C277" s="142">
        <f>Produtos!B277</f>
        <v>0</v>
      </c>
      <c r="D277" s="160"/>
      <c r="E277" s="157" t="e">
        <f>Produtos!BD277</f>
        <v>#DIV/0!</v>
      </c>
      <c r="F277" s="159" t="e">
        <f>Produtos!BE277</f>
        <v>#DIV/0!</v>
      </c>
      <c r="G277" s="158" t="e">
        <f>Produtos!BF277</f>
        <v>#DIV/0!</v>
      </c>
      <c r="H277" s="159">
        <f>Produtos!BL277</f>
        <v>0</v>
      </c>
      <c r="I277" s="157" t="e">
        <f>Produtos!BM277</f>
        <v>#DIV/0!</v>
      </c>
      <c r="J277" s="157" t="e">
        <f>Produtos!BG277</f>
        <v>#DIV/0!</v>
      </c>
      <c r="K277" s="157" t="e">
        <f>Produtos!BH277</f>
        <v>#DIV/0!</v>
      </c>
      <c r="L277" s="157" t="e">
        <f>Produtos!BI277</f>
        <v>#DIV/0!</v>
      </c>
      <c r="M277" s="157" t="e">
        <f>Produtos!BJ277</f>
        <v>#DIV/0!</v>
      </c>
    </row>
    <row r="278" spans="1:13">
      <c r="A278" s="170">
        <f>Produtos!A278</f>
        <v>0</v>
      </c>
      <c r="B278" s="170"/>
      <c r="C278" s="142">
        <f>Produtos!B278</f>
        <v>0</v>
      </c>
      <c r="D278" s="160"/>
      <c r="E278" s="157" t="e">
        <f>Produtos!BD278</f>
        <v>#DIV/0!</v>
      </c>
      <c r="F278" s="159" t="e">
        <f>Produtos!BE278</f>
        <v>#DIV/0!</v>
      </c>
      <c r="G278" s="158" t="e">
        <f>Produtos!BF278</f>
        <v>#DIV/0!</v>
      </c>
      <c r="H278" s="159">
        <f>Produtos!BL278</f>
        <v>0</v>
      </c>
      <c r="I278" s="157" t="e">
        <f>Produtos!BM278</f>
        <v>#DIV/0!</v>
      </c>
      <c r="J278" s="157" t="e">
        <f>Produtos!BG278</f>
        <v>#DIV/0!</v>
      </c>
      <c r="K278" s="157" t="e">
        <f>Produtos!BH278</f>
        <v>#DIV/0!</v>
      </c>
      <c r="L278" s="157" t="e">
        <f>Produtos!BI278</f>
        <v>#DIV/0!</v>
      </c>
      <c r="M278" s="157" t="e">
        <f>Produtos!BJ278</f>
        <v>#DIV/0!</v>
      </c>
    </row>
    <row r="279" spans="1:13">
      <c r="A279" s="170">
        <f>Produtos!A279</f>
        <v>0</v>
      </c>
      <c r="B279" s="170"/>
      <c r="C279" s="142">
        <f>Produtos!B279</f>
        <v>0</v>
      </c>
      <c r="D279" s="160"/>
      <c r="E279" s="157" t="e">
        <f>Produtos!BD279</f>
        <v>#DIV/0!</v>
      </c>
      <c r="F279" s="159" t="e">
        <f>Produtos!BE279</f>
        <v>#DIV/0!</v>
      </c>
      <c r="G279" s="158" t="e">
        <f>Produtos!BF279</f>
        <v>#DIV/0!</v>
      </c>
      <c r="H279" s="159">
        <f>Produtos!BL279</f>
        <v>0</v>
      </c>
      <c r="I279" s="157" t="e">
        <f>Produtos!BM279</f>
        <v>#DIV/0!</v>
      </c>
      <c r="J279" s="157" t="e">
        <f>Produtos!BG279</f>
        <v>#DIV/0!</v>
      </c>
      <c r="K279" s="157" t="e">
        <f>Produtos!BH279</f>
        <v>#DIV/0!</v>
      </c>
      <c r="L279" s="157" t="e">
        <f>Produtos!BI279</f>
        <v>#DIV/0!</v>
      </c>
      <c r="M279" s="157" t="e">
        <f>Produtos!BJ279</f>
        <v>#DIV/0!</v>
      </c>
    </row>
    <row r="280" spans="1:13">
      <c r="A280" s="170">
        <f>Produtos!A280</f>
        <v>0</v>
      </c>
      <c r="B280" s="170"/>
      <c r="C280" s="142">
        <f>Produtos!B280</f>
        <v>0</v>
      </c>
      <c r="D280" s="160"/>
      <c r="E280" s="157" t="e">
        <f>Produtos!BD280</f>
        <v>#DIV/0!</v>
      </c>
      <c r="F280" s="159" t="e">
        <f>Produtos!BE280</f>
        <v>#DIV/0!</v>
      </c>
      <c r="G280" s="158" t="e">
        <f>Produtos!BF280</f>
        <v>#DIV/0!</v>
      </c>
      <c r="H280" s="159">
        <f>Produtos!BL280</f>
        <v>0</v>
      </c>
      <c r="I280" s="157" t="e">
        <f>Produtos!BM280</f>
        <v>#DIV/0!</v>
      </c>
      <c r="J280" s="157" t="e">
        <f>Produtos!BG280</f>
        <v>#DIV/0!</v>
      </c>
      <c r="K280" s="157" t="e">
        <f>Produtos!BH280</f>
        <v>#DIV/0!</v>
      </c>
      <c r="L280" s="157" t="e">
        <f>Produtos!BI280</f>
        <v>#DIV/0!</v>
      </c>
      <c r="M280" s="157" t="e">
        <f>Produtos!BJ280</f>
        <v>#DIV/0!</v>
      </c>
    </row>
    <row r="281" spans="1:13">
      <c r="A281" s="170">
        <f>Produtos!A281</f>
        <v>0</v>
      </c>
      <c r="B281" s="170"/>
      <c r="C281" s="142">
        <f>Produtos!B281</f>
        <v>0</v>
      </c>
      <c r="D281" s="160"/>
      <c r="E281" s="157" t="e">
        <f>Produtos!BD281</f>
        <v>#DIV/0!</v>
      </c>
      <c r="F281" s="159" t="e">
        <f>Produtos!BE281</f>
        <v>#DIV/0!</v>
      </c>
      <c r="G281" s="158" t="e">
        <f>Produtos!BF281</f>
        <v>#DIV/0!</v>
      </c>
      <c r="H281" s="159">
        <f>Produtos!BL281</f>
        <v>0</v>
      </c>
      <c r="I281" s="157" t="e">
        <f>Produtos!BM281</f>
        <v>#DIV/0!</v>
      </c>
      <c r="J281" s="157" t="e">
        <f>Produtos!BG281</f>
        <v>#DIV/0!</v>
      </c>
      <c r="K281" s="157" t="e">
        <f>Produtos!BH281</f>
        <v>#DIV/0!</v>
      </c>
      <c r="L281" s="157" t="e">
        <f>Produtos!BI281</f>
        <v>#DIV/0!</v>
      </c>
      <c r="M281" s="157" t="e">
        <f>Produtos!BJ281</f>
        <v>#DIV/0!</v>
      </c>
    </row>
    <row r="282" spans="1:13">
      <c r="A282" s="170">
        <f>Produtos!A282</f>
        <v>0</v>
      </c>
      <c r="B282" s="170"/>
      <c r="C282" s="142">
        <f>Produtos!B282</f>
        <v>0</v>
      </c>
      <c r="D282" s="160"/>
      <c r="E282" s="157" t="e">
        <f>Produtos!BD282</f>
        <v>#DIV/0!</v>
      </c>
      <c r="F282" s="159" t="e">
        <f>Produtos!BE282</f>
        <v>#DIV/0!</v>
      </c>
      <c r="G282" s="158" t="e">
        <f>Produtos!BF282</f>
        <v>#DIV/0!</v>
      </c>
      <c r="H282" s="159">
        <f>Produtos!BL282</f>
        <v>0</v>
      </c>
      <c r="I282" s="157" t="e">
        <f>Produtos!BM282</f>
        <v>#DIV/0!</v>
      </c>
      <c r="J282" s="157" t="e">
        <f>Produtos!BG282</f>
        <v>#DIV/0!</v>
      </c>
      <c r="K282" s="157" t="e">
        <f>Produtos!BH282</f>
        <v>#DIV/0!</v>
      </c>
      <c r="L282" s="157" t="e">
        <f>Produtos!BI282</f>
        <v>#DIV/0!</v>
      </c>
      <c r="M282" s="157" t="e">
        <f>Produtos!BJ282</f>
        <v>#DIV/0!</v>
      </c>
    </row>
    <row r="283" spans="1:13">
      <c r="A283" s="170">
        <f>Produtos!A283</f>
        <v>0</v>
      </c>
      <c r="B283" s="170"/>
      <c r="C283" s="142">
        <f>Produtos!B283</f>
        <v>0</v>
      </c>
      <c r="D283" s="160"/>
      <c r="E283" s="157" t="e">
        <f>Produtos!BD283</f>
        <v>#DIV/0!</v>
      </c>
      <c r="F283" s="159" t="e">
        <f>Produtos!BE283</f>
        <v>#DIV/0!</v>
      </c>
      <c r="G283" s="158" t="e">
        <f>Produtos!BF283</f>
        <v>#DIV/0!</v>
      </c>
      <c r="H283" s="159">
        <f>Produtos!BL283</f>
        <v>0</v>
      </c>
      <c r="I283" s="157" t="e">
        <f>Produtos!BM283</f>
        <v>#DIV/0!</v>
      </c>
      <c r="J283" s="157" t="e">
        <f>Produtos!BG283</f>
        <v>#DIV/0!</v>
      </c>
      <c r="K283" s="157" t="e">
        <f>Produtos!BH283</f>
        <v>#DIV/0!</v>
      </c>
      <c r="L283" s="157" t="e">
        <f>Produtos!BI283</f>
        <v>#DIV/0!</v>
      </c>
      <c r="M283" s="157" t="e">
        <f>Produtos!BJ283</f>
        <v>#DIV/0!</v>
      </c>
    </row>
    <row r="284" spans="1:13">
      <c r="A284" s="170">
        <f>Produtos!A284</f>
        <v>0</v>
      </c>
      <c r="B284" s="170"/>
      <c r="C284" s="142">
        <f>Produtos!B284</f>
        <v>0</v>
      </c>
      <c r="D284" s="160"/>
      <c r="E284" s="157" t="e">
        <f>Produtos!BD284</f>
        <v>#DIV/0!</v>
      </c>
      <c r="F284" s="159" t="e">
        <f>Produtos!BE284</f>
        <v>#DIV/0!</v>
      </c>
      <c r="G284" s="158" t="e">
        <f>Produtos!BF284</f>
        <v>#DIV/0!</v>
      </c>
      <c r="H284" s="159">
        <f>Produtos!BL284</f>
        <v>0</v>
      </c>
      <c r="I284" s="157" t="e">
        <f>Produtos!BM284</f>
        <v>#DIV/0!</v>
      </c>
      <c r="J284" s="157" t="e">
        <f>Produtos!BG284</f>
        <v>#DIV/0!</v>
      </c>
      <c r="K284" s="157" t="e">
        <f>Produtos!BH284</f>
        <v>#DIV/0!</v>
      </c>
      <c r="L284" s="157" t="e">
        <f>Produtos!BI284</f>
        <v>#DIV/0!</v>
      </c>
      <c r="M284" s="157" t="e">
        <f>Produtos!BJ284</f>
        <v>#DIV/0!</v>
      </c>
    </row>
    <row r="285" spans="1:13">
      <c r="A285" s="170">
        <f>Produtos!A285</f>
        <v>0</v>
      </c>
      <c r="B285" s="170"/>
      <c r="C285" s="142">
        <f>Produtos!B285</f>
        <v>0</v>
      </c>
      <c r="D285" s="160"/>
      <c r="E285" s="157" t="e">
        <f>Produtos!BD285</f>
        <v>#DIV/0!</v>
      </c>
      <c r="F285" s="159" t="e">
        <f>Produtos!BE285</f>
        <v>#DIV/0!</v>
      </c>
      <c r="G285" s="158" t="e">
        <f>Produtos!BF285</f>
        <v>#DIV/0!</v>
      </c>
      <c r="H285" s="159">
        <f>Produtos!BL285</f>
        <v>0</v>
      </c>
      <c r="I285" s="157" t="e">
        <f>Produtos!BM285</f>
        <v>#DIV/0!</v>
      </c>
      <c r="J285" s="157" t="e">
        <f>Produtos!BG285</f>
        <v>#DIV/0!</v>
      </c>
      <c r="K285" s="157" t="e">
        <f>Produtos!BH285</f>
        <v>#DIV/0!</v>
      </c>
      <c r="L285" s="157" t="e">
        <f>Produtos!BI285</f>
        <v>#DIV/0!</v>
      </c>
      <c r="M285" s="157" t="e">
        <f>Produtos!BJ285</f>
        <v>#DIV/0!</v>
      </c>
    </row>
    <row r="286" spans="1:13">
      <c r="A286" s="170">
        <f>Produtos!A286</f>
        <v>0</v>
      </c>
      <c r="B286" s="170"/>
      <c r="C286" s="142">
        <f>Produtos!B286</f>
        <v>0</v>
      </c>
      <c r="D286" s="160"/>
      <c r="E286" s="157" t="e">
        <f>Produtos!BD286</f>
        <v>#DIV/0!</v>
      </c>
      <c r="F286" s="159" t="e">
        <f>Produtos!BE286</f>
        <v>#DIV/0!</v>
      </c>
      <c r="G286" s="158" t="e">
        <f>Produtos!BF286</f>
        <v>#DIV/0!</v>
      </c>
      <c r="H286" s="159">
        <f>Produtos!BL286</f>
        <v>0</v>
      </c>
      <c r="I286" s="157" t="e">
        <f>Produtos!BM286</f>
        <v>#DIV/0!</v>
      </c>
      <c r="J286" s="157" t="e">
        <f>Produtos!BG286</f>
        <v>#DIV/0!</v>
      </c>
      <c r="K286" s="157" t="e">
        <f>Produtos!BH286</f>
        <v>#DIV/0!</v>
      </c>
      <c r="L286" s="157" t="e">
        <f>Produtos!BI286</f>
        <v>#DIV/0!</v>
      </c>
      <c r="M286" s="157" t="e">
        <f>Produtos!BJ286</f>
        <v>#DIV/0!</v>
      </c>
    </row>
    <row r="287" spans="1:13">
      <c r="A287" s="170">
        <f>Produtos!A287</f>
        <v>0</v>
      </c>
      <c r="B287" s="170"/>
      <c r="C287" s="142">
        <f>Produtos!B287</f>
        <v>0</v>
      </c>
      <c r="D287" s="160"/>
      <c r="E287" s="157" t="e">
        <f>Produtos!BD287</f>
        <v>#DIV/0!</v>
      </c>
      <c r="F287" s="159" t="e">
        <f>Produtos!BE287</f>
        <v>#DIV/0!</v>
      </c>
      <c r="G287" s="158" t="e">
        <f>Produtos!BF287</f>
        <v>#DIV/0!</v>
      </c>
      <c r="H287" s="159">
        <f>Produtos!BL287</f>
        <v>0</v>
      </c>
      <c r="I287" s="157" t="e">
        <f>Produtos!BM287</f>
        <v>#DIV/0!</v>
      </c>
      <c r="J287" s="157" t="e">
        <f>Produtos!BG287</f>
        <v>#DIV/0!</v>
      </c>
      <c r="K287" s="157" t="e">
        <f>Produtos!BH287</f>
        <v>#DIV/0!</v>
      </c>
      <c r="L287" s="157" t="e">
        <f>Produtos!BI287</f>
        <v>#DIV/0!</v>
      </c>
      <c r="M287" s="157" t="e">
        <f>Produtos!BJ287</f>
        <v>#DIV/0!</v>
      </c>
    </row>
    <row r="288" spans="1:13">
      <c r="A288" s="170">
        <f>Produtos!A288</f>
        <v>0</v>
      </c>
      <c r="B288" s="170"/>
      <c r="C288" s="142">
        <f>Produtos!B288</f>
        <v>0</v>
      </c>
      <c r="D288" s="160"/>
      <c r="E288" s="157" t="e">
        <f>Produtos!BD288</f>
        <v>#DIV/0!</v>
      </c>
      <c r="F288" s="159" t="e">
        <f>Produtos!BE288</f>
        <v>#DIV/0!</v>
      </c>
      <c r="G288" s="158" t="e">
        <f>Produtos!BF288</f>
        <v>#DIV/0!</v>
      </c>
      <c r="H288" s="159">
        <f>Produtos!BL288</f>
        <v>0</v>
      </c>
      <c r="I288" s="157" t="e">
        <f>Produtos!BM288</f>
        <v>#DIV/0!</v>
      </c>
      <c r="J288" s="157" t="e">
        <f>Produtos!BG288</f>
        <v>#DIV/0!</v>
      </c>
      <c r="K288" s="157" t="e">
        <f>Produtos!BH288</f>
        <v>#DIV/0!</v>
      </c>
      <c r="L288" s="157" t="e">
        <f>Produtos!BI288</f>
        <v>#DIV/0!</v>
      </c>
      <c r="M288" s="157" t="e">
        <f>Produtos!BJ288</f>
        <v>#DIV/0!</v>
      </c>
    </row>
    <row r="289" spans="1:13">
      <c r="A289" s="170">
        <f>Produtos!A289</f>
        <v>0</v>
      </c>
      <c r="B289" s="170"/>
      <c r="C289" s="142">
        <f>Produtos!B289</f>
        <v>0</v>
      </c>
      <c r="D289" s="160"/>
      <c r="E289" s="157" t="e">
        <f>Produtos!BD289</f>
        <v>#DIV/0!</v>
      </c>
      <c r="F289" s="159" t="e">
        <f>Produtos!BE289</f>
        <v>#DIV/0!</v>
      </c>
      <c r="G289" s="158" t="e">
        <f>Produtos!BF289</f>
        <v>#DIV/0!</v>
      </c>
      <c r="H289" s="159">
        <f>Produtos!BL289</f>
        <v>0</v>
      </c>
      <c r="I289" s="157" t="e">
        <f>Produtos!BM289</f>
        <v>#DIV/0!</v>
      </c>
      <c r="J289" s="157" t="e">
        <f>Produtos!BG289</f>
        <v>#DIV/0!</v>
      </c>
      <c r="K289" s="157" t="e">
        <f>Produtos!BH289</f>
        <v>#DIV/0!</v>
      </c>
      <c r="L289" s="157" t="e">
        <f>Produtos!BI289</f>
        <v>#DIV/0!</v>
      </c>
      <c r="M289" s="157" t="e">
        <f>Produtos!BJ289</f>
        <v>#DIV/0!</v>
      </c>
    </row>
    <row r="290" spans="1:13">
      <c r="A290" s="170">
        <f>Produtos!A290</f>
        <v>0</v>
      </c>
      <c r="B290" s="170"/>
      <c r="C290" s="142">
        <f>Produtos!B290</f>
        <v>0</v>
      </c>
      <c r="D290" s="160"/>
      <c r="E290" s="157" t="e">
        <f>Produtos!BD290</f>
        <v>#DIV/0!</v>
      </c>
      <c r="F290" s="159" t="e">
        <f>Produtos!BE290</f>
        <v>#DIV/0!</v>
      </c>
      <c r="G290" s="158" t="e">
        <f>Produtos!BF290</f>
        <v>#DIV/0!</v>
      </c>
      <c r="H290" s="159">
        <f>Produtos!BL290</f>
        <v>0</v>
      </c>
      <c r="I290" s="157" t="e">
        <f>Produtos!BM290</f>
        <v>#DIV/0!</v>
      </c>
      <c r="J290" s="157" t="e">
        <f>Produtos!BG290</f>
        <v>#DIV/0!</v>
      </c>
      <c r="K290" s="157" t="e">
        <f>Produtos!BH290</f>
        <v>#DIV/0!</v>
      </c>
      <c r="L290" s="157" t="e">
        <f>Produtos!BI290</f>
        <v>#DIV/0!</v>
      </c>
      <c r="M290" s="157" t="e">
        <f>Produtos!BJ290</f>
        <v>#DIV/0!</v>
      </c>
    </row>
    <row r="291" spans="1:13">
      <c r="A291" s="170">
        <f>Produtos!A291</f>
        <v>0</v>
      </c>
      <c r="B291" s="170"/>
      <c r="C291" s="142">
        <f>Produtos!B291</f>
        <v>0</v>
      </c>
      <c r="D291" s="160"/>
      <c r="E291" s="157" t="e">
        <f>Produtos!BD291</f>
        <v>#DIV/0!</v>
      </c>
      <c r="F291" s="159" t="e">
        <f>Produtos!BE291</f>
        <v>#DIV/0!</v>
      </c>
      <c r="G291" s="158" t="e">
        <f>Produtos!BF291</f>
        <v>#DIV/0!</v>
      </c>
      <c r="H291" s="159">
        <f>Produtos!BL291</f>
        <v>0</v>
      </c>
      <c r="I291" s="157" t="e">
        <f>Produtos!BM291</f>
        <v>#DIV/0!</v>
      </c>
      <c r="J291" s="157" t="e">
        <f>Produtos!BG291</f>
        <v>#DIV/0!</v>
      </c>
      <c r="K291" s="157" t="e">
        <f>Produtos!BH291</f>
        <v>#DIV/0!</v>
      </c>
      <c r="L291" s="157" t="e">
        <f>Produtos!BI291</f>
        <v>#DIV/0!</v>
      </c>
      <c r="M291" s="157" t="e">
        <f>Produtos!BJ291</f>
        <v>#DIV/0!</v>
      </c>
    </row>
    <row r="292" spans="1:13">
      <c r="A292" s="170">
        <f>Produtos!A292</f>
        <v>0</v>
      </c>
      <c r="B292" s="170"/>
      <c r="C292" s="142">
        <f>Produtos!B292</f>
        <v>0</v>
      </c>
      <c r="D292" s="160"/>
      <c r="E292" s="157" t="e">
        <f>Produtos!BD292</f>
        <v>#DIV/0!</v>
      </c>
      <c r="F292" s="159" t="e">
        <f>Produtos!BE292</f>
        <v>#DIV/0!</v>
      </c>
      <c r="G292" s="158" t="e">
        <f>Produtos!BF292</f>
        <v>#DIV/0!</v>
      </c>
      <c r="H292" s="159">
        <f>Produtos!BL292</f>
        <v>0</v>
      </c>
      <c r="I292" s="157" t="e">
        <f>Produtos!BM292</f>
        <v>#DIV/0!</v>
      </c>
      <c r="J292" s="157" t="e">
        <f>Produtos!BG292</f>
        <v>#DIV/0!</v>
      </c>
      <c r="K292" s="157" t="e">
        <f>Produtos!BH292</f>
        <v>#DIV/0!</v>
      </c>
      <c r="L292" s="157" t="e">
        <f>Produtos!BI292</f>
        <v>#DIV/0!</v>
      </c>
      <c r="M292" s="157" t="e">
        <f>Produtos!BJ292</f>
        <v>#DIV/0!</v>
      </c>
    </row>
    <row r="293" spans="1:13">
      <c r="A293" s="170">
        <f>Produtos!A293</f>
        <v>0</v>
      </c>
      <c r="B293" s="170"/>
      <c r="C293" s="142">
        <f>Produtos!B293</f>
        <v>0</v>
      </c>
      <c r="D293" s="160"/>
      <c r="E293" s="157" t="e">
        <f>Produtos!BD293</f>
        <v>#DIV/0!</v>
      </c>
      <c r="F293" s="159" t="e">
        <f>Produtos!BE293</f>
        <v>#DIV/0!</v>
      </c>
      <c r="G293" s="158" t="e">
        <f>Produtos!BF293</f>
        <v>#DIV/0!</v>
      </c>
      <c r="H293" s="159">
        <f>Produtos!BL293</f>
        <v>0</v>
      </c>
      <c r="I293" s="157" t="e">
        <f>Produtos!BM293</f>
        <v>#DIV/0!</v>
      </c>
      <c r="J293" s="157" t="e">
        <f>Produtos!BG293</f>
        <v>#DIV/0!</v>
      </c>
      <c r="K293" s="157" t="e">
        <f>Produtos!BH293</f>
        <v>#DIV/0!</v>
      </c>
      <c r="L293" s="157" t="e">
        <f>Produtos!BI293</f>
        <v>#DIV/0!</v>
      </c>
      <c r="M293" s="157" t="e">
        <f>Produtos!BJ293</f>
        <v>#DIV/0!</v>
      </c>
    </row>
    <row r="294" spans="1:13">
      <c r="A294" s="170">
        <f>Produtos!A294</f>
        <v>0</v>
      </c>
      <c r="B294" s="170"/>
      <c r="C294" s="142">
        <f>Produtos!B294</f>
        <v>0</v>
      </c>
      <c r="D294" s="160"/>
      <c r="E294" s="157" t="e">
        <f>Produtos!BD294</f>
        <v>#DIV/0!</v>
      </c>
      <c r="F294" s="159" t="e">
        <f>Produtos!BE294</f>
        <v>#DIV/0!</v>
      </c>
      <c r="G294" s="158" t="e">
        <f>Produtos!BF294</f>
        <v>#DIV/0!</v>
      </c>
      <c r="H294" s="159">
        <f>Produtos!BL294</f>
        <v>0</v>
      </c>
      <c r="I294" s="157" t="e">
        <f>Produtos!BM294</f>
        <v>#DIV/0!</v>
      </c>
      <c r="J294" s="157" t="e">
        <f>Produtos!BG294</f>
        <v>#DIV/0!</v>
      </c>
      <c r="K294" s="157" t="e">
        <f>Produtos!BH294</f>
        <v>#DIV/0!</v>
      </c>
      <c r="L294" s="157" t="e">
        <f>Produtos!BI294</f>
        <v>#DIV/0!</v>
      </c>
      <c r="M294" s="157" t="e">
        <f>Produtos!BJ294</f>
        <v>#DIV/0!</v>
      </c>
    </row>
    <row r="295" spans="1:13">
      <c r="A295" s="170">
        <f>Produtos!A295</f>
        <v>0</v>
      </c>
      <c r="B295" s="170"/>
      <c r="C295" s="142">
        <f>Produtos!B295</f>
        <v>0</v>
      </c>
      <c r="D295" s="160"/>
      <c r="E295" s="157" t="e">
        <f>Produtos!BD295</f>
        <v>#DIV/0!</v>
      </c>
      <c r="F295" s="159" t="e">
        <f>Produtos!BE295</f>
        <v>#DIV/0!</v>
      </c>
      <c r="G295" s="158" t="e">
        <f>Produtos!BF295</f>
        <v>#DIV/0!</v>
      </c>
      <c r="H295" s="159">
        <f>Produtos!BL295</f>
        <v>0</v>
      </c>
      <c r="I295" s="157" t="e">
        <f>Produtos!BM295</f>
        <v>#DIV/0!</v>
      </c>
      <c r="J295" s="157" t="e">
        <f>Produtos!BG295</f>
        <v>#DIV/0!</v>
      </c>
      <c r="K295" s="157" t="e">
        <f>Produtos!BH295</f>
        <v>#DIV/0!</v>
      </c>
      <c r="L295" s="157" t="e">
        <f>Produtos!BI295</f>
        <v>#DIV/0!</v>
      </c>
      <c r="M295" s="157" t="e">
        <f>Produtos!BJ295</f>
        <v>#DIV/0!</v>
      </c>
    </row>
    <row r="296" spans="1:13">
      <c r="A296" s="170">
        <f>Produtos!A296</f>
        <v>0</v>
      </c>
      <c r="B296" s="170"/>
      <c r="C296" s="142">
        <f>Produtos!B296</f>
        <v>0</v>
      </c>
      <c r="D296" s="160"/>
      <c r="E296" s="157" t="e">
        <f>Produtos!BD296</f>
        <v>#DIV/0!</v>
      </c>
      <c r="F296" s="159" t="e">
        <f>Produtos!BE296</f>
        <v>#DIV/0!</v>
      </c>
      <c r="G296" s="158" t="e">
        <f>Produtos!BF296</f>
        <v>#DIV/0!</v>
      </c>
      <c r="H296" s="159">
        <f>Produtos!BL296</f>
        <v>0</v>
      </c>
      <c r="I296" s="157" t="e">
        <f>Produtos!BM296</f>
        <v>#DIV/0!</v>
      </c>
      <c r="J296" s="157" t="e">
        <f>Produtos!BG296</f>
        <v>#DIV/0!</v>
      </c>
      <c r="K296" s="157" t="e">
        <f>Produtos!BH296</f>
        <v>#DIV/0!</v>
      </c>
      <c r="L296" s="157" t="e">
        <f>Produtos!BI296</f>
        <v>#DIV/0!</v>
      </c>
      <c r="M296" s="157" t="e">
        <f>Produtos!BJ296</f>
        <v>#DIV/0!</v>
      </c>
    </row>
    <row r="297" spans="1:13">
      <c r="A297" s="170">
        <f>Produtos!A297</f>
        <v>0</v>
      </c>
      <c r="B297" s="170"/>
      <c r="C297" s="142">
        <f>Produtos!B297</f>
        <v>0</v>
      </c>
      <c r="D297" s="160"/>
      <c r="E297" s="157" t="e">
        <f>Produtos!BD297</f>
        <v>#DIV/0!</v>
      </c>
      <c r="F297" s="159" t="e">
        <f>Produtos!BE297</f>
        <v>#DIV/0!</v>
      </c>
      <c r="G297" s="158" t="e">
        <f>Produtos!BF297</f>
        <v>#DIV/0!</v>
      </c>
      <c r="H297" s="159">
        <f>Produtos!BL297</f>
        <v>0</v>
      </c>
      <c r="I297" s="157" t="e">
        <f>Produtos!BM297</f>
        <v>#DIV/0!</v>
      </c>
      <c r="J297" s="157" t="e">
        <f>Produtos!BG297</f>
        <v>#DIV/0!</v>
      </c>
      <c r="K297" s="157" t="e">
        <f>Produtos!BH297</f>
        <v>#DIV/0!</v>
      </c>
      <c r="L297" s="157" t="e">
        <f>Produtos!BI297</f>
        <v>#DIV/0!</v>
      </c>
      <c r="M297" s="157" t="e">
        <f>Produtos!BJ297</f>
        <v>#DIV/0!</v>
      </c>
    </row>
    <row r="298" spans="1:13">
      <c r="A298" s="170">
        <f>Produtos!A298</f>
        <v>0</v>
      </c>
      <c r="B298" s="170"/>
      <c r="C298" s="142">
        <f>Produtos!B298</f>
        <v>0</v>
      </c>
      <c r="D298" s="160"/>
      <c r="E298" s="157" t="e">
        <f>Produtos!BD298</f>
        <v>#DIV/0!</v>
      </c>
      <c r="F298" s="159" t="e">
        <f>Produtos!BE298</f>
        <v>#DIV/0!</v>
      </c>
      <c r="G298" s="158" t="e">
        <f>Produtos!BF298</f>
        <v>#DIV/0!</v>
      </c>
      <c r="H298" s="159">
        <f>Produtos!BL298</f>
        <v>0</v>
      </c>
      <c r="I298" s="157" t="e">
        <f>Produtos!BM298</f>
        <v>#DIV/0!</v>
      </c>
      <c r="J298" s="157" t="e">
        <f>Produtos!BG298</f>
        <v>#DIV/0!</v>
      </c>
      <c r="K298" s="157" t="e">
        <f>Produtos!BH298</f>
        <v>#DIV/0!</v>
      </c>
      <c r="L298" s="157" t="e">
        <f>Produtos!BI298</f>
        <v>#DIV/0!</v>
      </c>
      <c r="M298" s="157" t="e">
        <f>Produtos!BJ298</f>
        <v>#DIV/0!</v>
      </c>
    </row>
    <row r="299" spans="1:13">
      <c r="A299" s="170">
        <f>Produtos!A299</f>
        <v>0</v>
      </c>
      <c r="B299" s="170"/>
      <c r="C299" s="142">
        <f>Produtos!B299</f>
        <v>0</v>
      </c>
      <c r="D299" s="160"/>
      <c r="E299" s="157" t="e">
        <f>Produtos!BD299</f>
        <v>#DIV/0!</v>
      </c>
      <c r="F299" s="159" t="e">
        <f>Produtos!BE299</f>
        <v>#DIV/0!</v>
      </c>
      <c r="G299" s="158" t="e">
        <f>Produtos!BF299</f>
        <v>#DIV/0!</v>
      </c>
      <c r="H299" s="159">
        <f>Produtos!BL299</f>
        <v>0</v>
      </c>
      <c r="I299" s="157" t="e">
        <f>Produtos!BM299</f>
        <v>#DIV/0!</v>
      </c>
      <c r="J299" s="157" t="e">
        <f>Produtos!BG299</f>
        <v>#DIV/0!</v>
      </c>
      <c r="K299" s="157" t="e">
        <f>Produtos!BH299</f>
        <v>#DIV/0!</v>
      </c>
      <c r="L299" s="157" t="e">
        <f>Produtos!BI299</f>
        <v>#DIV/0!</v>
      </c>
      <c r="M299" s="157" t="e">
        <f>Produtos!BJ299</f>
        <v>#DIV/0!</v>
      </c>
    </row>
    <row r="300" spans="1:13">
      <c r="A300" s="170">
        <f>Produtos!A300</f>
        <v>0</v>
      </c>
      <c r="B300" s="170"/>
      <c r="C300" s="142">
        <f>Produtos!B300</f>
        <v>0</v>
      </c>
      <c r="D300" s="160"/>
      <c r="E300" s="157" t="e">
        <f>Produtos!BD300</f>
        <v>#DIV/0!</v>
      </c>
      <c r="F300" s="159" t="e">
        <f>Produtos!BE300</f>
        <v>#DIV/0!</v>
      </c>
      <c r="G300" s="158" t="e">
        <f>Produtos!BF300</f>
        <v>#DIV/0!</v>
      </c>
      <c r="H300" s="159">
        <f>Produtos!BL300</f>
        <v>0</v>
      </c>
      <c r="I300" s="157" t="e">
        <f>Produtos!BM300</f>
        <v>#DIV/0!</v>
      </c>
      <c r="J300" s="157" t="e">
        <f>Produtos!BG300</f>
        <v>#DIV/0!</v>
      </c>
      <c r="K300" s="157" t="e">
        <f>Produtos!BH300</f>
        <v>#DIV/0!</v>
      </c>
      <c r="L300" s="157" t="e">
        <f>Produtos!BI300</f>
        <v>#DIV/0!</v>
      </c>
      <c r="M300" s="157" t="e">
        <f>Produtos!BJ300</f>
        <v>#DIV/0!</v>
      </c>
    </row>
    <row r="301" spans="1:13">
      <c r="A301" s="170">
        <f>Produtos!A301</f>
        <v>0</v>
      </c>
      <c r="B301" s="170"/>
      <c r="C301" s="142">
        <f>Produtos!B301</f>
        <v>0</v>
      </c>
      <c r="D301" s="160"/>
      <c r="E301" s="157" t="e">
        <f>Produtos!BD301</f>
        <v>#DIV/0!</v>
      </c>
      <c r="F301" s="159" t="e">
        <f>Produtos!BE301</f>
        <v>#DIV/0!</v>
      </c>
      <c r="G301" s="158" t="e">
        <f>Produtos!BF301</f>
        <v>#DIV/0!</v>
      </c>
      <c r="H301" s="159">
        <f>Produtos!BL301</f>
        <v>0</v>
      </c>
      <c r="I301" s="157" t="e">
        <f>Produtos!BM301</f>
        <v>#DIV/0!</v>
      </c>
      <c r="J301" s="157" t="e">
        <f>Produtos!BG301</f>
        <v>#DIV/0!</v>
      </c>
      <c r="K301" s="157" t="e">
        <f>Produtos!BH301</f>
        <v>#DIV/0!</v>
      </c>
      <c r="L301" s="157" t="e">
        <f>Produtos!BI301</f>
        <v>#DIV/0!</v>
      </c>
      <c r="M301" s="157" t="e">
        <f>Produtos!BJ301</f>
        <v>#DIV/0!</v>
      </c>
    </row>
    <row r="302" spans="1:13">
      <c r="A302" s="170">
        <f>Produtos!A302</f>
        <v>0</v>
      </c>
      <c r="B302" s="170"/>
      <c r="C302" s="142">
        <f>Produtos!B302</f>
        <v>0</v>
      </c>
      <c r="D302" s="160"/>
      <c r="E302" s="157" t="e">
        <f>Produtos!BD302</f>
        <v>#DIV/0!</v>
      </c>
      <c r="F302" s="159" t="e">
        <f>Produtos!BE302</f>
        <v>#DIV/0!</v>
      </c>
      <c r="G302" s="158" t="e">
        <f>Produtos!BF302</f>
        <v>#DIV/0!</v>
      </c>
      <c r="H302" s="159">
        <f>Produtos!BL302</f>
        <v>0</v>
      </c>
      <c r="I302" s="157" t="e">
        <f>Produtos!BM302</f>
        <v>#DIV/0!</v>
      </c>
      <c r="J302" s="157" t="e">
        <f>Produtos!BG302</f>
        <v>#DIV/0!</v>
      </c>
      <c r="K302" s="157" t="e">
        <f>Produtos!BH302</f>
        <v>#DIV/0!</v>
      </c>
      <c r="L302" s="157" t="e">
        <f>Produtos!BI302</f>
        <v>#DIV/0!</v>
      </c>
      <c r="M302" s="157" t="e">
        <f>Produtos!BJ302</f>
        <v>#DIV/0!</v>
      </c>
    </row>
    <row r="303" spans="1:13">
      <c r="A303" s="170">
        <f>Produtos!A303</f>
        <v>0</v>
      </c>
      <c r="B303" s="170"/>
      <c r="C303" s="142">
        <f>Produtos!B303</f>
        <v>0</v>
      </c>
      <c r="D303" s="160"/>
      <c r="E303" s="157" t="e">
        <f>Produtos!BD303</f>
        <v>#DIV/0!</v>
      </c>
      <c r="F303" s="159" t="e">
        <f>Produtos!BE303</f>
        <v>#DIV/0!</v>
      </c>
      <c r="G303" s="158" t="e">
        <f>Produtos!BF303</f>
        <v>#DIV/0!</v>
      </c>
      <c r="H303" s="159">
        <f>Produtos!BL303</f>
        <v>0</v>
      </c>
      <c r="I303" s="157" t="e">
        <f>Produtos!BM303</f>
        <v>#DIV/0!</v>
      </c>
      <c r="J303" s="157" t="e">
        <f>Produtos!BG303</f>
        <v>#DIV/0!</v>
      </c>
      <c r="K303" s="157" t="e">
        <f>Produtos!BH303</f>
        <v>#DIV/0!</v>
      </c>
      <c r="L303" s="157" t="e">
        <f>Produtos!BI303</f>
        <v>#DIV/0!</v>
      </c>
      <c r="M303" s="157" t="e">
        <f>Produtos!BJ303</f>
        <v>#DIV/0!</v>
      </c>
    </row>
    <row r="304" spans="1:13">
      <c r="A304" s="170">
        <f>Produtos!A304</f>
        <v>0</v>
      </c>
      <c r="B304" s="170"/>
      <c r="C304" s="142">
        <f>Produtos!B304</f>
        <v>0</v>
      </c>
      <c r="D304" s="160"/>
      <c r="E304" s="157" t="e">
        <f>Produtos!BD304</f>
        <v>#DIV/0!</v>
      </c>
      <c r="F304" s="159" t="e">
        <f>Produtos!BE304</f>
        <v>#DIV/0!</v>
      </c>
      <c r="G304" s="158" t="e">
        <f>Produtos!BF304</f>
        <v>#DIV/0!</v>
      </c>
      <c r="H304" s="159">
        <f>Produtos!BL304</f>
        <v>0</v>
      </c>
      <c r="I304" s="157" t="e">
        <f>Produtos!BM304</f>
        <v>#DIV/0!</v>
      </c>
      <c r="J304" s="157" t="e">
        <f>Produtos!BG304</f>
        <v>#DIV/0!</v>
      </c>
      <c r="K304" s="157" t="e">
        <f>Produtos!BH304</f>
        <v>#DIV/0!</v>
      </c>
      <c r="L304" s="157" t="e">
        <f>Produtos!BI304</f>
        <v>#DIV/0!</v>
      </c>
      <c r="M304" s="157" t="e">
        <f>Produtos!BJ304</f>
        <v>#DIV/0!</v>
      </c>
    </row>
    <row r="305" spans="1:13">
      <c r="A305" s="170">
        <f>Produtos!A305</f>
        <v>0</v>
      </c>
      <c r="B305" s="170"/>
      <c r="C305" s="142">
        <f>Produtos!B305</f>
        <v>0</v>
      </c>
      <c r="D305" s="160"/>
      <c r="E305" s="157" t="e">
        <f>Produtos!BD305</f>
        <v>#DIV/0!</v>
      </c>
      <c r="F305" s="159" t="e">
        <f>Produtos!BE305</f>
        <v>#DIV/0!</v>
      </c>
      <c r="G305" s="158" t="e">
        <f>Produtos!BF305</f>
        <v>#DIV/0!</v>
      </c>
      <c r="H305" s="159">
        <f>Produtos!BL305</f>
        <v>0</v>
      </c>
      <c r="I305" s="157" t="e">
        <f>Produtos!BM305</f>
        <v>#DIV/0!</v>
      </c>
      <c r="J305" s="157" t="e">
        <f>Produtos!BG305</f>
        <v>#DIV/0!</v>
      </c>
      <c r="K305" s="157" t="e">
        <f>Produtos!BH305</f>
        <v>#DIV/0!</v>
      </c>
      <c r="L305" s="157" t="e">
        <f>Produtos!BI305</f>
        <v>#DIV/0!</v>
      </c>
      <c r="M305" s="157" t="e">
        <f>Produtos!BJ305</f>
        <v>#DIV/0!</v>
      </c>
    </row>
    <row r="306" spans="1:13">
      <c r="A306" s="170">
        <f>Produtos!A306</f>
        <v>0</v>
      </c>
      <c r="B306" s="170"/>
      <c r="C306" s="142">
        <f>Produtos!B306</f>
        <v>0</v>
      </c>
      <c r="D306" s="160"/>
      <c r="E306" s="157" t="e">
        <f>Produtos!BD306</f>
        <v>#DIV/0!</v>
      </c>
      <c r="F306" s="159" t="e">
        <f>Produtos!BE306</f>
        <v>#DIV/0!</v>
      </c>
      <c r="G306" s="158" t="e">
        <f>Produtos!BF306</f>
        <v>#DIV/0!</v>
      </c>
      <c r="H306" s="159">
        <f>Produtos!BL306</f>
        <v>0</v>
      </c>
      <c r="I306" s="157" t="e">
        <f>Produtos!BM306</f>
        <v>#DIV/0!</v>
      </c>
      <c r="J306" s="157" t="e">
        <f>Produtos!BG306</f>
        <v>#DIV/0!</v>
      </c>
      <c r="K306" s="157" t="e">
        <f>Produtos!BH306</f>
        <v>#DIV/0!</v>
      </c>
      <c r="L306" s="157" t="e">
        <f>Produtos!BI306</f>
        <v>#DIV/0!</v>
      </c>
      <c r="M306" s="157" t="e">
        <f>Produtos!BJ306</f>
        <v>#DIV/0!</v>
      </c>
    </row>
    <row r="307" spans="1:13">
      <c r="A307" s="170">
        <f>Produtos!A307</f>
        <v>0</v>
      </c>
      <c r="B307" s="170"/>
      <c r="C307" s="142">
        <f>Produtos!B307</f>
        <v>0</v>
      </c>
      <c r="D307" s="160"/>
      <c r="E307" s="157" t="e">
        <f>Produtos!BD307</f>
        <v>#DIV/0!</v>
      </c>
      <c r="F307" s="159" t="e">
        <f>Produtos!BE307</f>
        <v>#DIV/0!</v>
      </c>
      <c r="G307" s="158" t="e">
        <f>Produtos!BF307</f>
        <v>#DIV/0!</v>
      </c>
      <c r="H307" s="159">
        <f>Produtos!BL307</f>
        <v>0</v>
      </c>
      <c r="I307" s="157" t="e">
        <f>Produtos!BM307</f>
        <v>#DIV/0!</v>
      </c>
      <c r="J307" s="157" t="e">
        <f>Produtos!BG307</f>
        <v>#DIV/0!</v>
      </c>
      <c r="K307" s="157" t="e">
        <f>Produtos!BH307</f>
        <v>#DIV/0!</v>
      </c>
      <c r="L307" s="157" t="e">
        <f>Produtos!BI307</f>
        <v>#DIV/0!</v>
      </c>
      <c r="M307" s="157" t="e">
        <f>Produtos!BJ307</f>
        <v>#DIV/0!</v>
      </c>
    </row>
    <row r="308" spans="1:13">
      <c r="A308" s="170">
        <f>Produtos!A308</f>
        <v>0</v>
      </c>
      <c r="B308" s="170"/>
      <c r="C308" s="142">
        <f>Produtos!B308</f>
        <v>0</v>
      </c>
      <c r="D308" s="160"/>
      <c r="E308" s="157" t="e">
        <f>Produtos!BD308</f>
        <v>#DIV/0!</v>
      </c>
      <c r="F308" s="159" t="e">
        <f>Produtos!BE308</f>
        <v>#DIV/0!</v>
      </c>
      <c r="G308" s="158" t="e">
        <f>Produtos!BF308</f>
        <v>#DIV/0!</v>
      </c>
      <c r="H308" s="159">
        <f>Produtos!BL308</f>
        <v>0</v>
      </c>
      <c r="I308" s="157" t="e">
        <f>Produtos!BM308</f>
        <v>#DIV/0!</v>
      </c>
      <c r="J308" s="157" t="e">
        <f>Produtos!BG308</f>
        <v>#DIV/0!</v>
      </c>
      <c r="K308" s="157" t="e">
        <f>Produtos!BH308</f>
        <v>#DIV/0!</v>
      </c>
      <c r="L308" s="157" t="e">
        <f>Produtos!BI308</f>
        <v>#DIV/0!</v>
      </c>
      <c r="M308" s="157" t="e">
        <f>Produtos!BJ308</f>
        <v>#DIV/0!</v>
      </c>
    </row>
    <row r="309" spans="1:13">
      <c r="A309" s="170">
        <f>Produtos!A309</f>
        <v>0</v>
      </c>
      <c r="B309" s="170"/>
      <c r="C309" s="142">
        <f>Produtos!B309</f>
        <v>0</v>
      </c>
      <c r="D309" s="160"/>
      <c r="E309" s="157" t="e">
        <f>Produtos!BD309</f>
        <v>#DIV/0!</v>
      </c>
      <c r="F309" s="159" t="e">
        <f>Produtos!BE309</f>
        <v>#DIV/0!</v>
      </c>
      <c r="G309" s="158" t="e">
        <f>Produtos!BF309</f>
        <v>#DIV/0!</v>
      </c>
      <c r="H309" s="159">
        <f>Produtos!BL309</f>
        <v>0</v>
      </c>
      <c r="I309" s="157" t="e">
        <f>Produtos!BM309</f>
        <v>#DIV/0!</v>
      </c>
      <c r="J309" s="157" t="e">
        <f>Produtos!BG309</f>
        <v>#DIV/0!</v>
      </c>
      <c r="K309" s="157" t="e">
        <f>Produtos!BH309</f>
        <v>#DIV/0!</v>
      </c>
      <c r="L309" s="157" t="e">
        <f>Produtos!BI309</f>
        <v>#DIV/0!</v>
      </c>
      <c r="M309" s="157" t="e">
        <f>Produtos!BJ309</f>
        <v>#DIV/0!</v>
      </c>
    </row>
    <row r="310" spans="1:13">
      <c r="A310" s="170">
        <f>Produtos!A310</f>
        <v>0</v>
      </c>
      <c r="B310" s="170"/>
      <c r="C310" s="142">
        <f>Produtos!B310</f>
        <v>0</v>
      </c>
      <c r="D310" s="160"/>
      <c r="E310" s="157" t="e">
        <f>Produtos!BD310</f>
        <v>#DIV/0!</v>
      </c>
      <c r="F310" s="159" t="e">
        <f>Produtos!BE310</f>
        <v>#DIV/0!</v>
      </c>
      <c r="G310" s="158" t="e">
        <f>Produtos!BF310</f>
        <v>#DIV/0!</v>
      </c>
      <c r="H310" s="159">
        <f>Produtos!BL310</f>
        <v>0</v>
      </c>
      <c r="I310" s="157" t="e">
        <f>Produtos!BM310</f>
        <v>#DIV/0!</v>
      </c>
      <c r="J310" s="157" t="e">
        <f>Produtos!BG310</f>
        <v>#DIV/0!</v>
      </c>
      <c r="K310" s="157" t="e">
        <f>Produtos!BH310</f>
        <v>#DIV/0!</v>
      </c>
      <c r="L310" s="157" t="e">
        <f>Produtos!BI310</f>
        <v>#DIV/0!</v>
      </c>
      <c r="M310" s="157" t="e">
        <f>Produtos!BJ310</f>
        <v>#DIV/0!</v>
      </c>
    </row>
    <row r="311" spans="1:13">
      <c r="A311" s="170">
        <f>Produtos!A311</f>
        <v>0</v>
      </c>
      <c r="B311" s="170"/>
      <c r="C311" s="142">
        <f>Produtos!B311</f>
        <v>0</v>
      </c>
      <c r="D311" s="160"/>
      <c r="E311" s="157" t="e">
        <f>Produtos!BD311</f>
        <v>#DIV/0!</v>
      </c>
      <c r="F311" s="159" t="e">
        <f>Produtos!BE311</f>
        <v>#DIV/0!</v>
      </c>
      <c r="G311" s="158" t="e">
        <f>Produtos!BF311</f>
        <v>#DIV/0!</v>
      </c>
      <c r="H311" s="159">
        <f>Produtos!BL311</f>
        <v>0</v>
      </c>
      <c r="I311" s="157" t="e">
        <f>Produtos!BM311</f>
        <v>#DIV/0!</v>
      </c>
      <c r="J311" s="157" t="e">
        <f>Produtos!BG311</f>
        <v>#DIV/0!</v>
      </c>
      <c r="K311" s="157" t="e">
        <f>Produtos!BH311</f>
        <v>#DIV/0!</v>
      </c>
      <c r="L311" s="157" t="e">
        <f>Produtos!BI311</f>
        <v>#DIV/0!</v>
      </c>
      <c r="M311" s="157" t="e">
        <f>Produtos!BJ311</f>
        <v>#DIV/0!</v>
      </c>
    </row>
    <row r="312" spans="1:13">
      <c r="A312" s="170">
        <f>Produtos!A312</f>
        <v>0</v>
      </c>
      <c r="B312" s="170"/>
      <c r="C312" s="142">
        <f>Produtos!B312</f>
        <v>0</v>
      </c>
      <c r="D312" s="160"/>
      <c r="E312" s="157" t="e">
        <f>Produtos!BD312</f>
        <v>#DIV/0!</v>
      </c>
      <c r="F312" s="159" t="e">
        <f>Produtos!BE312</f>
        <v>#DIV/0!</v>
      </c>
      <c r="G312" s="158" t="e">
        <f>Produtos!BF312</f>
        <v>#DIV/0!</v>
      </c>
      <c r="H312" s="159">
        <f>Produtos!BL312</f>
        <v>0</v>
      </c>
      <c r="I312" s="157" t="e">
        <f>Produtos!BM312</f>
        <v>#DIV/0!</v>
      </c>
      <c r="J312" s="157" t="e">
        <f>Produtos!BG312</f>
        <v>#DIV/0!</v>
      </c>
      <c r="K312" s="157" t="e">
        <f>Produtos!BH312</f>
        <v>#DIV/0!</v>
      </c>
      <c r="L312" s="157" t="e">
        <f>Produtos!BI312</f>
        <v>#DIV/0!</v>
      </c>
      <c r="M312" s="157" t="e">
        <f>Produtos!BJ312</f>
        <v>#DIV/0!</v>
      </c>
    </row>
    <row r="313" spans="1:13">
      <c r="A313" s="170">
        <f>Produtos!A313</f>
        <v>0</v>
      </c>
      <c r="B313" s="170"/>
      <c r="C313" s="142">
        <f>Produtos!B313</f>
        <v>0</v>
      </c>
      <c r="D313" s="160"/>
      <c r="E313" s="157" t="e">
        <f>Produtos!BD313</f>
        <v>#DIV/0!</v>
      </c>
      <c r="F313" s="159" t="e">
        <f>Produtos!BE313</f>
        <v>#DIV/0!</v>
      </c>
      <c r="G313" s="158" t="e">
        <f>Produtos!BF313</f>
        <v>#DIV/0!</v>
      </c>
      <c r="H313" s="159">
        <f>Produtos!BL313</f>
        <v>0</v>
      </c>
      <c r="I313" s="157" t="e">
        <f>Produtos!BM313</f>
        <v>#DIV/0!</v>
      </c>
      <c r="J313" s="157" t="e">
        <f>Produtos!BG313</f>
        <v>#DIV/0!</v>
      </c>
      <c r="K313" s="157" t="e">
        <f>Produtos!BH313</f>
        <v>#DIV/0!</v>
      </c>
      <c r="L313" s="157" t="e">
        <f>Produtos!BI313</f>
        <v>#DIV/0!</v>
      </c>
      <c r="M313" s="157" t="e">
        <f>Produtos!BJ313</f>
        <v>#DIV/0!</v>
      </c>
    </row>
    <row r="314" spans="1:13">
      <c r="A314" s="170">
        <f>Produtos!A314</f>
        <v>0</v>
      </c>
      <c r="B314" s="170"/>
      <c r="C314" s="142">
        <f>Produtos!B314</f>
        <v>0</v>
      </c>
      <c r="D314" s="160"/>
      <c r="E314" s="157" t="e">
        <f>Produtos!BD314</f>
        <v>#DIV/0!</v>
      </c>
      <c r="F314" s="159" t="e">
        <f>Produtos!BE314</f>
        <v>#DIV/0!</v>
      </c>
      <c r="G314" s="158" t="e">
        <f>Produtos!BF314</f>
        <v>#DIV/0!</v>
      </c>
      <c r="H314" s="159">
        <f>Produtos!BL314</f>
        <v>0</v>
      </c>
      <c r="I314" s="157" t="e">
        <f>Produtos!BM314</f>
        <v>#DIV/0!</v>
      </c>
      <c r="J314" s="157" t="e">
        <f>Produtos!BG314</f>
        <v>#DIV/0!</v>
      </c>
      <c r="K314" s="157" t="e">
        <f>Produtos!BH314</f>
        <v>#DIV/0!</v>
      </c>
      <c r="L314" s="157" t="e">
        <f>Produtos!BI314</f>
        <v>#DIV/0!</v>
      </c>
      <c r="M314" s="157" t="e">
        <f>Produtos!BJ314</f>
        <v>#DIV/0!</v>
      </c>
    </row>
    <row r="315" spans="1:13">
      <c r="A315" s="170">
        <f>Produtos!A315</f>
        <v>0</v>
      </c>
      <c r="B315" s="170"/>
      <c r="C315" s="142">
        <f>Produtos!B315</f>
        <v>0</v>
      </c>
      <c r="D315" s="160"/>
      <c r="E315" s="157" t="e">
        <f>Produtos!BD315</f>
        <v>#DIV/0!</v>
      </c>
      <c r="F315" s="159" t="e">
        <f>Produtos!BE315</f>
        <v>#DIV/0!</v>
      </c>
      <c r="G315" s="158" t="e">
        <f>Produtos!BF315</f>
        <v>#DIV/0!</v>
      </c>
      <c r="H315" s="159">
        <f>Produtos!BL315</f>
        <v>0</v>
      </c>
      <c r="I315" s="157" t="e">
        <f>Produtos!BM315</f>
        <v>#DIV/0!</v>
      </c>
      <c r="J315" s="157" t="e">
        <f>Produtos!BG315</f>
        <v>#DIV/0!</v>
      </c>
      <c r="K315" s="157" t="e">
        <f>Produtos!BH315</f>
        <v>#DIV/0!</v>
      </c>
      <c r="L315" s="157" t="e">
        <f>Produtos!BI315</f>
        <v>#DIV/0!</v>
      </c>
      <c r="M315" s="157" t="e">
        <f>Produtos!BJ315</f>
        <v>#DIV/0!</v>
      </c>
    </row>
    <row r="316" spans="1:13">
      <c r="A316" s="170">
        <f>Produtos!A316</f>
        <v>0</v>
      </c>
      <c r="B316" s="170"/>
      <c r="C316" s="142">
        <f>Produtos!B316</f>
        <v>0</v>
      </c>
      <c r="D316" s="160"/>
      <c r="E316" s="157" t="e">
        <f>Produtos!BD316</f>
        <v>#DIV/0!</v>
      </c>
      <c r="F316" s="159" t="e">
        <f>Produtos!BE316</f>
        <v>#DIV/0!</v>
      </c>
      <c r="G316" s="158" t="e">
        <f>Produtos!BF316</f>
        <v>#DIV/0!</v>
      </c>
      <c r="H316" s="159">
        <f>Produtos!BL316</f>
        <v>0</v>
      </c>
      <c r="I316" s="157" t="e">
        <f>Produtos!BM316</f>
        <v>#DIV/0!</v>
      </c>
      <c r="J316" s="157" t="e">
        <f>Produtos!BG316</f>
        <v>#DIV/0!</v>
      </c>
      <c r="K316" s="157" t="e">
        <f>Produtos!BH316</f>
        <v>#DIV/0!</v>
      </c>
      <c r="L316" s="157" t="e">
        <f>Produtos!BI316</f>
        <v>#DIV/0!</v>
      </c>
      <c r="M316" s="157" t="e">
        <f>Produtos!BJ316</f>
        <v>#DIV/0!</v>
      </c>
    </row>
    <row r="317" spans="1:13">
      <c r="A317" s="170">
        <f>Produtos!A317</f>
        <v>0</v>
      </c>
      <c r="B317" s="170"/>
      <c r="C317" s="142">
        <f>Produtos!B317</f>
        <v>0</v>
      </c>
      <c r="D317" s="160"/>
      <c r="E317" s="157" t="e">
        <f>Produtos!BD317</f>
        <v>#DIV/0!</v>
      </c>
      <c r="F317" s="159" t="e">
        <f>Produtos!BE317</f>
        <v>#DIV/0!</v>
      </c>
      <c r="G317" s="158" t="e">
        <f>Produtos!BF317</f>
        <v>#DIV/0!</v>
      </c>
      <c r="H317" s="159">
        <f>Produtos!BL317</f>
        <v>0</v>
      </c>
      <c r="I317" s="157" t="e">
        <f>Produtos!BM317</f>
        <v>#DIV/0!</v>
      </c>
      <c r="J317" s="157" t="e">
        <f>Produtos!BG317</f>
        <v>#DIV/0!</v>
      </c>
      <c r="K317" s="157" t="e">
        <f>Produtos!BH317</f>
        <v>#DIV/0!</v>
      </c>
      <c r="L317" s="157" t="e">
        <f>Produtos!BI317</f>
        <v>#DIV/0!</v>
      </c>
      <c r="M317" s="157" t="e">
        <f>Produtos!BJ317</f>
        <v>#DIV/0!</v>
      </c>
    </row>
    <row r="318" spans="1:13">
      <c r="A318" s="170">
        <f>Produtos!A318</f>
        <v>0</v>
      </c>
      <c r="B318" s="170"/>
      <c r="C318" s="142">
        <f>Produtos!B318</f>
        <v>0</v>
      </c>
      <c r="D318" s="160"/>
      <c r="E318" s="157" t="e">
        <f>Produtos!BD318</f>
        <v>#DIV/0!</v>
      </c>
      <c r="F318" s="159" t="e">
        <f>Produtos!BE318</f>
        <v>#DIV/0!</v>
      </c>
      <c r="G318" s="158" t="e">
        <f>Produtos!BF318</f>
        <v>#DIV/0!</v>
      </c>
      <c r="H318" s="159">
        <f>Produtos!BL318</f>
        <v>0</v>
      </c>
      <c r="I318" s="157" t="e">
        <f>Produtos!BM318</f>
        <v>#DIV/0!</v>
      </c>
      <c r="J318" s="157" t="e">
        <f>Produtos!BG318</f>
        <v>#DIV/0!</v>
      </c>
      <c r="K318" s="157" t="e">
        <f>Produtos!BH318</f>
        <v>#DIV/0!</v>
      </c>
      <c r="L318" s="157" t="e">
        <f>Produtos!BI318</f>
        <v>#DIV/0!</v>
      </c>
      <c r="M318" s="157" t="e">
        <f>Produtos!BJ318</f>
        <v>#DIV/0!</v>
      </c>
    </row>
    <row r="319" spans="1:13">
      <c r="A319" s="170">
        <f>Produtos!A319</f>
        <v>0</v>
      </c>
      <c r="B319" s="170"/>
      <c r="C319" s="142">
        <f>Produtos!B319</f>
        <v>0</v>
      </c>
      <c r="D319" s="160"/>
      <c r="E319" s="157" t="e">
        <f>Produtos!BD319</f>
        <v>#DIV/0!</v>
      </c>
      <c r="F319" s="159" t="e">
        <f>Produtos!BE319</f>
        <v>#DIV/0!</v>
      </c>
      <c r="G319" s="158" t="e">
        <f>Produtos!BF319</f>
        <v>#DIV/0!</v>
      </c>
      <c r="H319" s="159">
        <f>Produtos!BL319</f>
        <v>0</v>
      </c>
      <c r="I319" s="157" t="e">
        <f>Produtos!BM319</f>
        <v>#DIV/0!</v>
      </c>
      <c r="J319" s="157" t="e">
        <f>Produtos!BG319</f>
        <v>#DIV/0!</v>
      </c>
      <c r="K319" s="157" t="e">
        <f>Produtos!BH319</f>
        <v>#DIV/0!</v>
      </c>
      <c r="L319" s="157" t="e">
        <f>Produtos!BI319</f>
        <v>#DIV/0!</v>
      </c>
      <c r="M319" s="157" t="e">
        <f>Produtos!BJ319</f>
        <v>#DIV/0!</v>
      </c>
    </row>
    <row r="320" spans="1:13">
      <c r="A320" s="170">
        <f>Produtos!A320</f>
        <v>0</v>
      </c>
      <c r="B320" s="170"/>
      <c r="C320" s="142">
        <f>Produtos!B320</f>
        <v>0</v>
      </c>
      <c r="D320" s="160"/>
      <c r="E320" s="157" t="e">
        <f>Produtos!BD320</f>
        <v>#DIV/0!</v>
      </c>
      <c r="F320" s="159" t="e">
        <f>Produtos!BE320</f>
        <v>#DIV/0!</v>
      </c>
      <c r="G320" s="158" t="e">
        <f>Produtos!BF320</f>
        <v>#DIV/0!</v>
      </c>
      <c r="H320" s="159">
        <f>Produtos!BL320</f>
        <v>0</v>
      </c>
      <c r="I320" s="157" t="e">
        <f>Produtos!BM320</f>
        <v>#DIV/0!</v>
      </c>
      <c r="J320" s="157" t="e">
        <f>Produtos!BG320</f>
        <v>#DIV/0!</v>
      </c>
      <c r="K320" s="157" t="e">
        <f>Produtos!BH320</f>
        <v>#DIV/0!</v>
      </c>
      <c r="L320" s="157" t="e">
        <f>Produtos!BI320</f>
        <v>#DIV/0!</v>
      </c>
      <c r="M320" s="157" t="e">
        <f>Produtos!BJ320</f>
        <v>#DIV/0!</v>
      </c>
    </row>
    <row r="321" spans="1:13">
      <c r="A321" s="170">
        <f>Produtos!A321</f>
        <v>0</v>
      </c>
      <c r="B321" s="170"/>
      <c r="C321" s="142">
        <f>Produtos!B321</f>
        <v>0</v>
      </c>
      <c r="D321" s="160"/>
      <c r="E321" s="157" t="e">
        <f>Produtos!BD321</f>
        <v>#DIV/0!</v>
      </c>
      <c r="F321" s="159" t="e">
        <f>Produtos!BE321</f>
        <v>#DIV/0!</v>
      </c>
      <c r="G321" s="158" t="e">
        <f>Produtos!BF321</f>
        <v>#DIV/0!</v>
      </c>
      <c r="H321" s="159">
        <f>Produtos!BL321</f>
        <v>0</v>
      </c>
      <c r="I321" s="157" t="e">
        <f>Produtos!BM321</f>
        <v>#DIV/0!</v>
      </c>
      <c r="J321" s="157" t="e">
        <f>Produtos!BG321</f>
        <v>#DIV/0!</v>
      </c>
      <c r="K321" s="157" t="e">
        <f>Produtos!BH321</f>
        <v>#DIV/0!</v>
      </c>
      <c r="L321" s="157" t="e">
        <f>Produtos!BI321</f>
        <v>#DIV/0!</v>
      </c>
      <c r="M321" s="157" t="e">
        <f>Produtos!BJ321</f>
        <v>#DIV/0!</v>
      </c>
    </row>
    <row r="322" spans="1:13">
      <c r="A322" s="170">
        <f>Produtos!A322</f>
        <v>0</v>
      </c>
      <c r="B322" s="170"/>
      <c r="C322" s="142">
        <f>Produtos!B322</f>
        <v>0</v>
      </c>
      <c r="D322" s="160"/>
      <c r="E322" s="157" t="e">
        <f>Produtos!BD322</f>
        <v>#DIV/0!</v>
      </c>
      <c r="F322" s="159" t="e">
        <f>Produtos!BE322</f>
        <v>#DIV/0!</v>
      </c>
      <c r="G322" s="158" t="e">
        <f>Produtos!BF322</f>
        <v>#DIV/0!</v>
      </c>
      <c r="H322" s="159">
        <f>Produtos!BL322</f>
        <v>0</v>
      </c>
      <c r="I322" s="157" t="e">
        <f>Produtos!BM322</f>
        <v>#DIV/0!</v>
      </c>
      <c r="J322" s="157" t="e">
        <f>Produtos!BG322</f>
        <v>#DIV/0!</v>
      </c>
      <c r="K322" s="157" t="e">
        <f>Produtos!BH322</f>
        <v>#DIV/0!</v>
      </c>
      <c r="L322" s="157" t="e">
        <f>Produtos!BI322</f>
        <v>#DIV/0!</v>
      </c>
      <c r="M322" s="157" t="e">
        <f>Produtos!BJ322</f>
        <v>#DIV/0!</v>
      </c>
    </row>
    <row r="323" spans="1:13">
      <c r="A323" s="170">
        <f>Produtos!A323</f>
        <v>0</v>
      </c>
      <c r="B323" s="170"/>
      <c r="C323" s="142">
        <f>Produtos!B323</f>
        <v>0</v>
      </c>
      <c r="D323" s="160"/>
      <c r="E323" s="157" t="e">
        <f>Produtos!BD323</f>
        <v>#DIV/0!</v>
      </c>
      <c r="F323" s="159" t="e">
        <f>Produtos!BE323</f>
        <v>#DIV/0!</v>
      </c>
      <c r="G323" s="158" t="e">
        <f>Produtos!BF323</f>
        <v>#DIV/0!</v>
      </c>
      <c r="H323" s="159">
        <f>Produtos!BL323</f>
        <v>0</v>
      </c>
      <c r="I323" s="157" t="e">
        <f>Produtos!BM323</f>
        <v>#DIV/0!</v>
      </c>
      <c r="J323" s="157" t="e">
        <f>Produtos!BG323</f>
        <v>#DIV/0!</v>
      </c>
      <c r="K323" s="157" t="e">
        <f>Produtos!BH323</f>
        <v>#DIV/0!</v>
      </c>
      <c r="L323" s="157" t="e">
        <f>Produtos!BI323</f>
        <v>#DIV/0!</v>
      </c>
      <c r="M323" s="157" t="e">
        <f>Produtos!BJ323</f>
        <v>#DIV/0!</v>
      </c>
    </row>
    <row r="324" spans="1:13">
      <c r="A324" s="170">
        <f>Produtos!A324</f>
        <v>0</v>
      </c>
      <c r="B324" s="170"/>
      <c r="C324" s="142">
        <f>Produtos!B324</f>
        <v>0</v>
      </c>
      <c r="D324" s="160"/>
      <c r="E324" s="157" t="e">
        <f>Produtos!BD324</f>
        <v>#DIV/0!</v>
      </c>
      <c r="F324" s="159" t="e">
        <f>Produtos!BE324</f>
        <v>#DIV/0!</v>
      </c>
      <c r="G324" s="158" t="e">
        <f>Produtos!BF324</f>
        <v>#DIV/0!</v>
      </c>
      <c r="H324" s="159">
        <f>Produtos!BL324</f>
        <v>0</v>
      </c>
      <c r="I324" s="157" t="e">
        <f>Produtos!BM324</f>
        <v>#DIV/0!</v>
      </c>
      <c r="J324" s="157" t="e">
        <f>Produtos!BG324</f>
        <v>#DIV/0!</v>
      </c>
      <c r="K324" s="157" t="e">
        <f>Produtos!BH324</f>
        <v>#DIV/0!</v>
      </c>
      <c r="L324" s="157" t="e">
        <f>Produtos!BI324</f>
        <v>#DIV/0!</v>
      </c>
      <c r="M324" s="157" t="e">
        <f>Produtos!BJ324</f>
        <v>#DIV/0!</v>
      </c>
    </row>
    <row r="325" spans="1:13">
      <c r="A325" s="170">
        <f>Produtos!A325</f>
        <v>0</v>
      </c>
      <c r="B325" s="170"/>
      <c r="C325" s="142">
        <f>Produtos!B325</f>
        <v>0</v>
      </c>
      <c r="D325" s="160"/>
      <c r="E325" s="157" t="e">
        <f>Produtos!BD325</f>
        <v>#DIV/0!</v>
      </c>
      <c r="F325" s="159" t="e">
        <f>Produtos!BE325</f>
        <v>#DIV/0!</v>
      </c>
      <c r="G325" s="158" t="e">
        <f>Produtos!BF325</f>
        <v>#DIV/0!</v>
      </c>
      <c r="H325" s="159">
        <f>Produtos!BL325</f>
        <v>0</v>
      </c>
      <c r="I325" s="157" t="e">
        <f>Produtos!BM325</f>
        <v>#DIV/0!</v>
      </c>
      <c r="J325" s="157" t="e">
        <f>Produtos!BG325</f>
        <v>#DIV/0!</v>
      </c>
      <c r="K325" s="157" t="e">
        <f>Produtos!BH325</f>
        <v>#DIV/0!</v>
      </c>
      <c r="L325" s="157" t="e">
        <f>Produtos!BI325</f>
        <v>#DIV/0!</v>
      </c>
      <c r="M325" s="157" t="e">
        <f>Produtos!BJ325</f>
        <v>#DIV/0!</v>
      </c>
    </row>
    <row r="326" spans="1:13">
      <c r="A326" s="170">
        <f>Produtos!A326</f>
        <v>0</v>
      </c>
      <c r="B326" s="170"/>
      <c r="C326" s="142">
        <f>Produtos!B326</f>
        <v>0</v>
      </c>
      <c r="D326" s="160"/>
      <c r="E326" s="157" t="e">
        <f>Produtos!BD326</f>
        <v>#DIV/0!</v>
      </c>
      <c r="F326" s="159" t="e">
        <f>Produtos!BE326</f>
        <v>#DIV/0!</v>
      </c>
      <c r="G326" s="158" t="e">
        <f>Produtos!BF326</f>
        <v>#DIV/0!</v>
      </c>
      <c r="H326" s="159">
        <f>Produtos!BL326</f>
        <v>0</v>
      </c>
      <c r="I326" s="157" t="e">
        <f>Produtos!BM326</f>
        <v>#DIV/0!</v>
      </c>
      <c r="J326" s="157" t="e">
        <f>Produtos!BG326</f>
        <v>#DIV/0!</v>
      </c>
      <c r="K326" s="157" t="e">
        <f>Produtos!BH326</f>
        <v>#DIV/0!</v>
      </c>
      <c r="L326" s="157" t="e">
        <f>Produtos!BI326</f>
        <v>#DIV/0!</v>
      </c>
      <c r="M326" s="157" t="e">
        <f>Produtos!BJ326</f>
        <v>#DIV/0!</v>
      </c>
    </row>
    <row r="327" spans="1:13">
      <c r="A327" s="170">
        <f>Produtos!A327</f>
        <v>0</v>
      </c>
      <c r="B327" s="170"/>
      <c r="C327" s="142">
        <f>Produtos!B327</f>
        <v>0</v>
      </c>
      <c r="D327" s="160"/>
      <c r="E327" s="157" t="e">
        <f>Produtos!BD327</f>
        <v>#DIV/0!</v>
      </c>
      <c r="F327" s="159" t="e">
        <f>Produtos!BE327</f>
        <v>#DIV/0!</v>
      </c>
      <c r="G327" s="158" t="e">
        <f>Produtos!BF327</f>
        <v>#DIV/0!</v>
      </c>
      <c r="H327" s="159">
        <f>Produtos!BL327</f>
        <v>0</v>
      </c>
      <c r="I327" s="157" t="e">
        <f>Produtos!BM327</f>
        <v>#DIV/0!</v>
      </c>
      <c r="J327" s="157" t="e">
        <f>Produtos!BG327</f>
        <v>#DIV/0!</v>
      </c>
      <c r="K327" s="157" t="e">
        <f>Produtos!BH327</f>
        <v>#DIV/0!</v>
      </c>
      <c r="L327" s="157" t="e">
        <f>Produtos!BI327</f>
        <v>#DIV/0!</v>
      </c>
      <c r="M327" s="157" t="e">
        <f>Produtos!BJ327</f>
        <v>#DIV/0!</v>
      </c>
    </row>
    <row r="328" spans="1:13">
      <c r="A328" s="170">
        <f>Produtos!A328</f>
        <v>0</v>
      </c>
      <c r="B328" s="170"/>
      <c r="C328" s="142">
        <f>Produtos!B328</f>
        <v>0</v>
      </c>
      <c r="D328" s="160"/>
      <c r="E328" s="157" t="e">
        <f>Produtos!BD328</f>
        <v>#DIV/0!</v>
      </c>
      <c r="F328" s="159" t="e">
        <f>Produtos!BE328</f>
        <v>#DIV/0!</v>
      </c>
      <c r="G328" s="158" t="e">
        <f>Produtos!BF328</f>
        <v>#DIV/0!</v>
      </c>
      <c r="H328" s="159">
        <f>Produtos!BL328</f>
        <v>0</v>
      </c>
      <c r="I328" s="157" t="e">
        <f>Produtos!BM328</f>
        <v>#DIV/0!</v>
      </c>
      <c r="J328" s="157" t="e">
        <f>Produtos!BG328</f>
        <v>#DIV/0!</v>
      </c>
      <c r="K328" s="157" t="e">
        <f>Produtos!BH328</f>
        <v>#DIV/0!</v>
      </c>
      <c r="L328" s="157" t="e">
        <f>Produtos!BI328</f>
        <v>#DIV/0!</v>
      </c>
      <c r="M328" s="157" t="e">
        <f>Produtos!BJ328</f>
        <v>#DIV/0!</v>
      </c>
    </row>
    <row r="329" spans="1:13">
      <c r="A329" s="170">
        <f>Produtos!A329</f>
        <v>0</v>
      </c>
      <c r="B329" s="170"/>
      <c r="C329" s="142">
        <f>Produtos!B329</f>
        <v>0</v>
      </c>
      <c r="D329" s="160"/>
      <c r="E329" s="157" t="e">
        <f>Produtos!BD329</f>
        <v>#DIV/0!</v>
      </c>
      <c r="F329" s="159" t="e">
        <f>Produtos!BE329</f>
        <v>#DIV/0!</v>
      </c>
      <c r="G329" s="158" t="e">
        <f>Produtos!BF329</f>
        <v>#DIV/0!</v>
      </c>
      <c r="H329" s="159">
        <f>Produtos!BL329</f>
        <v>0</v>
      </c>
      <c r="I329" s="157" t="e">
        <f>Produtos!BM329</f>
        <v>#DIV/0!</v>
      </c>
      <c r="J329" s="157" t="e">
        <f>Produtos!BG329</f>
        <v>#DIV/0!</v>
      </c>
      <c r="K329" s="157" t="e">
        <f>Produtos!BH329</f>
        <v>#DIV/0!</v>
      </c>
      <c r="L329" s="157" t="e">
        <f>Produtos!BI329</f>
        <v>#DIV/0!</v>
      </c>
      <c r="M329" s="157" t="e">
        <f>Produtos!BJ329</f>
        <v>#DIV/0!</v>
      </c>
    </row>
    <row r="330" spans="1:13">
      <c r="A330" s="170">
        <f>Produtos!A330</f>
        <v>0</v>
      </c>
      <c r="B330" s="170"/>
      <c r="C330" s="142">
        <f>Produtos!B330</f>
        <v>0</v>
      </c>
      <c r="D330" s="160"/>
      <c r="E330" s="157" t="e">
        <f>Produtos!BD330</f>
        <v>#DIV/0!</v>
      </c>
      <c r="F330" s="159" t="e">
        <f>Produtos!BE330</f>
        <v>#DIV/0!</v>
      </c>
      <c r="G330" s="158" t="e">
        <f>Produtos!BF330</f>
        <v>#DIV/0!</v>
      </c>
      <c r="H330" s="159">
        <f>Produtos!BL330</f>
        <v>0</v>
      </c>
      <c r="I330" s="157" t="e">
        <f>Produtos!BM330</f>
        <v>#DIV/0!</v>
      </c>
      <c r="J330" s="157" t="e">
        <f>Produtos!BG330</f>
        <v>#DIV/0!</v>
      </c>
      <c r="K330" s="157" t="e">
        <f>Produtos!BH330</f>
        <v>#DIV/0!</v>
      </c>
      <c r="L330" s="157" t="e">
        <f>Produtos!BI330</f>
        <v>#DIV/0!</v>
      </c>
      <c r="M330" s="157" t="e">
        <f>Produtos!BJ330</f>
        <v>#DIV/0!</v>
      </c>
    </row>
    <row r="331" spans="1:13">
      <c r="A331" s="170">
        <f>Produtos!A331</f>
        <v>0</v>
      </c>
      <c r="B331" s="170"/>
      <c r="C331" s="142">
        <f>Produtos!B331</f>
        <v>0</v>
      </c>
      <c r="D331" s="160"/>
      <c r="E331" s="157" t="e">
        <f>Produtos!BD331</f>
        <v>#DIV/0!</v>
      </c>
      <c r="F331" s="159" t="e">
        <f>Produtos!BE331</f>
        <v>#DIV/0!</v>
      </c>
      <c r="G331" s="158" t="e">
        <f>Produtos!BF331</f>
        <v>#DIV/0!</v>
      </c>
      <c r="H331" s="159">
        <f>Produtos!BL331</f>
        <v>0</v>
      </c>
      <c r="I331" s="157" t="e">
        <f>Produtos!BM331</f>
        <v>#DIV/0!</v>
      </c>
      <c r="J331" s="157" t="e">
        <f>Produtos!BG331</f>
        <v>#DIV/0!</v>
      </c>
      <c r="K331" s="157" t="e">
        <f>Produtos!BH331</f>
        <v>#DIV/0!</v>
      </c>
      <c r="L331" s="157" t="e">
        <f>Produtos!BI331</f>
        <v>#DIV/0!</v>
      </c>
      <c r="M331" s="157" t="e">
        <f>Produtos!BJ331</f>
        <v>#DIV/0!</v>
      </c>
    </row>
    <row r="332" spans="1:13">
      <c r="A332" s="170">
        <f>Produtos!A332</f>
        <v>0</v>
      </c>
      <c r="B332" s="170"/>
      <c r="C332" s="142">
        <f>Produtos!B332</f>
        <v>0</v>
      </c>
      <c r="D332" s="160"/>
      <c r="E332" s="157" t="e">
        <f>Produtos!BD332</f>
        <v>#DIV/0!</v>
      </c>
      <c r="F332" s="159" t="e">
        <f>Produtos!BE332</f>
        <v>#DIV/0!</v>
      </c>
      <c r="G332" s="158" t="e">
        <f>Produtos!BF332</f>
        <v>#DIV/0!</v>
      </c>
      <c r="H332" s="159">
        <f>Produtos!BL332</f>
        <v>0</v>
      </c>
      <c r="I332" s="157" t="e">
        <f>Produtos!BM332</f>
        <v>#DIV/0!</v>
      </c>
      <c r="J332" s="157" t="e">
        <f>Produtos!BG332</f>
        <v>#DIV/0!</v>
      </c>
      <c r="K332" s="157" t="e">
        <f>Produtos!BH332</f>
        <v>#DIV/0!</v>
      </c>
      <c r="L332" s="157" t="e">
        <f>Produtos!BI332</f>
        <v>#DIV/0!</v>
      </c>
      <c r="M332" s="157" t="e">
        <f>Produtos!BJ332</f>
        <v>#DIV/0!</v>
      </c>
    </row>
    <row r="333" spans="1:13">
      <c r="A333" s="170">
        <f>Produtos!A333</f>
        <v>0</v>
      </c>
      <c r="B333" s="170"/>
      <c r="C333" s="142">
        <f>Produtos!B333</f>
        <v>0</v>
      </c>
      <c r="D333" s="160"/>
      <c r="E333" s="157" t="e">
        <f>Produtos!BD333</f>
        <v>#DIV/0!</v>
      </c>
      <c r="F333" s="159" t="e">
        <f>Produtos!BE333</f>
        <v>#DIV/0!</v>
      </c>
      <c r="G333" s="158" t="e">
        <f>Produtos!BF333</f>
        <v>#DIV/0!</v>
      </c>
      <c r="H333" s="159">
        <f>Produtos!BL333</f>
        <v>0</v>
      </c>
      <c r="I333" s="157" t="e">
        <f>Produtos!BM333</f>
        <v>#DIV/0!</v>
      </c>
      <c r="J333" s="157" t="e">
        <f>Produtos!BG333</f>
        <v>#DIV/0!</v>
      </c>
      <c r="K333" s="157" t="e">
        <f>Produtos!BH333</f>
        <v>#DIV/0!</v>
      </c>
      <c r="L333" s="157" t="e">
        <f>Produtos!BI333</f>
        <v>#DIV/0!</v>
      </c>
      <c r="M333" s="157" t="e">
        <f>Produtos!BJ333</f>
        <v>#DIV/0!</v>
      </c>
    </row>
    <row r="334" spans="1:13">
      <c r="A334" s="170">
        <f>Produtos!A334</f>
        <v>0</v>
      </c>
      <c r="B334" s="170"/>
      <c r="C334" s="142">
        <f>Produtos!B334</f>
        <v>0</v>
      </c>
      <c r="D334" s="160"/>
      <c r="E334" s="157" t="e">
        <f>Produtos!BD334</f>
        <v>#DIV/0!</v>
      </c>
      <c r="F334" s="159" t="e">
        <f>Produtos!BE334</f>
        <v>#DIV/0!</v>
      </c>
      <c r="G334" s="158" t="e">
        <f>Produtos!BF334</f>
        <v>#DIV/0!</v>
      </c>
      <c r="H334" s="159">
        <f>Produtos!BL334</f>
        <v>0</v>
      </c>
      <c r="I334" s="157" t="e">
        <f>Produtos!BM334</f>
        <v>#DIV/0!</v>
      </c>
      <c r="J334" s="157" t="e">
        <f>Produtos!BG334</f>
        <v>#DIV/0!</v>
      </c>
      <c r="K334" s="157" t="e">
        <f>Produtos!BH334</f>
        <v>#DIV/0!</v>
      </c>
      <c r="L334" s="157" t="e">
        <f>Produtos!BI334</f>
        <v>#DIV/0!</v>
      </c>
      <c r="M334" s="157" t="e">
        <f>Produtos!BJ334</f>
        <v>#DIV/0!</v>
      </c>
    </row>
    <row r="335" spans="1:13">
      <c r="A335" s="170">
        <f>Produtos!A335</f>
        <v>0</v>
      </c>
      <c r="B335" s="170"/>
      <c r="C335" s="142">
        <f>Produtos!B335</f>
        <v>0</v>
      </c>
      <c r="D335" s="160"/>
      <c r="E335" s="157" t="e">
        <f>Produtos!BD335</f>
        <v>#DIV/0!</v>
      </c>
      <c r="F335" s="159" t="e">
        <f>Produtos!BE335</f>
        <v>#DIV/0!</v>
      </c>
      <c r="G335" s="158" t="e">
        <f>Produtos!BF335</f>
        <v>#DIV/0!</v>
      </c>
      <c r="H335" s="159">
        <f>Produtos!BL335</f>
        <v>0</v>
      </c>
      <c r="I335" s="157" t="e">
        <f>Produtos!BM335</f>
        <v>#DIV/0!</v>
      </c>
      <c r="J335" s="157" t="e">
        <f>Produtos!BG335</f>
        <v>#DIV/0!</v>
      </c>
      <c r="K335" s="157" t="e">
        <f>Produtos!BH335</f>
        <v>#DIV/0!</v>
      </c>
      <c r="L335" s="157" t="e">
        <f>Produtos!BI335</f>
        <v>#DIV/0!</v>
      </c>
      <c r="M335" s="157" t="e">
        <f>Produtos!BJ335</f>
        <v>#DIV/0!</v>
      </c>
    </row>
    <row r="336" spans="1:13">
      <c r="A336" s="170">
        <f>Produtos!A336</f>
        <v>0</v>
      </c>
      <c r="B336" s="170"/>
      <c r="C336" s="142">
        <f>Produtos!B336</f>
        <v>0</v>
      </c>
      <c r="D336" s="160"/>
      <c r="E336" s="157" t="e">
        <f>Produtos!BD336</f>
        <v>#DIV/0!</v>
      </c>
      <c r="F336" s="159" t="e">
        <f>Produtos!BE336</f>
        <v>#DIV/0!</v>
      </c>
      <c r="G336" s="158" t="e">
        <f>Produtos!BF336</f>
        <v>#DIV/0!</v>
      </c>
      <c r="H336" s="159">
        <f>Produtos!BL336</f>
        <v>0</v>
      </c>
      <c r="I336" s="157" t="e">
        <f>Produtos!BM336</f>
        <v>#DIV/0!</v>
      </c>
      <c r="J336" s="157" t="e">
        <f>Produtos!BG336</f>
        <v>#DIV/0!</v>
      </c>
      <c r="K336" s="157" t="e">
        <f>Produtos!BH336</f>
        <v>#DIV/0!</v>
      </c>
      <c r="L336" s="157" t="e">
        <f>Produtos!BI336</f>
        <v>#DIV/0!</v>
      </c>
      <c r="M336" s="157" t="e">
        <f>Produtos!BJ336</f>
        <v>#DIV/0!</v>
      </c>
    </row>
    <row r="337" spans="1:13">
      <c r="A337" s="170">
        <f>Produtos!A337</f>
        <v>0</v>
      </c>
      <c r="B337" s="170"/>
      <c r="C337" s="142">
        <f>Produtos!B337</f>
        <v>0</v>
      </c>
      <c r="D337" s="160"/>
      <c r="E337" s="157" t="e">
        <f>Produtos!BD337</f>
        <v>#DIV/0!</v>
      </c>
      <c r="F337" s="159" t="e">
        <f>Produtos!BE337</f>
        <v>#DIV/0!</v>
      </c>
      <c r="G337" s="158" t="e">
        <f>Produtos!BF337</f>
        <v>#DIV/0!</v>
      </c>
      <c r="H337" s="159">
        <f>Produtos!BL337</f>
        <v>0</v>
      </c>
      <c r="I337" s="157" t="e">
        <f>Produtos!BM337</f>
        <v>#DIV/0!</v>
      </c>
      <c r="J337" s="157" t="e">
        <f>Produtos!BG337</f>
        <v>#DIV/0!</v>
      </c>
      <c r="K337" s="157" t="e">
        <f>Produtos!BH337</f>
        <v>#DIV/0!</v>
      </c>
      <c r="L337" s="157" t="e">
        <f>Produtos!BI337</f>
        <v>#DIV/0!</v>
      </c>
      <c r="M337" s="157" t="e">
        <f>Produtos!BJ337</f>
        <v>#DIV/0!</v>
      </c>
    </row>
    <row r="338" spans="1:13">
      <c r="A338" s="170">
        <f>Produtos!A338</f>
        <v>0</v>
      </c>
      <c r="B338" s="170"/>
      <c r="C338" s="142">
        <f>Produtos!B338</f>
        <v>0</v>
      </c>
      <c r="D338" s="160"/>
      <c r="E338" s="157" t="e">
        <f>Produtos!BD338</f>
        <v>#DIV/0!</v>
      </c>
      <c r="F338" s="159" t="e">
        <f>Produtos!BE338</f>
        <v>#DIV/0!</v>
      </c>
      <c r="G338" s="158" t="e">
        <f>Produtos!BF338</f>
        <v>#DIV/0!</v>
      </c>
      <c r="H338" s="159">
        <f>Produtos!BL338</f>
        <v>0</v>
      </c>
      <c r="I338" s="157" t="e">
        <f>Produtos!BM338</f>
        <v>#DIV/0!</v>
      </c>
      <c r="J338" s="157" t="e">
        <f>Produtos!BG338</f>
        <v>#DIV/0!</v>
      </c>
      <c r="K338" s="157" t="e">
        <f>Produtos!BH338</f>
        <v>#DIV/0!</v>
      </c>
      <c r="L338" s="157" t="e">
        <f>Produtos!BI338</f>
        <v>#DIV/0!</v>
      </c>
      <c r="M338" s="157" t="e">
        <f>Produtos!BJ338</f>
        <v>#DIV/0!</v>
      </c>
    </row>
    <row r="339" spans="1:13">
      <c r="A339" s="170">
        <f>Produtos!A339</f>
        <v>0</v>
      </c>
      <c r="B339" s="170"/>
      <c r="C339" s="142">
        <f>Produtos!B339</f>
        <v>0</v>
      </c>
      <c r="D339" s="160"/>
      <c r="E339" s="157" t="e">
        <f>Produtos!BD339</f>
        <v>#DIV/0!</v>
      </c>
      <c r="F339" s="159" t="e">
        <f>Produtos!BE339</f>
        <v>#DIV/0!</v>
      </c>
      <c r="G339" s="158" t="e">
        <f>Produtos!BF339</f>
        <v>#DIV/0!</v>
      </c>
      <c r="H339" s="159">
        <f>Produtos!BL339</f>
        <v>0</v>
      </c>
      <c r="I339" s="157" t="e">
        <f>Produtos!BM339</f>
        <v>#DIV/0!</v>
      </c>
      <c r="J339" s="157" t="e">
        <f>Produtos!BG339</f>
        <v>#DIV/0!</v>
      </c>
      <c r="K339" s="157" t="e">
        <f>Produtos!BH339</f>
        <v>#DIV/0!</v>
      </c>
      <c r="L339" s="157" t="e">
        <f>Produtos!BI339</f>
        <v>#DIV/0!</v>
      </c>
      <c r="M339" s="157" t="e">
        <f>Produtos!BJ339</f>
        <v>#DIV/0!</v>
      </c>
    </row>
    <row r="340" spans="1:13">
      <c r="A340" s="170">
        <f>Produtos!A340</f>
        <v>0</v>
      </c>
      <c r="B340" s="170"/>
      <c r="C340" s="142">
        <f>Produtos!B340</f>
        <v>0</v>
      </c>
      <c r="D340" s="160"/>
      <c r="E340" s="157" t="e">
        <f>Produtos!BD340</f>
        <v>#DIV/0!</v>
      </c>
      <c r="F340" s="159" t="e">
        <f>Produtos!BE340</f>
        <v>#DIV/0!</v>
      </c>
      <c r="G340" s="158" t="e">
        <f>Produtos!BF340</f>
        <v>#DIV/0!</v>
      </c>
      <c r="H340" s="159">
        <f>Produtos!BL340</f>
        <v>0</v>
      </c>
      <c r="I340" s="157" t="e">
        <f>Produtos!BM340</f>
        <v>#DIV/0!</v>
      </c>
      <c r="J340" s="157" t="e">
        <f>Produtos!BG340</f>
        <v>#DIV/0!</v>
      </c>
      <c r="K340" s="157" t="e">
        <f>Produtos!BH340</f>
        <v>#DIV/0!</v>
      </c>
      <c r="L340" s="157" t="e">
        <f>Produtos!BI340</f>
        <v>#DIV/0!</v>
      </c>
      <c r="M340" s="157" t="e">
        <f>Produtos!BJ340</f>
        <v>#DIV/0!</v>
      </c>
    </row>
    <row r="341" spans="1:13">
      <c r="A341" s="170">
        <f>Produtos!A341</f>
        <v>0</v>
      </c>
      <c r="B341" s="170"/>
      <c r="C341" s="142">
        <f>Produtos!B341</f>
        <v>0</v>
      </c>
      <c r="D341" s="160"/>
      <c r="E341" s="157" t="e">
        <f>Produtos!BD341</f>
        <v>#DIV/0!</v>
      </c>
      <c r="F341" s="159" t="e">
        <f>Produtos!BE341</f>
        <v>#DIV/0!</v>
      </c>
      <c r="G341" s="158" t="e">
        <f>Produtos!BF341</f>
        <v>#DIV/0!</v>
      </c>
      <c r="H341" s="159">
        <f>Produtos!BL341</f>
        <v>0</v>
      </c>
      <c r="I341" s="157" t="e">
        <f>Produtos!BM341</f>
        <v>#DIV/0!</v>
      </c>
      <c r="J341" s="157" t="e">
        <f>Produtos!BG341</f>
        <v>#DIV/0!</v>
      </c>
      <c r="K341" s="157" t="e">
        <f>Produtos!BH341</f>
        <v>#DIV/0!</v>
      </c>
      <c r="L341" s="157" t="e">
        <f>Produtos!BI341</f>
        <v>#DIV/0!</v>
      </c>
      <c r="M341" s="157" t="e">
        <f>Produtos!BJ341</f>
        <v>#DIV/0!</v>
      </c>
    </row>
    <row r="342" spans="1:13">
      <c r="A342" s="170">
        <f>Produtos!A342</f>
        <v>0</v>
      </c>
      <c r="B342" s="170"/>
      <c r="C342" s="142">
        <f>Produtos!B342</f>
        <v>0</v>
      </c>
      <c r="D342" s="160"/>
      <c r="E342" s="157" t="e">
        <f>Produtos!BD342</f>
        <v>#DIV/0!</v>
      </c>
      <c r="F342" s="159" t="e">
        <f>Produtos!BE342</f>
        <v>#DIV/0!</v>
      </c>
      <c r="G342" s="158" t="e">
        <f>Produtos!BF342</f>
        <v>#DIV/0!</v>
      </c>
      <c r="H342" s="159">
        <f>Produtos!BL342</f>
        <v>0</v>
      </c>
      <c r="I342" s="157" t="e">
        <f>Produtos!BM342</f>
        <v>#DIV/0!</v>
      </c>
      <c r="J342" s="157" t="e">
        <f>Produtos!BG342</f>
        <v>#DIV/0!</v>
      </c>
      <c r="K342" s="157" t="e">
        <f>Produtos!BH342</f>
        <v>#DIV/0!</v>
      </c>
      <c r="L342" s="157" t="e">
        <f>Produtos!BI342</f>
        <v>#DIV/0!</v>
      </c>
      <c r="M342" s="157" t="e">
        <f>Produtos!BJ342</f>
        <v>#DIV/0!</v>
      </c>
    </row>
    <row r="343" spans="1:13">
      <c r="A343" s="170">
        <f>Produtos!A343</f>
        <v>0</v>
      </c>
      <c r="B343" s="170"/>
      <c r="C343" s="142">
        <f>Produtos!B343</f>
        <v>0</v>
      </c>
      <c r="D343" s="160"/>
      <c r="E343" s="157" t="e">
        <f>Produtos!BD343</f>
        <v>#DIV/0!</v>
      </c>
      <c r="F343" s="159" t="e">
        <f>Produtos!BE343</f>
        <v>#DIV/0!</v>
      </c>
      <c r="G343" s="158" t="e">
        <f>Produtos!BF343</f>
        <v>#DIV/0!</v>
      </c>
      <c r="H343" s="159">
        <f>Produtos!BL343</f>
        <v>0</v>
      </c>
      <c r="I343" s="157" t="e">
        <f>Produtos!BM343</f>
        <v>#DIV/0!</v>
      </c>
      <c r="J343" s="157" t="e">
        <f>Produtos!BG343</f>
        <v>#DIV/0!</v>
      </c>
      <c r="K343" s="157" t="e">
        <f>Produtos!BH343</f>
        <v>#DIV/0!</v>
      </c>
      <c r="L343" s="157" t="e">
        <f>Produtos!BI343</f>
        <v>#DIV/0!</v>
      </c>
      <c r="M343" s="157" t="e">
        <f>Produtos!BJ343</f>
        <v>#DIV/0!</v>
      </c>
    </row>
    <row r="344" spans="1:13">
      <c r="A344" s="170">
        <f>Produtos!A344</f>
        <v>0</v>
      </c>
      <c r="B344" s="170"/>
      <c r="C344" s="142">
        <f>Produtos!B344</f>
        <v>0</v>
      </c>
      <c r="D344" s="160"/>
      <c r="E344" s="157" t="e">
        <f>Produtos!BD344</f>
        <v>#DIV/0!</v>
      </c>
      <c r="F344" s="159" t="e">
        <f>Produtos!BE344</f>
        <v>#DIV/0!</v>
      </c>
      <c r="G344" s="158" t="e">
        <f>Produtos!BF344</f>
        <v>#DIV/0!</v>
      </c>
      <c r="H344" s="159">
        <f>Produtos!BL344</f>
        <v>0</v>
      </c>
      <c r="I344" s="157" t="e">
        <f>Produtos!BM344</f>
        <v>#DIV/0!</v>
      </c>
      <c r="J344" s="157" t="e">
        <f>Produtos!BG344</f>
        <v>#DIV/0!</v>
      </c>
      <c r="K344" s="157" t="e">
        <f>Produtos!BH344</f>
        <v>#DIV/0!</v>
      </c>
      <c r="L344" s="157" t="e">
        <f>Produtos!BI344</f>
        <v>#DIV/0!</v>
      </c>
      <c r="M344" s="157" t="e">
        <f>Produtos!BJ344</f>
        <v>#DIV/0!</v>
      </c>
    </row>
    <row r="345" spans="1:13">
      <c r="A345" s="170">
        <f>Produtos!A345</f>
        <v>0</v>
      </c>
      <c r="B345" s="170"/>
      <c r="C345" s="142">
        <f>Produtos!B345</f>
        <v>0</v>
      </c>
      <c r="D345" s="160"/>
      <c r="E345" s="157" t="e">
        <f>Produtos!BD345</f>
        <v>#DIV/0!</v>
      </c>
      <c r="F345" s="159" t="e">
        <f>Produtos!BE345</f>
        <v>#DIV/0!</v>
      </c>
      <c r="G345" s="158" t="e">
        <f>Produtos!BF345</f>
        <v>#DIV/0!</v>
      </c>
      <c r="H345" s="159">
        <f>Produtos!BL345</f>
        <v>0</v>
      </c>
      <c r="I345" s="157" t="e">
        <f>Produtos!BM345</f>
        <v>#DIV/0!</v>
      </c>
      <c r="J345" s="157" t="e">
        <f>Produtos!BG345</f>
        <v>#DIV/0!</v>
      </c>
      <c r="K345" s="157" t="e">
        <f>Produtos!BH345</f>
        <v>#DIV/0!</v>
      </c>
      <c r="L345" s="157" t="e">
        <f>Produtos!BI345</f>
        <v>#DIV/0!</v>
      </c>
      <c r="M345" s="157" t="e">
        <f>Produtos!BJ345</f>
        <v>#DIV/0!</v>
      </c>
    </row>
    <row r="346" spans="1:13">
      <c r="A346" s="170">
        <f>Produtos!A346</f>
        <v>0</v>
      </c>
      <c r="B346" s="170"/>
      <c r="C346" s="142">
        <f>Produtos!B346</f>
        <v>0</v>
      </c>
      <c r="D346" s="160"/>
      <c r="E346" s="157" t="e">
        <f>Produtos!BD346</f>
        <v>#DIV/0!</v>
      </c>
      <c r="F346" s="159" t="e">
        <f>Produtos!BE346</f>
        <v>#DIV/0!</v>
      </c>
      <c r="G346" s="158" t="e">
        <f>Produtos!BF346</f>
        <v>#DIV/0!</v>
      </c>
      <c r="H346" s="159">
        <f>Produtos!BL346</f>
        <v>0</v>
      </c>
      <c r="I346" s="157" t="e">
        <f>Produtos!BM346</f>
        <v>#DIV/0!</v>
      </c>
      <c r="J346" s="157" t="e">
        <f>Produtos!BG346</f>
        <v>#DIV/0!</v>
      </c>
      <c r="K346" s="157" t="e">
        <f>Produtos!BH346</f>
        <v>#DIV/0!</v>
      </c>
      <c r="L346" s="157" t="e">
        <f>Produtos!BI346</f>
        <v>#DIV/0!</v>
      </c>
      <c r="M346" s="157" t="e">
        <f>Produtos!BJ346</f>
        <v>#DIV/0!</v>
      </c>
    </row>
    <row r="347" spans="1:13">
      <c r="A347" s="170">
        <f>Produtos!A347</f>
        <v>0</v>
      </c>
      <c r="B347" s="170"/>
      <c r="C347" s="142">
        <f>Produtos!B347</f>
        <v>0</v>
      </c>
      <c r="D347" s="160"/>
      <c r="E347" s="157" t="e">
        <f>Produtos!BD347</f>
        <v>#DIV/0!</v>
      </c>
      <c r="F347" s="159" t="e">
        <f>Produtos!BE347</f>
        <v>#DIV/0!</v>
      </c>
      <c r="G347" s="158" t="e">
        <f>Produtos!BF347</f>
        <v>#DIV/0!</v>
      </c>
      <c r="H347" s="159">
        <f>Produtos!BL347</f>
        <v>0</v>
      </c>
      <c r="I347" s="157" t="e">
        <f>Produtos!BM347</f>
        <v>#DIV/0!</v>
      </c>
      <c r="J347" s="157" t="e">
        <f>Produtos!BG347</f>
        <v>#DIV/0!</v>
      </c>
      <c r="K347" s="157" t="e">
        <f>Produtos!BH347</f>
        <v>#DIV/0!</v>
      </c>
      <c r="L347" s="157" t="e">
        <f>Produtos!BI347</f>
        <v>#DIV/0!</v>
      </c>
      <c r="M347" s="157" t="e">
        <f>Produtos!BJ347</f>
        <v>#DIV/0!</v>
      </c>
    </row>
    <row r="348" spans="1:13">
      <c r="A348" s="170">
        <f>Produtos!A348</f>
        <v>0</v>
      </c>
      <c r="B348" s="170"/>
      <c r="C348" s="142">
        <f>Produtos!B348</f>
        <v>0</v>
      </c>
      <c r="D348" s="160"/>
      <c r="E348" s="157" t="e">
        <f>Produtos!BD348</f>
        <v>#DIV/0!</v>
      </c>
      <c r="F348" s="159" t="e">
        <f>Produtos!BE348</f>
        <v>#DIV/0!</v>
      </c>
      <c r="G348" s="158" t="e">
        <f>Produtos!BF348</f>
        <v>#DIV/0!</v>
      </c>
      <c r="H348" s="159">
        <f>Produtos!BL348</f>
        <v>0</v>
      </c>
      <c r="I348" s="157" t="e">
        <f>Produtos!BM348</f>
        <v>#DIV/0!</v>
      </c>
      <c r="J348" s="157" t="e">
        <f>Produtos!BG348</f>
        <v>#DIV/0!</v>
      </c>
      <c r="K348" s="157" t="e">
        <f>Produtos!BH348</f>
        <v>#DIV/0!</v>
      </c>
      <c r="L348" s="157" t="e">
        <f>Produtos!BI348</f>
        <v>#DIV/0!</v>
      </c>
      <c r="M348" s="157" t="e">
        <f>Produtos!BJ348</f>
        <v>#DIV/0!</v>
      </c>
    </row>
    <row r="349" spans="1:13">
      <c r="A349" s="170">
        <f>Produtos!A349</f>
        <v>0</v>
      </c>
      <c r="B349" s="170"/>
      <c r="C349" s="142">
        <f>Produtos!B349</f>
        <v>0</v>
      </c>
      <c r="D349" s="160"/>
      <c r="E349" s="157" t="e">
        <f>Produtos!BD349</f>
        <v>#DIV/0!</v>
      </c>
      <c r="F349" s="159" t="e">
        <f>Produtos!BE349</f>
        <v>#DIV/0!</v>
      </c>
      <c r="G349" s="158" t="e">
        <f>Produtos!BF349</f>
        <v>#DIV/0!</v>
      </c>
      <c r="H349" s="159">
        <f>Produtos!BL349</f>
        <v>0</v>
      </c>
      <c r="I349" s="157" t="e">
        <f>Produtos!BM349</f>
        <v>#DIV/0!</v>
      </c>
      <c r="J349" s="157" t="e">
        <f>Produtos!BG349</f>
        <v>#DIV/0!</v>
      </c>
      <c r="K349" s="157" t="e">
        <f>Produtos!BH349</f>
        <v>#DIV/0!</v>
      </c>
      <c r="L349" s="157" t="e">
        <f>Produtos!BI349</f>
        <v>#DIV/0!</v>
      </c>
      <c r="M349" s="157" t="e">
        <f>Produtos!BJ349</f>
        <v>#DIV/0!</v>
      </c>
    </row>
    <row r="350" spans="1:13">
      <c r="A350" s="170">
        <f>Produtos!A350</f>
        <v>0</v>
      </c>
      <c r="B350" s="170"/>
      <c r="C350" s="142">
        <f>Produtos!B350</f>
        <v>0</v>
      </c>
      <c r="D350" s="160"/>
      <c r="E350" s="157" t="e">
        <f>Produtos!BD350</f>
        <v>#DIV/0!</v>
      </c>
      <c r="F350" s="159" t="e">
        <f>Produtos!BE350</f>
        <v>#DIV/0!</v>
      </c>
      <c r="G350" s="158" t="e">
        <f>Produtos!BF350</f>
        <v>#DIV/0!</v>
      </c>
      <c r="H350" s="159">
        <f>Produtos!BL350</f>
        <v>0</v>
      </c>
      <c r="I350" s="157" t="e">
        <f>Produtos!BM350</f>
        <v>#DIV/0!</v>
      </c>
      <c r="J350" s="157" t="e">
        <f>Produtos!BG350</f>
        <v>#DIV/0!</v>
      </c>
      <c r="K350" s="157" t="e">
        <f>Produtos!BH350</f>
        <v>#DIV/0!</v>
      </c>
      <c r="L350" s="157" t="e">
        <f>Produtos!BI350</f>
        <v>#DIV/0!</v>
      </c>
      <c r="M350" s="157" t="e">
        <f>Produtos!BJ350</f>
        <v>#DIV/0!</v>
      </c>
    </row>
    <row r="351" spans="1:13">
      <c r="A351" s="170">
        <f>Produtos!A351</f>
        <v>0</v>
      </c>
      <c r="B351" s="170"/>
      <c r="C351" s="142">
        <f>Produtos!B351</f>
        <v>0</v>
      </c>
      <c r="D351" s="160"/>
      <c r="E351" s="157" t="e">
        <f>Produtos!BD351</f>
        <v>#DIV/0!</v>
      </c>
      <c r="F351" s="159" t="e">
        <f>Produtos!BE351</f>
        <v>#DIV/0!</v>
      </c>
      <c r="G351" s="158" t="e">
        <f>Produtos!BF351</f>
        <v>#DIV/0!</v>
      </c>
      <c r="H351" s="159">
        <f>Produtos!BL351</f>
        <v>0</v>
      </c>
      <c r="I351" s="157" t="e">
        <f>Produtos!BM351</f>
        <v>#DIV/0!</v>
      </c>
      <c r="J351" s="157" t="e">
        <f>Produtos!BG351</f>
        <v>#DIV/0!</v>
      </c>
      <c r="K351" s="157" t="e">
        <f>Produtos!BH351</f>
        <v>#DIV/0!</v>
      </c>
      <c r="L351" s="157" t="e">
        <f>Produtos!BI351</f>
        <v>#DIV/0!</v>
      </c>
      <c r="M351" s="157" t="e">
        <f>Produtos!BJ351</f>
        <v>#DIV/0!</v>
      </c>
    </row>
    <row r="352" spans="1:13">
      <c r="A352" s="170">
        <f>Produtos!A352</f>
        <v>0</v>
      </c>
      <c r="B352" s="170"/>
      <c r="C352" s="142">
        <f>Produtos!B352</f>
        <v>0</v>
      </c>
      <c r="D352" s="160"/>
      <c r="E352" s="157" t="e">
        <f>Produtos!BD352</f>
        <v>#DIV/0!</v>
      </c>
      <c r="F352" s="159" t="e">
        <f>Produtos!BE352</f>
        <v>#DIV/0!</v>
      </c>
      <c r="G352" s="158" t="e">
        <f>Produtos!BF352</f>
        <v>#DIV/0!</v>
      </c>
      <c r="H352" s="159">
        <f>Produtos!BL352</f>
        <v>0</v>
      </c>
      <c r="I352" s="157" t="e">
        <f>Produtos!BM352</f>
        <v>#DIV/0!</v>
      </c>
      <c r="J352" s="157" t="e">
        <f>Produtos!BG352</f>
        <v>#DIV/0!</v>
      </c>
      <c r="K352" s="157" t="e">
        <f>Produtos!BH352</f>
        <v>#DIV/0!</v>
      </c>
      <c r="L352" s="157" t="e">
        <f>Produtos!BI352</f>
        <v>#DIV/0!</v>
      </c>
      <c r="M352" s="157" t="e">
        <f>Produtos!BJ352</f>
        <v>#DIV/0!</v>
      </c>
    </row>
    <row r="353" spans="1:13">
      <c r="A353" s="170">
        <f>Produtos!A353</f>
        <v>0</v>
      </c>
      <c r="B353" s="170"/>
      <c r="C353" s="142">
        <f>Produtos!B353</f>
        <v>0</v>
      </c>
      <c r="D353" s="160"/>
      <c r="E353" s="157" t="e">
        <f>Produtos!BD353</f>
        <v>#DIV/0!</v>
      </c>
      <c r="F353" s="159" t="e">
        <f>Produtos!BE353</f>
        <v>#DIV/0!</v>
      </c>
      <c r="G353" s="158" t="e">
        <f>Produtos!BF353</f>
        <v>#DIV/0!</v>
      </c>
      <c r="H353" s="159">
        <f>Produtos!BL353</f>
        <v>0</v>
      </c>
      <c r="I353" s="157" t="e">
        <f>Produtos!BM353</f>
        <v>#DIV/0!</v>
      </c>
      <c r="J353" s="157" t="e">
        <f>Produtos!BG353</f>
        <v>#DIV/0!</v>
      </c>
      <c r="K353" s="157" t="e">
        <f>Produtos!BH353</f>
        <v>#DIV/0!</v>
      </c>
      <c r="L353" s="157" t="e">
        <f>Produtos!BI353</f>
        <v>#DIV/0!</v>
      </c>
      <c r="M353" s="157" t="e">
        <f>Produtos!BJ353</f>
        <v>#DIV/0!</v>
      </c>
    </row>
    <row r="354" spans="1:13">
      <c r="A354" s="170">
        <f>Produtos!A354</f>
        <v>0</v>
      </c>
      <c r="B354" s="170"/>
      <c r="C354" s="142">
        <f>Produtos!B354</f>
        <v>0</v>
      </c>
      <c r="D354" s="160"/>
      <c r="E354" s="157" t="e">
        <f>Produtos!BD354</f>
        <v>#DIV/0!</v>
      </c>
      <c r="F354" s="159" t="e">
        <f>Produtos!BE354</f>
        <v>#DIV/0!</v>
      </c>
      <c r="G354" s="158" t="e">
        <f>Produtos!BF354</f>
        <v>#DIV/0!</v>
      </c>
      <c r="H354" s="159">
        <f>Produtos!BL354</f>
        <v>0</v>
      </c>
      <c r="I354" s="157" t="e">
        <f>Produtos!BM354</f>
        <v>#DIV/0!</v>
      </c>
      <c r="J354" s="157" t="e">
        <f>Produtos!BG354</f>
        <v>#DIV/0!</v>
      </c>
      <c r="K354" s="157" t="e">
        <f>Produtos!BH354</f>
        <v>#DIV/0!</v>
      </c>
      <c r="L354" s="157" t="e">
        <f>Produtos!BI354</f>
        <v>#DIV/0!</v>
      </c>
      <c r="M354" s="157" t="e">
        <f>Produtos!BJ354</f>
        <v>#DIV/0!</v>
      </c>
    </row>
    <row r="355" spans="1:13">
      <c r="A355" s="170">
        <f>Produtos!A355</f>
        <v>0</v>
      </c>
      <c r="B355" s="170"/>
      <c r="C355" s="142">
        <f>Produtos!B355</f>
        <v>0</v>
      </c>
      <c r="D355" s="160"/>
      <c r="E355" s="157" t="e">
        <f>Produtos!BD355</f>
        <v>#DIV/0!</v>
      </c>
      <c r="F355" s="159" t="e">
        <f>Produtos!BE355</f>
        <v>#DIV/0!</v>
      </c>
      <c r="G355" s="158" t="e">
        <f>Produtos!BF355</f>
        <v>#DIV/0!</v>
      </c>
      <c r="H355" s="159">
        <f>Produtos!BL355</f>
        <v>0</v>
      </c>
      <c r="I355" s="157" t="e">
        <f>Produtos!BM355</f>
        <v>#DIV/0!</v>
      </c>
      <c r="J355" s="157" t="e">
        <f>Produtos!BG355</f>
        <v>#DIV/0!</v>
      </c>
      <c r="K355" s="157" t="e">
        <f>Produtos!BH355</f>
        <v>#DIV/0!</v>
      </c>
      <c r="L355" s="157" t="e">
        <f>Produtos!BI355</f>
        <v>#DIV/0!</v>
      </c>
      <c r="M355" s="157" t="e">
        <f>Produtos!BJ355</f>
        <v>#DIV/0!</v>
      </c>
    </row>
    <row r="356" spans="1:13">
      <c r="A356" s="170">
        <f>Produtos!A356</f>
        <v>0</v>
      </c>
      <c r="B356" s="170"/>
      <c r="C356" s="142">
        <f>Produtos!B356</f>
        <v>0</v>
      </c>
      <c r="D356" s="160"/>
      <c r="E356" s="157" t="e">
        <f>Produtos!BD356</f>
        <v>#DIV/0!</v>
      </c>
      <c r="F356" s="159" t="e">
        <f>Produtos!BE356</f>
        <v>#DIV/0!</v>
      </c>
      <c r="G356" s="158" t="e">
        <f>Produtos!BF356</f>
        <v>#DIV/0!</v>
      </c>
      <c r="H356" s="159">
        <f>Produtos!BL356</f>
        <v>0</v>
      </c>
      <c r="I356" s="157" t="e">
        <f>Produtos!BM356</f>
        <v>#DIV/0!</v>
      </c>
      <c r="J356" s="157" t="e">
        <f>Produtos!BG356</f>
        <v>#DIV/0!</v>
      </c>
      <c r="K356" s="157" t="e">
        <f>Produtos!BH356</f>
        <v>#DIV/0!</v>
      </c>
      <c r="L356" s="157" t="e">
        <f>Produtos!BI356</f>
        <v>#DIV/0!</v>
      </c>
      <c r="M356" s="157" t="e">
        <f>Produtos!BJ356</f>
        <v>#DIV/0!</v>
      </c>
    </row>
    <row r="357" spans="1:13">
      <c r="A357" s="170">
        <f>Produtos!A357</f>
        <v>0</v>
      </c>
      <c r="B357" s="170"/>
      <c r="C357" s="142">
        <f>Produtos!B357</f>
        <v>0</v>
      </c>
      <c r="D357" s="160"/>
      <c r="E357" s="157" t="e">
        <f>Produtos!BD357</f>
        <v>#DIV/0!</v>
      </c>
      <c r="F357" s="159" t="e">
        <f>Produtos!BE357</f>
        <v>#DIV/0!</v>
      </c>
      <c r="G357" s="158" t="e">
        <f>Produtos!BF357</f>
        <v>#DIV/0!</v>
      </c>
      <c r="H357" s="159">
        <f>Produtos!BL357</f>
        <v>0</v>
      </c>
      <c r="I357" s="157" t="e">
        <f>Produtos!BM357</f>
        <v>#DIV/0!</v>
      </c>
      <c r="J357" s="157" t="e">
        <f>Produtos!BG357</f>
        <v>#DIV/0!</v>
      </c>
      <c r="K357" s="157" t="e">
        <f>Produtos!BH357</f>
        <v>#DIV/0!</v>
      </c>
      <c r="L357" s="157" t="e">
        <f>Produtos!BI357</f>
        <v>#DIV/0!</v>
      </c>
      <c r="M357" s="157" t="e">
        <f>Produtos!BJ357</f>
        <v>#DIV/0!</v>
      </c>
    </row>
    <row r="358" spans="1:13">
      <c r="A358" s="170">
        <f>Produtos!A358</f>
        <v>0</v>
      </c>
      <c r="B358" s="170"/>
      <c r="C358" s="142">
        <f>Produtos!B358</f>
        <v>0</v>
      </c>
      <c r="D358" s="160"/>
      <c r="E358" s="157" t="e">
        <f>Produtos!BD358</f>
        <v>#DIV/0!</v>
      </c>
      <c r="F358" s="159" t="e">
        <f>Produtos!BE358</f>
        <v>#DIV/0!</v>
      </c>
      <c r="G358" s="158" t="e">
        <f>Produtos!BF358</f>
        <v>#DIV/0!</v>
      </c>
      <c r="H358" s="159">
        <f>Produtos!BL358</f>
        <v>0</v>
      </c>
      <c r="I358" s="157" t="e">
        <f>Produtos!BM358</f>
        <v>#DIV/0!</v>
      </c>
      <c r="J358" s="157" t="e">
        <f>Produtos!BG358</f>
        <v>#DIV/0!</v>
      </c>
      <c r="K358" s="157" t="e">
        <f>Produtos!BH358</f>
        <v>#DIV/0!</v>
      </c>
      <c r="L358" s="157" t="e">
        <f>Produtos!BI358</f>
        <v>#DIV/0!</v>
      </c>
      <c r="M358" s="157" t="e">
        <f>Produtos!BJ358</f>
        <v>#DIV/0!</v>
      </c>
    </row>
    <row r="359" spans="1:13">
      <c r="A359" s="170">
        <f>Produtos!A359</f>
        <v>0</v>
      </c>
      <c r="B359" s="170"/>
      <c r="C359" s="142">
        <f>Produtos!B359</f>
        <v>0</v>
      </c>
      <c r="D359" s="160"/>
      <c r="E359" s="157" t="e">
        <f>Produtos!BD359</f>
        <v>#DIV/0!</v>
      </c>
      <c r="F359" s="159" t="e">
        <f>Produtos!BE359</f>
        <v>#DIV/0!</v>
      </c>
      <c r="G359" s="158" t="e">
        <f>Produtos!BF359</f>
        <v>#DIV/0!</v>
      </c>
      <c r="H359" s="159">
        <f>Produtos!BL359</f>
        <v>0</v>
      </c>
      <c r="I359" s="157" t="e">
        <f>Produtos!BM359</f>
        <v>#DIV/0!</v>
      </c>
      <c r="J359" s="157" t="e">
        <f>Produtos!BG359</f>
        <v>#DIV/0!</v>
      </c>
      <c r="K359" s="157" t="e">
        <f>Produtos!BH359</f>
        <v>#DIV/0!</v>
      </c>
      <c r="L359" s="157" t="e">
        <f>Produtos!BI359</f>
        <v>#DIV/0!</v>
      </c>
      <c r="M359" s="157" t="e">
        <f>Produtos!BJ359</f>
        <v>#DIV/0!</v>
      </c>
    </row>
    <row r="360" spans="1:13">
      <c r="A360" s="170">
        <f>Produtos!A360</f>
        <v>0</v>
      </c>
      <c r="B360" s="170"/>
      <c r="C360" s="142">
        <f>Produtos!B360</f>
        <v>0</v>
      </c>
      <c r="D360" s="160"/>
      <c r="E360" s="157" t="e">
        <f>Produtos!BD360</f>
        <v>#DIV/0!</v>
      </c>
      <c r="F360" s="159" t="e">
        <f>Produtos!BE360</f>
        <v>#DIV/0!</v>
      </c>
      <c r="G360" s="158" t="e">
        <f>Produtos!BF360</f>
        <v>#DIV/0!</v>
      </c>
      <c r="H360" s="159">
        <f>Produtos!BL360</f>
        <v>0</v>
      </c>
      <c r="I360" s="157" t="e">
        <f>Produtos!BM360</f>
        <v>#DIV/0!</v>
      </c>
      <c r="J360" s="157" t="e">
        <f>Produtos!BG360</f>
        <v>#DIV/0!</v>
      </c>
      <c r="K360" s="157" t="e">
        <f>Produtos!BH360</f>
        <v>#DIV/0!</v>
      </c>
      <c r="L360" s="157" t="e">
        <f>Produtos!BI360</f>
        <v>#DIV/0!</v>
      </c>
      <c r="M360" s="157" t="e">
        <f>Produtos!BJ360</f>
        <v>#DIV/0!</v>
      </c>
    </row>
    <row r="361" spans="1:13">
      <c r="A361" s="170">
        <f>Produtos!A361</f>
        <v>0</v>
      </c>
      <c r="B361" s="170"/>
      <c r="C361" s="142">
        <f>Produtos!B361</f>
        <v>0</v>
      </c>
      <c r="D361" s="160"/>
      <c r="E361" s="157" t="e">
        <f>Produtos!BD361</f>
        <v>#DIV/0!</v>
      </c>
      <c r="F361" s="159" t="e">
        <f>Produtos!BE361</f>
        <v>#DIV/0!</v>
      </c>
      <c r="G361" s="158" t="e">
        <f>Produtos!BF361</f>
        <v>#DIV/0!</v>
      </c>
      <c r="H361" s="159">
        <f>Produtos!BL361</f>
        <v>0</v>
      </c>
      <c r="I361" s="157" t="e">
        <f>Produtos!BM361</f>
        <v>#DIV/0!</v>
      </c>
      <c r="J361" s="157" t="e">
        <f>Produtos!BG361</f>
        <v>#DIV/0!</v>
      </c>
      <c r="K361" s="157" t="e">
        <f>Produtos!BH361</f>
        <v>#DIV/0!</v>
      </c>
      <c r="L361" s="157" t="e">
        <f>Produtos!BI361</f>
        <v>#DIV/0!</v>
      </c>
      <c r="M361" s="157" t="e">
        <f>Produtos!BJ361</f>
        <v>#DIV/0!</v>
      </c>
    </row>
    <row r="362" spans="1:13">
      <c r="A362" s="170">
        <f>Produtos!A362</f>
        <v>0</v>
      </c>
      <c r="B362" s="170"/>
      <c r="C362" s="142">
        <f>Produtos!B362</f>
        <v>0</v>
      </c>
      <c r="D362" s="160"/>
      <c r="E362" s="157" t="e">
        <f>Produtos!BD362</f>
        <v>#DIV/0!</v>
      </c>
      <c r="F362" s="159" t="e">
        <f>Produtos!BE362</f>
        <v>#DIV/0!</v>
      </c>
      <c r="G362" s="158" t="e">
        <f>Produtos!BF362</f>
        <v>#DIV/0!</v>
      </c>
      <c r="H362" s="159">
        <f>Produtos!BL362</f>
        <v>0</v>
      </c>
      <c r="I362" s="157" t="e">
        <f>Produtos!BM362</f>
        <v>#DIV/0!</v>
      </c>
      <c r="J362" s="157" t="e">
        <f>Produtos!BG362</f>
        <v>#DIV/0!</v>
      </c>
      <c r="K362" s="157" t="e">
        <f>Produtos!BH362</f>
        <v>#DIV/0!</v>
      </c>
      <c r="L362" s="157" t="e">
        <f>Produtos!BI362</f>
        <v>#DIV/0!</v>
      </c>
      <c r="M362" s="157" t="e">
        <f>Produtos!BJ362</f>
        <v>#DIV/0!</v>
      </c>
    </row>
    <row r="363" spans="1:13">
      <c r="A363" s="170">
        <f>Produtos!A363</f>
        <v>0</v>
      </c>
      <c r="B363" s="170"/>
      <c r="C363" s="142">
        <f>Produtos!B363</f>
        <v>0</v>
      </c>
      <c r="D363" s="160"/>
      <c r="E363" s="157" t="e">
        <f>Produtos!BD363</f>
        <v>#DIV/0!</v>
      </c>
      <c r="F363" s="159" t="e">
        <f>Produtos!BE363</f>
        <v>#DIV/0!</v>
      </c>
      <c r="G363" s="158" t="e">
        <f>Produtos!BF363</f>
        <v>#DIV/0!</v>
      </c>
      <c r="H363" s="159">
        <f>Produtos!BL363</f>
        <v>0</v>
      </c>
      <c r="I363" s="157" t="e">
        <f>Produtos!BM363</f>
        <v>#DIV/0!</v>
      </c>
      <c r="J363" s="157" t="e">
        <f>Produtos!BG363</f>
        <v>#DIV/0!</v>
      </c>
      <c r="K363" s="157" t="e">
        <f>Produtos!BH363</f>
        <v>#DIV/0!</v>
      </c>
      <c r="L363" s="157" t="e">
        <f>Produtos!BI363</f>
        <v>#DIV/0!</v>
      </c>
      <c r="M363" s="157" t="e">
        <f>Produtos!BJ363</f>
        <v>#DIV/0!</v>
      </c>
    </row>
    <row r="364" spans="1:13">
      <c r="A364" s="170">
        <f>Produtos!A364</f>
        <v>0</v>
      </c>
      <c r="B364" s="170"/>
      <c r="C364" s="142">
        <f>Produtos!B364</f>
        <v>0</v>
      </c>
      <c r="D364" s="160"/>
      <c r="E364" s="157" t="e">
        <f>Produtos!BD364</f>
        <v>#DIV/0!</v>
      </c>
      <c r="F364" s="159" t="e">
        <f>Produtos!BE364</f>
        <v>#DIV/0!</v>
      </c>
      <c r="G364" s="158" t="e">
        <f>Produtos!BF364</f>
        <v>#DIV/0!</v>
      </c>
      <c r="H364" s="159">
        <f>Produtos!BL364</f>
        <v>0</v>
      </c>
      <c r="I364" s="157" t="e">
        <f>Produtos!BM364</f>
        <v>#DIV/0!</v>
      </c>
      <c r="J364" s="157" t="e">
        <f>Produtos!BG364</f>
        <v>#DIV/0!</v>
      </c>
      <c r="K364" s="157" t="e">
        <f>Produtos!BH364</f>
        <v>#DIV/0!</v>
      </c>
      <c r="L364" s="157" t="e">
        <f>Produtos!BI364</f>
        <v>#DIV/0!</v>
      </c>
      <c r="M364" s="157" t="e">
        <f>Produtos!BJ364</f>
        <v>#DIV/0!</v>
      </c>
    </row>
    <row r="365" spans="1:13">
      <c r="A365" s="170">
        <f>Produtos!A365</f>
        <v>0</v>
      </c>
      <c r="B365" s="170"/>
      <c r="C365" s="142">
        <f>Produtos!B365</f>
        <v>0</v>
      </c>
      <c r="D365" s="160"/>
      <c r="E365" s="157" t="e">
        <f>Produtos!BD365</f>
        <v>#DIV/0!</v>
      </c>
      <c r="F365" s="159" t="e">
        <f>Produtos!BE365</f>
        <v>#DIV/0!</v>
      </c>
      <c r="G365" s="158" t="e">
        <f>Produtos!BF365</f>
        <v>#DIV/0!</v>
      </c>
      <c r="H365" s="159">
        <f>Produtos!BL365</f>
        <v>0</v>
      </c>
      <c r="I365" s="157" t="e">
        <f>Produtos!BM365</f>
        <v>#DIV/0!</v>
      </c>
      <c r="J365" s="157" t="e">
        <f>Produtos!BG365</f>
        <v>#DIV/0!</v>
      </c>
      <c r="K365" s="157" t="e">
        <f>Produtos!BH365</f>
        <v>#DIV/0!</v>
      </c>
      <c r="L365" s="157" t="e">
        <f>Produtos!BI365</f>
        <v>#DIV/0!</v>
      </c>
      <c r="M365" s="157" t="e">
        <f>Produtos!BJ365</f>
        <v>#DIV/0!</v>
      </c>
    </row>
    <row r="366" spans="1:13">
      <c r="A366" s="170">
        <f>Produtos!A366</f>
        <v>0</v>
      </c>
      <c r="B366" s="170"/>
      <c r="C366" s="142">
        <f>Produtos!B366</f>
        <v>0</v>
      </c>
      <c r="D366" s="160"/>
      <c r="E366" s="157" t="e">
        <f>Produtos!BD366</f>
        <v>#DIV/0!</v>
      </c>
      <c r="F366" s="159" t="e">
        <f>Produtos!BE366</f>
        <v>#DIV/0!</v>
      </c>
      <c r="G366" s="158" t="e">
        <f>Produtos!BF366</f>
        <v>#DIV/0!</v>
      </c>
      <c r="H366" s="159">
        <f>Produtos!BL366</f>
        <v>0</v>
      </c>
      <c r="I366" s="157" t="e">
        <f>Produtos!BM366</f>
        <v>#DIV/0!</v>
      </c>
      <c r="J366" s="157" t="e">
        <f>Produtos!BG366</f>
        <v>#DIV/0!</v>
      </c>
      <c r="K366" s="157" t="e">
        <f>Produtos!BH366</f>
        <v>#DIV/0!</v>
      </c>
      <c r="L366" s="157" t="e">
        <f>Produtos!BI366</f>
        <v>#DIV/0!</v>
      </c>
      <c r="M366" s="157" t="e">
        <f>Produtos!BJ366</f>
        <v>#DIV/0!</v>
      </c>
    </row>
    <row r="367" spans="1:13">
      <c r="A367" s="170">
        <f>Produtos!A367</f>
        <v>0</v>
      </c>
      <c r="B367" s="170"/>
      <c r="C367" s="142">
        <f>Produtos!B367</f>
        <v>0</v>
      </c>
      <c r="D367" s="160"/>
      <c r="E367" s="157" t="e">
        <f>Produtos!BD367</f>
        <v>#DIV/0!</v>
      </c>
      <c r="F367" s="159" t="e">
        <f>Produtos!BE367</f>
        <v>#DIV/0!</v>
      </c>
      <c r="G367" s="158" t="e">
        <f>Produtos!BF367</f>
        <v>#DIV/0!</v>
      </c>
      <c r="H367" s="159">
        <f>Produtos!BL367</f>
        <v>0</v>
      </c>
      <c r="I367" s="157" t="e">
        <f>Produtos!BM367</f>
        <v>#DIV/0!</v>
      </c>
      <c r="J367" s="157" t="e">
        <f>Produtos!BG367</f>
        <v>#DIV/0!</v>
      </c>
      <c r="K367" s="157" t="e">
        <f>Produtos!BH367</f>
        <v>#DIV/0!</v>
      </c>
      <c r="L367" s="157" t="e">
        <f>Produtos!BI367</f>
        <v>#DIV/0!</v>
      </c>
      <c r="M367" s="157" t="e">
        <f>Produtos!BJ367</f>
        <v>#DIV/0!</v>
      </c>
    </row>
    <row r="368" spans="1:13">
      <c r="A368" s="170">
        <f>Produtos!A368</f>
        <v>0</v>
      </c>
      <c r="B368" s="170"/>
      <c r="C368" s="142">
        <f>Produtos!B368</f>
        <v>0</v>
      </c>
      <c r="D368" s="160"/>
      <c r="E368" s="157" t="e">
        <f>Produtos!BD368</f>
        <v>#DIV/0!</v>
      </c>
      <c r="F368" s="159" t="e">
        <f>Produtos!BE368</f>
        <v>#DIV/0!</v>
      </c>
      <c r="G368" s="158" t="e">
        <f>Produtos!BF368</f>
        <v>#DIV/0!</v>
      </c>
      <c r="H368" s="159">
        <f>Produtos!BL368</f>
        <v>0</v>
      </c>
      <c r="I368" s="157" t="e">
        <f>Produtos!BM368</f>
        <v>#DIV/0!</v>
      </c>
      <c r="J368" s="157" t="e">
        <f>Produtos!BG368</f>
        <v>#DIV/0!</v>
      </c>
      <c r="K368" s="157" t="e">
        <f>Produtos!BH368</f>
        <v>#DIV/0!</v>
      </c>
      <c r="L368" s="157" t="e">
        <f>Produtos!BI368</f>
        <v>#DIV/0!</v>
      </c>
      <c r="M368" s="157" t="e">
        <f>Produtos!BJ368</f>
        <v>#DIV/0!</v>
      </c>
    </row>
    <row r="369" spans="1:13">
      <c r="A369" s="170">
        <f>Produtos!A369</f>
        <v>0</v>
      </c>
      <c r="B369" s="170"/>
      <c r="C369" s="142">
        <f>Produtos!B369</f>
        <v>0</v>
      </c>
      <c r="D369" s="160"/>
      <c r="E369" s="157" t="e">
        <f>Produtos!BD369</f>
        <v>#DIV/0!</v>
      </c>
      <c r="F369" s="159" t="e">
        <f>Produtos!BE369</f>
        <v>#DIV/0!</v>
      </c>
      <c r="G369" s="158" t="e">
        <f>Produtos!BF369</f>
        <v>#DIV/0!</v>
      </c>
      <c r="H369" s="159">
        <f>Produtos!BL369</f>
        <v>0</v>
      </c>
      <c r="I369" s="157" t="e">
        <f>Produtos!BM369</f>
        <v>#DIV/0!</v>
      </c>
      <c r="J369" s="157" t="e">
        <f>Produtos!BG369</f>
        <v>#DIV/0!</v>
      </c>
      <c r="K369" s="157" t="e">
        <f>Produtos!BH369</f>
        <v>#DIV/0!</v>
      </c>
      <c r="L369" s="157" t="e">
        <f>Produtos!BI369</f>
        <v>#DIV/0!</v>
      </c>
      <c r="M369" s="157" t="e">
        <f>Produtos!BJ369</f>
        <v>#DIV/0!</v>
      </c>
    </row>
    <row r="370" spans="1:13">
      <c r="A370" s="170">
        <f>Produtos!A370</f>
        <v>0</v>
      </c>
      <c r="B370" s="170"/>
      <c r="C370" s="142">
        <f>Produtos!B370</f>
        <v>0</v>
      </c>
      <c r="D370" s="160"/>
      <c r="E370" s="157" t="e">
        <f>Produtos!BD370</f>
        <v>#DIV/0!</v>
      </c>
      <c r="F370" s="159" t="e">
        <f>Produtos!BE370</f>
        <v>#DIV/0!</v>
      </c>
      <c r="G370" s="158" t="e">
        <f>Produtos!BF370</f>
        <v>#DIV/0!</v>
      </c>
      <c r="H370" s="159">
        <f>Produtos!BL370</f>
        <v>0</v>
      </c>
      <c r="I370" s="157" t="e">
        <f>Produtos!BM370</f>
        <v>#DIV/0!</v>
      </c>
      <c r="J370" s="157" t="e">
        <f>Produtos!BG370</f>
        <v>#DIV/0!</v>
      </c>
      <c r="K370" s="157" t="e">
        <f>Produtos!BH370</f>
        <v>#DIV/0!</v>
      </c>
      <c r="L370" s="157" t="e">
        <f>Produtos!BI370</f>
        <v>#DIV/0!</v>
      </c>
      <c r="M370" s="157" t="e">
        <f>Produtos!BJ370</f>
        <v>#DIV/0!</v>
      </c>
    </row>
    <row r="371" spans="1:13">
      <c r="A371" s="170">
        <f>Produtos!A371</f>
        <v>0</v>
      </c>
      <c r="B371" s="170"/>
      <c r="C371" s="142">
        <f>Produtos!B371</f>
        <v>0</v>
      </c>
      <c r="D371" s="160"/>
      <c r="E371" s="157" t="e">
        <f>Produtos!BD371</f>
        <v>#DIV/0!</v>
      </c>
      <c r="F371" s="159" t="e">
        <f>Produtos!BE371</f>
        <v>#DIV/0!</v>
      </c>
      <c r="G371" s="158" t="e">
        <f>Produtos!BF371</f>
        <v>#DIV/0!</v>
      </c>
      <c r="H371" s="159">
        <f>Produtos!BL371</f>
        <v>0</v>
      </c>
      <c r="I371" s="157" t="e">
        <f>Produtos!BM371</f>
        <v>#DIV/0!</v>
      </c>
      <c r="J371" s="157" t="e">
        <f>Produtos!BG371</f>
        <v>#DIV/0!</v>
      </c>
      <c r="K371" s="157" t="e">
        <f>Produtos!BH371</f>
        <v>#DIV/0!</v>
      </c>
      <c r="L371" s="157" t="e">
        <f>Produtos!BI371</f>
        <v>#DIV/0!</v>
      </c>
      <c r="M371" s="157" t="e">
        <f>Produtos!BJ371</f>
        <v>#DIV/0!</v>
      </c>
    </row>
    <row r="372" spans="1:13">
      <c r="A372" s="170">
        <f>Produtos!A372</f>
        <v>0</v>
      </c>
      <c r="B372" s="170"/>
      <c r="C372" s="142">
        <f>Produtos!B372</f>
        <v>0</v>
      </c>
      <c r="D372" s="160"/>
      <c r="E372" s="157" t="e">
        <f>Produtos!BD372</f>
        <v>#DIV/0!</v>
      </c>
      <c r="F372" s="159" t="e">
        <f>Produtos!BE372</f>
        <v>#DIV/0!</v>
      </c>
      <c r="G372" s="158" t="e">
        <f>Produtos!BF372</f>
        <v>#DIV/0!</v>
      </c>
      <c r="H372" s="159">
        <f>Produtos!BL372</f>
        <v>0</v>
      </c>
      <c r="I372" s="157" t="e">
        <f>Produtos!BM372</f>
        <v>#DIV/0!</v>
      </c>
      <c r="J372" s="157" t="e">
        <f>Produtos!BG372</f>
        <v>#DIV/0!</v>
      </c>
      <c r="K372" s="157" t="e">
        <f>Produtos!BH372</f>
        <v>#DIV/0!</v>
      </c>
      <c r="L372" s="157" t="e">
        <f>Produtos!BI372</f>
        <v>#DIV/0!</v>
      </c>
      <c r="M372" s="157" t="e">
        <f>Produtos!BJ372</f>
        <v>#DIV/0!</v>
      </c>
    </row>
    <row r="373" spans="1:13">
      <c r="A373" s="170">
        <f>Produtos!A373</f>
        <v>0</v>
      </c>
      <c r="B373" s="170"/>
      <c r="C373" s="142">
        <f>Produtos!B373</f>
        <v>0</v>
      </c>
      <c r="D373" s="160"/>
      <c r="E373" s="157" t="e">
        <f>Produtos!BD373</f>
        <v>#DIV/0!</v>
      </c>
      <c r="F373" s="159" t="e">
        <f>Produtos!BE373</f>
        <v>#DIV/0!</v>
      </c>
      <c r="G373" s="158" t="e">
        <f>Produtos!BF373</f>
        <v>#DIV/0!</v>
      </c>
      <c r="H373" s="159">
        <f>Produtos!BL373</f>
        <v>0</v>
      </c>
      <c r="I373" s="157" t="e">
        <f>Produtos!BM373</f>
        <v>#DIV/0!</v>
      </c>
      <c r="J373" s="157" t="e">
        <f>Produtos!BG373</f>
        <v>#DIV/0!</v>
      </c>
      <c r="K373" s="157" t="e">
        <f>Produtos!BH373</f>
        <v>#DIV/0!</v>
      </c>
      <c r="L373" s="157" t="e">
        <f>Produtos!BI373</f>
        <v>#DIV/0!</v>
      </c>
      <c r="M373" s="157" t="e">
        <f>Produtos!BJ373</f>
        <v>#DIV/0!</v>
      </c>
    </row>
    <row r="374" spans="1:13">
      <c r="A374" s="170">
        <f>Produtos!A374</f>
        <v>0</v>
      </c>
      <c r="B374" s="170"/>
      <c r="C374" s="142">
        <f>Produtos!B374</f>
        <v>0</v>
      </c>
      <c r="D374" s="160"/>
      <c r="E374" s="157" t="e">
        <f>Produtos!BD374</f>
        <v>#DIV/0!</v>
      </c>
      <c r="F374" s="159" t="e">
        <f>Produtos!BE374</f>
        <v>#DIV/0!</v>
      </c>
      <c r="G374" s="158" t="e">
        <f>Produtos!BF374</f>
        <v>#DIV/0!</v>
      </c>
      <c r="H374" s="159">
        <f>Produtos!BL374</f>
        <v>0</v>
      </c>
      <c r="I374" s="157" t="e">
        <f>Produtos!BM374</f>
        <v>#DIV/0!</v>
      </c>
      <c r="J374" s="157" t="e">
        <f>Produtos!BG374</f>
        <v>#DIV/0!</v>
      </c>
      <c r="K374" s="157" t="e">
        <f>Produtos!BH374</f>
        <v>#DIV/0!</v>
      </c>
      <c r="L374" s="157" t="e">
        <f>Produtos!BI374</f>
        <v>#DIV/0!</v>
      </c>
      <c r="M374" s="157" t="e">
        <f>Produtos!BJ374</f>
        <v>#DIV/0!</v>
      </c>
    </row>
    <row r="375" spans="1:13">
      <c r="A375" s="170">
        <f>Produtos!A375</f>
        <v>0</v>
      </c>
      <c r="B375" s="170"/>
      <c r="C375" s="142">
        <f>Produtos!B375</f>
        <v>0</v>
      </c>
      <c r="D375" s="160"/>
      <c r="E375" s="157" t="e">
        <f>Produtos!BD375</f>
        <v>#DIV/0!</v>
      </c>
      <c r="F375" s="159" t="e">
        <f>Produtos!BE375</f>
        <v>#DIV/0!</v>
      </c>
      <c r="G375" s="158" t="e">
        <f>Produtos!BF375</f>
        <v>#DIV/0!</v>
      </c>
      <c r="H375" s="159">
        <f>Produtos!BL375</f>
        <v>0</v>
      </c>
      <c r="I375" s="157" t="e">
        <f>Produtos!BM375</f>
        <v>#DIV/0!</v>
      </c>
      <c r="J375" s="157" t="e">
        <f>Produtos!BG375</f>
        <v>#DIV/0!</v>
      </c>
      <c r="K375" s="157" t="e">
        <f>Produtos!BH375</f>
        <v>#DIV/0!</v>
      </c>
      <c r="L375" s="157" t="e">
        <f>Produtos!BI375</f>
        <v>#DIV/0!</v>
      </c>
      <c r="M375" s="157" t="e">
        <f>Produtos!BJ375</f>
        <v>#DIV/0!</v>
      </c>
    </row>
    <row r="376" spans="1:13">
      <c r="A376" s="170">
        <f>Produtos!A376</f>
        <v>0</v>
      </c>
      <c r="B376" s="170"/>
      <c r="C376" s="142">
        <f>Produtos!B376</f>
        <v>0</v>
      </c>
      <c r="D376" s="160"/>
      <c r="E376" s="157" t="e">
        <f>Produtos!BD376</f>
        <v>#DIV/0!</v>
      </c>
      <c r="F376" s="159" t="e">
        <f>Produtos!BE376</f>
        <v>#DIV/0!</v>
      </c>
      <c r="G376" s="158" t="e">
        <f>Produtos!BF376</f>
        <v>#DIV/0!</v>
      </c>
      <c r="H376" s="159">
        <f>Produtos!BL376</f>
        <v>0</v>
      </c>
      <c r="I376" s="157" t="e">
        <f>Produtos!BM376</f>
        <v>#DIV/0!</v>
      </c>
      <c r="J376" s="157" t="e">
        <f>Produtos!BG376</f>
        <v>#DIV/0!</v>
      </c>
      <c r="K376" s="157" t="e">
        <f>Produtos!BH376</f>
        <v>#DIV/0!</v>
      </c>
      <c r="L376" s="157" t="e">
        <f>Produtos!BI376</f>
        <v>#DIV/0!</v>
      </c>
      <c r="M376" s="157" t="e">
        <f>Produtos!BJ376</f>
        <v>#DIV/0!</v>
      </c>
    </row>
    <row r="377" spans="1:13">
      <c r="A377" s="170">
        <f>Produtos!A377</f>
        <v>0</v>
      </c>
      <c r="B377" s="170"/>
      <c r="C377" s="142">
        <f>Produtos!B377</f>
        <v>0</v>
      </c>
      <c r="D377" s="160"/>
      <c r="E377" s="157" t="e">
        <f>Produtos!BD377</f>
        <v>#DIV/0!</v>
      </c>
      <c r="F377" s="159" t="e">
        <f>Produtos!BE377</f>
        <v>#DIV/0!</v>
      </c>
      <c r="G377" s="158" t="e">
        <f>Produtos!BF377</f>
        <v>#DIV/0!</v>
      </c>
      <c r="H377" s="159">
        <f>Produtos!BL377</f>
        <v>0</v>
      </c>
      <c r="I377" s="157" t="e">
        <f>Produtos!BM377</f>
        <v>#DIV/0!</v>
      </c>
      <c r="J377" s="157" t="e">
        <f>Produtos!BG377</f>
        <v>#DIV/0!</v>
      </c>
      <c r="K377" s="157" t="e">
        <f>Produtos!BH377</f>
        <v>#DIV/0!</v>
      </c>
      <c r="L377" s="157" t="e">
        <f>Produtos!BI377</f>
        <v>#DIV/0!</v>
      </c>
      <c r="M377" s="157" t="e">
        <f>Produtos!BJ377</f>
        <v>#DIV/0!</v>
      </c>
    </row>
    <row r="378" spans="1:13">
      <c r="A378" s="170">
        <f>Produtos!A378</f>
        <v>0</v>
      </c>
      <c r="B378" s="170"/>
      <c r="C378" s="142">
        <f>Produtos!B378</f>
        <v>0</v>
      </c>
      <c r="D378" s="160"/>
      <c r="E378" s="157" t="e">
        <f>Produtos!BD378</f>
        <v>#DIV/0!</v>
      </c>
      <c r="F378" s="159" t="e">
        <f>Produtos!BE378</f>
        <v>#DIV/0!</v>
      </c>
      <c r="G378" s="158" t="e">
        <f>Produtos!BF378</f>
        <v>#DIV/0!</v>
      </c>
      <c r="H378" s="159">
        <f>Produtos!BL378</f>
        <v>0</v>
      </c>
      <c r="I378" s="157" t="e">
        <f>Produtos!BM378</f>
        <v>#DIV/0!</v>
      </c>
      <c r="J378" s="157" t="e">
        <f>Produtos!BG378</f>
        <v>#DIV/0!</v>
      </c>
      <c r="K378" s="157" t="e">
        <f>Produtos!BH378</f>
        <v>#DIV/0!</v>
      </c>
      <c r="L378" s="157" t="e">
        <f>Produtos!BI378</f>
        <v>#DIV/0!</v>
      </c>
      <c r="M378" s="157" t="e">
        <f>Produtos!BJ378</f>
        <v>#DIV/0!</v>
      </c>
    </row>
    <row r="379" spans="1:13">
      <c r="A379" s="170">
        <f>Produtos!A379</f>
        <v>0</v>
      </c>
      <c r="B379" s="170"/>
      <c r="C379" s="142">
        <f>Produtos!B379</f>
        <v>0</v>
      </c>
      <c r="D379" s="160"/>
      <c r="E379" s="157" t="e">
        <f>Produtos!BD379</f>
        <v>#DIV/0!</v>
      </c>
      <c r="F379" s="159" t="e">
        <f>Produtos!BE379</f>
        <v>#DIV/0!</v>
      </c>
      <c r="G379" s="158" t="e">
        <f>Produtos!BF379</f>
        <v>#DIV/0!</v>
      </c>
      <c r="H379" s="159">
        <f>Produtos!BL379</f>
        <v>0</v>
      </c>
      <c r="I379" s="157" t="e">
        <f>Produtos!BM379</f>
        <v>#DIV/0!</v>
      </c>
      <c r="J379" s="157" t="e">
        <f>Produtos!BG379</f>
        <v>#DIV/0!</v>
      </c>
      <c r="K379" s="157" t="e">
        <f>Produtos!BH379</f>
        <v>#DIV/0!</v>
      </c>
      <c r="L379" s="157" t="e">
        <f>Produtos!BI379</f>
        <v>#DIV/0!</v>
      </c>
      <c r="M379" s="157" t="e">
        <f>Produtos!BJ379</f>
        <v>#DIV/0!</v>
      </c>
    </row>
    <row r="380" spans="1:13">
      <c r="A380" s="170">
        <f>Produtos!A380</f>
        <v>0</v>
      </c>
      <c r="B380" s="170"/>
      <c r="C380" s="142">
        <f>Produtos!B380</f>
        <v>0</v>
      </c>
      <c r="D380" s="160"/>
      <c r="E380" s="157" t="e">
        <f>Produtos!BD380</f>
        <v>#DIV/0!</v>
      </c>
      <c r="F380" s="159" t="e">
        <f>Produtos!BE380</f>
        <v>#DIV/0!</v>
      </c>
      <c r="G380" s="158" t="e">
        <f>Produtos!BF380</f>
        <v>#DIV/0!</v>
      </c>
      <c r="H380" s="159">
        <f>Produtos!BL380</f>
        <v>0</v>
      </c>
      <c r="I380" s="157" t="e">
        <f>Produtos!BM380</f>
        <v>#DIV/0!</v>
      </c>
      <c r="J380" s="157" t="e">
        <f>Produtos!BG380</f>
        <v>#DIV/0!</v>
      </c>
      <c r="K380" s="157" t="e">
        <f>Produtos!BH380</f>
        <v>#DIV/0!</v>
      </c>
      <c r="L380" s="157" t="e">
        <f>Produtos!BI380</f>
        <v>#DIV/0!</v>
      </c>
      <c r="M380" s="157" t="e">
        <f>Produtos!BJ380</f>
        <v>#DIV/0!</v>
      </c>
    </row>
    <row r="381" spans="1:13">
      <c r="A381" s="170">
        <f>Produtos!A381</f>
        <v>0</v>
      </c>
      <c r="B381" s="170"/>
      <c r="C381" s="142">
        <f>Produtos!B381</f>
        <v>0</v>
      </c>
      <c r="D381" s="160"/>
      <c r="E381" s="157" t="e">
        <f>Produtos!BD381</f>
        <v>#DIV/0!</v>
      </c>
      <c r="F381" s="159" t="e">
        <f>Produtos!BE381</f>
        <v>#DIV/0!</v>
      </c>
      <c r="G381" s="158" t="e">
        <f>Produtos!BF381</f>
        <v>#DIV/0!</v>
      </c>
      <c r="H381" s="159">
        <f>Produtos!BL381</f>
        <v>0</v>
      </c>
      <c r="I381" s="157" t="e">
        <f>Produtos!BM381</f>
        <v>#DIV/0!</v>
      </c>
      <c r="J381" s="157" t="e">
        <f>Produtos!BG381</f>
        <v>#DIV/0!</v>
      </c>
      <c r="K381" s="157" t="e">
        <f>Produtos!BH381</f>
        <v>#DIV/0!</v>
      </c>
      <c r="L381" s="157" t="e">
        <f>Produtos!BI381</f>
        <v>#DIV/0!</v>
      </c>
      <c r="M381" s="157" t="e">
        <f>Produtos!BJ381</f>
        <v>#DIV/0!</v>
      </c>
    </row>
    <row r="382" spans="1:13">
      <c r="A382" s="170">
        <f>Produtos!A382</f>
        <v>0</v>
      </c>
      <c r="B382" s="170"/>
      <c r="C382" s="142">
        <f>Produtos!B382</f>
        <v>0</v>
      </c>
      <c r="D382" s="160"/>
      <c r="E382" s="157" t="e">
        <f>Produtos!BD382</f>
        <v>#DIV/0!</v>
      </c>
      <c r="F382" s="159" t="e">
        <f>Produtos!BE382</f>
        <v>#DIV/0!</v>
      </c>
      <c r="G382" s="158" t="e">
        <f>Produtos!BF382</f>
        <v>#DIV/0!</v>
      </c>
      <c r="H382" s="159">
        <f>Produtos!BL382</f>
        <v>0</v>
      </c>
      <c r="I382" s="157" t="e">
        <f>Produtos!BM382</f>
        <v>#DIV/0!</v>
      </c>
      <c r="J382" s="157" t="e">
        <f>Produtos!BG382</f>
        <v>#DIV/0!</v>
      </c>
      <c r="K382" s="157" t="e">
        <f>Produtos!BH382</f>
        <v>#DIV/0!</v>
      </c>
      <c r="L382" s="157" t="e">
        <f>Produtos!BI382</f>
        <v>#DIV/0!</v>
      </c>
      <c r="M382" s="157" t="e">
        <f>Produtos!BJ382</f>
        <v>#DIV/0!</v>
      </c>
    </row>
    <row r="383" spans="1:13">
      <c r="A383" s="170">
        <f>Produtos!A383</f>
        <v>0</v>
      </c>
      <c r="B383" s="170"/>
      <c r="C383" s="142">
        <f>Produtos!B383</f>
        <v>0</v>
      </c>
      <c r="D383" s="160"/>
      <c r="E383" s="157" t="e">
        <f>Produtos!BD383</f>
        <v>#DIV/0!</v>
      </c>
      <c r="F383" s="159" t="e">
        <f>Produtos!BE383</f>
        <v>#DIV/0!</v>
      </c>
      <c r="G383" s="158" t="e">
        <f>Produtos!BF383</f>
        <v>#DIV/0!</v>
      </c>
      <c r="H383" s="159">
        <f>Produtos!BL383</f>
        <v>0</v>
      </c>
      <c r="I383" s="157" t="e">
        <f>Produtos!BM383</f>
        <v>#DIV/0!</v>
      </c>
      <c r="J383" s="157" t="e">
        <f>Produtos!BG383</f>
        <v>#DIV/0!</v>
      </c>
      <c r="K383" s="157" t="e">
        <f>Produtos!BH383</f>
        <v>#DIV/0!</v>
      </c>
      <c r="L383" s="157" t="e">
        <f>Produtos!BI383</f>
        <v>#DIV/0!</v>
      </c>
      <c r="M383" s="157" t="e">
        <f>Produtos!BJ383</f>
        <v>#DIV/0!</v>
      </c>
    </row>
    <row r="384" spans="1:13">
      <c r="A384" s="170">
        <f>Produtos!A384</f>
        <v>0</v>
      </c>
      <c r="B384" s="170"/>
      <c r="C384" s="142">
        <f>Produtos!B384</f>
        <v>0</v>
      </c>
      <c r="D384" s="160"/>
      <c r="E384" s="157" t="e">
        <f>Produtos!BD384</f>
        <v>#DIV/0!</v>
      </c>
      <c r="F384" s="159" t="e">
        <f>Produtos!BE384</f>
        <v>#DIV/0!</v>
      </c>
      <c r="G384" s="158" t="e">
        <f>Produtos!BF384</f>
        <v>#DIV/0!</v>
      </c>
      <c r="H384" s="159">
        <f>Produtos!BL384</f>
        <v>0</v>
      </c>
      <c r="I384" s="157" t="e">
        <f>Produtos!BM384</f>
        <v>#DIV/0!</v>
      </c>
      <c r="J384" s="157" t="e">
        <f>Produtos!BG384</f>
        <v>#DIV/0!</v>
      </c>
      <c r="K384" s="157" t="e">
        <f>Produtos!BH384</f>
        <v>#DIV/0!</v>
      </c>
      <c r="L384" s="157" t="e">
        <f>Produtos!BI384</f>
        <v>#DIV/0!</v>
      </c>
      <c r="M384" s="157" t="e">
        <f>Produtos!BJ384</f>
        <v>#DIV/0!</v>
      </c>
    </row>
    <row r="385" spans="1:13">
      <c r="A385" s="170">
        <f>Produtos!A385</f>
        <v>0</v>
      </c>
      <c r="B385" s="170"/>
      <c r="C385" s="142">
        <f>Produtos!B385</f>
        <v>0</v>
      </c>
      <c r="D385" s="160"/>
      <c r="E385" s="157" t="e">
        <f>Produtos!BD385</f>
        <v>#DIV/0!</v>
      </c>
      <c r="F385" s="159" t="e">
        <f>Produtos!BE385</f>
        <v>#DIV/0!</v>
      </c>
      <c r="G385" s="158" t="e">
        <f>Produtos!BF385</f>
        <v>#DIV/0!</v>
      </c>
      <c r="H385" s="159">
        <f>Produtos!BL385</f>
        <v>0</v>
      </c>
      <c r="I385" s="157" t="e">
        <f>Produtos!BM385</f>
        <v>#DIV/0!</v>
      </c>
      <c r="J385" s="157" t="e">
        <f>Produtos!BG385</f>
        <v>#DIV/0!</v>
      </c>
      <c r="K385" s="157" t="e">
        <f>Produtos!BH385</f>
        <v>#DIV/0!</v>
      </c>
      <c r="L385" s="157" t="e">
        <f>Produtos!BI385</f>
        <v>#DIV/0!</v>
      </c>
      <c r="M385" s="157" t="e">
        <f>Produtos!BJ385</f>
        <v>#DIV/0!</v>
      </c>
    </row>
    <row r="386" spans="1:13">
      <c r="A386" s="170">
        <f>Produtos!A386</f>
        <v>0</v>
      </c>
      <c r="B386" s="170"/>
      <c r="C386" s="142">
        <f>Produtos!B386</f>
        <v>0</v>
      </c>
      <c r="D386" s="160"/>
      <c r="E386" s="157" t="e">
        <f>Produtos!BD386</f>
        <v>#DIV/0!</v>
      </c>
      <c r="F386" s="159" t="e">
        <f>Produtos!BE386</f>
        <v>#DIV/0!</v>
      </c>
      <c r="G386" s="158" t="e">
        <f>Produtos!BF386</f>
        <v>#DIV/0!</v>
      </c>
      <c r="H386" s="159">
        <f>Produtos!BL386</f>
        <v>0</v>
      </c>
      <c r="I386" s="157" t="e">
        <f>Produtos!BM386</f>
        <v>#DIV/0!</v>
      </c>
      <c r="J386" s="157" t="e">
        <f>Produtos!BG386</f>
        <v>#DIV/0!</v>
      </c>
      <c r="K386" s="157" t="e">
        <f>Produtos!BH386</f>
        <v>#DIV/0!</v>
      </c>
      <c r="L386" s="157" t="e">
        <f>Produtos!BI386</f>
        <v>#DIV/0!</v>
      </c>
      <c r="M386" s="157" t="e">
        <f>Produtos!BJ386</f>
        <v>#DIV/0!</v>
      </c>
    </row>
    <row r="387" spans="1:13">
      <c r="A387" s="170">
        <f>Produtos!A387</f>
        <v>0</v>
      </c>
      <c r="B387" s="170"/>
      <c r="C387" s="142">
        <f>Produtos!B387</f>
        <v>0</v>
      </c>
      <c r="D387" s="160"/>
      <c r="E387" s="157" t="e">
        <f>Produtos!BD387</f>
        <v>#DIV/0!</v>
      </c>
      <c r="F387" s="159" t="e">
        <f>Produtos!BE387</f>
        <v>#DIV/0!</v>
      </c>
      <c r="G387" s="158" t="e">
        <f>Produtos!BF387</f>
        <v>#DIV/0!</v>
      </c>
      <c r="H387" s="159">
        <f>Produtos!BL387</f>
        <v>0</v>
      </c>
      <c r="I387" s="157" t="e">
        <f>Produtos!BM387</f>
        <v>#DIV/0!</v>
      </c>
      <c r="J387" s="157" t="e">
        <f>Produtos!BG387</f>
        <v>#DIV/0!</v>
      </c>
      <c r="K387" s="157" t="e">
        <f>Produtos!BH387</f>
        <v>#DIV/0!</v>
      </c>
      <c r="L387" s="157" t="e">
        <f>Produtos!BI387</f>
        <v>#DIV/0!</v>
      </c>
      <c r="M387" s="157" t="e">
        <f>Produtos!BJ387</f>
        <v>#DIV/0!</v>
      </c>
    </row>
    <row r="388" spans="1:13">
      <c r="A388" s="170">
        <f>Produtos!A388</f>
        <v>0</v>
      </c>
      <c r="B388" s="170"/>
      <c r="C388" s="142">
        <f>Produtos!B388</f>
        <v>0</v>
      </c>
      <c r="D388" s="160"/>
      <c r="E388" s="157" t="e">
        <f>Produtos!BD388</f>
        <v>#DIV/0!</v>
      </c>
      <c r="F388" s="159" t="e">
        <f>Produtos!BE388</f>
        <v>#DIV/0!</v>
      </c>
      <c r="G388" s="158" t="e">
        <f>Produtos!BF388</f>
        <v>#DIV/0!</v>
      </c>
      <c r="H388" s="159">
        <f>Produtos!BL388</f>
        <v>0</v>
      </c>
      <c r="I388" s="157" t="e">
        <f>Produtos!BM388</f>
        <v>#DIV/0!</v>
      </c>
      <c r="J388" s="157" t="e">
        <f>Produtos!BG388</f>
        <v>#DIV/0!</v>
      </c>
      <c r="K388" s="157" t="e">
        <f>Produtos!BH388</f>
        <v>#DIV/0!</v>
      </c>
      <c r="L388" s="157" t="e">
        <f>Produtos!BI388</f>
        <v>#DIV/0!</v>
      </c>
      <c r="M388" s="157" t="e">
        <f>Produtos!BJ388</f>
        <v>#DIV/0!</v>
      </c>
    </row>
    <row r="389" spans="1:13">
      <c r="A389" s="170">
        <f>Produtos!A389</f>
        <v>0</v>
      </c>
      <c r="B389" s="170"/>
      <c r="C389" s="142">
        <f>Produtos!B389</f>
        <v>0</v>
      </c>
      <c r="D389" s="160"/>
      <c r="E389" s="157" t="e">
        <f>Produtos!BD389</f>
        <v>#DIV/0!</v>
      </c>
      <c r="F389" s="159" t="e">
        <f>Produtos!BE389</f>
        <v>#DIV/0!</v>
      </c>
      <c r="G389" s="158" t="e">
        <f>Produtos!BF389</f>
        <v>#DIV/0!</v>
      </c>
      <c r="H389" s="159">
        <f>Produtos!BL389</f>
        <v>0</v>
      </c>
      <c r="I389" s="157" t="e">
        <f>Produtos!BM389</f>
        <v>#DIV/0!</v>
      </c>
      <c r="J389" s="157" t="e">
        <f>Produtos!BG389</f>
        <v>#DIV/0!</v>
      </c>
      <c r="K389" s="157" t="e">
        <f>Produtos!BH389</f>
        <v>#DIV/0!</v>
      </c>
      <c r="L389" s="157" t="e">
        <f>Produtos!BI389</f>
        <v>#DIV/0!</v>
      </c>
      <c r="M389" s="157" t="e">
        <f>Produtos!BJ389</f>
        <v>#DIV/0!</v>
      </c>
    </row>
    <row r="390" spans="1:13">
      <c r="A390" s="170">
        <f>Produtos!A390</f>
        <v>0</v>
      </c>
      <c r="B390" s="170"/>
      <c r="C390" s="142">
        <f>Produtos!B390</f>
        <v>0</v>
      </c>
      <c r="D390" s="160"/>
      <c r="E390" s="157" t="e">
        <f>Produtos!BD390</f>
        <v>#DIV/0!</v>
      </c>
      <c r="F390" s="159" t="e">
        <f>Produtos!BE390</f>
        <v>#DIV/0!</v>
      </c>
      <c r="G390" s="158" t="e">
        <f>Produtos!BF390</f>
        <v>#DIV/0!</v>
      </c>
      <c r="H390" s="159">
        <f>Produtos!BL390</f>
        <v>0</v>
      </c>
      <c r="I390" s="157" t="e">
        <f>Produtos!BM390</f>
        <v>#DIV/0!</v>
      </c>
      <c r="J390" s="157" t="e">
        <f>Produtos!BG390</f>
        <v>#DIV/0!</v>
      </c>
      <c r="K390" s="157" t="e">
        <f>Produtos!BH390</f>
        <v>#DIV/0!</v>
      </c>
      <c r="L390" s="157" t="e">
        <f>Produtos!BI390</f>
        <v>#DIV/0!</v>
      </c>
      <c r="M390" s="157" t="e">
        <f>Produtos!BJ390</f>
        <v>#DIV/0!</v>
      </c>
    </row>
    <row r="391" spans="1:13">
      <c r="A391" s="170">
        <f>Produtos!A391</f>
        <v>0</v>
      </c>
      <c r="B391" s="170"/>
      <c r="C391" s="142">
        <f>Produtos!B391</f>
        <v>0</v>
      </c>
      <c r="D391" s="160"/>
      <c r="E391" s="157" t="e">
        <f>Produtos!BD391</f>
        <v>#DIV/0!</v>
      </c>
      <c r="F391" s="159" t="e">
        <f>Produtos!BE391</f>
        <v>#DIV/0!</v>
      </c>
      <c r="G391" s="158" t="e">
        <f>Produtos!BF391</f>
        <v>#DIV/0!</v>
      </c>
      <c r="H391" s="159">
        <f>Produtos!BL391</f>
        <v>0</v>
      </c>
      <c r="I391" s="157" t="e">
        <f>Produtos!BM391</f>
        <v>#DIV/0!</v>
      </c>
      <c r="J391" s="157" t="e">
        <f>Produtos!BG391</f>
        <v>#DIV/0!</v>
      </c>
      <c r="K391" s="157" t="e">
        <f>Produtos!BH391</f>
        <v>#DIV/0!</v>
      </c>
      <c r="L391" s="157" t="e">
        <f>Produtos!BI391</f>
        <v>#DIV/0!</v>
      </c>
      <c r="M391" s="157" t="e">
        <f>Produtos!BJ391</f>
        <v>#DIV/0!</v>
      </c>
    </row>
    <row r="392" spans="1:13">
      <c r="A392" s="170">
        <f>Produtos!A392</f>
        <v>0</v>
      </c>
      <c r="B392" s="170"/>
      <c r="C392" s="142">
        <f>Produtos!B392</f>
        <v>0</v>
      </c>
      <c r="D392" s="160"/>
      <c r="E392" s="157" t="e">
        <f>Produtos!BD392</f>
        <v>#DIV/0!</v>
      </c>
      <c r="F392" s="159" t="e">
        <f>Produtos!BE392</f>
        <v>#DIV/0!</v>
      </c>
      <c r="G392" s="158" t="e">
        <f>Produtos!BF392</f>
        <v>#DIV/0!</v>
      </c>
      <c r="H392" s="159">
        <f>Produtos!BL392</f>
        <v>0</v>
      </c>
      <c r="I392" s="157" t="e">
        <f>Produtos!BM392</f>
        <v>#DIV/0!</v>
      </c>
      <c r="J392" s="157" t="e">
        <f>Produtos!BG392</f>
        <v>#DIV/0!</v>
      </c>
      <c r="K392" s="157" t="e">
        <f>Produtos!BH392</f>
        <v>#DIV/0!</v>
      </c>
      <c r="L392" s="157" t="e">
        <f>Produtos!BI392</f>
        <v>#DIV/0!</v>
      </c>
      <c r="M392" s="157" t="e">
        <f>Produtos!BJ392</f>
        <v>#DIV/0!</v>
      </c>
    </row>
    <row r="393" spans="1:13">
      <c r="A393" s="170">
        <f>Produtos!A393</f>
        <v>0</v>
      </c>
      <c r="B393" s="170"/>
      <c r="C393" s="142">
        <f>Produtos!B393</f>
        <v>0</v>
      </c>
      <c r="D393" s="160"/>
      <c r="E393" s="157" t="e">
        <f>Produtos!BD393</f>
        <v>#DIV/0!</v>
      </c>
      <c r="F393" s="159" t="e">
        <f>Produtos!BE393</f>
        <v>#DIV/0!</v>
      </c>
      <c r="G393" s="158" t="e">
        <f>Produtos!BF393</f>
        <v>#DIV/0!</v>
      </c>
      <c r="H393" s="159">
        <f>Produtos!BL393</f>
        <v>0</v>
      </c>
      <c r="I393" s="157" t="e">
        <f>Produtos!BM393</f>
        <v>#DIV/0!</v>
      </c>
      <c r="J393" s="157" t="e">
        <f>Produtos!BG393</f>
        <v>#DIV/0!</v>
      </c>
      <c r="K393" s="157" t="e">
        <f>Produtos!BH393</f>
        <v>#DIV/0!</v>
      </c>
      <c r="L393" s="157" t="e">
        <f>Produtos!BI393</f>
        <v>#DIV/0!</v>
      </c>
      <c r="M393" s="157" t="e">
        <f>Produtos!BJ393</f>
        <v>#DIV/0!</v>
      </c>
    </row>
    <row r="394" spans="1:13">
      <c r="A394" s="170">
        <f>Produtos!A394</f>
        <v>0</v>
      </c>
      <c r="B394" s="170"/>
      <c r="C394" s="142">
        <f>Produtos!B394</f>
        <v>0</v>
      </c>
      <c r="D394" s="160"/>
      <c r="E394" s="157" t="e">
        <f>Produtos!BD394</f>
        <v>#DIV/0!</v>
      </c>
      <c r="F394" s="159" t="e">
        <f>Produtos!BE394</f>
        <v>#DIV/0!</v>
      </c>
      <c r="G394" s="158" t="e">
        <f>Produtos!BF394</f>
        <v>#DIV/0!</v>
      </c>
      <c r="H394" s="159">
        <f>Produtos!BL394</f>
        <v>0</v>
      </c>
      <c r="I394" s="157" t="e">
        <f>Produtos!BM394</f>
        <v>#DIV/0!</v>
      </c>
      <c r="J394" s="157" t="e">
        <f>Produtos!BG394</f>
        <v>#DIV/0!</v>
      </c>
      <c r="K394" s="157" t="e">
        <f>Produtos!BH394</f>
        <v>#DIV/0!</v>
      </c>
      <c r="L394" s="157" t="e">
        <f>Produtos!BI394</f>
        <v>#DIV/0!</v>
      </c>
      <c r="M394" s="157" t="e">
        <f>Produtos!BJ394</f>
        <v>#DIV/0!</v>
      </c>
    </row>
    <row r="395" spans="1:13">
      <c r="A395" s="170">
        <f>Produtos!A395</f>
        <v>0</v>
      </c>
      <c r="B395" s="170"/>
      <c r="C395" s="142">
        <f>Produtos!B395</f>
        <v>0</v>
      </c>
      <c r="D395" s="160"/>
      <c r="E395" s="157" t="e">
        <f>Produtos!BD395</f>
        <v>#DIV/0!</v>
      </c>
      <c r="F395" s="159" t="e">
        <f>Produtos!BE395</f>
        <v>#DIV/0!</v>
      </c>
      <c r="G395" s="158" t="e">
        <f>Produtos!BF395</f>
        <v>#DIV/0!</v>
      </c>
      <c r="H395" s="159">
        <f>Produtos!BL395</f>
        <v>0</v>
      </c>
      <c r="I395" s="157" t="e">
        <f>Produtos!BM395</f>
        <v>#DIV/0!</v>
      </c>
      <c r="J395" s="157" t="e">
        <f>Produtos!BG395</f>
        <v>#DIV/0!</v>
      </c>
      <c r="K395" s="157" t="e">
        <f>Produtos!BH395</f>
        <v>#DIV/0!</v>
      </c>
      <c r="L395" s="157" t="e">
        <f>Produtos!BI395</f>
        <v>#DIV/0!</v>
      </c>
      <c r="M395" s="157" t="e">
        <f>Produtos!BJ395</f>
        <v>#DIV/0!</v>
      </c>
    </row>
    <row r="396" spans="1:13">
      <c r="A396" s="170">
        <f>Produtos!A396</f>
        <v>0</v>
      </c>
      <c r="B396" s="170"/>
      <c r="C396" s="142">
        <f>Produtos!B396</f>
        <v>0</v>
      </c>
      <c r="D396" s="160"/>
      <c r="E396" s="157" t="e">
        <f>Produtos!BD396</f>
        <v>#DIV/0!</v>
      </c>
      <c r="F396" s="159" t="e">
        <f>Produtos!BE396</f>
        <v>#DIV/0!</v>
      </c>
      <c r="G396" s="158" t="e">
        <f>Produtos!BF396</f>
        <v>#DIV/0!</v>
      </c>
      <c r="H396" s="159">
        <f>Produtos!BL396</f>
        <v>0</v>
      </c>
      <c r="I396" s="157" t="e">
        <f>Produtos!BM396</f>
        <v>#DIV/0!</v>
      </c>
      <c r="J396" s="157" t="e">
        <f>Produtos!BG396</f>
        <v>#DIV/0!</v>
      </c>
      <c r="K396" s="157" t="e">
        <f>Produtos!BH396</f>
        <v>#DIV/0!</v>
      </c>
      <c r="L396" s="157" t="e">
        <f>Produtos!BI396</f>
        <v>#DIV/0!</v>
      </c>
      <c r="M396" s="157" t="e">
        <f>Produtos!BJ396</f>
        <v>#DIV/0!</v>
      </c>
    </row>
    <row r="397" spans="1:13">
      <c r="A397" s="170">
        <f>Produtos!A397</f>
        <v>0</v>
      </c>
      <c r="B397" s="170"/>
      <c r="C397" s="142">
        <f>Produtos!B397</f>
        <v>0</v>
      </c>
      <c r="D397" s="160"/>
      <c r="E397" s="157" t="e">
        <f>Produtos!BD397</f>
        <v>#DIV/0!</v>
      </c>
      <c r="F397" s="159" t="e">
        <f>Produtos!BE397</f>
        <v>#DIV/0!</v>
      </c>
      <c r="G397" s="158" t="e">
        <f>Produtos!BF397</f>
        <v>#DIV/0!</v>
      </c>
      <c r="H397" s="159">
        <f>Produtos!BL397</f>
        <v>0</v>
      </c>
      <c r="I397" s="157" t="e">
        <f>Produtos!BM397</f>
        <v>#DIV/0!</v>
      </c>
      <c r="J397" s="157" t="e">
        <f>Produtos!BG397</f>
        <v>#DIV/0!</v>
      </c>
      <c r="K397" s="157" t="e">
        <f>Produtos!BH397</f>
        <v>#DIV/0!</v>
      </c>
      <c r="L397" s="157" t="e">
        <f>Produtos!BI397</f>
        <v>#DIV/0!</v>
      </c>
      <c r="M397" s="157" t="e">
        <f>Produtos!BJ397</f>
        <v>#DIV/0!</v>
      </c>
    </row>
    <row r="398" spans="1:13">
      <c r="A398" s="170">
        <f>Produtos!A398</f>
        <v>0</v>
      </c>
      <c r="B398" s="170"/>
      <c r="C398" s="142">
        <f>Produtos!B398</f>
        <v>0</v>
      </c>
      <c r="D398" s="160"/>
      <c r="E398" s="157" t="e">
        <f>Produtos!BD398</f>
        <v>#DIV/0!</v>
      </c>
      <c r="F398" s="159" t="e">
        <f>Produtos!BE398</f>
        <v>#DIV/0!</v>
      </c>
      <c r="G398" s="158" t="e">
        <f>Produtos!BF398</f>
        <v>#DIV/0!</v>
      </c>
      <c r="H398" s="159">
        <f>Produtos!BL398</f>
        <v>0</v>
      </c>
      <c r="I398" s="157" t="e">
        <f>Produtos!BM398</f>
        <v>#DIV/0!</v>
      </c>
      <c r="J398" s="157" t="e">
        <f>Produtos!BG398</f>
        <v>#DIV/0!</v>
      </c>
      <c r="K398" s="157" t="e">
        <f>Produtos!BH398</f>
        <v>#DIV/0!</v>
      </c>
      <c r="L398" s="157" t="e">
        <f>Produtos!BI398</f>
        <v>#DIV/0!</v>
      </c>
      <c r="M398" s="157" t="e">
        <f>Produtos!BJ398</f>
        <v>#DIV/0!</v>
      </c>
    </row>
    <row r="399" spans="1:13">
      <c r="A399" s="170">
        <f>Produtos!A399</f>
        <v>0</v>
      </c>
      <c r="B399" s="170"/>
      <c r="C399" s="142">
        <f>Produtos!B399</f>
        <v>0</v>
      </c>
      <c r="D399" s="160"/>
      <c r="E399" s="157" t="e">
        <f>Produtos!BD399</f>
        <v>#DIV/0!</v>
      </c>
      <c r="F399" s="159" t="e">
        <f>Produtos!BE399</f>
        <v>#DIV/0!</v>
      </c>
      <c r="G399" s="158" t="e">
        <f>Produtos!BF399</f>
        <v>#DIV/0!</v>
      </c>
      <c r="H399" s="159">
        <f>Produtos!BL399</f>
        <v>0</v>
      </c>
      <c r="I399" s="157" t="e">
        <f>Produtos!BM399</f>
        <v>#DIV/0!</v>
      </c>
      <c r="J399" s="157" t="e">
        <f>Produtos!BG399</f>
        <v>#DIV/0!</v>
      </c>
      <c r="K399" s="157" t="e">
        <f>Produtos!BH399</f>
        <v>#DIV/0!</v>
      </c>
      <c r="L399" s="157" t="e">
        <f>Produtos!BI399</f>
        <v>#DIV/0!</v>
      </c>
      <c r="M399" s="157" t="e">
        <f>Produtos!BJ399</f>
        <v>#DIV/0!</v>
      </c>
    </row>
    <row r="400" spans="1:13">
      <c r="A400" s="170">
        <f>Produtos!A400</f>
        <v>0</v>
      </c>
      <c r="B400" s="170"/>
      <c r="C400" s="142">
        <f>Produtos!B400</f>
        <v>0</v>
      </c>
      <c r="D400" s="160"/>
      <c r="E400" s="157" t="e">
        <f>Produtos!BD400</f>
        <v>#DIV/0!</v>
      </c>
      <c r="F400" s="159" t="e">
        <f>Produtos!BE400</f>
        <v>#DIV/0!</v>
      </c>
      <c r="G400" s="158" t="e">
        <f>Produtos!BF400</f>
        <v>#DIV/0!</v>
      </c>
      <c r="H400" s="159">
        <f>Produtos!BL400</f>
        <v>0</v>
      </c>
      <c r="I400" s="157" t="e">
        <f>Produtos!BM400</f>
        <v>#DIV/0!</v>
      </c>
      <c r="J400" s="157" t="e">
        <f>Produtos!BG400</f>
        <v>#DIV/0!</v>
      </c>
      <c r="K400" s="157" t="e">
        <f>Produtos!BH400</f>
        <v>#DIV/0!</v>
      </c>
      <c r="L400" s="157" t="e">
        <f>Produtos!BI400</f>
        <v>#DIV/0!</v>
      </c>
      <c r="M400" s="157" t="e">
        <f>Produtos!BJ400</f>
        <v>#DIV/0!</v>
      </c>
    </row>
    <row r="401" spans="1:13">
      <c r="A401" s="170">
        <f>Produtos!A401</f>
        <v>0</v>
      </c>
      <c r="B401" s="170"/>
      <c r="C401" s="142">
        <f>Produtos!B401</f>
        <v>0</v>
      </c>
      <c r="D401" s="160"/>
      <c r="E401" s="157" t="e">
        <f>Produtos!BD401</f>
        <v>#DIV/0!</v>
      </c>
      <c r="F401" s="159" t="e">
        <f>Produtos!BE401</f>
        <v>#DIV/0!</v>
      </c>
      <c r="G401" s="158" t="e">
        <f>Produtos!BF401</f>
        <v>#DIV/0!</v>
      </c>
      <c r="H401" s="159">
        <f>Produtos!BL401</f>
        <v>0</v>
      </c>
      <c r="I401" s="157" t="e">
        <f>Produtos!BM401</f>
        <v>#DIV/0!</v>
      </c>
      <c r="J401" s="157" t="e">
        <f>Produtos!BG401</f>
        <v>#DIV/0!</v>
      </c>
      <c r="K401" s="157" t="e">
        <f>Produtos!BH401</f>
        <v>#DIV/0!</v>
      </c>
      <c r="L401" s="157" t="e">
        <f>Produtos!BI401</f>
        <v>#DIV/0!</v>
      </c>
      <c r="M401" s="157" t="e">
        <f>Produtos!BJ401</f>
        <v>#DIV/0!</v>
      </c>
    </row>
    <row r="402" spans="1:13">
      <c r="A402" s="170">
        <f>Produtos!A402</f>
        <v>0</v>
      </c>
      <c r="B402" s="170"/>
      <c r="C402" s="142">
        <f>Produtos!B402</f>
        <v>0</v>
      </c>
      <c r="D402" s="160"/>
      <c r="E402" s="157" t="e">
        <f>Produtos!BD402</f>
        <v>#DIV/0!</v>
      </c>
      <c r="F402" s="159" t="e">
        <f>Produtos!BE402</f>
        <v>#DIV/0!</v>
      </c>
      <c r="G402" s="158" t="e">
        <f>Produtos!BF402</f>
        <v>#DIV/0!</v>
      </c>
      <c r="H402" s="159">
        <f>Produtos!BL402</f>
        <v>0</v>
      </c>
      <c r="I402" s="157" t="e">
        <f>Produtos!BM402</f>
        <v>#DIV/0!</v>
      </c>
      <c r="J402" s="157" t="e">
        <f>Produtos!BG402</f>
        <v>#DIV/0!</v>
      </c>
      <c r="K402" s="157" t="e">
        <f>Produtos!BH402</f>
        <v>#DIV/0!</v>
      </c>
      <c r="L402" s="157" t="e">
        <f>Produtos!BI402</f>
        <v>#DIV/0!</v>
      </c>
      <c r="M402" s="157" t="e">
        <f>Produtos!BJ402</f>
        <v>#DIV/0!</v>
      </c>
    </row>
    <row r="403" spans="1:13">
      <c r="A403" s="170">
        <f>Produtos!A403</f>
        <v>0</v>
      </c>
      <c r="B403" s="170"/>
      <c r="C403" s="142">
        <f>Produtos!B403</f>
        <v>0</v>
      </c>
      <c r="D403" s="160"/>
      <c r="E403" s="157" t="e">
        <f>Produtos!BD403</f>
        <v>#DIV/0!</v>
      </c>
      <c r="F403" s="159" t="e">
        <f>Produtos!BE403</f>
        <v>#DIV/0!</v>
      </c>
      <c r="G403" s="158" t="e">
        <f>Produtos!BF403</f>
        <v>#DIV/0!</v>
      </c>
      <c r="H403" s="159">
        <f>Produtos!BL403</f>
        <v>0</v>
      </c>
      <c r="I403" s="157" t="e">
        <f>Produtos!BM403</f>
        <v>#DIV/0!</v>
      </c>
      <c r="J403" s="157" t="e">
        <f>Produtos!BG403</f>
        <v>#DIV/0!</v>
      </c>
      <c r="K403" s="157" t="e">
        <f>Produtos!BH403</f>
        <v>#DIV/0!</v>
      </c>
      <c r="L403" s="157" t="e">
        <f>Produtos!BI403</f>
        <v>#DIV/0!</v>
      </c>
      <c r="M403" s="157" t="e">
        <f>Produtos!BJ403</f>
        <v>#DIV/0!</v>
      </c>
    </row>
    <row r="404" spans="1:13">
      <c r="A404" s="170">
        <f>Produtos!A404</f>
        <v>0</v>
      </c>
      <c r="B404" s="170"/>
      <c r="C404" s="142">
        <f>Produtos!B404</f>
        <v>0</v>
      </c>
      <c r="D404" s="160"/>
      <c r="E404" s="157" t="e">
        <f>Produtos!BD404</f>
        <v>#DIV/0!</v>
      </c>
      <c r="F404" s="159" t="e">
        <f>Produtos!BE404</f>
        <v>#DIV/0!</v>
      </c>
      <c r="G404" s="158" t="e">
        <f>Produtos!BF404</f>
        <v>#DIV/0!</v>
      </c>
      <c r="H404" s="159">
        <f>Produtos!BL404</f>
        <v>0</v>
      </c>
      <c r="I404" s="157" t="e">
        <f>Produtos!BM404</f>
        <v>#DIV/0!</v>
      </c>
      <c r="J404" s="157" t="e">
        <f>Produtos!BG404</f>
        <v>#DIV/0!</v>
      </c>
      <c r="K404" s="157" t="e">
        <f>Produtos!BH404</f>
        <v>#DIV/0!</v>
      </c>
      <c r="L404" s="157" t="e">
        <f>Produtos!BI404</f>
        <v>#DIV/0!</v>
      </c>
      <c r="M404" s="157" t="e">
        <f>Produtos!BJ404</f>
        <v>#DIV/0!</v>
      </c>
    </row>
    <row r="405" spans="1:13">
      <c r="A405" s="170">
        <f>Produtos!A405</f>
        <v>0</v>
      </c>
      <c r="B405" s="170"/>
      <c r="C405" s="142">
        <f>Produtos!B405</f>
        <v>0</v>
      </c>
      <c r="D405" s="160"/>
      <c r="E405" s="157" t="e">
        <f>Produtos!BD405</f>
        <v>#DIV/0!</v>
      </c>
      <c r="F405" s="159" t="e">
        <f>Produtos!BE405</f>
        <v>#DIV/0!</v>
      </c>
      <c r="G405" s="158" t="e">
        <f>Produtos!BF405</f>
        <v>#DIV/0!</v>
      </c>
      <c r="H405" s="159">
        <f>Produtos!BL405</f>
        <v>0</v>
      </c>
      <c r="I405" s="157" t="e">
        <f>Produtos!BM405</f>
        <v>#DIV/0!</v>
      </c>
      <c r="J405" s="157" t="e">
        <f>Produtos!BG405</f>
        <v>#DIV/0!</v>
      </c>
      <c r="K405" s="157" t="e">
        <f>Produtos!BH405</f>
        <v>#DIV/0!</v>
      </c>
      <c r="L405" s="157" t="e">
        <f>Produtos!BI405</f>
        <v>#DIV/0!</v>
      </c>
      <c r="M405" s="157" t="e">
        <f>Produtos!BJ405</f>
        <v>#DIV/0!</v>
      </c>
    </row>
    <row r="406" spans="1:13">
      <c r="A406" s="170">
        <f>Produtos!A406</f>
        <v>0</v>
      </c>
      <c r="B406" s="170"/>
      <c r="C406" s="142">
        <f>Produtos!B406</f>
        <v>0</v>
      </c>
      <c r="D406" s="160"/>
      <c r="E406" s="157" t="e">
        <f>Produtos!BD406</f>
        <v>#DIV/0!</v>
      </c>
      <c r="F406" s="159" t="e">
        <f>Produtos!BE406</f>
        <v>#DIV/0!</v>
      </c>
      <c r="G406" s="158" t="e">
        <f>Produtos!BF406</f>
        <v>#DIV/0!</v>
      </c>
      <c r="H406" s="159">
        <f>Produtos!BL406</f>
        <v>0</v>
      </c>
      <c r="I406" s="157" t="e">
        <f>Produtos!BM406</f>
        <v>#DIV/0!</v>
      </c>
      <c r="J406" s="157" t="e">
        <f>Produtos!BG406</f>
        <v>#DIV/0!</v>
      </c>
      <c r="K406" s="157" t="e">
        <f>Produtos!BH406</f>
        <v>#DIV/0!</v>
      </c>
      <c r="L406" s="157" t="e">
        <f>Produtos!BI406</f>
        <v>#DIV/0!</v>
      </c>
      <c r="M406" s="157" t="e">
        <f>Produtos!BJ406</f>
        <v>#DIV/0!</v>
      </c>
    </row>
    <row r="407" spans="1:13">
      <c r="A407" s="170">
        <f>Produtos!A407</f>
        <v>0</v>
      </c>
      <c r="B407" s="170"/>
      <c r="C407" s="142">
        <f>Produtos!B407</f>
        <v>0</v>
      </c>
      <c r="D407" s="160"/>
      <c r="E407" s="157" t="e">
        <f>Produtos!BD407</f>
        <v>#DIV/0!</v>
      </c>
      <c r="F407" s="159" t="e">
        <f>Produtos!BE407</f>
        <v>#DIV/0!</v>
      </c>
      <c r="G407" s="158" t="e">
        <f>Produtos!BF407</f>
        <v>#DIV/0!</v>
      </c>
      <c r="H407" s="159">
        <f>Produtos!BL407</f>
        <v>0</v>
      </c>
      <c r="I407" s="157" t="e">
        <f>Produtos!BM407</f>
        <v>#DIV/0!</v>
      </c>
      <c r="J407" s="157" t="e">
        <f>Produtos!BG407</f>
        <v>#DIV/0!</v>
      </c>
      <c r="K407" s="157" t="e">
        <f>Produtos!BH407</f>
        <v>#DIV/0!</v>
      </c>
      <c r="L407" s="157" t="e">
        <f>Produtos!BI407</f>
        <v>#DIV/0!</v>
      </c>
      <c r="M407" s="157" t="e">
        <f>Produtos!BJ407</f>
        <v>#DIV/0!</v>
      </c>
    </row>
    <row r="408" spans="1:13">
      <c r="A408" s="170">
        <f>Produtos!A408</f>
        <v>0</v>
      </c>
      <c r="B408" s="170"/>
      <c r="C408" s="142">
        <f>Produtos!B408</f>
        <v>0</v>
      </c>
      <c r="D408" s="160"/>
      <c r="E408" s="157" t="e">
        <f>Produtos!BD408</f>
        <v>#DIV/0!</v>
      </c>
      <c r="F408" s="159" t="e">
        <f>Produtos!BE408</f>
        <v>#DIV/0!</v>
      </c>
      <c r="G408" s="158" t="e">
        <f>Produtos!BF408</f>
        <v>#DIV/0!</v>
      </c>
      <c r="H408" s="159">
        <f>Produtos!BL408</f>
        <v>0</v>
      </c>
      <c r="I408" s="157" t="e">
        <f>Produtos!BM408</f>
        <v>#DIV/0!</v>
      </c>
      <c r="J408" s="157" t="e">
        <f>Produtos!BG408</f>
        <v>#DIV/0!</v>
      </c>
      <c r="K408" s="157" t="e">
        <f>Produtos!BH408</f>
        <v>#DIV/0!</v>
      </c>
      <c r="L408" s="157" t="e">
        <f>Produtos!BI408</f>
        <v>#DIV/0!</v>
      </c>
      <c r="M408" s="157" t="e">
        <f>Produtos!BJ408</f>
        <v>#DIV/0!</v>
      </c>
    </row>
    <row r="409" spans="1:13">
      <c r="A409" s="170">
        <f>Produtos!A409</f>
        <v>0</v>
      </c>
      <c r="B409" s="170"/>
      <c r="C409" s="142">
        <f>Produtos!B409</f>
        <v>0</v>
      </c>
      <c r="D409" s="160"/>
      <c r="E409" s="157" t="e">
        <f>Produtos!BD409</f>
        <v>#DIV/0!</v>
      </c>
      <c r="F409" s="159" t="e">
        <f>Produtos!BE409</f>
        <v>#DIV/0!</v>
      </c>
      <c r="G409" s="158" t="e">
        <f>Produtos!BF409</f>
        <v>#DIV/0!</v>
      </c>
      <c r="H409" s="159">
        <f>Produtos!BL409</f>
        <v>0</v>
      </c>
      <c r="I409" s="157" t="e">
        <f>Produtos!BM409</f>
        <v>#DIV/0!</v>
      </c>
      <c r="J409" s="157" t="e">
        <f>Produtos!BG409</f>
        <v>#DIV/0!</v>
      </c>
      <c r="K409" s="157" t="e">
        <f>Produtos!BH409</f>
        <v>#DIV/0!</v>
      </c>
      <c r="L409" s="157" t="e">
        <f>Produtos!BI409</f>
        <v>#DIV/0!</v>
      </c>
      <c r="M409" s="157" t="e">
        <f>Produtos!BJ409</f>
        <v>#DIV/0!</v>
      </c>
    </row>
    <row r="410" spans="1:13">
      <c r="A410" s="170">
        <f>Produtos!A410</f>
        <v>0</v>
      </c>
      <c r="B410" s="170"/>
      <c r="C410" s="142">
        <f>Produtos!B410</f>
        <v>0</v>
      </c>
      <c r="D410" s="160"/>
      <c r="E410" s="157" t="e">
        <f>Produtos!BD410</f>
        <v>#DIV/0!</v>
      </c>
      <c r="F410" s="159" t="e">
        <f>Produtos!BE410</f>
        <v>#DIV/0!</v>
      </c>
      <c r="G410" s="158" t="e">
        <f>Produtos!BF410</f>
        <v>#DIV/0!</v>
      </c>
      <c r="H410" s="159">
        <f>Produtos!BL410</f>
        <v>0</v>
      </c>
      <c r="I410" s="157" t="e">
        <f>Produtos!BM410</f>
        <v>#DIV/0!</v>
      </c>
      <c r="J410" s="157" t="e">
        <f>Produtos!BG410</f>
        <v>#DIV/0!</v>
      </c>
      <c r="K410" s="157" t="e">
        <f>Produtos!BH410</f>
        <v>#DIV/0!</v>
      </c>
      <c r="L410" s="157" t="e">
        <f>Produtos!BI410</f>
        <v>#DIV/0!</v>
      </c>
      <c r="M410" s="157" t="e">
        <f>Produtos!BJ410</f>
        <v>#DIV/0!</v>
      </c>
    </row>
    <row r="411" spans="1:13">
      <c r="A411" s="170">
        <f>Produtos!A411</f>
        <v>0</v>
      </c>
      <c r="B411" s="170"/>
      <c r="C411" s="142">
        <f>Produtos!B411</f>
        <v>0</v>
      </c>
      <c r="D411" s="160"/>
      <c r="E411" s="157" t="e">
        <f>Produtos!BD411</f>
        <v>#DIV/0!</v>
      </c>
      <c r="F411" s="159" t="e">
        <f>Produtos!BE411</f>
        <v>#DIV/0!</v>
      </c>
      <c r="G411" s="158" t="e">
        <f>Produtos!BF411</f>
        <v>#DIV/0!</v>
      </c>
      <c r="H411" s="159">
        <f>Produtos!BL411</f>
        <v>0</v>
      </c>
      <c r="I411" s="157" t="e">
        <f>Produtos!BM411</f>
        <v>#DIV/0!</v>
      </c>
      <c r="J411" s="157" t="e">
        <f>Produtos!BG411</f>
        <v>#DIV/0!</v>
      </c>
      <c r="K411" s="157" t="e">
        <f>Produtos!BH411</f>
        <v>#DIV/0!</v>
      </c>
      <c r="L411" s="157" t="e">
        <f>Produtos!BI411</f>
        <v>#DIV/0!</v>
      </c>
      <c r="M411" s="157" t="e">
        <f>Produtos!BJ411</f>
        <v>#DIV/0!</v>
      </c>
    </row>
    <row r="412" spans="1:13">
      <c r="A412" s="170">
        <f>Produtos!A412</f>
        <v>0</v>
      </c>
      <c r="B412" s="170"/>
      <c r="C412" s="142">
        <f>Produtos!B412</f>
        <v>0</v>
      </c>
      <c r="D412" s="160"/>
      <c r="E412" s="157" t="e">
        <f>Produtos!BD412</f>
        <v>#DIV/0!</v>
      </c>
      <c r="F412" s="159" t="e">
        <f>Produtos!BE412</f>
        <v>#DIV/0!</v>
      </c>
      <c r="G412" s="158" t="e">
        <f>Produtos!BF412</f>
        <v>#DIV/0!</v>
      </c>
      <c r="H412" s="159">
        <f>Produtos!BL412</f>
        <v>0</v>
      </c>
      <c r="I412" s="157" t="e">
        <f>Produtos!BM412</f>
        <v>#DIV/0!</v>
      </c>
      <c r="J412" s="157" t="e">
        <f>Produtos!BG412</f>
        <v>#DIV/0!</v>
      </c>
      <c r="K412" s="157" t="e">
        <f>Produtos!BH412</f>
        <v>#DIV/0!</v>
      </c>
      <c r="L412" s="157" t="e">
        <f>Produtos!BI412</f>
        <v>#DIV/0!</v>
      </c>
      <c r="M412" s="157" t="e">
        <f>Produtos!BJ412</f>
        <v>#DIV/0!</v>
      </c>
    </row>
    <row r="413" spans="1:13">
      <c r="A413" s="170">
        <f>Produtos!A413</f>
        <v>0</v>
      </c>
      <c r="B413" s="170"/>
      <c r="C413" s="142">
        <f>Produtos!B413</f>
        <v>0</v>
      </c>
      <c r="D413" s="160"/>
      <c r="E413" s="157" t="e">
        <f>Produtos!BD413</f>
        <v>#DIV/0!</v>
      </c>
      <c r="F413" s="159" t="e">
        <f>Produtos!BE413</f>
        <v>#DIV/0!</v>
      </c>
      <c r="G413" s="158" t="e">
        <f>Produtos!BF413</f>
        <v>#DIV/0!</v>
      </c>
      <c r="H413" s="159">
        <f>Produtos!BL413</f>
        <v>0</v>
      </c>
      <c r="I413" s="157" t="e">
        <f>Produtos!BM413</f>
        <v>#DIV/0!</v>
      </c>
      <c r="J413" s="157" t="e">
        <f>Produtos!BG413</f>
        <v>#DIV/0!</v>
      </c>
      <c r="K413" s="157" t="e">
        <f>Produtos!BH413</f>
        <v>#DIV/0!</v>
      </c>
      <c r="L413" s="157" t="e">
        <f>Produtos!BI413</f>
        <v>#DIV/0!</v>
      </c>
      <c r="M413" s="157" t="e">
        <f>Produtos!BJ413</f>
        <v>#DIV/0!</v>
      </c>
    </row>
    <row r="414" spans="1:13">
      <c r="A414" s="170">
        <f>Produtos!A414</f>
        <v>0</v>
      </c>
      <c r="B414" s="170"/>
      <c r="C414" s="142">
        <f>Produtos!B414</f>
        <v>0</v>
      </c>
      <c r="D414" s="160"/>
      <c r="E414" s="157" t="e">
        <f>Produtos!BD414</f>
        <v>#DIV/0!</v>
      </c>
      <c r="F414" s="159" t="e">
        <f>Produtos!BE414</f>
        <v>#DIV/0!</v>
      </c>
      <c r="G414" s="158" t="e">
        <f>Produtos!BF414</f>
        <v>#DIV/0!</v>
      </c>
      <c r="H414" s="159">
        <f>Produtos!BL414</f>
        <v>0</v>
      </c>
      <c r="I414" s="157" t="e">
        <f>Produtos!BM414</f>
        <v>#DIV/0!</v>
      </c>
      <c r="J414" s="157" t="e">
        <f>Produtos!BG414</f>
        <v>#DIV/0!</v>
      </c>
      <c r="K414" s="157" t="e">
        <f>Produtos!BH414</f>
        <v>#DIV/0!</v>
      </c>
      <c r="L414" s="157" t="e">
        <f>Produtos!BI414</f>
        <v>#DIV/0!</v>
      </c>
      <c r="M414" s="157" t="e">
        <f>Produtos!BJ414</f>
        <v>#DIV/0!</v>
      </c>
    </row>
    <row r="415" spans="1:13">
      <c r="A415" s="170">
        <f>Produtos!A415</f>
        <v>0</v>
      </c>
      <c r="B415" s="170"/>
      <c r="C415" s="142">
        <f>Produtos!B415</f>
        <v>0</v>
      </c>
      <c r="D415" s="160"/>
      <c r="E415" s="157" t="e">
        <f>Produtos!BD415</f>
        <v>#DIV/0!</v>
      </c>
      <c r="F415" s="159" t="e">
        <f>Produtos!BE415</f>
        <v>#DIV/0!</v>
      </c>
      <c r="G415" s="158" t="e">
        <f>Produtos!BF415</f>
        <v>#DIV/0!</v>
      </c>
      <c r="H415" s="159">
        <f>Produtos!BL415</f>
        <v>0</v>
      </c>
      <c r="I415" s="157" t="e">
        <f>Produtos!BM415</f>
        <v>#DIV/0!</v>
      </c>
      <c r="J415" s="157" t="e">
        <f>Produtos!BG415</f>
        <v>#DIV/0!</v>
      </c>
      <c r="K415" s="157" t="e">
        <f>Produtos!BH415</f>
        <v>#DIV/0!</v>
      </c>
      <c r="L415" s="157" t="e">
        <f>Produtos!BI415</f>
        <v>#DIV/0!</v>
      </c>
      <c r="M415" s="157" t="e">
        <f>Produtos!BJ415</f>
        <v>#DIV/0!</v>
      </c>
    </row>
    <row r="416" spans="1:13">
      <c r="A416" s="170">
        <f>Produtos!A416</f>
        <v>0</v>
      </c>
      <c r="B416" s="170"/>
      <c r="C416" s="142">
        <f>Produtos!B416</f>
        <v>0</v>
      </c>
      <c r="D416" s="160"/>
      <c r="E416" s="157" t="e">
        <f>Produtos!BD416</f>
        <v>#DIV/0!</v>
      </c>
      <c r="F416" s="159" t="e">
        <f>Produtos!BE416</f>
        <v>#DIV/0!</v>
      </c>
      <c r="G416" s="158" t="e">
        <f>Produtos!BF416</f>
        <v>#DIV/0!</v>
      </c>
      <c r="H416" s="159">
        <f>Produtos!BL416</f>
        <v>0</v>
      </c>
      <c r="I416" s="157" t="e">
        <f>Produtos!BM416</f>
        <v>#DIV/0!</v>
      </c>
      <c r="J416" s="157" t="e">
        <f>Produtos!BG416</f>
        <v>#DIV/0!</v>
      </c>
      <c r="K416" s="157" t="e">
        <f>Produtos!BH416</f>
        <v>#DIV/0!</v>
      </c>
      <c r="L416" s="157" t="e">
        <f>Produtos!BI416</f>
        <v>#DIV/0!</v>
      </c>
      <c r="M416" s="157" t="e">
        <f>Produtos!BJ416</f>
        <v>#DIV/0!</v>
      </c>
    </row>
    <row r="417" spans="1:13">
      <c r="A417" s="170">
        <f>Produtos!A417</f>
        <v>0</v>
      </c>
      <c r="B417" s="170"/>
      <c r="C417" s="142">
        <f>Produtos!B417</f>
        <v>0</v>
      </c>
      <c r="D417" s="160"/>
      <c r="E417" s="157" t="e">
        <f>Produtos!BD417</f>
        <v>#DIV/0!</v>
      </c>
      <c r="F417" s="159" t="e">
        <f>Produtos!BE417</f>
        <v>#DIV/0!</v>
      </c>
      <c r="G417" s="158" t="e">
        <f>Produtos!BF417</f>
        <v>#DIV/0!</v>
      </c>
      <c r="H417" s="159">
        <f>Produtos!BL417</f>
        <v>0</v>
      </c>
      <c r="I417" s="157" t="e">
        <f>Produtos!BM417</f>
        <v>#DIV/0!</v>
      </c>
      <c r="J417" s="157" t="e">
        <f>Produtos!BG417</f>
        <v>#DIV/0!</v>
      </c>
      <c r="K417" s="157" t="e">
        <f>Produtos!BH417</f>
        <v>#DIV/0!</v>
      </c>
      <c r="L417" s="157" t="e">
        <f>Produtos!BI417</f>
        <v>#DIV/0!</v>
      </c>
      <c r="M417" s="157" t="e">
        <f>Produtos!BJ417</f>
        <v>#DIV/0!</v>
      </c>
    </row>
    <row r="418" spans="1:13">
      <c r="A418" s="170">
        <f>Produtos!A418</f>
        <v>0</v>
      </c>
      <c r="B418" s="170"/>
      <c r="C418" s="142">
        <f>Produtos!B418</f>
        <v>0</v>
      </c>
      <c r="D418" s="160"/>
      <c r="E418" s="157" t="e">
        <f>Produtos!BD418</f>
        <v>#DIV/0!</v>
      </c>
      <c r="F418" s="159" t="e">
        <f>Produtos!BE418</f>
        <v>#DIV/0!</v>
      </c>
      <c r="G418" s="158" t="e">
        <f>Produtos!BF418</f>
        <v>#DIV/0!</v>
      </c>
      <c r="H418" s="159">
        <f>Produtos!BL418</f>
        <v>0</v>
      </c>
      <c r="I418" s="157" t="e">
        <f>Produtos!BM418</f>
        <v>#DIV/0!</v>
      </c>
      <c r="J418" s="157" t="e">
        <f>Produtos!BG418</f>
        <v>#DIV/0!</v>
      </c>
      <c r="K418" s="157" t="e">
        <f>Produtos!BH418</f>
        <v>#DIV/0!</v>
      </c>
      <c r="L418" s="157" t="e">
        <f>Produtos!BI418</f>
        <v>#DIV/0!</v>
      </c>
      <c r="M418" s="157" t="e">
        <f>Produtos!BJ418</f>
        <v>#DIV/0!</v>
      </c>
    </row>
    <row r="419" spans="1:13">
      <c r="A419" s="170">
        <f>Produtos!A419</f>
        <v>0</v>
      </c>
      <c r="B419" s="170"/>
      <c r="C419" s="142">
        <f>Produtos!B419</f>
        <v>0</v>
      </c>
      <c r="D419" s="160"/>
      <c r="E419" s="157" t="e">
        <f>Produtos!BD419</f>
        <v>#DIV/0!</v>
      </c>
      <c r="F419" s="159" t="e">
        <f>Produtos!BE419</f>
        <v>#DIV/0!</v>
      </c>
      <c r="G419" s="158" t="e">
        <f>Produtos!BF419</f>
        <v>#DIV/0!</v>
      </c>
      <c r="H419" s="159">
        <f>Produtos!BL419</f>
        <v>0</v>
      </c>
      <c r="I419" s="157" t="e">
        <f>Produtos!BM419</f>
        <v>#DIV/0!</v>
      </c>
      <c r="J419" s="157" t="e">
        <f>Produtos!BG419</f>
        <v>#DIV/0!</v>
      </c>
      <c r="K419" s="157" t="e">
        <f>Produtos!BH419</f>
        <v>#DIV/0!</v>
      </c>
      <c r="L419" s="157" t="e">
        <f>Produtos!BI419</f>
        <v>#DIV/0!</v>
      </c>
      <c r="M419" s="157" t="e">
        <f>Produtos!BJ419</f>
        <v>#DIV/0!</v>
      </c>
    </row>
    <row r="420" spans="1:13">
      <c r="A420" s="170">
        <f>Produtos!A420</f>
        <v>0</v>
      </c>
      <c r="B420" s="170"/>
      <c r="C420" s="142">
        <f>Produtos!B420</f>
        <v>0</v>
      </c>
      <c r="D420" s="160"/>
      <c r="E420" s="157" t="e">
        <f>Produtos!BD420</f>
        <v>#DIV/0!</v>
      </c>
      <c r="F420" s="159" t="e">
        <f>Produtos!BE420</f>
        <v>#DIV/0!</v>
      </c>
      <c r="G420" s="158" t="e">
        <f>Produtos!BF420</f>
        <v>#DIV/0!</v>
      </c>
      <c r="H420" s="159">
        <f>Produtos!BL420</f>
        <v>0</v>
      </c>
      <c r="I420" s="157" t="e">
        <f>Produtos!BM420</f>
        <v>#DIV/0!</v>
      </c>
      <c r="J420" s="157" t="e">
        <f>Produtos!BG420</f>
        <v>#DIV/0!</v>
      </c>
      <c r="K420" s="157" t="e">
        <f>Produtos!BH420</f>
        <v>#DIV/0!</v>
      </c>
      <c r="L420" s="157" t="e">
        <f>Produtos!BI420</f>
        <v>#DIV/0!</v>
      </c>
      <c r="M420" s="157" t="e">
        <f>Produtos!BJ420</f>
        <v>#DIV/0!</v>
      </c>
    </row>
    <row r="421" spans="1:13">
      <c r="A421" s="170">
        <f>Produtos!A421</f>
        <v>0</v>
      </c>
      <c r="B421" s="170"/>
      <c r="C421" s="142">
        <f>Produtos!B421</f>
        <v>0</v>
      </c>
      <c r="D421" s="160"/>
      <c r="E421" s="157" t="e">
        <f>Produtos!BD421</f>
        <v>#DIV/0!</v>
      </c>
      <c r="F421" s="159" t="e">
        <f>Produtos!BE421</f>
        <v>#DIV/0!</v>
      </c>
      <c r="G421" s="158" t="e">
        <f>Produtos!BF421</f>
        <v>#DIV/0!</v>
      </c>
      <c r="H421" s="159">
        <f>Produtos!BL421</f>
        <v>0</v>
      </c>
      <c r="I421" s="157" t="e">
        <f>Produtos!BM421</f>
        <v>#DIV/0!</v>
      </c>
      <c r="J421" s="157" t="e">
        <f>Produtos!BG421</f>
        <v>#DIV/0!</v>
      </c>
      <c r="K421" s="157" t="e">
        <f>Produtos!BH421</f>
        <v>#DIV/0!</v>
      </c>
      <c r="L421" s="157" t="e">
        <f>Produtos!BI421</f>
        <v>#DIV/0!</v>
      </c>
      <c r="M421" s="157" t="e">
        <f>Produtos!BJ421</f>
        <v>#DIV/0!</v>
      </c>
    </row>
    <row r="422" spans="1:13">
      <c r="A422" s="170">
        <f>Produtos!A422</f>
        <v>0</v>
      </c>
      <c r="B422" s="170"/>
      <c r="C422" s="142">
        <f>Produtos!B422</f>
        <v>0</v>
      </c>
      <c r="D422" s="160"/>
      <c r="E422" s="157" t="e">
        <f>Produtos!BD422</f>
        <v>#DIV/0!</v>
      </c>
      <c r="F422" s="159" t="e">
        <f>Produtos!BE422</f>
        <v>#DIV/0!</v>
      </c>
      <c r="G422" s="158" t="e">
        <f>Produtos!BF422</f>
        <v>#DIV/0!</v>
      </c>
      <c r="H422" s="159">
        <f>Produtos!BL422</f>
        <v>0</v>
      </c>
      <c r="I422" s="157" t="e">
        <f>Produtos!BM422</f>
        <v>#DIV/0!</v>
      </c>
      <c r="J422" s="157" t="e">
        <f>Produtos!BG422</f>
        <v>#DIV/0!</v>
      </c>
      <c r="K422" s="157" t="e">
        <f>Produtos!BH422</f>
        <v>#DIV/0!</v>
      </c>
      <c r="L422" s="157" t="e">
        <f>Produtos!BI422</f>
        <v>#DIV/0!</v>
      </c>
      <c r="M422" s="157" t="e">
        <f>Produtos!BJ422</f>
        <v>#DIV/0!</v>
      </c>
    </row>
    <row r="423" spans="1:13">
      <c r="A423" s="170">
        <f>Produtos!A423</f>
        <v>0</v>
      </c>
      <c r="B423" s="170"/>
      <c r="C423" s="142">
        <f>Produtos!B423</f>
        <v>0</v>
      </c>
      <c r="D423" s="160"/>
      <c r="E423" s="157" t="e">
        <f>Produtos!BD423</f>
        <v>#DIV/0!</v>
      </c>
      <c r="F423" s="159" t="e">
        <f>Produtos!BE423</f>
        <v>#DIV/0!</v>
      </c>
      <c r="G423" s="158" t="e">
        <f>Produtos!BF423</f>
        <v>#DIV/0!</v>
      </c>
      <c r="H423" s="159">
        <f>Produtos!BL423</f>
        <v>0</v>
      </c>
      <c r="I423" s="157" t="e">
        <f>Produtos!BM423</f>
        <v>#DIV/0!</v>
      </c>
      <c r="J423" s="157" t="e">
        <f>Produtos!BG423</f>
        <v>#DIV/0!</v>
      </c>
      <c r="K423" s="157" t="e">
        <f>Produtos!BH423</f>
        <v>#DIV/0!</v>
      </c>
      <c r="L423" s="157" t="e">
        <f>Produtos!BI423</f>
        <v>#DIV/0!</v>
      </c>
      <c r="M423" s="157" t="e">
        <f>Produtos!BJ423</f>
        <v>#DIV/0!</v>
      </c>
    </row>
    <row r="424" spans="1:13">
      <c r="A424" s="170">
        <f>Produtos!A424</f>
        <v>0</v>
      </c>
      <c r="B424" s="170"/>
      <c r="C424" s="142">
        <f>Produtos!B424</f>
        <v>0</v>
      </c>
      <c r="D424" s="160"/>
      <c r="E424" s="157" t="e">
        <f>Produtos!BD424</f>
        <v>#DIV/0!</v>
      </c>
      <c r="F424" s="159" t="e">
        <f>Produtos!BE424</f>
        <v>#DIV/0!</v>
      </c>
      <c r="G424" s="158" t="e">
        <f>Produtos!BF424</f>
        <v>#DIV/0!</v>
      </c>
      <c r="H424" s="159">
        <f>Produtos!BL424</f>
        <v>0</v>
      </c>
      <c r="I424" s="157" t="e">
        <f>Produtos!BM424</f>
        <v>#DIV/0!</v>
      </c>
      <c r="J424" s="157" t="e">
        <f>Produtos!BG424</f>
        <v>#DIV/0!</v>
      </c>
      <c r="K424" s="157" t="e">
        <f>Produtos!BH424</f>
        <v>#DIV/0!</v>
      </c>
      <c r="L424" s="157" t="e">
        <f>Produtos!BI424</f>
        <v>#DIV/0!</v>
      </c>
      <c r="M424" s="157" t="e">
        <f>Produtos!BJ424</f>
        <v>#DIV/0!</v>
      </c>
    </row>
    <row r="425" spans="1:13">
      <c r="A425" s="170">
        <f>Produtos!A425</f>
        <v>0</v>
      </c>
      <c r="B425" s="170"/>
      <c r="C425" s="142">
        <f>Produtos!B425</f>
        <v>0</v>
      </c>
      <c r="D425" s="160"/>
      <c r="E425" s="157" t="e">
        <f>Produtos!BD425</f>
        <v>#DIV/0!</v>
      </c>
      <c r="F425" s="159" t="e">
        <f>Produtos!BE425</f>
        <v>#DIV/0!</v>
      </c>
      <c r="G425" s="158" t="e">
        <f>Produtos!BF425</f>
        <v>#DIV/0!</v>
      </c>
      <c r="H425" s="159">
        <f>Produtos!BL425</f>
        <v>0</v>
      </c>
      <c r="I425" s="157" t="e">
        <f>Produtos!BM425</f>
        <v>#DIV/0!</v>
      </c>
      <c r="J425" s="157" t="e">
        <f>Produtos!BG425</f>
        <v>#DIV/0!</v>
      </c>
      <c r="K425" s="157" t="e">
        <f>Produtos!BH425</f>
        <v>#DIV/0!</v>
      </c>
      <c r="L425" s="157" t="e">
        <f>Produtos!BI425</f>
        <v>#DIV/0!</v>
      </c>
      <c r="M425" s="157" t="e">
        <f>Produtos!BJ425</f>
        <v>#DIV/0!</v>
      </c>
    </row>
    <row r="426" spans="1:13">
      <c r="A426" s="170">
        <f>Produtos!A426</f>
        <v>0</v>
      </c>
      <c r="B426" s="170"/>
      <c r="C426" s="142">
        <f>Produtos!B426</f>
        <v>0</v>
      </c>
      <c r="D426" s="160"/>
      <c r="E426" s="157" t="e">
        <f>Produtos!BD426</f>
        <v>#DIV/0!</v>
      </c>
      <c r="F426" s="159" t="e">
        <f>Produtos!BE426</f>
        <v>#DIV/0!</v>
      </c>
      <c r="G426" s="158" t="e">
        <f>Produtos!BF426</f>
        <v>#DIV/0!</v>
      </c>
      <c r="H426" s="159">
        <f>Produtos!BL426</f>
        <v>0</v>
      </c>
      <c r="I426" s="157" t="e">
        <f>Produtos!BM426</f>
        <v>#DIV/0!</v>
      </c>
      <c r="J426" s="157" t="e">
        <f>Produtos!BG426</f>
        <v>#DIV/0!</v>
      </c>
      <c r="K426" s="157" t="e">
        <f>Produtos!BH426</f>
        <v>#DIV/0!</v>
      </c>
      <c r="L426" s="157" t="e">
        <f>Produtos!BI426</f>
        <v>#DIV/0!</v>
      </c>
      <c r="M426" s="157" t="e">
        <f>Produtos!BJ426</f>
        <v>#DIV/0!</v>
      </c>
    </row>
    <row r="427" spans="1:13">
      <c r="A427" s="170">
        <f>Produtos!A427</f>
        <v>0</v>
      </c>
      <c r="B427" s="170"/>
      <c r="C427" s="142">
        <f>Produtos!B427</f>
        <v>0</v>
      </c>
      <c r="D427" s="160"/>
      <c r="E427" s="157" t="e">
        <f>Produtos!BD427</f>
        <v>#DIV/0!</v>
      </c>
      <c r="F427" s="159" t="e">
        <f>Produtos!BE427</f>
        <v>#DIV/0!</v>
      </c>
      <c r="G427" s="158" t="e">
        <f>Produtos!BF427</f>
        <v>#DIV/0!</v>
      </c>
      <c r="H427" s="159">
        <f>Produtos!BL427</f>
        <v>0</v>
      </c>
      <c r="I427" s="157" t="e">
        <f>Produtos!BM427</f>
        <v>#DIV/0!</v>
      </c>
      <c r="J427" s="157" t="e">
        <f>Produtos!BG427</f>
        <v>#DIV/0!</v>
      </c>
      <c r="K427" s="157" t="e">
        <f>Produtos!BH427</f>
        <v>#DIV/0!</v>
      </c>
      <c r="L427" s="157" t="e">
        <f>Produtos!BI427</f>
        <v>#DIV/0!</v>
      </c>
      <c r="M427" s="157" t="e">
        <f>Produtos!BJ427</f>
        <v>#DIV/0!</v>
      </c>
    </row>
    <row r="428" spans="1:13">
      <c r="A428" s="170">
        <f>Produtos!A428</f>
        <v>0</v>
      </c>
      <c r="B428" s="170"/>
      <c r="C428" s="142">
        <f>Produtos!B428</f>
        <v>0</v>
      </c>
      <c r="D428" s="160"/>
      <c r="E428" s="157" t="e">
        <f>Produtos!BD428</f>
        <v>#DIV/0!</v>
      </c>
      <c r="F428" s="159" t="e">
        <f>Produtos!BE428</f>
        <v>#DIV/0!</v>
      </c>
      <c r="G428" s="158" t="e">
        <f>Produtos!BF428</f>
        <v>#DIV/0!</v>
      </c>
      <c r="H428" s="159">
        <f>Produtos!BL428</f>
        <v>0</v>
      </c>
      <c r="I428" s="157" t="e">
        <f>Produtos!BM428</f>
        <v>#DIV/0!</v>
      </c>
      <c r="J428" s="157" t="e">
        <f>Produtos!BG428</f>
        <v>#DIV/0!</v>
      </c>
      <c r="K428" s="157" t="e">
        <f>Produtos!BH428</f>
        <v>#DIV/0!</v>
      </c>
      <c r="L428" s="157" t="e">
        <f>Produtos!BI428</f>
        <v>#DIV/0!</v>
      </c>
      <c r="M428" s="157" t="e">
        <f>Produtos!BJ428</f>
        <v>#DIV/0!</v>
      </c>
    </row>
    <row r="429" spans="1:13">
      <c r="A429" s="170">
        <f>Produtos!A429</f>
        <v>0</v>
      </c>
      <c r="B429" s="170"/>
      <c r="C429" s="142">
        <f>Produtos!B429</f>
        <v>0</v>
      </c>
      <c r="D429" s="160"/>
      <c r="E429" s="157" t="e">
        <f>Produtos!BD429</f>
        <v>#DIV/0!</v>
      </c>
      <c r="F429" s="159" t="e">
        <f>Produtos!BE429</f>
        <v>#DIV/0!</v>
      </c>
      <c r="G429" s="158" t="e">
        <f>Produtos!BF429</f>
        <v>#DIV/0!</v>
      </c>
      <c r="H429" s="159">
        <f>Produtos!BL429</f>
        <v>0</v>
      </c>
      <c r="I429" s="157" t="e">
        <f>Produtos!BM429</f>
        <v>#DIV/0!</v>
      </c>
      <c r="J429" s="157" t="e">
        <f>Produtos!BG429</f>
        <v>#DIV/0!</v>
      </c>
      <c r="K429" s="157" t="e">
        <f>Produtos!BH429</f>
        <v>#DIV/0!</v>
      </c>
      <c r="L429" s="157" t="e">
        <f>Produtos!BI429</f>
        <v>#DIV/0!</v>
      </c>
      <c r="M429" s="157" t="e">
        <f>Produtos!BJ429</f>
        <v>#DIV/0!</v>
      </c>
    </row>
    <row r="430" spans="1:13">
      <c r="A430" s="170">
        <f>Produtos!A430</f>
        <v>0</v>
      </c>
      <c r="B430" s="170"/>
      <c r="C430" s="142">
        <f>Produtos!B430</f>
        <v>0</v>
      </c>
      <c r="D430" s="160"/>
      <c r="E430" s="157" t="e">
        <f>Produtos!BD430</f>
        <v>#DIV/0!</v>
      </c>
      <c r="F430" s="159" t="e">
        <f>Produtos!BE430</f>
        <v>#DIV/0!</v>
      </c>
      <c r="G430" s="158" t="e">
        <f>Produtos!BF430</f>
        <v>#DIV/0!</v>
      </c>
      <c r="H430" s="159">
        <f>Produtos!BL430</f>
        <v>0</v>
      </c>
      <c r="I430" s="157" t="e">
        <f>Produtos!BM430</f>
        <v>#DIV/0!</v>
      </c>
      <c r="J430" s="157" t="e">
        <f>Produtos!BG430</f>
        <v>#DIV/0!</v>
      </c>
      <c r="K430" s="157" t="e">
        <f>Produtos!BH430</f>
        <v>#DIV/0!</v>
      </c>
      <c r="L430" s="157" t="e">
        <f>Produtos!BI430</f>
        <v>#DIV/0!</v>
      </c>
      <c r="M430" s="157" t="e">
        <f>Produtos!BJ430</f>
        <v>#DIV/0!</v>
      </c>
    </row>
    <row r="431" spans="1:13">
      <c r="A431" s="170">
        <f>Produtos!A431</f>
        <v>0</v>
      </c>
      <c r="B431" s="170"/>
      <c r="C431" s="142">
        <f>Produtos!B431</f>
        <v>0</v>
      </c>
      <c r="D431" s="160"/>
      <c r="E431" s="157" t="e">
        <f>Produtos!BD431</f>
        <v>#DIV/0!</v>
      </c>
      <c r="F431" s="159" t="e">
        <f>Produtos!BE431</f>
        <v>#DIV/0!</v>
      </c>
      <c r="G431" s="158" t="e">
        <f>Produtos!BF431</f>
        <v>#DIV/0!</v>
      </c>
      <c r="H431" s="159">
        <f>Produtos!BL431</f>
        <v>0</v>
      </c>
      <c r="I431" s="157" t="e">
        <f>Produtos!BM431</f>
        <v>#DIV/0!</v>
      </c>
      <c r="J431" s="157" t="e">
        <f>Produtos!BG431</f>
        <v>#DIV/0!</v>
      </c>
      <c r="K431" s="157" t="e">
        <f>Produtos!BH431</f>
        <v>#DIV/0!</v>
      </c>
      <c r="L431" s="157" t="e">
        <f>Produtos!BI431</f>
        <v>#DIV/0!</v>
      </c>
      <c r="M431" s="157" t="e">
        <f>Produtos!BJ431</f>
        <v>#DIV/0!</v>
      </c>
    </row>
    <row r="432" spans="1:13">
      <c r="A432" s="170">
        <f>Produtos!A432</f>
        <v>0</v>
      </c>
      <c r="B432" s="170"/>
      <c r="C432" s="142">
        <f>Produtos!B432</f>
        <v>0</v>
      </c>
      <c r="D432" s="160"/>
      <c r="E432" s="157" t="e">
        <f>Produtos!BD432</f>
        <v>#DIV/0!</v>
      </c>
      <c r="F432" s="159" t="e">
        <f>Produtos!BE432</f>
        <v>#DIV/0!</v>
      </c>
      <c r="G432" s="158" t="e">
        <f>Produtos!BF432</f>
        <v>#DIV/0!</v>
      </c>
      <c r="H432" s="159">
        <f>Produtos!BL432</f>
        <v>0</v>
      </c>
      <c r="I432" s="157" t="e">
        <f>Produtos!BM432</f>
        <v>#DIV/0!</v>
      </c>
      <c r="J432" s="157" t="e">
        <f>Produtos!BG432</f>
        <v>#DIV/0!</v>
      </c>
      <c r="K432" s="157" t="e">
        <f>Produtos!BH432</f>
        <v>#DIV/0!</v>
      </c>
      <c r="L432" s="157" t="e">
        <f>Produtos!BI432</f>
        <v>#DIV/0!</v>
      </c>
      <c r="M432" s="157" t="e">
        <f>Produtos!BJ432</f>
        <v>#DIV/0!</v>
      </c>
    </row>
    <row r="433" spans="1:13">
      <c r="A433" s="170">
        <f>Produtos!A433</f>
        <v>0</v>
      </c>
      <c r="B433" s="170"/>
      <c r="C433" s="142">
        <f>Produtos!B433</f>
        <v>0</v>
      </c>
      <c r="D433" s="160"/>
      <c r="E433" s="157" t="e">
        <f>Produtos!BD433</f>
        <v>#DIV/0!</v>
      </c>
      <c r="F433" s="159" t="e">
        <f>Produtos!BE433</f>
        <v>#DIV/0!</v>
      </c>
      <c r="G433" s="158" t="e">
        <f>Produtos!BF433</f>
        <v>#DIV/0!</v>
      </c>
      <c r="H433" s="159">
        <f>Produtos!BL433</f>
        <v>0</v>
      </c>
      <c r="I433" s="157" t="e">
        <f>Produtos!BM433</f>
        <v>#DIV/0!</v>
      </c>
      <c r="J433" s="157" t="e">
        <f>Produtos!BG433</f>
        <v>#DIV/0!</v>
      </c>
      <c r="K433" s="157" t="e">
        <f>Produtos!BH433</f>
        <v>#DIV/0!</v>
      </c>
      <c r="L433" s="157" t="e">
        <f>Produtos!BI433</f>
        <v>#DIV/0!</v>
      </c>
      <c r="M433" s="157" t="e">
        <f>Produtos!BJ433</f>
        <v>#DIV/0!</v>
      </c>
    </row>
    <row r="434" spans="1:13">
      <c r="A434" s="170">
        <f>Produtos!A434</f>
        <v>0</v>
      </c>
      <c r="B434" s="170"/>
      <c r="C434" s="142">
        <f>Produtos!B434</f>
        <v>0</v>
      </c>
      <c r="D434" s="160"/>
      <c r="E434" s="157" t="e">
        <f>Produtos!BD434</f>
        <v>#DIV/0!</v>
      </c>
      <c r="F434" s="159" t="e">
        <f>Produtos!BE434</f>
        <v>#DIV/0!</v>
      </c>
      <c r="G434" s="158" t="e">
        <f>Produtos!BF434</f>
        <v>#DIV/0!</v>
      </c>
      <c r="H434" s="159">
        <f>Produtos!BL434</f>
        <v>0</v>
      </c>
      <c r="I434" s="157" t="e">
        <f>Produtos!BM434</f>
        <v>#DIV/0!</v>
      </c>
      <c r="J434" s="157" t="e">
        <f>Produtos!BG434</f>
        <v>#DIV/0!</v>
      </c>
      <c r="K434" s="157" t="e">
        <f>Produtos!BH434</f>
        <v>#DIV/0!</v>
      </c>
      <c r="L434" s="157" t="e">
        <f>Produtos!BI434</f>
        <v>#DIV/0!</v>
      </c>
      <c r="M434" s="157" t="e">
        <f>Produtos!BJ434</f>
        <v>#DIV/0!</v>
      </c>
    </row>
    <row r="435" spans="1:13">
      <c r="A435" s="170">
        <f>Produtos!A435</f>
        <v>0</v>
      </c>
      <c r="B435" s="170"/>
      <c r="C435" s="142">
        <f>Produtos!B435</f>
        <v>0</v>
      </c>
      <c r="D435" s="160"/>
      <c r="E435" s="157" t="e">
        <f>Produtos!BD435</f>
        <v>#DIV/0!</v>
      </c>
      <c r="F435" s="159" t="e">
        <f>Produtos!BE435</f>
        <v>#DIV/0!</v>
      </c>
      <c r="G435" s="158" t="e">
        <f>Produtos!BF435</f>
        <v>#DIV/0!</v>
      </c>
      <c r="H435" s="159">
        <f>Produtos!BL435</f>
        <v>0</v>
      </c>
      <c r="I435" s="157" t="e">
        <f>Produtos!BM435</f>
        <v>#DIV/0!</v>
      </c>
      <c r="J435" s="157" t="e">
        <f>Produtos!BG435</f>
        <v>#DIV/0!</v>
      </c>
      <c r="K435" s="157" t="e">
        <f>Produtos!BH435</f>
        <v>#DIV/0!</v>
      </c>
      <c r="L435" s="157" t="e">
        <f>Produtos!BI435</f>
        <v>#DIV/0!</v>
      </c>
      <c r="M435" s="157" t="e">
        <f>Produtos!BJ435</f>
        <v>#DIV/0!</v>
      </c>
    </row>
    <row r="436" spans="1:13">
      <c r="A436" s="170">
        <f>Produtos!A436</f>
        <v>0</v>
      </c>
      <c r="B436" s="170"/>
      <c r="C436" s="142">
        <f>Produtos!B436</f>
        <v>0</v>
      </c>
      <c r="D436" s="160"/>
      <c r="E436" s="157" t="e">
        <f>Produtos!BD436</f>
        <v>#DIV/0!</v>
      </c>
      <c r="F436" s="159" t="e">
        <f>Produtos!BE436</f>
        <v>#DIV/0!</v>
      </c>
      <c r="G436" s="158" t="e">
        <f>Produtos!BF436</f>
        <v>#DIV/0!</v>
      </c>
      <c r="H436" s="159">
        <f>Produtos!BL436</f>
        <v>0</v>
      </c>
      <c r="I436" s="157" t="e">
        <f>Produtos!BM436</f>
        <v>#DIV/0!</v>
      </c>
      <c r="J436" s="157" t="e">
        <f>Produtos!BG436</f>
        <v>#DIV/0!</v>
      </c>
      <c r="K436" s="157" t="e">
        <f>Produtos!BH436</f>
        <v>#DIV/0!</v>
      </c>
      <c r="L436" s="157" t="e">
        <f>Produtos!BI436</f>
        <v>#DIV/0!</v>
      </c>
      <c r="M436" s="157" t="e">
        <f>Produtos!BJ436</f>
        <v>#DIV/0!</v>
      </c>
    </row>
    <row r="437" spans="1:13">
      <c r="A437" s="170">
        <f>Produtos!A437</f>
        <v>0</v>
      </c>
      <c r="B437" s="170"/>
      <c r="C437" s="142">
        <f>Produtos!B437</f>
        <v>0</v>
      </c>
      <c r="D437" s="160"/>
      <c r="E437" s="157" t="e">
        <f>Produtos!BD437</f>
        <v>#DIV/0!</v>
      </c>
      <c r="F437" s="159" t="e">
        <f>Produtos!BE437</f>
        <v>#DIV/0!</v>
      </c>
      <c r="G437" s="158" t="e">
        <f>Produtos!BF437</f>
        <v>#DIV/0!</v>
      </c>
      <c r="H437" s="159">
        <f>Produtos!BL437</f>
        <v>0</v>
      </c>
      <c r="I437" s="157" t="e">
        <f>Produtos!BM437</f>
        <v>#DIV/0!</v>
      </c>
      <c r="J437" s="157" t="e">
        <f>Produtos!BG437</f>
        <v>#DIV/0!</v>
      </c>
      <c r="K437" s="157" t="e">
        <f>Produtos!BH437</f>
        <v>#DIV/0!</v>
      </c>
      <c r="L437" s="157" t="e">
        <f>Produtos!BI437</f>
        <v>#DIV/0!</v>
      </c>
      <c r="M437" s="157" t="e">
        <f>Produtos!BJ437</f>
        <v>#DIV/0!</v>
      </c>
    </row>
    <row r="438" spans="1:13">
      <c r="A438" s="170">
        <f>Produtos!A438</f>
        <v>0</v>
      </c>
      <c r="B438" s="170"/>
      <c r="C438" s="142">
        <f>Produtos!B438</f>
        <v>0</v>
      </c>
      <c r="D438" s="160"/>
      <c r="E438" s="157" t="e">
        <f>Produtos!BD438</f>
        <v>#DIV/0!</v>
      </c>
      <c r="F438" s="159" t="e">
        <f>Produtos!BE438</f>
        <v>#DIV/0!</v>
      </c>
      <c r="G438" s="158" t="e">
        <f>Produtos!BF438</f>
        <v>#DIV/0!</v>
      </c>
      <c r="H438" s="159">
        <f>Produtos!BL438</f>
        <v>0</v>
      </c>
      <c r="I438" s="157" t="e">
        <f>Produtos!BM438</f>
        <v>#DIV/0!</v>
      </c>
      <c r="J438" s="157" t="e">
        <f>Produtos!BG438</f>
        <v>#DIV/0!</v>
      </c>
      <c r="K438" s="157" t="e">
        <f>Produtos!BH438</f>
        <v>#DIV/0!</v>
      </c>
      <c r="L438" s="157" t="e">
        <f>Produtos!BI438</f>
        <v>#DIV/0!</v>
      </c>
      <c r="M438" s="157" t="e">
        <f>Produtos!BJ438</f>
        <v>#DIV/0!</v>
      </c>
    </row>
    <row r="439" spans="1:13">
      <c r="A439" s="170">
        <f>Produtos!A439</f>
        <v>0</v>
      </c>
      <c r="B439" s="170"/>
      <c r="C439" s="142">
        <f>Produtos!B439</f>
        <v>0</v>
      </c>
      <c r="D439" s="160"/>
      <c r="E439" s="157" t="e">
        <f>Produtos!BD439</f>
        <v>#DIV/0!</v>
      </c>
      <c r="F439" s="159" t="e">
        <f>Produtos!BE439</f>
        <v>#DIV/0!</v>
      </c>
      <c r="G439" s="158" t="e">
        <f>Produtos!BF439</f>
        <v>#DIV/0!</v>
      </c>
      <c r="H439" s="159">
        <f>Produtos!BL439</f>
        <v>0</v>
      </c>
      <c r="I439" s="157" t="e">
        <f>Produtos!BM439</f>
        <v>#DIV/0!</v>
      </c>
      <c r="J439" s="157" t="e">
        <f>Produtos!BG439</f>
        <v>#DIV/0!</v>
      </c>
      <c r="K439" s="157" t="e">
        <f>Produtos!BH439</f>
        <v>#DIV/0!</v>
      </c>
      <c r="L439" s="157" t="e">
        <f>Produtos!BI439</f>
        <v>#DIV/0!</v>
      </c>
      <c r="M439" s="157" t="e">
        <f>Produtos!BJ439</f>
        <v>#DIV/0!</v>
      </c>
    </row>
    <row r="440" spans="1:13">
      <c r="A440" s="170">
        <f>Produtos!A440</f>
        <v>0</v>
      </c>
      <c r="B440" s="170"/>
      <c r="C440" s="142">
        <f>Produtos!B440</f>
        <v>0</v>
      </c>
      <c r="D440" s="160"/>
      <c r="E440" s="157" t="e">
        <f>Produtos!BD440</f>
        <v>#DIV/0!</v>
      </c>
      <c r="F440" s="159" t="e">
        <f>Produtos!BE440</f>
        <v>#DIV/0!</v>
      </c>
      <c r="G440" s="158" t="e">
        <f>Produtos!BF440</f>
        <v>#DIV/0!</v>
      </c>
      <c r="H440" s="159">
        <f>Produtos!BL440</f>
        <v>0</v>
      </c>
      <c r="I440" s="157" t="e">
        <f>Produtos!BM440</f>
        <v>#DIV/0!</v>
      </c>
      <c r="J440" s="157" t="e">
        <f>Produtos!BG440</f>
        <v>#DIV/0!</v>
      </c>
      <c r="K440" s="157" t="e">
        <f>Produtos!BH440</f>
        <v>#DIV/0!</v>
      </c>
      <c r="L440" s="157" t="e">
        <f>Produtos!BI440</f>
        <v>#DIV/0!</v>
      </c>
      <c r="M440" s="157" t="e">
        <f>Produtos!BJ440</f>
        <v>#DIV/0!</v>
      </c>
    </row>
    <row r="441" spans="1:13">
      <c r="A441" s="170">
        <f>Produtos!A441</f>
        <v>0</v>
      </c>
      <c r="B441" s="170"/>
      <c r="C441" s="142">
        <f>Produtos!B441</f>
        <v>0</v>
      </c>
      <c r="D441" s="160"/>
      <c r="E441" s="157" t="e">
        <f>Produtos!BD441</f>
        <v>#DIV/0!</v>
      </c>
      <c r="F441" s="159" t="e">
        <f>Produtos!BE441</f>
        <v>#DIV/0!</v>
      </c>
      <c r="G441" s="158" t="e">
        <f>Produtos!BF441</f>
        <v>#DIV/0!</v>
      </c>
      <c r="H441" s="159">
        <f>Produtos!BL441</f>
        <v>0</v>
      </c>
      <c r="I441" s="157" t="e">
        <f>Produtos!BM441</f>
        <v>#DIV/0!</v>
      </c>
      <c r="J441" s="157" t="e">
        <f>Produtos!BG441</f>
        <v>#DIV/0!</v>
      </c>
      <c r="K441" s="157" t="e">
        <f>Produtos!BH441</f>
        <v>#DIV/0!</v>
      </c>
      <c r="L441" s="157" t="e">
        <f>Produtos!BI441</f>
        <v>#DIV/0!</v>
      </c>
      <c r="M441" s="157" t="e">
        <f>Produtos!BJ441</f>
        <v>#DIV/0!</v>
      </c>
    </row>
    <row r="442" spans="1:13">
      <c r="A442" s="170">
        <f>Produtos!A442</f>
        <v>0</v>
      </c>
      <c r="B442" s="170"/>
      <c r="C442" s="142">
        <f>Produtos!B442</f>
        <v>0</v>
      </c>
      <c r="D442" s="160"/>
      <c r="E442" s="157" t="e">
        <f>Produtos!BD442</f>
        <v>#DIV/0!</v>
      </c>
      <c r="F442" s="159" t="e">
        <f>Produtos!BE442</f>
        <v>#DIV/0!</v>
      </c>
      <c r="G442" s="158" t="e">
        <f>Produtos!BF442</f>
        <v>#DIV/0!</v>
      </c>
      <c r="H442" s="159">
        <f>Produtos!BL442</f>
        <v>0</v>
      </c>
      <c r="I442" s="157" t="e">
        <f>Produtos!BM442</f>
        <v>#DIV/0!</v>
      </c>
      <c r="J442" s="157" t="e">
        <f>Produtos!BG442</f>
        <v>#DIV/0!</v>
      </c>
      <c r="K442" s="157" t="e">
        <f>Produtos!BH442</f>
        <v>#DIV/0!</v>
      </c>
      <c r="L442" s="157" t="e">
        <f>Produtos!BI442</f>
        <v>#DIV/0!</v>
      </c>
      <c r="M442" s="157" t="e">
        <f>Produtos!BJ442</f>
        <v>#DIV/0!</v>
      </c>
    </row>
    <row r="443" spans="1:13">
      <c r="A443" s="170">
        <f>Produtos!A443</f>
        <v>0</v>
      </c>
      <c r="B443" s="170"/>
      <c r="C443" s="142">
        <f>Produtos!B443</f>
        <v>0</v>
      </c>
      <c r="D443" s="160"/>
      <c r="E443" s="157" t="e">
        <f>Produtos!BD443</f>
        <v>#DIV/0!</v>
      </c>
      <c r="F443" s="159" t="e">
        <f>Produtos!BE443</f>
        <v>#DIV/0!</v>
      </c>
      <c r="G443" s="158" t="e">
        <f>Produtos!BF443</f>
        <v>#DIV/0!</v>
      </c>
      <c r="H443" s="159">
        <f>Produtos!BL443</f>
        <v>0</v>
      </c>
      <c r="I443" s="157" t="e">
        <f>Produtos!BM443</f>
        <v>#DIV/0!</v>
      </c>
      <c r="J443" s="157" t="e">
        <f>Produtos!BG443</f>
        <v>#DIV/0!</v>
      </c>
      <c r="K443" s="157" t="e">
        <f>Produtos!BH443</f>
        <v>#DIV/0!</v>
      </c>
      <c r="L443" s="157" t="e">
        <f>Produtos!BI443</f>
        <v>#DIV/0!</v>
      </c>
      <c r="M443" s="157" t="e">
        <f>Produtos!BJ443</f>
        <v>#DIV/0!</v>
      </c>
    </row>
    <row r="444" spans="1:13">
      <c r="A444" s="170">
        <f>Produtos!A444</f>
        <v>0</v>
      </c>
      <c r="B444" s="170"/>
      <c r="C444" s="142">
        <f>Produtos!B444</f>
        <v>0</v>
      </c>
      <c r="D444" s="160"/>
      <c r="E444" s="157" t="e">
        <f>Produtos!BD444</f>
        <v>#DIV/0!</v>
      </c>
      <c r="F444" s="159" t="e">
        <f>Produtos!BE444</f>
        <v>#DIV/0!</v>
      </c>
      <c r="G444" s="158" t="e">
        <f>Produtos!BF444</f>
        <v>#DIV/0!</v>
      </c>
      <c r="H444" s="159">
        <f>Produtos!BL444</f>
        <v>0</v>
      </c>
      <c r="I444" s="157" t="e">
        <f>Produtos!BM444</f>
        <v>#DIV/0!</v>
      </c>
      <c r="J444" s="157" t="e">
        <f>Produtos!BG444</f>
        <v>#DIV/0!</v>
      </c>
      <c r="K444" s="157" t="e">
        <f>Produtos!BH444</f>
        <v>#DIV/0!</v>
      </c>
      <c r="L444" s="157" t="e">
        <f>Produtos!BI444</f>
        <v>#DIV/0!</v>
      </c>
      <c r="M444" s="157" t="e">
        <f>Produtos!BJ444</f>
        <v>#DIV/0!</v>
      </c>
    </row>
    <row r="445" spans="1:13">
      <c r="A445" s="170">
        <f>Produtos!A445</f>
        <v>0</v>
      </c>
      <c r="B445" s="170"/>
      <c r="C445" s="142">
        <f>Produtos!B445</f>
        <v>0</v>
      </c>
      <c r="D445" s="160"/>
      <c r="E445" s="157" t="e">
        <f>Produtos!BD445</f>
        <v>#DIV/0!</v>
      </c>
      <c r="F445" s="159" t="e">
        <f>Produtos!BE445</f>
        <v>#DIV/0!</v>
      </c>
      <c r="G445" s="158" t="e">
        <f>Produtos!BF445</f>
        <v>#DIV/0!</v>
      </c>
      <c r="H445" s="159">
        <f>Produtos!BL445</f>
        <v>0</v>
      </c>
      <c r="I445" s="157" t="e">
        <f>Produtos!BM445</f>
        <v>#DIV/0!</v>
      </c>
      <c r="J445" s="157" t="e">
        <f>Produtos!BG445</f>
        <v>#DIV/0!</v>
      </c>
      <c r="K445" s="157" t="e">
        <f>Produtos!BH445</f>
        <v>#DIV/0!</v>
      </c>
      <c r="L445" s="157" t="e">
        <f>Produtos!BI445</f>
        <v>#DIV/0!</v>
      </c>
      <c r="M445" s="157" t="e">
        <f>Produtos!BJ445</f>
        <v>#DIV/0!</v>
      </c>
    </row>
    <row r="446" spans="1:13">
      <c r="A446" s="170">
        <f>Produtos!A446</f>
        <v>0</v>
      </c>
      <c r="B446" s="170"/>
      <c r="C446" s="142">
        <f>Produtos!B446</f>
        <v>0</v>
      </c>
      <c r="D446" s="160"/>
      <c r="E446" s="157" t="e">
        <f>Produtos!BD446</f>
        <v>#DIV/0!</v>
      </c>
      <c r="F446" s="159" t="e">
        <f>Produtos!BE446</f>
        <v>#DIV/0!</v>
      </c>
      <c r="G446" s="158" t="e">
        <f>Produtos!BF446</f>
        <v>#DIV/0!</v>
      </c>
      <c r="H446" s="159">
        <f>Produtos!BL446</f>
        <v>0</v>
      </c>
      <c r="I446" s="157" t="e">
        <f>Produtos!BM446</f>
        <v>#DIV/0!</v>
      </c>
      <c r="J446" s="157" t="e">
        <f>Produtos!BG446</f>
        <v>#DIV/0!</v>
      </c>
      <c r="K446" s="157" t="e">
        <f>Produtos!BH446</f>
        <v>#DIV/0!</v>
      </c>
      <c r="L446" s="157" t="e">
        <f>Produtos!BI446</f>
        <v>#DIV/0!</v>
      </c>
      <c r="M446" s="157" t="e">
        <f>Produtos!BJ446</f>
        <v>#DIV/0!</v>
      </c>
    </row>
    <row r="447" spans="1:13">
      <c r="A447" s="170">
        <f>Produtos!A447</f>
        <v>0</v>
      </c>
      <c r="B447" s="170"/>
      <c r="C447" s="142">
        <f>Produtos!B447</f>
        <v>0</v>
      </c>
      <c r="D447" s="160"/>
      <c r="E447" s="157" t="e">
        <f>Produtos!BD447</f>
        <v>#DIV/0!</v>
      </c>
      <c r="F447" s="159" t="e">
        <f>Produtos!BE447</f>
        <v>#DIV/0!</v>
      </c>
      <c r="G447" s="158" t="e">
        <f>Produtos!BF447</f>
        <v>#DIV/0!</v>
      </c>
      <c r="H447" s="159">
        <f>Produtos!BL447</f>
        <v>0</v>
      </c>
      <c r="I447" s="157" t="e">
        <f>Produtos!BM447</f>
        <v>#DIV/0!</v>
      </c>
      <c r="J447" s="157" t="e">
        <f>Produtos!BG447</f>
        <v>#DIV/0!</v>
      </c>
      <c r="K447" s="157" t="e">
        <f>Produtos!BH447</f>
        <v>#DIV/0!</v>
      </c>
      <c r="L447" s="157" t="e">
        <f>Produtos!BI447</f>
        <v>#DIV/0!</v>
      </c>
      <c r="M447" s="157" t="e">
        <f>Produtos!BJ447</f>
        <v>#DIV/0!</v>
      </c>
    </row>
    <row r="448" spans="1:13">
      <c r="A448" s="170">
        <f>Produtos!A448</f>
        <v>0</v>
      </c>
      <c r="B448" s="170"/>
      <c r="C448" s="142">
        <f>Produtos!B448</f>
        <v>0</v>
      </c>
      <c r="D448" s="160"/>
      <c r="E448" s="157" t="e">
        <f>Produtos!BD448</f>
        <v>#DIV/0!</v>
      </c>
      <c r="F448" s="159" t="e">
        <f>Produtos!BE448</f>
        <v>#DIV/0!</v>
      </c>
      <c r="G448" s="158" t="e">
        <f>Produtos!BF448</f>
        <v>#DIV/0!</v>
      </c>
      <c r="H448" s="159">
        <f>Produtos!BL448</f>
        <v>0</v>
      </c>
      <c r="I448" s="157" t="e">
        <f>Produtos!BM448</f>
        <v>#DIV/0!</v>
      </c>
      <c r="J448" s="157" t="e">
        <f>Produtos!BG448</f>
        <v>#DIV/0!</v>
      </c>
      <c r="K448" s="157" t="e">
        <f>Produtos!BH448</f>
        <v>#DIV/0!</v>
      </c>
      <c r="L448" s="157" t="e">
        <f>Produtos!BI448</f>
        <v>#DIV/0!</v>
      </c>
      <c r="M448" s="157" t="e">
        <f>Produtos!BJ448</f>
        <v>#DIV/0!</v>
      </c>
    </row>
    <row r="449" spans="1:13">
      <c r="A449" s="170">
        <f>Produtos!A449</f>
        <v>0</v>
      </c>
      <c r="B449" s="170"/>
      <c r="C449" s="142">
        <f>Produtos!B449</f>
        <v>0</v>
      </c>
      <c r="D449" s="160"/>
      <c r="E449" s="157" t="e">
        <f>Produtos!BD449</f>
        <v>#DIV/0!</v>
      </c>
      <c r="F449" s="159" t="e">
        <f>Produtos!BE449</f>
        <v>#DIV/0!</v>
      </c>
      <c r="G449" s="158" t="e">
        <f>Produtos!BF449</f>
        <v>#DIV/0!</v>
      </c>
      <c r="H449" s="159">
        <f>Produtos!BL449</f>
        <v>0</v>
      </c>
      <c r="I449" s="157" t="e">
        <f>Produtos!BM449</f>
        <v>#DIV/0!</v>
      </c>
      <c r="J449" s="157" t="e">
        <f>Produtos!BG449</f>
        <v>#DIV/0!</v>
      </c>
      <c r="K449" s="157" t="e">
        <f>Produtos!BH449</f>
        <v>#DIV/0!</v>
      </c>
      <c r="L449" s="157" t="e">
        <f>Produtos!BI449</f>
        <v>#DIV/0!</v>
      </c>
      <c r="M449" s="157" t="e">
        <f>Produtos!BJ449</f>
        <v>#DIV/0!</v>
      </c>
    </row>
    <row r="450" spans="1:13">
      <c r="A450" s="170">
        <f>Produtos!A450</f>
        <v>0</v>
      </c>
      <c r="B450" s="170"/>
      <c r="C450" s="142">
        <f>Produtos!B450</f>
        <v>0</v>
      </c>
      <c r="D450" s="160"/>
      <c r="E450" s="157" t="e">
        <f>Produtos!BD450</f>
        <v>#DIV/0!</v>
      </c>
      <c r="F450" s="159" t="e">
        <f>Produtos!BE450</f>
        <v>#DIV/0!</v>
      </c>
      <c r="G450" s="158" t="e">
        <f>Produtos!BF450</f>
        <v>#DIV/0!</v>
      </c>
      <c r="H450" s="159">
        <f>Produtos!BL450</f>
        <v>0</v>
      </c>
      <c r="I450" s="157" t="e">
        <f>Produtos!BM450</f>
        <v>#DIV/0!</v>
      </c>
      <c r="J450" s="157" t="e">
        <f>Produtos!BG450</f>
        <v>#DIV/0!</v>
      </c>
      <c r="K450" s="157" t="e">
        <f>Produtos!BH450</f>
        <v>#DIV/0!</v>
      </c>
      <c r="L450" s="157" t="e">
        <f>Produtos!BI450</f>
        <v>#DIV/0!</v>
      </c>
      <c r="M450" s="157" t="e">
        <f>Produtos!BJ450</f>
        <v>#DIV/0!</v>
      </c>
    </row>
    <row r="451" spans="1:13">
      <c r="A451" s="170">
        <f>Produtos!A451</f>
        <v>0</v>
      </c>
      <c r="B451" s="170"/>
      <c r="C451" s="142">
        <f>Produtos!B451</f>
        <v>0</v>
      </c>
      <c r="D451" s="160"/>
      <c r="E451" s="157" t="e">
        <f>Produtos!BD451</f>
        <v>#DIV/0!</v>
      </c>
      <c r="F451" s="159" t="e">
        <f>Produtos!BE451</f>
        <v>#DIV/0!</v>
      </c>
      <c r="G451" s="158" t="e">
        <f>Produtos!BF451</f>
        <v>#DIV/0!</v>
      </c>
      <c r="H451" s="159">
        <f>Produtos!BL451</f>
        <v>0</v>
      </c>
      <c r="I451" s="157" t="e">
        <f>Produtos!BM451</f>
        <v>#DIV/0!</v>
      </c>
      <c r="J451" s="157" t="e">
        <f>Produtos!BG451</f>
        <v>#DIV/0!</v>
      </c>
      <c r="K451" s="157" t="e">
        <f>Produtos!BH451</f>
        <v>#DIV/0!</v>
      </c>
      <c r="L451" s="157" t="e">
        <f>Produtos!BI451</f>
        <v>#DIV/0!</v>
      </c>
      <c r="M451" s="157" t="e">
        <f>Produtos!BJ451</f>
        <v>#DIV/0!</v>
      </c>
    </row>
    <row r="452" spans="1:13">
      <c r="A452" s="170">
        <f>Produtos!A452</f>
        <v>0</v>
      </c>
      <c r="B452" s="170"/>
      <c r="C452" s="142">
        <f>Produtos!B452</f>
        <v>0</v>
      </c>
      <c r="D452" s="160"/>
      <c r="E452" s="157" t="e">
        <f>Produtos!BD452</f>
        <v>#DIV/0!</v>
      </c>
      <c r="F452" s="159" t="e">
        <f>Produtos!BE452</f>
        <v>#DIV/0!</v>
      </c>
      <c r="G452" s="158" t="e">
        <f>Produtos!BF452</f>
        <v>#DIV/0!</v>
      </c>
      <c r="H452" s="159">
        <f>Produtos!BL452</f>
        <v>0</v>
      </c>
      <c r="I452" s="157" t="e">
        <f>Produtos!BM452</f>
        <v>#DIV/0!</v>
      </c>
      <c r="J452" s="157" t="e">
        <f>Produtos!BG452</f>
        <v>#DIV/0!</v>
      </c>
      <c r="K452" s="157" t="e">
        <f>Produtos!BH452</f>
        <v>#DIV/0!</v>
      </c>
      <c r="L452" s="157" t="e">
        <f>Produtos!BI452</f>
        <v>#DIV/0!</v>
      </c>
      <c r="M452" s="157" t="e">
        <f>Produtos!BJ452</f>
        <v>#DIV/0!</v>
      </c>
    </row>
    <row r="453" spans="1:13">
      <c r="A453" s="170">
        <f>Produtos!A453</f>
        <v>0</v>
      </c>
      <c r="B453" s="170"/>
      <c r="C453" s="142">
        <f>Produtos!B453</f>
        <v>0</v>
      </c>
      <c r="D453" s="160"/>
      <c r="E453" s="157" t="e">
        <f>Produtos!BD453</f>
        <v>#DIV/0!</v>
      </c>
      <c r="F453" s="159" t="e">
        <f>Produtos!BE453</f>
        <v>#DIV/0!</v>
      </c>
      <c r="G453" s="158" t="e">
        <f>Produtos!BF453</f>
        <v>#DIV/0!</v>
      </c>
      <c r="H453" s="159">
        <f>Produtos!BL453</f>
        <v>0</v>
      </c>
      <c r="I453" s="157" t="e">
        <f>Produtos!BM453</f>
        <v>#DIV/0!</v>
      </c>
      <c r="J453" s="157" t="e">
        <f>Produtos!BG453</f>
        <v>#DIV/0!</v>
      </c>
      <c r="K453" s="157" t="e">
        <f>Produtos!BH453</f>
        <v>#DIV/0!</v>
      </c>
      <c r="L453" s="157" t="e">
        <f>Produtos!BI453</f>
        <v>#DIV/0!</v>
      </c>
      <c r="M453" s="157" t="e">
        <f>Produtos!BJ453</f>
        <v>#DIV/0!</v>
      </c>
    </row>
    <row r="454" spans="1:13">
      <c r="A454" s="170">
        <f>Produtos!A454</f>
        <v>0</v>
      </c>
      <c r="B454" s="170"/>
      <c r="C454" s="142">
        <f>Produtos!B454</f>
        <v>0</v>
      </c>
      <c r="D454" s="160"/>
      <c r="E454" s="157" t="e">
        <f>Produtos!BD454</f>
        <v>#DIV/0!</v>
      </c>
      <c r="F454" s="159" t="e">
        <f>Produtos!BE454</f>
        <v>#DIV/0!</v>
      </c>
      <c r="G454" s="158" t="e">
        <f>Produtos!BF454</f>
        <v>#DIV/0!</v>
      </c>
      <c r="H454" s="159">
        <f>Produtos!BL454</f>
        <v>0</v>
      </c>
      <c r="I454" s="157" t="e">
        <f>Produtos!BM454</f>
        <v>#DIV/0!</v>
      </c>
      <c r="J454" s="157" t="e">
        <f>Produtos!BG454</f>
        <v>#DIV/0!</v>
      </c>
      <c r="K454" s="157" t="e">
        <f>Produtos!BH454</f>
        <v>#DIV/0!</v>
      </c>
      <c r="L454" s="157" t="e">
        <f>Produtos!BI454</f>
        <v>#DIV/0!</v>
      </c>
      <c r="M454" s="157" t="e">
        <f>Produtos!BJ454</f>
        <v>#DIV/0!</v>
      </c>
    </row>
    <row r="455" spans="1:13">
      <c r="A455" s="170">
        <f>Produtos!A455</f>
        <v>0</v>
      </c>
      <c r="B455" s="170"/>
      <c r="C455" s="142">
        <f>Produtos!B455</f>
        <v>0</v>
      </c>
      <c r="D455" s="160"/>
      <c r="E455" s="157" t="e">
        <f>Produtos!BD455</f>
        <v>#DIV/0!</v>
      </c>
      <c r="F455" s="159" t="e">
        <f>Produtos!BE455</f>
        <v>#DIV/0!</v>
      </c>
      <c r="G455" s="158" t="e">
        <f>Produtos!BF455</f>
        <v>#DIV/0!</v>
      </c>
      <c r="H455" s="159">
        <f>Produtos!BL455</f>
        <v>0</v>
      </c>
      <c r="I455" s="157" t="e">
        <f>Produtos!BM455</f>
        <v>#DIV/0!</v>
      </c>
      <c r="J455" s="157" t="e">
        <f>Produtos!BG455</f>
        <v>#DIV/0!</v>
      </c>
      <c r="K455" s="157" t="e">
        <f>Produtos!BH455</f>
        <v>#DIV/0!</v>
      </c>
      <c r="L455" s="157" t="e">
        <f>Produtos!BI455</f>
        <v>#DIV/0!</v>
      </c>
      <c r="M455" s="157" t="e">
        <f>Produtos!BJ455</f>
        <v>#DIV/0!</v>
      </c>
    </row>
    <row r="456" spans="1:13">
      <c r="A456" s="170">
        <f>Produtos!A456</f>
        <v>0</v>
      </c>
      <c r="B456" s="170"/>
      <c r="C456" s="142">
        <f>Produtos!B456</f>
        <v>0</v>
      </c>
      <c r="D456" s="160"/>
      <c r="E456" s="157" t="e">
        <f>Produtos!BD456</f>
        <v>#DIV/0!</v>
      </c>
      <c r="F456" s="159" t="e">
        <f>Produtos!BE456</f>
        <v>#DIV/0!</v>
      </c>
      <c r="G456" s="158" t="e">
        <f>Produtos!BF456</f>
        <v>#DIV/0!</v>
      </c>
      <c r="H456" s="159">
        <f>Produtos!BL456</f>
        <v>0</v>
      </c>
      <c r="I456" s="157" t="e">
        <f>Produtos!BM456</f>
        <v>#DIV/0!</v>
      </c>
      <c r="J456" s="157" t="e">
        <f>Produtos!BG456</f>
        <v>#DIV/0!</v>
      </c>
      <c r="K456" s="157" t="e">
        <f>Produtos!BH456</f>
        <v>#DIV/0!</v>
      </c>
      <c r="L456" s="157" t="e">
        <f>Produtos!BI456</f>
        <v>#DIV/0!</v>
      </c>
      <c r="M456" s="157" t="e">
        <f>Produtos!BJ456</f>
        <v>#DIV/0!</v>
      </c>
    </row>
    <row r="457" spans="1:13">
      <c r="A457" s="170">
        <f>Produtos!A457</f>
        <v>0</v>
      </c>
      <c r="B457" s="170"/>
      <c r="C457" s="142">
        <f>Produtos!B457</f>
        <v>0</v>
      </c>
      <c r="D457" s="160"/>
      <c r="E457" s="157" t="e">
        <f>Produtos!BD457</f>
        <v>#DIV/0!</v>
      </c>
      <c r="F457" s="159" t="e">
        <f>Produtos!BE457</f>
        <v>#DIV/0!</v>
      </c>
      <c r="G457" s="158" t="e">
        <f>Produtos!BF457</f>
        <v>#DIV/0!</v>
      </c>
      <c r="H457" s="159">
        <f>Produtos!BL457</f>
        <v>0</v>
      </c>
      <c r="I457" s="157" t="e">
        <f>Produtos!BM457</f>
        <v>#DIV/0!</v>
      </c>
      <c r="J457" s="157" t="e">
        <f>Produtos!BG457</f>
        <v>#DIV/0!</v>
      </c>
      <c r="K457" s="157" t="e">
        <f>Produtos!BH457</f>
        <v>#DIV/0!</v>
      </c>
      <c r="L457" s="157" t="e">
        <f>Produtos!BI457</f>
        <v>#DIV/0!</v>
      </c>
      <c r="M457" s="157" t="e">
        <f>Produtos!BJ457</f>
        <v>#DIV/0!</v>
      </c>
    </row>
    <row r="458" spans="1:13">
      <c r="A458" s="170">
        <f>Produtos!A458</f>
        <v>0</v>
      </c>
      <c r="B458" s="170"/>
      <c r="C458" s="142">
        <f>Produtos!B458</f>
        <v>0</v>
      </c>
      <c r="D458" s="160"/>
      <c r="E458" s="157" t="e">
        <f>Produtos!BD458</f>
        <v>#DIV/0!</v>
      </c>
      <c r="F458" s="159" t="e">
        <f>Produtos!BE458</f>
        <v>#DIV/0!</v>
      </c>
      <c r="G458" s="158" t="e">
        <f>Produtos!BF458</f>
        <v>#DIV/0!</v>
      </c>
      <c r="H458" s="159">
        <f>Produtos!BL458</f>
        <v>0</v>
      </c>
      <c r="I458" s="157" t="e">
        <f>Produtos!BM458</f>
        <v>#DIV/0!</v>
      </c>
      <c r="J458" s="157" t="e">
        <f>Produtos!BG458</f>
        <v>#DIV/0!</v>
      </c>
      <c r="K458" s="157" t="e">
        <f>Produtos!BH458</f>
        <v>#DIV/0!</v>
      </c>
      <c r="L458" s="157" t="e">
        <f>Produtos!BI458</f>
        <v>#DIV/0!</v>
      </c>
      <c r="M458" s="157" t="e">
        <f>Produtos!BJ458</f>
        <v>#DIV/0!</v>
      </c>
    </row>
    <row r="459" spans="1:13">
      <c r="A459" s="170">
        <f>Produtos!A459</f>
        <v>0</v>
      </c>
      <c r="B459" s="170"/>
      <c r="C459" s="142">
        <f>Produtos!B459</f>
        <v>0</v>
      </c>
      <c r="D459" s="160"/>
      <c r="E459" s="157" t="e">
        <f>Produtos!BD459</f>
        <v>#DIV/0!</v>
      </c>
      <c r="F459" s="159" t="e">
        <f>Produtos!BE459</f>
        <v>#DIV/0!</v>
      </c>
      <c r="G459" s="158" t="e">
        <f>Produtos!BF459</f>
        <v>#DIV/0!</v>
      </c>
      <c r="H459" s="159">
        <f>Produtos!BL459</f>
        <v>0</v>
      </c>
      <c r="I459" s="157" t="e">
        <f>Produtos!BM459</f>
        <v>#DIV/0!</v>
      </c>
      <c r="J459" s="157" t="e">
        <f>Produtos!BG459</f>
        <v>#DIV/0!</v>
      </c>
      <c r="K459" s="157" t="e">
        <f>Produtos!BH459</f>
        <v>#DIV/0!</v>
      </c>
      <c r="L459" s="157" t="e">
        <f>Produtos!BI459</f>
        <v>#DIV/0!</v>
      </c>
      <c r="M459" s="157" t="e">
        <f>Produtos!BJ459</f>
        <v>#DIV/0!</v>
      </c>
    </row>
    <row r="460" spans="1:13">
      <c r="A460" s="170">
        <f>Produtos!A460</f>
        <v>0</v>
      </c>
      <c r="B460" s="170"/>
      <c r="C460" s="142">
        <f>Produtos!B460</f>
        <v>0</v>
      </c>
      <c r="D460" s="160"/>
      <c r="E460" s="157" t="e">
        <f>Produtos!BD460</f>
        <v>#DIV/0!</v>
      </c>
      <c r="F460" s="159" t="e">
        <f>Produtos!BE460</f>
        <v>#DIV/0!</v>
      </c>
      <c r="G460" s="158" t="e">
        <f>Produtos!BF460</f>
        <v>#DIV/0!</v>
      </c>
      <c r="H460" s="159">
        <f>Produtos!BL460</f>
        <v>0</v>
      </c>
      <c r="I460" s="157" t="e">
        <f>Produtos!BM460</f>
        <v>#DIV/0!</v>
      </c>
      <c r="J460" s="157" t="e">
        <f>Produtos!BG460</f>
        <v>#DIV/0!</v>
      </c>
      <c r="K460" s="157" t="e">
        <f>Produtos!BH460</f>
        <v>#DIV/0!</v>
      </c>
      <c r="L460" s="157" t="e">
        <f>Produtos!BI460</f>
        <v>#DIV/0!</v>
      </c>
      <c r="M460" s="157" t="e">
        <f>Produtos!BJ460</f>
        <v>#DIV/0!</v>
      </c>
    </row>
    <row r="461" spans="1:13">
      <c r="A461" s="170">
        <f>Produtos!A461</f>
        <v>0</v>
      </c>
      <c r="B461" s="170"/>
      <c r="C461" s="142">
        <f>Produtos!B461</f>
        <v>0</v>
      </c>
      <c r="D461" s="160"/>
      <c r="E461" s="157" t="e">
        <f>Produtos!BD461</f>
        <v>#DIV/0!</v>
      </c>
      <c r="F461" s="159" t="e">
        <f>Produtos!BE461</f>
        <v>#DIV/0!</v>
      </c>
      <c r="G461" s="158" t="e">
        <f>Produtos!BF461</f>
        <v>#DIV/0!</v>
      </c>
      <c r="H461" s="159">
        <f>Produtos!BL461</f>
        <v>0</v>
      </c>
      <c r="I461" s="157" t="e">
        <f>Produtos!BM461</f>
        <v>#DIV/0!</v>
      </c>
      <c r="J461" s="157" t="e">
        <f>Produtos!BG461</f>
        <v>#DIV/0!</v>
      </c>
      <c r="K461" s="157" t="e">
        <f>Produtos!BH461</f>
        <v>#DIV/0!</v>
      </c>
      <c r="L461" s="157" t="e">
        <f>Produtos!BI461</f>
        <v>#DIV/0!</v>
      </c>
      <c r="M461" s="157" t="e">
        <f>Produtos!BJ461</f>
        <v>#DIV/0!</v>
      </c>
    </row>
    <row r="462" spans="1:13">
      <c r="A462" s="170">
        <f>Produtos!A462</f>
        <v>0</v>
      </c>
      <c r="B462" s="170"/>
      <c r="C462" s="142">
        <f>Produtos!B462</f>
        <v>0</v>
      </c>
      <c r="D462" s="160"/>
      <c r="E462" s="157" t="e">
        <f>Produtos!BD462</f>
        <v>#DIV/0!</v>
      </c>
      <c r="F462" s="159" t="e">
        <f>Produtos!BE462</f>
        <v>#DIV/0!</v>
      </c>
      <c r="G462" s="158" t="e">
        <f>Produtos!BF462</f>
        <v>#DIV/0!</v>
      </c>
      <c r="H462" s="159">
        <f>Produtos!BL462</f>
        <v>0</v>
      </c>
      <c r="I462" s="157" t="e">
        <f>Produtos!BM462</f>
        <v>#DIV/0!</v>
      </c>
      <c r="J462" s="157" t="e">
        <f>Produtos!BG462</f>
        <v>#DIV/0!</v>
      </c>
      <c r="K462" s="157" t="e">
        <f>Produtos!BH462</f>
        <v>#DIV/0!</v>
      </c>
      <c r="L462" s="157" t="e">
        <f>Produtos!BI462</f>
        <v>#DIV/0!</v>
      </c>
      <c r="M462" s="157" t="e">
        <f>Produtos!BJ462</f>
        <v>#DIV/0!</v>
      </c>
    </row>
    <row r="463" spans="1:13">
      <c r="A463" s="170">
        <f>Produtos!A463</f>
        <v>0</v>
      </c>
      <c r="B463" s="170"/>
      <c r="C463" s="142">
        <f>Produtos!B463</f>
        <v>0</v>
      </c>
      <c r="D463" s="160"/>
      <c r="E463" s="157" t="e">
        <f>Produtos!BD463</f>
        <v>#DIV/0!</v>
      </c>
      <c r="F463" s="159" t="e">
        <f>Produtos!BE463</f>
        <v>#DIV/0!</v>
      </c>
      <c r="G463" s="158" t="e">
        <f>Produtos!BF463</f>
        <v>#DIV/0!</v>
      </c>
      <c r="H463" s="159">
        <f>Produtos!BL463</f>
        <v>0</v>
      </c>
      <c r="I463" s="157" t="e">
        <f>Produtos!BM463</f>
        <v>#DIV/0!</v>
      </c>
      <c r="J463" s="157" t="e">
        <f>Produtos!BG463</f>
        <v>#DIV/0!</v>
      </c>
      <c r="K463" s="157" t="e">
        <f>Produtos!BH463</f>
        <v>#DIV/0!</v>
      </c>
      <c r="L463" s="157" t="e">
        <f>Produtos!BI463</f>
        <v>#DIV/0!</v>
      </c>
      <c r="M463" s="157" t="e">
        <f>Produtos!BJ463</f>
        <v>#DIV/0!</v>
      </c>
    </row>
    <row r="464" spans="1:13">
      <c r="A464" s="170">
        <f>Produtos!A464</f>
        <v>0</v>
      </c>
      <c r="B464" s="170"/>
      <c r="C464" s="142">
        <f>Produtos!B464</f>
        <v>0</v>
      </c>
      <c r="D464" s="160"/>
      <c r="E464" s="157" t="e">
        <f>Produtos!BD464</f>
        <v>#DIV/0!</v>
      </c>
      <c r="F464" s="159" t="e">
        <f>Produtos!BE464</f>
        <v>#DIV/0!</v>
      </c>
      <c r="G464" s="158" t="e">
        <f>Produtos!BF464</f>
        <v>#DIV/0!</v>
      </c>
      <c r="H464" s="159">
        <f>Produtos!BL464</f>
        <v>0</v>
      </c>
      <c r="I464" s="157" t="e">
        <f>Produtos!BM464</f>
        <v>#DIV/0!</v>
      </c>
      <c r="J464" s="157" t="e">
        <f>Produtos!BG464</f>
        <v>#DIV/0!</v>
      </c>
      <c r="K464" s="157" t="e">
        <f>Produtos!BH464</f>
        <v>#DIV/0!</v>
      </c>
      <c r="L464" s="157" t="e">
        <f>Produtos!BI464</f>
        <v>#DIV/0!</v>
      </c>
      <c r="M464" s="157" t="e">
        <f>Produtos!BJ464</f>
        <v>#DIV/0!</v>
      </c>
    </row>
    <row r="465" spans="1:13">
      <c r="A465" s="170">
        <f>Produtos!A465</f>
        <v>0</v>
      </c>
      <c r="B465" s="170"/>
      <c r="C465" s="142">
        <f>Produtos!B465</f>
        <v>0</v>
      </c>
      <c r="D465" s="160"/>
      <c r="E465" s="157" t="e">
        <f>Produtos!BD465</f>
        <v>#DIV/0!</v>
      </c>
      <c r="F465" s="159" t="e">
        <f>Produtos!BE465</f>
        <v>#DIV/0!</v>
      </c>
      <c r="G465" s="158" t="e">
        <f>Produtos!BF465</f>
        <v>#DIV/0!</v>
      </c>
      <c r="H465" s="159">
        <f>Produtos!BL465</f>
        <v>0</v>
      </c>
      <c r="I465" s="157" t="e">
        <f>Produtos!BM465</f>
        <v>#DIV/0!</v>
      </c>
      <c r="J465" s="157" t="e">
        <f>Produtos!BG465</f>
        <v>#DIV/0!</v>
      </c>
      <c r="K465" s="157" t="e">
        <f>Produtos!BH465</f>
        <v>#DIV/0!</v>
      </c>
      <c r="L465" s="157" t="e">
        <f>Produtos!BI465</f>
        <v>#DIV/0!</v>
      </c>
      <c r="M465" s="157" t="e">
        <f>Produtos!BJ465</f>
        <v>#DIV/0!</v>
      </c>
    </row>
    <row r="466" spans="1:13">
      <c r="A466" s="170">
        <f>Produtos!A466</f>
        <v>0</v>
      </c>
      <c r="B466" s="170"/>
      <c r="C466" s="142">
        <f>Produtos!B466</f>
        <v>0</v>
      </c>
      <c r="D466" s="160"/>
      <c r="E466" s="157" t="e">
        <f>Produtos!BD466</f>
        <v>#DIV/0!</v>
      </c>
      <c r="F466" s="159" t="e">
        <f>Produtos!BE466</f>
        <v>#DIV/0!</v>
      </c>
      <c r="G466" s="158" t="e">
        <f>Produtos!BF466</f>
        <v>#DIV/0!</v>
      </c>
      <c r="H466" s="159">
        <f>Produtos!BL466</f>
        <v>0</v>
      </c>
      <c r="I466" s="157" t="e">
        <f>Produtos!BM466</f>
        <v>#DIV/0!</v>
      </c>
      <c r="J466" s="157" t="e">
        <f>Produtos!BG466</f>
        <v>#DIV/0!</v>
      </c>
      <c r="K466" s="157" t="e">
        <f>Produtos!BH466</f>
        <v>#DIV/0!</v>
      </c>
      <c r="L466" s="157" t="e">
        <f>Produtos!BI466</f>
        <v>#DIV/0!</v>
      </c>
      <c r="M466" s="157" t="e">
        <f>Produtos!BJ466</f>
        <v>#DIV/0!</v>
      </c>
    </row>
    <row r="467" spans="1:13">
      <c r="A467" s="170">
        <f>Produtos!A467</f>
        <v>0</v>
      </c>
      <c r="B467" s="170"/>
      <c r="C467" s="142">
        <f>Produtos!B467</f>
        <v>0</v>
      </c>
      <c r="D467" s="160"/>
      <c r="E467" s="157" t="e">
        <f>Produtos!BD467</f>
        <v>#DIV/0!</v>
      </c>
      <c r="F467" s="159" t="e">
        <f>Produtos!BE467</f>
        <v>#DIV/0!</v>
      </c>
      <c r="G467" s="158" t="e">
        <f>Produtos!BF467</f>
        <v>#DIV/0!</v>
      </c>
      <c r="H467" s="159">
        <f>Produtos!BL467</f>
        <v>0</v>
      </c>
      <c r="I467" s="157" t="e">
        <f>Produtos!BM467</f>
        <v>#DIV/0!</v>
      </c>
      <c r="J467" s="157" t="e">
        <f>Produtos!BG467</f>
        <v>#DIV/0!</v>
      </c>
      <c r="K467" s="157" t="e">
        <f>Produtos!BH467</f>
        <v>#DIV/0!</v>
      </c>
      <c r="L467" s="157" t="e">
        <f>Produtos!BI467</f>
        <v>#DIV/0!</v>
      </c>
      <c r="M467" s="157" t="e">
        <f>Produtos!BJ467</f>
        <v>#DIV/0!</v>
      </c>
    </row>
    <row r="468" spans="1:13">
      <c r="A468" s="170">
        <f>Produtos!A468</f>
        <v>0</v>
      </c>
      <c r="B468" s="170"/>
      <c r="C468" s="142">
        <f>Produtos!B468</f>
        <v>0</v>
      </c>
      <c r="D468" s="160"/>
      <c r="E468" s="157" t="e">
        <f>Produtos!BD468</f>
        <v>#DIV/0!</v>
      </c>
      <c r="F468" s="159" t="e">
        <f>Produtos!BE468</f>
        <v>#DIV/0!</v>
      </c>
      <c r="G468" s="158" t="e">
        <f>Produtos!BF468</f>
        <v>#DIV/0!</v>
      </c>
      <c r="H468" s="159">
        <f>Produtos!BL468</f>
        <v>0</v>
      </c>
      <c r="I468" s="157" t="e">
        <f>Produtos!BM468</f>
        <v>#DIV/0!</v>
      </c>
      <c r="J468" s="157" t="e">
        <f>Produtos!BG468</f>
        <v>#DIV/0!</v>
      </c>
      <c r="K468" s="157" t="e">
        <f>Produtos!BH468</f>
        <v>#DIV/0!</v>
      </c>
      <c r="L468" s="157" t="e">
        <f>Produtos!BI468</f>
        <v>#DIV/0!</v>
      </c>
      <c r="M468" s="157" t="e">
        <f>Produtos!BJ468</f>
        <v>#DIV/0!</v>
      </c>
    </row>
    <row r="469" spans="1:13">
      <c r="A469" s="170">
        <f>Produtos!A469</f>
        <v>0</v>
      </c>
      <c r="B469" s="170"/>
      <c r="C469" s="142">
        <f>Produtos!B469</f>
        <v>0</v>
      </c>
      <c r="D469" s="160"/>
      <c r="E469" s="157" t="e">
        <f>Produtos!BD469</f>
        <v>#DIV/0!</v>
      </c>
      <c r="F469" s="159" t="e">
        <f>Produtos!BE469</f>
        <v>#DIV/0!</v>
      </c>
      <c r="G469" s="158" t="e">
        <f>Produtos!BF469</f>
        <v>#DIV/0!</v>
      </c>
      <c r="H469" s="159">
        <f>Produtos!BL469</f>
        <v>0</v>
      </c>
      <c r="I469" s="157" t="e">
        <f>Produtos!BM469</f>
        <v>#DIV/0!</v>
      </c>
      <c r="J469" s="157" t="e">
        <f>Produtos!BG469</f>
        <v>#DIV/0!</v>
      </c>
      <c r="K469" s="157" t="e">
        <f>Produtos!BH469</f>
        <v>#DIV/0!</v>
      </c>
      <c r="L469" s="157" t="e">
        <f>Produtos!BI469</f>
        <v>#DIV/0!</v>
      </c>
      <c r="M469" s="157" t="e">
        <f>Produtos!BJ469</f>
        <v>#DIV/0!</v>
      </c>
    </row>
    <row r="470" spans="1:13">
      <c r="A470" s="170">
        <f>Produtos!A470</f>
        <v>0</v>
      </c>
      <c r="B470" s="170"/>
      <c r="C470" s="142">
        <f>Produtos!B470</f>
        <v>0</v>
      </c>
      <c r="D470" s="160"/>
      <c r="E470" s="157" t="e">
        <f>Produtos!BD470</f>
        <v>#DIV/0!</v>
      </c>
      <c r="F470" s="159" t="e">
        <f>Produtos!BE470</f>
        <v>#DIV/0!</v>
      </c>
      <c r="G470" s="158" t="e">
        <f>Produtos!BF470</f>
        <v>#DIV/0!</v>
      </c>
      <c r="H470" s="159">
        <f>Produtos!BL470</f>
        <v>0</v>
      </c>
      <c r="I470" s="157" t="e">
        <f>Produtos!BM470</f>
        <v>#DIV/0!</v>
      </c>
      <c r="J470" s="157" t="e">
        <f>Produtos!BG470</f>
        <v>#DIV/0!</v>
      </c>
      <c r="K470" s="157" t="e">
        <f>Produtos!BH470</f>
        <v>#DIV/0!</v>
      </c>
      <c r="L470" s="157" t="e">
        <f>Produtos!BI470</f>
        <v>#DIV/0!</v>
      </c>
      <c r="M470" s="157" t="e">
        <f>Produtos!BJ470</f>
        <v>#DIV/0!</v>
      </c>
    </row>
    <row r="471" spans="1:13">
      <c r="A471" s="170">
        <f>Produtos!A471</f>
        <v>0</v>
      </c>
      <c r="B471" s="170"/>
      <c r="C471" s="142">
        <f>Produtos!B471</f>
        <v>0</v>
      </c>
      <c r="D471" s="160"/>
      <c r="E471" s="157" t="e">
        <f>Produtos!BD471</f>
        <v>#DIV/0!</v>
      </c>
      <c r="F471" s="159" t="e">
        <f>Produtos!BE471</f>
        <v>#DIV/0!</v>
      </c>
      <c r="G471" s="158" t="e">
        <f>Produtos!BF471</f>
        <v>#DIV/0!</v>
      </c>
      <c r="H471" s="159">
        <f>Produtos!BL471</f>
        <v>0</v>
      </c>
      <c r="I471" s="157" t="e">
        <f>Produtos!BM471</f>
        <v>#DIV/0!</v>
      </c>
      <c r="J471" s="157" t="e">
        <f>Produtos!BG471</f>
        <v>#DIV/0!</v>
      </c>
      <c r="K471" s="157" t="e">
        <f>Produtos!BH471</f>
        <v>#DIV/0!</v>
      </c>
      <c r="L471" s="157" t="e">
        <f>Produtos!BI471</f>
        <v>#DIV/0!</v>
      </c>
      <c r="M471" s="157" t="e">
        <f>Produtos!BJ471</f>
        <v>#DIV/0!</v>
      </c>
    </row>
    <row r="472" spans="1:13">
      <c r="A472" s="170">
        <f>Produtos!A472</f>
        <v>0</v>
      </c>
      <c r="B472" s="170"/>
      <c r="C472" s="142">
        <f>Produtos!B472</f>
        <v>0</v>
      </c>
      <c r="D472" s="160"/>
      <c r="E472" s="157" t="e">
        <f>Produtos!BD472</f>
        <v>#DIV/0!</v>
      </c>
      <c r="F472" s="159" t="e">
        <f>Produtos!BE472</f>
        <v>#DIV/0!</v>
      </c>
      <c r="G472" s="158" t="e">
        <f>Produtos!BF472</f>
        <v>#DIV/0!</v>
      </c>
      <c r="H472" s="159">
        <f>Produtos!BL472</f>
        <v>0</v>
      </c>
      <c r="I472" s="157" t="e">
        <f>Produtos!BM472</f>
        <v>#DIV/0!</v>
      </c>
      <c r="J472" s="157" t="e">
        <f>Produtos!BG472</f>
        <v>#DIV/0!</v>
      </c>
      <c r="K472" s="157" t="e">
        <f>Produtos!BH472</f>
        <v>#DIV/0!</v>
      </c>
      <c r="L472" s="157" t="e">
        <f>Produtos!BI472</f>
        <v>#DIV/0!</v>
      </c>
      <c r="M472" s="157" t="e">
        <f>Produtos!BJ472</f>
        <v>#DIV/0!</v>
      </c>
    </row>
    <row r="473" spans="1:13">
      <c r="A473" s="170">
        <f>Produtos!A473</f>
        <v>0</v>
      </c>
      <c r="B473" s="170"/>
      <c r="C473" s="142">
        <f>Produtos!B473</f>
        <v>0</v>
      </c>
      <c r="D473" s="160"/>
      <c r="E473" s="157" t="e">
        <f>Produtos!BD473</f>
        <v>#DIV/0!</v>
      </c>
      <c r="F473" s="159" t="e">
        <f>Produtos!BE473</f>
        <v>#DIV/0!</v>
      </c>
      <c r="G473" s="158" t="e">
        <f>Produtos!BF473</f>
        <v>#DIV/0!</v>
      </c>
      <c r="H473" s="159">
        <f>Produtos!BL473</f>
        <v>0</v>
      </c>
      <c r="I473" s="157" t="e">
        <f>Produtos!BM473</f>
        <v>#DIV/0!</v>
      </c>
      <c r="J473" s="157" t="e">
        <f>Produtos!BG473</f>
        <v>#DIV/0!</v>
      </c>
      <c r="K473" s="157" t="e">
        <f>Produtos!BH473</f>
        <v>#DIV/0!</v>
      </c>
      <c r="L473" s="157" t="e">
        <f>Produtos!BI473</f>
        <v>#DIV/0!</v>
      </c>
      <c r="M473" s="157" t="e">
        <f>Produtos!BJ473</f>
        <v>#DIV/0!</v>
      </c>
    </row>
    <row r="474" spans="1:13">
      <c r="A474" s="170">
        <f>Produtos!A474</f>
        <v>0</v>
      </c>
      <c r="B474" s="170"/>
      <c r="C474" s="142">
        <f>Produtos!B474</f>
        <v>0</v>
      </c>
      <c r="D474" s="160"/>
      <c r="E474" s="157" t="e">
        <f>Produtos!BD474</f>
        <v>#DIV/0!</v>
      </c>
      <c r="F474" s="159" t="e">
        <f>Produtos!BE474</f>
        <v>#DIV/0!</v>
      </c>
      <c r="G474" s="158" t="e">
        <f>Produtos!BF474</f>
        <v>#DIV/0!</v>
      </c>
      <c r="H474" s="159">
        <f>Produtos!BL474</f>
        <v>0</v>
      </c>
      <c r="I474" s="157" t="e">
        <f>Produtos!BM474</f>
        <v>#DIV/0!</v>
      </c>
      <c r="J474" s="157" t="e">
        <f>Produtos!BG474</f>
        <v>#DIV/0!</v>
      </c>
      <c r="K474" s="157" t="e">
        <f>Produtos!BH474</f>
        <v>#DIV/0!</v>
      </c>
      <c r="L474" s="157" t="e">
        <f>Produtos!BI474</f>
        <v>#DIV/0!</v>
      </c>
      <c r="M474" s="157" t="e">
        <f>Produtos!BJ474</f>
        <v>#DIV/0!</v>
      </c>
    </row>
    <row r="475" spans="1:13">
      <c r="A475" s="170">
        <f>Produtos!A475</f>
        <v>0</v>
      </c>
      <c r="B475" s="170"/>
      <c r="C475" s="142">
        <f>Produtos!B475</f>
        <v>0</v>
      </c>
      <c r="D475" s="160"/>
      <c r="E475" s="157" t="e">
        <f>Produtos!BD475</f>
        <v>#DIV/0!</v>
      </c>
      <c r="F475" s="159" t="e">
        <f>Produtos!BE475</f>
        <v>#DIV/0!</v>
      </c>
      <c r="G475" s="158" t="e">
        <f>Produtos!BF475</f>
        <v>#DIV/0!</v>
      </c>
      <c r="H475" s="159">
        <f>Produtos!BL475</f>
        <v>0</v>
      </c>
      <c r="I475" s="157" t="e">
        <f>Produtos!BM475</f>
        <v>#DIV/0!</v>
      </c>
      <c r="J475" s="157" t="e">
        <f>Produtos!BG475</f>
        <v>#DIV/0!</v>
      </c>
      <c r="K475" s="157" t="e">
        <f>Produtos!BH475</f>
        <v>#DIV/0!</v>
      </c>
      <c r="L475" s="157" t="e">
        <f>Produtos!BI475</f>
        <v>#DIV/0!</v>
      </c>
      <c r="M475" s="157" t="e">
        <f>Produtos!BJ475</f>
        <v>#DIV/0!</v>
      </c>
    </row>
    <row r="476" spans="1:13">
      <c r="A476" s="170">
        <f>Produtos!A476</f>
        <v>0</v>
      </c>
      <c r="B476" s="170"/>
      <c r="C476" s="142">
        <f>Produtos!B476</f>
        <v>0</v>
      </c>
      <c r="D476" s="160"/>
      <c r="E476" s="157" t="e">
        <f>Produtos!BD476</f>
        <v>#DIV/0!</v>
      </c>
      <c r="F476" s="159" t="e">
        <f>Produtos!BE476</f>
        <v>#DIV/0!</v>
      </c>
      <c r="G476" s="158" t="e">
        <f>Produtos!BF476</f>
        <v>#DIV/0!</v>
      </c>
      <c r="H476" s="159">
        <f>Produtos!BL476</f>
        <v>0</v>
      </c>
      <c r="I476" s="157" t="e">
        <f>Produtos!BM476</f>
        <v>#DIV/0!</v>
      </c>
      <c r="J476" s="157" t="e">
        <f>Produtos!BG476</f>
        <v>#DIV/0!</v>
      </c>
      <c r="K476" s="157" t="e">
        <f>Produtos!BH476</f>
        <v>#DIV/0!</v>
      </c>
      <c r="L476" s="157" t="e">
        <f>Produtos!BI476</f>
        <v>#DIV/0!</v>
      </c>
      <c r="M476" s="157" t="e">
        <f>Produtos!BJ476</f>
        <v>#DIV/0!</v>
      </c>
    </row>
    <row r="477" spans="1:13">
      <c r="A477" s="170">
        <f>Produtos!A477</f>
        <v>0</v>
      </c>
      <c r="B477" s="170"/>
      <c r="C477" s="142">
        <f>Produtos!B477</f>
        <v>0</v>
      </c>
      <c r="D477" s="160"/>
      <c r="E477" s="157" t="e">
        <f>Produtos!BD477</f>
        <v>#DIV/0!</v>
      </c>
      <c r="F477" s="159" t="e">
        <f>Produtos!BE477</f>
        <v>#DIV/0!</v>
      </c>
      <c r="G477" s="158" t="e">
        <f>Produtos!BF477</f>
        <v>#DIV/0!</v>
      </c>
      <c r="H477" s="159">
        <f>Produtos!BL477</f>
        <v>0</v>
      </c>
      <c r="I477" s="157" t="e">
        <f>Produtos!BM477</f>
        <v>#DIV/0!</v>
      </c>
      <c r="J477" s="157" t="e">
        <f>Produtos!BG477</f>
        <v>#DIV/0!</v>
      </c>
      <c r="K477" s="157" t="e">
        <f>Produtos!BH477</f>
        <v>#DIV/0!</v>
      </c>
      <c r="L477" s="157" t="e">
        <f>Produtos!BI477</f>
        <v>#DIV/0!</v>
      </c>
      <c r="M477" s="157" t="e">
        <f>Produtos!BJ477</f>
        <v>#DIV/0!</v>
      </c>
    </row>
    <row r="478" spans="1:13">
      <c r="A478" s="170">
        <f>Produtos!A478</f>
        <v>0</v>
      </c>
      <c r="B478" s="170"/>
      <c r="C478" s="142">
        <f>Produtos!B478</f>
        <v>0</v>
      </c>
      <c r="D478" s="160"/>
      <c r="E478" s="157" t="e">
        <f>Produtos!BD478</f>
        <v>#DIV/0!</v>
      </c>
      <c r="F478" s="159" t="e">
        <f>Produtos!BE478</f>
        <v>#DIV/0!</v>
      </c>
      <c r="G478" s="158" t="e">
        <f>Produtos!BF478</f>
        <v>#DIV/0!</v>
      </c>
      <c r="H478" s="159">
        <f>Produtos!BL478</f>
        <v>0</v>
      </c>
      <c r="I478" s="157" t="e">
        <f>Produtos!BM478</f>
        <v>#DIV/0!</v>
      </c>
      <c r="J478" s="157" t="e">
        <f>Produtos!BG478</f>
        <v>#DIV/0!</v>
      </c>
      <c r="K478" s="157" t="e">
        <f>Produtos!BH478</f>
        <v>#DIV/0!</v>
      </c>
      <c r="L478" s="157" t="e">
        <f>Produtos!BI478</f>
        <v>#DIV/0!</v>
      </c>
      <c r="M478" s="157" t="e">
        <f>Produtos!BJ478</f>
        <v>#DIV/0!</v>
      </c>
    </row>
    <row r="479" spans="1:13">
      <c r="A479" s="170">
        <f>Produtos!A479</f>
        <v>0</v>
      </c>
      <c r="B479" s="170"/>
      <c r="C479" s="142">
        <f>Produtos!B479</f>
        <v>0</v>
      </c>
      <c r="D479" s="160"/>
      <c r="E479" s="157" t="e">
        <f>Produtos!BD479</f>
        <v>#DIV/0!</v>
      </c>
      <c r="F479" s="159" t="e">
        <f>Produtos!BE479</f>
        <v>#DIV/0!</v>
      </c>
      <c r="G479" s="158" t="e">
        <f>Produtos!BF479</f>
        <v>#DIV/0!</v>
      </c>
      <c r="H479" s="159">
        <f>Produtos!BL479</f>
        <v>0</v>
      </c>
      <c r="I479" s="157" t="e">
        <f>Produtos!BM479</f>
        <v>#DIV/0!</v>
      </c>
      <c r="J479" s="157" t="e">
        <f>Produtos!BG479</f>
        <v>#DIV/0!</v>
      </c>
      <c r="K479" s="157" t="e">
        <f>Produtos!BH479</f>
        <v>#DIV/0!</v>
      </c>
      <c r="L479" s="157" t="e">
        <f>Produtos!BI479</f>
        <v>#DIV/0!</v>
      </c>
      <c r="M479" s="157" t="e">
        <f>Produtos!BJ479</f>
        <v>#DIV/0!</v>
      </c>
    </row>
    <row r="480" spans="1:13">
      <c r="A480" s="170">
        <f>Produtos!A480</f>
        <v>0</v>
      </c>
      <c r="B480" s="170"/>
      <c r="C480" s="142">
        <f>Produtos!B480</f>
        <v>0</v>
      </c>
      <c r="D480" s="160"/>
      <c r="E480" s="157" t="e">
        <f>Produtos!BD480</f>
        <v>#DIV/0!</v>
      </c>
      <c r="F480" s="159" t="e">
        <f>Produtos!BE480</f>
        <v>#DIV/0!</v>
      </c>
      <c r="G480" s="158" t="e">
        <f>Produtos!BF480</f>
        <v>#DIV/0!</v>
      </c>
      <c r="H480" s="159">
        <f>Produtos!BL480</f>
        <v>0</v>
      </c>
      <c r="I480" s="157" t="e">
        <f>Produtos!BM480</f>
        <v>#DIV/0!</v>
      </c>
      <c r="J480" s="157" t="e">
        <f>Produtos!BG480</f>
        <v>#DIV/0!</v>
      </c>
      <c r="K480" s="157" t="e">
        <f>Produtos!BH480</f>
        <v>#DIV/0!</v>
      </c>
      <c r="L480" s="157" t="e">
        <f>Produtos!BI480</f>
        <v>#DIV/0!</v>
      </c>
      <c r="M480" s="157" t="e">
        <f>Produtos!BJ480</f>
        <v>#DIV/0!</v>
      </c>
    </row>
    <row r="481" spans="1:13">
      <c r="A481" s="170">
        <f>Produtos!A481</f>
        <v>0</v>
      </c>
      <c r="B481" s="170"/>
      <c r="C481" s="142">
        <f>Produtos!B481</f>
        <v>0</v>
      </c>
      <c r="D481" s="160"/>
      <c r="E481" s="157" t="e">
        <f>Produtos!BD481</f>
        <v>#DIV/0!</v>
      </c>
      <c r="F481" s="159" t="e">
        <f>Produtos!BE481</f>
        <v>#DIV/0!</v>
      </c>
      <c r="G481" s="158" t="e">
        <f>Produtos!BF481</f>
        <v>#DIV/0!</v>
      </c>
      <c r="H481" s="159">
        <f>Produtos!BL481</f>
        <v>0</v>
      </c>
      <c r="I481" s="157" t="e">
        <f>Produtos!BM481</f>
        <v>#DIV/0!</v>
      </c>
      <c r="J481" s="157" t="e">
        <f>Produtos!BG481</f>
        <v>#DIV/0!</v>
      </c>
      <c r="K481" s="157" t="e">
        <f>Produtos!BH481</f>
        <v>#DIV/0!</v>
      </c>
      <c r="L481" s="157" t="e">
        <f>Produtos!BI481</f>
        <v>#DIV/0!</v>
      </c>
      <c r="M481" s="157" t="e">
        <f>Produtos!BJ481</f>
        <v>#DIV/0!</v>
      </c>
    </row>
    <row r="482" spans="1:13">
      <c r="A482" s="170">
        <f>Produtos!A482</f>
        <v>0</v>
      </c>
      <c r="B482" s="170"/>
      <c r="C482" s="142">
        <f>Produtos!B482</f>
        <v>0</v>
      </c>
      <c r="D482" s="160"/>
      <c r="E482" s="157" t="e">
        <f>Produtos!BD482</f>
        <v>#DIV/0!</v>
      </c>
      <c r="F482" s="159" t="e">
        <f>Produtos!BE482</f>
        <v>#DIV/0!</v>
      </c>
      <c r="G482" s="158" t="e">
        <f>Produtos!BF482</f>
        <v>#DIV/0!</v>
      </c>
      <c r="H482" s="159">
        <f>Produtos!BL482</f>
        <v>0</v>
      </c>
      <c r="I482" s="157" t="e">
        <f>Produtos!BM482</f>
        <v>#DIV/0!</v>
      </c>
      <c r="J482" s="157" t="e">
        <f>Produtos!BG482</f>
        <v>#DIV/0!</v>
      </c>
      <c r="K482" s="157" t="e">
        <f>Produtos!BH482</f>
        <v>#DIV/0!</v>
      </c>
      <c r="L482" s="157" t="e">
        <f>Produtos!BI482</f>
        <v>#DIV/0!</v>
      </c>
      <c r="M482" s="157" t="e">
        <f>Produtos!BJ482</f>
        <v>#DIV/0!</v>
      </c>
    </row>
    <row r="483" spans="1:13">
      <c r="A483" s="170">
        <f>Produtos!A483</f>
        <v>0</v>
      </c>
      <c r="B483" s="170"/>
      <c r="C483" s="142">
        <f>Produtos!B483</f>
        <v>0</v>
      </c>
      <c r="D483" s="160"/>
      <c r="E483" s="157" t="e">
        <f>Produtos!BD483</f>
        <v>#DIV/0!</v>
      </c>
      <c r="F483" s="159" t="e">
        <f>Produtos!BE483</f>
        <v>#DIV/0!</v>
      </c>
      <c r="G483" s="158" t="e">
        <f>Produtos!BF483</f>
        <v>#DIV/0!</v>
      </c>
      <c r="H483" s="159">
        <f>Produtos!BL483</f>
        <v>0</v>
      </c>
      <c r="I483" s="157" t="e">
        <f>Produtos!BM483</f>
        <v>#DIV/0!</v>
      </c>
      <c r="J483" s="157" t="e">
        <f>Produtos!BG483</f>
        <v>#DIV/0!</v>
      </c>
      <c r="K483" s="157" t="e">
        <f>Produtos!BH483</f>
        <v>#DIV/0!</v>
      </c>
      <c r="L483" s="157" t="e">
        <f>Produtos!BI483</f>
        <v>#DIV/0!</v>
      </c>
      <c r="M483" s="157" t="e">
        <f>Produtos!BJ483</f>
        <v>#DIV/0!</v>
      </c>
    </row>
    <row r="484" spans="1:13">
      <c r="A484" s="170">
        <f>Produtos!A484</f>
        <v>0</v>
      </c>
      <c r="B484" s="170"/>
      <c r="C484" s="142">
        <f>Produtos!B484</f>
        <v>0</v>
      </c>
      <c r="D484" s="160"/>
      <c r="E484" s="157" t="e">
        <f>Produtos!BD484</f>
        <v>#DIV/0!</v>
      </c>
      <c r="F484" s="159" t="e">
        <f>Produtos!BE484</f>
        <v>#DIV/0!</v>
      </c>
      <c r="G484" s="158" t="e">
        <f>Produtos!BF484</f>
        <v>#DIV/0!</v>
      </c>
      <c r="H484" s="159">
        <f>Produtos!BL484</f>
        <v>0</v>
      </c>
      <c r="I484" s="157" t="e">
        <f>Produtos!BM484</f>
        <v>#DIV/0!</v>
      </c>
      <c r="J484" s="157" t="e">
        <f>Produtos!BG484</f>
        <v>#DIV/0!</v>
      </c>
      <c r="K484" s="157" t="e">
        <f>Produtos!BH484</f>
        <v>#DIV/0!</v>
      </c>
      <c r="L484" s="157" t="e">
        <f>Produtos!BI484</f>
        <v>#DIV/0!</v>
      </c>
      <c r="M484" s="157" t="e">
        <f>Produtos!BJ484</f>
        <v>#DIV/0!</v>
      </c>
    </row>
    <row r="485" spans="1:13">
      <c r="A485" s="170">
        <f>Produtos!A485</f>
        <v>0</v>
      </c>
      <c r="B485" s="170"/>
      <c r="C485" s="142">
        <f>Produtos!B485</f>
        <v>0</v>
      </c>
      <c r="D485" s="160"/>
      <c r="E485" s="157" t="e">
        <f>Produtos!BD485</f>
        <v>#DIV/0!</v>
      </c>
      <c r="F485" s="159" t="e">
        <f>Produtos!BE485</f>
        <v>#DIV/0!</v>
      </c>
      <c r="G485" s="158" t="e">
        <f>Produtos!BF485</f>
        <v>#DIV/0!</v>
      </c>
      <c r="H485" s="159">
        <f>Produtos!BL485</f>
        <v>0</v>
      </c>
      <c r="I485" s="157" t="e">
        <f>Produtos!BM485</f>
        <v>#DIV/0!</v>
      </c>
      <c r="J485" s="157" t="e">
        <f>Produtos!BG485</f>
        <v>#DIV/0!</v>
      </c>
      <c r="K485" s="157" t="e">
        <f>Produtos!BH485</f>
        <v>#DIV/0!</v>
      </c>
      <c r="L485" s="157" t="e">
        <f>Produtos!BI485</f>
        <v>#DIV/0!</v>
      </c>
      <c r="M485" s="157" t="e">
        <f>Produtos!BJ485</f>
        <v>#DIV/0!</v>
      </c>
    </row>
    <row r="486" spans="1:13">
      <c r="A486" s="170">
        <f>Produtos!A486</f>
        <v>0</v>
      </c>
      <c r="B486" s="170"/>
      <c r="C486" s="142">
        <f>Produtos!B486</f>
        <v>0</v>
      </c>
      <c r="D486" s="160"/>
      <c r="E486" s="157" t="e">
        <f>Produtos!BD486</f>
        <v>#DIV/0!</v>
      </c>
      <c r="F486" s="159" t="e">
        <f>Produtos!BE486</f>
        <v>#DIV/0!</v>
      </c>
      <c r="G486" s="158" t="e">
        <f>Produtos!BF486</f>
        <v>#DIV/0!</v>
      </c>
      <c r="H486" s="159">
        <f>Produtos!BL486</f>
        <v>0</v>
      </c>
      <c r="I486" s="157" t="e">
        <f>Produtos!BM486</f>
        <v>#DIV/0!</v>
      </c>
      <c r="J486" s="157" t="e">
        <f>Produtos!BG486</f>
        <v>#DIV/0!</v>
      </c>
      <c r="K486" s="157" t="e">
        <f>Produtos!BH486</f>
        <v>#DIV/0!</v>
      </c>
      <c r="L486" s="157" t="e">
        <f>Produtos!BI486</f>
        <v>#DIV/0!</v>
      </c>
      <c r="M486" s="157" t="e">
        <f>Produtos!BJ486</f>
        <v>#DIV/0!</v>
      </c>
    </row>
    <row r="487" spans="1:13">
      <c r="A487" s="170">
        <f>Produtos!A487</f>
        <v>0</v>
      </c>
      <c r="B487" s="170"/>
      <c r="C487" s="142">
        <f>Produtos!B487</f>
        <v>0</v>
      </c>
      <c r="D487" s="160"/>
      <c r="E487" s="157" t="e">
        <f>Produtos!BD487</f>
        <v>#DIV/0!</v>
      </c>
      <c r="F487" s="159" t="e">
        <f>Produtos!BE487</f>
        <v>#DIV/0!</v>
      </c>
      <c r="G487" s="158" t="e">
        <f>Produtos!BF487</f>
        <v>#DIV/0!</v>
      </c>
      <c r="H487" s="159">
        <f>Produtos!BL487</f>
        <v>0</v>
      </c>
      <c r="I487" s="157" t="e">
        <f>Produtos!BM487</f>
        <v>#DIV/0!</v>
      </c>
      <c r="J487" s="157" t="e">
        <f>Produtos!BG487</f>
        <v>#DIV/0!</v>
      </c>
      <c r="K487" s="157" t="e">
        <f>Produtos!BH487</f>
        <v>#DIV/0!</v>
      </c>
      <c r="L487" s="157" t="e">
        <f>Produtos!BI487</f>
        <v>#DIV/0!</v>
      </c>
      <c r="M487" s="157" t="e">
        <f>Produtos!BJ487</f>
        <v>#DIV/0!</v>
      </c>
    </row>
    <row r="488" spans="1:13">
      <c r="A488" s="170">
        <f>Produtos!A488</f>
        <v>0</v>
      </c>
      <c r="B488" s="170"/>
      <c r="C488" s="142">
        <f>Produtos!B488</f>
        <v>0</v>
      </c>
      <c r="D488" s="160"/>
      <c r="E488" s="157" t="e">
        <f>Produtos!BD488</f>
        <v>#DIV/0!</v>
      </c>
      <c r="F488" s="159" t="e">
        <f>Produtos!BE488</f>
        <v>#DIV/0!</v>
      </c>
      <c r="G488" s="158" t="e">
        <f>Produtos!BF488</f>
        <v>#DIV/0!</v>
      </c>
      <c r="H488" s="159">
        <f>Produtos!BL488</f>
        <v>0</v>
      </c>
      <c r="I488" s="157" t="e">
        <f>Produtos!BM488</f>
        <v>#DIV/0!</v>
      </c>
      <c r="J488" s="157" t="e">
        <f>Produtos!BG488</f>
        <v>#DIV/0!</v>
      </c>
      <c r="K488" s="157" t="e">
        <f>Produtos!BH488</f>
        <v>#DIV/0!</v>
      </c>
      <c r="L488" s="157" t="e">
        <f>Produtos!BI488</f>
        <v>#DIV/0!</v>
      </c>
      <c r="M488" s="157" t="e">
        <f>Produtos!BJ488</f>
        <v>#DIV/0!</v>
      </c>
    </row>
    <row r="489" spans="1:13">
      <c r="A489" s="170">
        <f>Produtos!A489</f>
        <v>0</v>
      </c>
      <c r="B489" s="170"/>
      <c r="C489" s="142">
        <f>Produtos!B489</f>
        <v>0</v>
      </c>
      <c r="D489" s="160"/>
      <c r="E489" s="157" t="e">
        <f>Produtos!BD489</f>
        <v>#DIV/0!</v>
      </c>
      <c r="F489" s="159" t="e">
        <f>Produtos!BE489</f>
        <v>#DIV/0!</v>
      </c>
      <c r="G489" s="158" t="e">
        <f>Produtos!BF489</f>
        <v>#DIV/0!</v>
      </c>
      <c r="H489" s="159">
        <f>Produtos!BL489</f>
        <v>0</v>
      </c>
      <c r="I489" s="157" t="e">
        <f>Produtos!BM489</f>
        <v>#DIV/0!</v>
      </c>
      <c r="J489" s="157" t="e">
        <f>Produtos!BG489</f>
        <v>#DIV/0!</v>
      </c>
      <c r="K489" s="157" t="e">
        <f>Produtos!BH489</f>
        <v>#DIV/0!</v>
      </c>
      <c r="L489" s="157" t="e">
        <f>Produtos!BI489</f>
        <v>#DIV/0!</v>
      </c>
      <c r="M489" s="157" t="e">
        <f>Produtos!BJ489</f>
        <v>#DIV/0!</v>
      </c>
    </row>
    <row r="490" spans="1:13">
      <c r="A490" s="170">
        <f>Produtos!A490</f>
        <v>0</v>
      </c>
      <c r="B490" s="170"/>
      <c r="C490" s="142">
        <f>Produtos!B490</f>
        <v>0</v>
      </c>
      <c r="D490" s="160"/>
      <c r="E490" s="157" t="e">
        <f>Produtos!BD490</f>
        <v>#DIV/0!</v>
      </c>
      <c r="F490" s="159" t="e">
        <f>Produtos!BE490</f>
        <v>#DIV/0!</v>
      </c>
      <c r="G490" s="158" t="e">
        <f>Produtos!BF490</f>
        <v>#DIV/0!</v>
      </c>
      <c r="H490" s="159">
        <f>Produtos!BL490</f>
        <v>0</v>
      </c>
      <c r="I490" s="157" t="e">
        <f>Produtos!BM490</f>
        <v>#DIV/0!</v>
      </c>
      <c r="J490" s="157" t="e">
        <f>Produtos!BG490</f>
        <v>#DIV/0!</v>
      </c>
      <c r="K490" s="157" t="e">
        <f>Produtos!BH490</f>
        <v>#DIV/0!</v>
      </c>
      <c r="L490" s="157" t="e">
        <f>Produtos!BI490</f>
        <v>#DIV/0!</v>
      </c>
      <c r="M490" s="157" t="e">
        <f>Produtos!BJ490</f>
        <v>#DIV/0!</v>
      </c>
    </row>
    <row r="491" spans="1:13">
      <c r="A491" s="170">
        <f>Produtos!A491</f>
        <v>0</v>
      </c>
      <c r="B491" s="170"/>
      <c r="C491" s="142">
        <f>Produtos!B491</f>
        <v>0</v>
      </c>
      <c r="D491" s="160"/>
      <c r="E491" s="157" t="e">
        <f>Produtos!BD491</f>
        <v>#DIV/0!</v>
      </c>
      <c r="F491" s="159" t="e">
        <f>Produtos!BE491</f>
        <v>#DIV/0!</v>
      </c>
      <c r="G491" s="158" t="e">
        <f>Produtos!BF491</f>
        <v>#DIV/0!</v>
      </c>
      <c r="H491" s="159">
        <f>Produtos!BL491</f>
        <v>0</v>
      </c>
      <c r="I491" s="157" t="e">
        <f>Produtos!BM491</f>
        <v>#DIV/0!</v>
      </c>
      <c r="J491" s="157" t="e">
        <f>Produtos!BG491</f>
        <v>#DIV/0!</v>
      </c>
      <c r="K491" s="157" t="e">
        <f>Produtos!BH491</f>
        <v>#DIV/0!</v>
      </c>
      <c r="L491" s="157" t="e">
        <f>Produtos!BI491</f>
        <v>#DIV/0!</v>
      </c>
      <c r="M491" s="157" t="e">
        <f>Produtos!BJ491</f>
        <v>#DIV/0!</v>
      </c>
    </row>
    <row r="492" spans="1:13">
      <c r="A492" s="170">
        <f>Produtos!A492</f>
        <v>0</v>
      </c>
      <c r="B492" s="170"/>
      <c r="C492" s="142">
        <f>Produtos!B492</f>
        <v>0</v>
      </c>
      <c r="D492" s="160"/>
      <c r="E492" s="157" t="e">
        <f>Produtos!BD492</f>
        <v>#DIV/0!</v>
      </c>
      <c r="F492" s="159" t="e">
        <f>Produtos!BE492</f>
        <v>#DIV/0!</v>
      </c>
      <c r="G492" s="158" t="e">
        <f>Produtos!BF492</f>
        <v>#DIV/0!</v>
      </c>
      <c r="H492" s="159">
        <f>Produtos!BL492</f>
        <v>0</v>
      </c>
      <c r="I492" s="157" t="e">
        <f>Produtos!BM492</f>
        <v>#DIV/0!</v>
      </c>
      <c r="J492" s="157" t="e">
        <f>Produtos!BG492</f>
        <v>#DIV/0!</v>
      </c>
      <c r="K492" s="157" t="e">
        <f>Produtos!BH492</f>
        <v>#DIV/0!</v>
      </c>
      <c r="L492" s="157" t="e">
        <f>Produtos!BI492</f>
        <v>#DIV/0!</v>
      </c>
      <c r="M492" s="157" t="e">
        <f>Produtos!BJ492</f>
        <v>#DIV/0!</v>
      </c>
    </row>
    <row r="493" spans="1:13">
      <c r="A493" s="170">
        <f>Produtos!A493</f>
        <v>0</v>
      </c>
      <c r="B493" s="170"/>
      <c r="C493" s="142">
        <f>Produtos!B493</f>
        <v>0</v>
      </c>
      <c r="D493" s="160"/>
      <c r="E493" s="157" t="e">
        <f>Produtos!BD493</f>
        <v>#DIV/0!</v>
      </c>
      <c r="F493" s="159" t="e">
        <f>Produtos!BE493</f>
        <v>#DIV/0!</v>
      </c>
      <c r="G493" s="158" t="e">
        <f>Produtos!BF493</f>
        <v>#DIV/0!</v>
      </c>
      <c r="H493" s="159">
        <f>Produtos!BL493</f>
        <v>0</v>
      </c>
      <c r="I493" s="157" t="e">
        <f>Produtos!BM493</f>
        <v>#DIV/0!</v>
      </c>
      <c r="J493" s="157" t="e">
        <f>Produtos!BG493</f>
        <v>#DIV/0!</v>
      </c>
      <c r="K493" s="157" t="e">
        <f>Produtos!BH493</f>
        <v>#DIV/0!</v>
      </c>
      <c r="L493" s="157" t="e">
        <f>Produtos!BI493</f>
        <v>#DIV/0!</v>
      </c>
      <c r="M493" s="157" t="e">
        <f>Produtos!BJ493</f>
        <v>#DIV/0!</v>
      </c>
    </row>
    <row r="494" spans="1:13">
      <c r="A494" s="170">
        <f>Produtos!A494</f>
        <v>0</v>
      </c>
      <c r="B494" s="170"/>
      <c r="C494" s="142">
        <f>Produtos!B494</f>
        <v>0</v>
      </c>
      <c r="D494" s="160"/>
      <c r="E494" s="157" t="e">
        <f>Produtos!BD494</f>
        <v>#DIV/0!</v>
      </c>
      <c r="F494" s="159" t="e">
        <f>Produtos!BE494</f>
        <v>#DIV/0!</v>
      </c>
      <c r="G494" s="158" t="e">
        <f>Produtos!BF494</f>
        <v>#DIV/0!</v>
      </c>
      <c r="H494" s="159">
        <f>Produtos!BL494</f>
        <v>0</v>
      </c>
      <c r="I494" s="157" t="e">
        <f>Produtos!BM494</f>
        <v>#DIV/0!</v>
      </c>
      <c r="J494" s="157" t="e">
        <f>Produtos!BG494</f>
        <v>#DIV/0!</v>
      </c>
      <c r="K494" s="157" t="e">
        <f>Produtos!BH494</f>
        <v>#DIV/0!</v>
      </c>
      <c r="L494" s="157" t="e">
        <f>Produtos!BI494</f>
        <v>#DIV/0!</v>
      </c>
      <c r="M494" s="157" t="e">
        <f>Produtos!BJ494</f>
        <v>#DIV/0!</v>
      </c>
    </row>
    <row r="495" spans="1:13">
      <c r="A495" s="170">
        <f>Produtos!A495</f>
        <v>0</v>
      </c>
      <c r="B495" s="170"/>
      <c r="C495" s="142">
        <f>Produtos!B495</f>
        <v>0</v>
      </c>
      <c r="D495" s="160"/>
      <c r="E495" s="157" t="e">
        <f>Produtos!BD495</f>
        <v>#DIV/0!</v>
      </c>
      <c r="F495" s="159" t="e">
        <f>Produtos!BE495</f>
        <v>#DIV/0!</v>
      </c>
      <c r="G495" s="158" t="e">
        <f>Produtos!BF495</f>
        <v>#DIV/0!</v>
      </c>
      <c r="H495" s="159">
        <f>Produtos!BL495</f>
        <v>0</v>
      </c>
      <c r="I495" s="157" t="e">
        <f>Produtos!BM495</f>
        <v>#DIV/0!</v>
      </c>
      <c r="J495" s="157" t="e">
        <f>Produtos!BG495</f>
        <v>#DIV/0!</v>
      </c>
      <c r="K495" s="157" t="e">
        <f>Produtos!BH495</f>
        <v>#DIV/0!</v>
      </c>
      <c r="L495" s="157" t="e">
        <f>Produtos!BI495</f>
        <v>#DIV/0!</v>
      </c>
      <c r="M495" s="157" t="e">
        <f>Produtos!BJ495</f>
        <v>#DIV/0!</v>
      </c>
    </row>
    <row r="496" spans="1:13">
      <c r="A496" s="170">
        <f>Produtos!A496</f>
        <v>0</v>
      </c>
      <c r="B496" s="170"/>
      <c r="C496" s="142">
        <f>Produtos!B496</f>
        <v>0</v>
      </c>
      <c r="D496" s="160"/>
      <c r="E496" s="157" t="e">
        <f>Produtos!BD496</f>
        <v>#DIV/0!</v>
      </c>
      <c r="F496" s="159" t="e">
        <f>Produtos!BE496</f>
        <v>#DIV/0!</v>
      </c>
      <c r="G496" s="158" t="e">
        <f>Produtos!BF496</f>
        <v>#DIV/0!</v>
      </c>
      <c r="H496" s="159">
        <f>Produtos!BL496</f>
        <v>0</v>
      </c>
      <c r="I496" s="157" t="e">
        <f>Produtos!BM496</f>
        <v>#DIV/0!</v>
      </c>
      <c r="J496" s="157" t="e">
        <f>Produtos!BG496</f>
        <v>#DIV/0!</v>
      </c>
      <c r="K496" s="157" t="e">
        <f>Produtos!BH496</f>
        <v>#DIV/0!</v>
      </c>
      <c r="L496" s="157" t="e">
        <f>Produtos!BI496</f>
        <v>#DIV/0!</v>
      </c>
      <c r="M496" s="157" t="e">
        <f>Produtos!BJ496</f>
        <v>#DIV/0!</v>
      </c>
    </row>
    <row r="497" spans="1:13">
      <c r="A497" s="170">
        <f>Produtos!A497</f>
        <v>0</v>
      </c>
      <c r="B497" s="170"/>
      <c r="C497" s="142">
        <f>Produtos!B497</f>
        <v>0</v>
      </c>
      <c r="D497" s="160"/>
      <c r="E497" s="157" t="e">
        <f>Produtos!BD497</f>
        <v>#DIV/0!</v>
      </c>
      <c r="F497" s="159" t="e">
        <f>Produtos!BE497</f>
        <v>#DIV/0!</v>
      </c>
      <c r="G497" s="158" t="e">
        <f>Produtos!BF497</f>
        <v>#DIV/0!</v>
      </c>
      <c r="H497" s="159">
        <f>Produtos!BL497</f>
        <v>0</v>
      </c>
      <c r="I497" s="157" t="e">
        <f>Produtos!BM497</f>
        <v>#DIV/0!</v>
      </c>
      <c r="J497" s="157" t="e">
        <f>Produtos!BG497</f>
        <v>#DIV/0!</v>
      </c>
      <c r="K497" s="157" t="e">
        <f>Produtos!BH497</f>
        <v>#DIV/0!</v>
      </c>
      <c r="L497" s="157" t="e">
        <f>Produtos!BI497</f>
        <v>#DIV/0!</v>
      </c>
      <c r="M497" s="157" t="e">
        <f>Produtos!BJ497</f>
        <v>#DIV/0!</v>
      </c>
    </row>
    <row r="498" spans="1:13">
      <c r="A498" s="170">
        <f>Produtos!A498</f>
        <v>0</v>
      </c>
      <c r="B498" s="170"/>
      <c r="C498" s="142">
        <f>Produtos!B498</f>
        <v>0</v>
      </c>
      <c r="D498" s="160"/>
      <c r="E498" s="157" t="e">
        <f>Produtos!BD498</f>
        <v>#DIV/0!</v>
      </c>
      <c r="F498" s="159" t="e">
        <f>Produtos!BE498</f>
        <v>#DIV/0!</v>
      </c>
      <c r="G498" s="158" t="e">
        <f>Produtos!BF498</f>
        <v>#DIV/0!</v>
      </c>
      <c r="H498" s="159">
        <f>Produtos!BL498</f>
        <v>0</v>
      </c>
      <c r="I498" s="157" t="e">
        <f>Produtos!BM498</f>
        <v>#DIV/0!</v>
      </c>
      <c r="J498" s="157" t="e">
        <f>Produtos!BG498</f>
        <v>#DIV/0!</v>
      </c>
      <c r="K498" s="157" t="e">
        <f>Produtos!BH498</f>
        <v>#DIV/0!</v>
      </c>
      <c r="L498" s="157" t="e">
        <f>Produtos!BI498</f>
        <v>#DIV/0!</v>
      </c>
      <c r="M498" s="157" t="e">
        <f>Produtos!BJ498</f>
        <v>#DIV/0!</v>
      </c>
    </row>
  </sheetData>
  <printOptions horizontalCentered="1"/>
  <pageMargins left="0.51181102362204722" right="0.51181102362204722" top="0.78740157480314965" bottom="0.78740157480314965" header="0.31496062992125984" footer="0.31496062992125984"/>
  <pageSetup paperSize="9" scale="60" orientation="landscape"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2"/>
  <sheetViews>
    <sheetView workbookViewId="0">
      <selection activeCell="F2" sqref="F2:F19"/>
    </sheetView>
  </sheetViews>
  <sheetFormatPr defaultColWidth="45.5703125" defaultRowHeight="15"/>
  <cols>
    <col min="1" max="1" width="20.28515625" bestFit="1" customWidth="1"/>
    <col min="2" max="2" width="10.140625" bestFit="1" customWidth="1"/>
    <col min="3" max="3" width="44.5703125" style="161" customWidth="1"/>
    <col min="4" max="4" width="7.5703125" bestFit="1" customWidth="1"/>
    <col min="5" max="5" width="9.28515625" bestFit="1" customWidth="1"/>
    <col min="6" max="6" width="9" bestFit="1" customWidth="1"/>
    <col min="7" max="7" width="8.5703125" bestFit="1" customWidth="1"/>
  </cols>
  <sheetData>
    <row r="1" spans="1:7">
      <c r="A1" s="194" t="s">
        <v>46</v>
      </c>
      <c r="B1" s="194" t="s">
        <v>44</v>
      </c>
      <c r="C1" s="194" t="s">
        <v>77</v>
      </c>
      <c r="D1" s="194" t="s">
        <v>78</v>
      </c>
      <c r="E1" s="194" t="s">
        <v>79</v>
      </c>
      <c r="F1" s="194" t="s">
        <v>80</v>
      </c>
      <c r="G1" s="194" t="s">
        <v>81</v>
      </c>
    </row>
    <row r="2" spans="1:7">
      <c r="A2" s="170">
        <f>Produtos!A2</f>
        <v>0</v>
      </c>
      <c r="B2" s="188" t="e">
        <f>Produtos!C2</f>
        <v>#N/A</v>
      </c>
      <c r="C2" s="221" t="e">
        <f>Produtos!B2</f>
        <v>#N/A</v>
      </c>
      <c r="D2" s="208">
        <f>Produtos!D2</f>
        <v>0</v>
      </c>
      <c r="E2" s="170">
        <v>76</v>
      </c>
      <c r="F2" s="220">
        <f>Produtos!P2</f>
        <v>0</v>
      </c>
      <c r="G2" s="220" t="e">
        <f>Produtos!D2*Produtos!E2</f>
        <v>#N/A</v>
      </c>
    </row>
    <row r="3" spans="1:7">
      <c r="A3" s="170">
        <f>Produtos!A3</f>
        <v>0</v>
      </c>
      <c r="B3" s="188" t="e">
        <f>Produtos!C3</f>
        <v>#N/A</v>
      </c>
      <c r="C3" s="221" t="e">
        <f>Produtos!B3</f>
        <v>#N/A</v>
      </c>
      <c r="D3" s="208">
        <f>Produtos!D3</f>
        <v>0</v>
      </c>
      <c r="E3" s="170">
        <v>76</v>
      </c>
      <c r="F3" s="220">
        <f>Produtos!P3</f>
        <v>0</v>
      </c>
      <c r="G3" s="220">
        <f>Produtos!D3*Produtos!E3</f>
        <v>0</v>
      </c>
    </row>
    <row r="4" spans="1:7">
      <c r="A4" s="170">
        <f>Produtos!A4</f>
        <v>0</v>
      </c>
      <c r="B4" s="188" t="e">
        <f>Produtos!C4</f>
        <v>#N/A</v>
      </c>
      <c r="C4" s="221" t="e">
        <f>Produtos!B4</f>
        <v>#N/A</v>
      </c>
      <c r="D4" s="208">
        <f>Produtos!D4</f>
        <v>0</v>
      </c>
      <c r="E4" s="170">
        <v>76</v>
      </c>
      <c r="F4" s="220">
        <f>Produtos!P4</f>
        <v>0</v>
      </c>
      <c r="G4" s="220">
        <f>Produtos!D4*Produtos!E4</f>
        <v>0</v>
      </c>
    </row>
    <row r="5" spans="1:7">
      <c r="A5" s="170">
        <f>Produtos!A5</f>
        <v>0</v>
      </c>
      <c r="B5" s="188" t="e">
        <f>Produtos!C5</f>
        <v>#N/A</v>
      </c>
      <c r="C5" s="221" t="e">
        <f>Produtos!B5</f>
        <v>#N/A</v>
      </c>
      <c r="D5" s="208">
        <f>Produtos!D5</f>
        <v>0</v>
      </c>
      <c r="E5" s="170">
        <v>76</v>
      </c>
      <c r="F5" s="220">
        <f>Produtos!P5</f>
        <v>0</v>
      </c>
      <c r="G5" s="220">
        <f>Produtos!D5*Produtos!E5</f>
        <v>0</v>
      </c>
    </row>
    <row r="6" spans="1:7">
      <c r="A6" s="170">
        <f>Produtos!A6</f>
        <v>0</v>
      </c>
      <c r="B6" s="188" t="e">
        <f>Produtos!C6</f>
        <v>#N/A</v>
      </c>
      <c r="C6" s="221" t="e">
        <f>Produtos!B6</f>
        <v>#N/A</v>
      </c>
      <c r="D6" s="208">
        <f>Produtos!D6</f>
        <v>0</v>
      </c>
      <c r="E6" s="170">
        <v>76</v>
      </c>
      <c r="F6" s="220">
        <f>Produtos!P6</f>
        <v>0</v>
      </c>
      <c r="G6" s="220">
        <f>Produtos!D6*Produtos!E6</f>
        <v>0</v>
      </c>
    </row>
    <row r="7" spans="1:7">
      <c r="A7" s="170">
        <f>Produtos!A7</f>
        <v>0</v>
      </c>
      <c r="B7" s="188" t="e">
        <f>Produtos!C7</f>
        <v>#N/A</v>
      </c>
      <c r="C7" s="221" t="e">
        <f>Produtos!B7</f>
        <v>#N/A</v>
      </c>
      <c r="D7" s="208">
        <f>Produtos!D7</f>
        <v>0</v>
      </c>
      <c r="E7" s="170">
        <v>76</v>
      </c>
      <c r="F7" s="220">
        <f>Produtos!P7</f>
        <v>0</v>
      </c>
      <c r="G7" s="220">
        <f>Produtos!D7*Produtos!E7</f>
        <v>0</v>
      </c>
    </row>
    <row r="8" spans="1:7">
      <c r="A8" s="170">
        <f>Produtos!A8</f>
        <v>0</v>
      </c>
      <c r="B8" s="188" t="e">
        <f>Produtos!C8</f>
        <v>#N/A</v>
      </c>
      <c r="C8" s="221" t="e">
        <f>Produtos!B8</f>
        <v>#N/A</v>
      </c>
      <c r="D8" s="208">
        <f>Produtos!D8</f>
        <v>0</v>
      </c>
      <c r="E8" s="170">
        <v>76</v>
      </c>
      <c r="F8" s="220">
        <f>Produtos!P8</f>
        <v>0</v>
      </c>
      <c r="G8" s="220">
        <f>Produtos!D8*Produtos!E8</f>
        <v>0</v>
      </c>
    </row>
    <row r="9" spans="1:7">
      <c r="A9" s="170">
        <f>Produtos!A9</f>
        <v>0</v>
      </c>
      <c r="B9" s="188" t="e">
        <f>Produtos!C9</f>
        <v>#N/A</v>
      </c>
      <c r="C9" s="221" t="e">
        <f>Produtos!B9</f>
        <v>#N/A</v>
      </c>
      <c r="D9" s="208">
        <f>Produtos!D9</f>
        <v>0</v>
      </c>
      <c r="E9" s="170">
        <v>76</v>
      </c>
      <c r="F9" s="220">
        <f>Produtos!P9</f>
        <v>0</v>
      </c>
      <c r="G9" s="220">
        <f>Produtos!D9*Produtos!E9</f>
        <v>0</v>
      </c>
    </row>
    <row r="10" spans="1:7">
      <c r="A10" s="170">
        <f>Produtos!A10</f>
        <v>0</v>
      </c>
      <c r="B10" s="188" t="e">
        <f>Produtos!C10</f>
        <v>#N/A</v>
      </c>
      <c r="C10" s="221" t="e">
        <f>Produtos!B10</f>
        <v>#N/A</v>
      </c>
      <c r="D10" s="208">
        <f>Produtos!D10</f>
        <v>0</v>
      </c>
      <c r="E10" s="170">
        <v>79</v>
      </c>
      <c r="F10" s="220">
        <f>Produtos!P10</f>
        <v>0</v>
      </c>
      <c r="G10" s="220">
        <f>Produtos!D10*Produtos!E10</f>
        <v>0</v>
      </c>
    </row>
    <row r="11" spans="1:7">
      <c r="A11" s="170">
        <f>Produtos!A11</f>
        <v>0</v>
      </c>
      <c r="B11" s="188" t="e">
        <f>Produtos!C11</f>
        <v>#N/A</v>
      </c>
      <c r="C11" s="221" t="e">
        <f>Produtos!B11</f>
        <v>#N/A</v>
      </c>
      <c r="D11" s="208">
        <f>Produtos!D11</f>
        <v>0</v>
      </c>
      <c r="E11" s="170">
        <v>76</v>
      </c>
      <c r="F11" s="220">
        <f>Produtos!P11</f>
        <v>0</v>
      </c>
      <c r="G11" s="220">
        <f>Produtos!D11*Produtos!E11</f>
        <v>0</v>
      </c>
    </row>
    <row r="12" spans="1:7">
      <c r="A12" s="170">
        <f>Produtos!A12</f>
        <v>0</v>
      </c>
      <c r="B12" s="188" t="e">
        <f>Produtos!C12</f>
        <v>#N/A</v>
      </c>
      <c r="C12" s="221" t="e">
        <f>Produtos!B12</f>
        <v>#N/A</v>
      </c>
      <c r="D12" s="208">
        <f>Produtos!D12</f>
        <v>0</v>
      </c>
      <c r="E12" s="170">
        <v>76</v>
      </c>
      <c r="F12" s="220">
        <f>Produtos!P12</f>
        <v>0</v>
      </c>
      <c r="G12" s="220">
        <f>Produtos!D12*Produtos!E12</f>
        <v>0</v>
      </c>
    </row>
    <row r="13" spans="1:7">
      <c r="A13" s="170">
        <f>Produtos!A13</f>
        <v>0</v>
      </c>
      <c r="B13" s="188" t="e">
        <f>Produtos!C13</f>
        <v>#N/A</v>
      </c>
      <c r="C13" s="221" t="e">
        <f>Produtos!B13</f>
        <v>#N/A</v>
      </c>
      <c r="D13" s="208">
        <f>Produtos!D13</f>
        <v>0</v>
      </c>
      <c r="E13" s="170">
        <v>76</v>
      </c>
      <c r="F13" s="220">
        <f>Produtos!P13</f>
        <v>0</v>
      </c>
      <c r="G13" s="220">
        <f>Produtos!D13*Produtos!E13</f>
        <v>0</v>
      </c>
    </row>
    <row r="14" spans="1:7">
      <c r="A14" s="170">
        <f>Produtos!A14</f>
        <v>0</v>
      </c>
      <c r="B14" s="188" t="e">
        <f>Produtos!C14</f>
        <v>#N/A</v>
      </c>
      <c r="C14" s="221" t="e">
        <f>Produtos!B14</f>
        <v>#N/A</v>
      </c>
      <c r="D14" s="208">
        <f>Produtos!D14</f>
        <v>0</v>
      </c>
      <c r="E14" s="170">
        <v>76</v>
      </c>
      <c r="F14" s="220">
        <f>Produtos!P14</f>
        <v>0</v>
      </c>
      <c r="G14" s="220">
        <f>Produtos!D14*Produtos!E14</f>
        <v>0</v>
      </c>
    </row>
    <row r="15" spans="1:7">
      <c r="A15" s="170">
        <f>Produtos!A15</f>
        <v>0</v>
      </c>
      <c r="B15" s="188" t="e">
        <f>Produtos!C15</f>
        <v>#N/A</v>
      </c>
      <c r="C15" s="221" t="e">
        <f>Produtos!B15</f>
        <v>#N/A</v>
      </c>
      <c r="D15" s="208">
        <f>Produtos!D15</f>
        <v>0</v>
      </c>
      <c r="E15" s="170">
        <v>76</v>
      </c>
      <c r="F15" s="220">
        <f>Produtos!P15</f>
        <v>0</v>
      </c>
      <c r="G15" s="220">
        <f>Produtos!D15*Produtos!E15</f>
        <v>0</v>
      </c>
    </row>
    <row r="16" spans="1:7">
      <c r="A16" s="170">
        <f>Produtos!A16</f>
        <v>0</v>
      </c>
      <c r="B16" s="188" t="e">
        <f>Produtos!C16</f>
        <v>#N/A</v>
      </c>
      <c r="C16" s="221" t="e">
        <f>Produtos!B16</f>
        <v>#N/A</v>
      </c>
      <c r="D16" s="208">
        <f>Produtos!D16</f>
        <v>0</v>
      </c>
      <c r="E16" s="170">
        <v>76</v>
      </c>
      <c r="F16" s="220">
        <f>Produtos!P16</f>
        <v>0</v>
      </c>
      <c r="G16" s="220">
        <f>Produtos!D16*Produtos!E16</f>
        <v>0</v>
      </c>
    </row>
    <row r="17" spans="1:7">
      <c r="A17" s="170">
        <f>Produtos!A17</f>
        <v>0</v>
      </c>
      <c r="B17" s="188" t="e">
        <f>Produtos!C17</f>
        <v>#N/A</v>
      </c>
      <c r="C17" s="221" t="e">
        <f>Produtos!B17</f>
        <v>#N/A</v>
      </c>
      <c r="D17" s="208">
        <f>Produtos!D17</f>
        <v>0</v>
      </c>
      <c r="E17" s="170">
        <v>76</v>
      </c>
      <c r="F17" s="220">
        <f>Produtos!P17</f>
        <v>0</v>
      </c>
      <c r="G17" s="220">
        <f>Produtos!D17*Produtos!E17</f>
        <v>0</v>
      </c>
    </row>
    <row r="18" spans="1:7">
      <c r="A18" s="170">
        <f>Produtos!A18</f>
        <v>0</v>
      </c>
      <c r="B18" s="188" t="e">
        <f>Produtos!C18</f>
        <v>#N/A</v>
      </c>
      <c r="C18" s="221" t="e">
        <f>Produtos!B18</f>
        <v>#N/A</v>
      </c>
      <c r="D18" s="208">
        <f>Produtos!D18</f>
        <v>0</v>
      </c>
      <c r="E18" s="170">
        <v>76</v>
      </c>
      <c r="F18" s="220">
        <f>Produtos!P18</f>
        <v>0</v>
      </c>
      <c r="G18" s="220">
        <f>Produtos!D18*Produtos!E18</f>
        <v>0</v>
      </c>
    </row>
    <row r="19" spans="1:7">
      <c r="A19" s="170">
        <f>Produtos!A19</f>
        <v>0</v>
      </c>
      <c r="B19" s="188" t="e">
        <f>Produtos!C19</f>
        <v>#N/A</v>
      </c>
      <c r="C19" s="221" t="e">
        <f>Produtos!B19</f>
        <v>#N/A</v>
      </c>
      <c r="D19" s="208">
        <f>Produtos!D19</f>
        <v>0</v>
      </c>
      <c r="E19" s="170">
        <v>19</v>
      </c>
      <c r="F19" s="220">
        <f>Produtos!P19</f>
        <v>0</v>
      </c>
      <c r="G19" s="220">
        <f>Produtos!D19*Produtos!E19</f>
        <v>0</v>
      </c>
    </row>
    <row r="20" spans="1:7">
      <c r="A20" s="170">
        <f>Produtos!A20</f>
        <v>0</v>
      </c>
      <c r="B20" s="188" t="e">
        <f>Produtos!C20</f>
        <v>#N/A</v>
      </c>
      <c r="C20" s="221" t="e">
        <f>Produtos!B20</f>
        <v>#N/A</v>
      </c>
      <c r="D20" s="208">
        <f>Produtos!D20</f>
        <v>0</v>
      </c>
      <c r="E20" s="170" t="s">
        <v>102</v>
      </c>
      <c r="F20" s="220">
        <f>Produtos!P20</f>
        <v>0</v>
      </c>
      <c r="G20" s="220">
        <f>Produtos!D20*Produtos!E20</f>
        <v>0</v>
      </c>
    </row>
    <row r="21" spans="1:7">
      <c r="A21" s="170">
        <f>Produtos!A21</f>
        <v>0</v>
      </c>
      <c r="B21" s="188" t="e">
        <f>Produtos!C21</f>
        <v>#N/A</v>
      </c>
      <c r="C21" s="221" t="e">
        <f>Produtos!B21</f>
        <v>#N/A</v>
      </c>
      <c r="D21" s="208">
        <f>Produtos!D21</f>
        <v>0</v>
      </c>
      <c r="E21" s="162" t="s">
        <v>102</v>
      </c>
      <c r="F21" s="220">
        <f>Produtos!P21</f>
        <v>0</v>
      </c>
      <c r="G21" s="220">
        <f>Produtos!D21*Produtos!E21</f>
        <v>0</v>
      </c>
    </row>
    <row r="22" spans="1:7">
      <c r="A22" s="170">
        <f>Produtos!A22</f>
        <v>0</v>
      </c>
      <c r="B22" s="188" t="e">
        <f>Produtos!C22</f>
        <v>#N/A</v>
      </c>
      <c r="C22" s="221" t="e">
        <f>Produtos!B22</f>
        <v>#N/A</v>
      </c>
      <c r="D22" s="208">
        <f>Produtos!D22</f>
        <v>0</v>
      </c>
      <c r="E22" s="162" t="s">
        <v>102</v>
      </c>
      <c r="F22" s="220">
        <f>Produtos!P22</f>
        <v>0</v>
      </c>
      <c r="G22" s="220">
        <f>Produtos!D22*Produtos!E22</f>
        <v>0</v>
      </c>
    </row>
    <row r="23" spans="1:7">
      <c r="A23" s="170">
        <f>Produtos!A23</f>
        <v>0</v>
      </c>
      <c r="B23" s="188" t="e">
        <f>Produtos!C23</f>
        <v>#N/A</v>
      </c>
      <c r="C23" s="221" t="e">
        <f>Produtos!B23</f>
        <v>#N/A</v>
      </c>
      <c r="D23" s="208">
        <f>Produtos!D23</f>
        <v>0</v>
      </c>
      <c r="E23" s="162" t="s">
        <v>102</v>
      </c>
      <c r="F23" s="220">
        <f>Produtos!P23</f>
        <v>0</v>
      </c>
      <c r="G23" s="220">
        <f>Produtos!D23*Produtos!E23</f>
        <v>0</v>
      </c>
    </row>
    <row r="24" spans="1:7">
      <c r="A24" s="170">
        <f>Produtos!A24</f>
        <v>0</v>
      </c>
      <c r="B24" s="188" t="e">
        <f>Produtos!C24</f>
        <v>#N/A</v>
      </c>
      <c r="C24" s="221" t="e">
        <f>Produtos!B24</f>
        <v>#N/A</v>
      </c>
      <c r="D24" s="208">
        <f>Produtos!D24</f>
        <v>0</v>
      </c>
      <c r="E24" s="162" t="s">
        <v>102</v>
      </c>
      <c r="F24" s="220">
        <f>Produtos!P24</f>
        <v>0</v>
      </c>
      <c r="G24" s="220">
        <f>Produtos!D24*Produtos!E24</f>
        <v>0</v>
      </c>
    </row>
    <row r="25" spans="1:7">
      <c r="A25" s="170">
        <f>Produtos!A25</f>
        <v>0</v>
      </c>
      <c r="B25" s="188" t="e">
        <f>Produtos!C25</f>
        <v>#N/A</v>
      </c>
      <c r="C25" s="221" t="e">
        <f>Produtos!B25</f>
        <v>#N/A</v>
      </c>
      <c r="D25" s="208">
        <f>Produtos!D25</f>
        <v>0</v>
      </c>
      <c r="E25" s="162" t="s">
        <v>102</v>
      </c>
      <c r="F25" s="220">
        <f>Produtos!P25</f>
        <v>0</v>
      </c>
      <c r="G25" s="220">
        <f>Produtos!D25*Produtos!E25</f>
        <v>0</v>
      </c>
    </row>
    <row r="26" spans="1:7">
      <c r="A26" s="170">
        <f>Produtos!A26</f>
        <v>0</v>
      </c>
      <c r="B26" s="188" t="e">
        <f>Produtos!C26</f>
        <v>#N/A</v>
      </c>
      <c r="C26" s="221" t="e">
        <f>Produtos!B26</f>
        <v>#N/A</v>
      </c>
      <c r="D26" s="208">
        <f>Produtos!D26</f>
        <v>0</v>
      </c>
      <c r="E26" s="162" t="s">
        <v>102</v>
      </c>
      <c r="F26" s="220">
        <f>Produtos!P26</f>
        <v>0</v>
      </c>
      <c r="G26" s="220">
        <f>Produtos!D26*Produtos!E26</f>
        <v>0</v>
      </c>
    </row>
    <row r="27" spans="1:7">
      <c r="A27" s="170">
        <f>Produtos!A27</f>
        <v>0</v>
      </c>
      <c r="B27" s="188" t="e">
        <f>Produtos!C27</f>
        <v>#N/A</v>
      </c>
      <c r="C27" s="221" t="e">
        <f>Produtos!B27</f>
        <v>#N/A</v>
      </c>
      <c r="D27" s="208">
        <f>Produtos!D27</f>
        <v>0</v>
      </c>
      <c r="E27" s="162" t="s">
        <v>102</v>
      </c>
      <c r="F27" s="220">
        <f>Produtos!P27</f>
        <v>0</v>
      </c>
      <c r="G27" s="220">
        <f>Produtos!D27*Produtos!E27</f>
        <v>0</v>
      </c>
    </row>
    <row r="28" spans="1:7">
      <c r="A28" s="170">
        <f>Produtos!A28</f>
        <v>0</v>
      </c>
      <c r="B28" s="188" t="e">
        <f>Produtos!C28</f>
        <v>#N/A</v>
      </c>
      <c r="C28" s="221" t="e">
        <f>Produtos!B28</f>
        <v>#N/A</v>
      </c>
      <c r="D28" s="208">
        <f>Produtos!D28</f>
        <v>0</v>
      </c>
      <c r="E28" s="162" t="s">
        <v>102</v>
      </c>
      <c r="F28" s="220">
        <f>Produtos!P28</f>
        <v>0</v>
      </c>
      <c r="G28" s="220">
        <f>Produtos!D28*Produtos!E28</f>
        <v>0</v>
      </c>
    </row>
    <row r="29" spans="1:7">
      <c r="A29" s="170">
        <f>Produtos!A29</f>
        <v>0</v>
      </c>
      <c r="B29" s="188" t="e">
        <f>Produtos!C29</f>
        <v>#N/A</v>
      </c>
      <c r="C29" s="221" t="e">
        <f>Produtos!B29</f>
        <v>#N/A</v>
      </c>
      <c r="D29" s="208">
        <f>Produtos!D29</f>
        <v>0</v>
      </c>
      <c r="E29" s="162" t="s">
        <v>102</v>
      </c>
      <c r="F29" s="206">
        <f>Produtos!P29</f>
        <v>0</v>
      </c>
      <c r="G29" s="206">
        <f>Produtos!D29*Produtos!E29</f>
        <v>0</v>
      </c>
    </row>
    <row r="30" spans="1:7">
      <c r="A30" s="170">
        <f>Produtos!A30</f>
        <v>0</v>
      </c>
      <c r="B30" s="188" t="e">
        <f>Produtos!C30</f>
        <v>#N/A</v>
      </c>
      <c r="C30" s="221" t="e">
        <f>Produtos!B30</f>
        <v>#N/A</v>
      </c>
      <c r="D30" s="208">
        <f>Produtos!D30</f>
        <v>0</v>
      </c>
      <c r="E30" s="162" t="s">
        <v>102</v>
      </c>
      <c r="F30" s="206">
        <f>Produtos!P30</f>
        <v>0</v>
      </c>
      <c r="G30" s="206">
        <f>Produtos!D30*Produtos!E30</f>
        <v>0</v>
      </c>
    </row>
    <row r="31" spans="1:7">
      <c r="A31" s="170">
        <f>Produtos!A31</f>
        <v>0</v>
      </c>
      <c r="B31" s="188" t="e">
        <f>Produtos!C31</f>
        <v>#N/A</v>
      </c>
      <c r="C31" s="221" t="e">
        <f>Produtos!B31</f>
        <v>#N/A</v>
      </c>
      <c r="D31" s="208">
        <f>Produtos!D31</f>
        <v>0</v>
      </c>
      <c r="E31" s="162" t="s">
        <v>102</v>
      </c>
      <c r="F31" s="206">
        <f>Produtos!P31</f>
        <v>0</v>
      </c>
      <c r="G31" s="206">
        <f>Produtos!D31*Produtos!E31</f>
        <v>0</v>
      </c>
    </row>
    <row r="32" spans="1:7">
      <c r="A32" s="170">
        <f>Produtos!A32</f>
        <v>0</v>
      </c>
      <c r="B32" s="188" t="e">
        <f>Produtos!C32</f>
        <v>#N/A</v>
      </c>
      <c r="C32" s="221" t="e">
        <f>Produtos!B32</f>
        <v>#N/A</v>
      </c>
      <c r="D32" s="208">
        <f>Produtos!D32</f>
        <v>0</v>
      </c>
      <c r="E32" s="162" t="s">
        <v>102</v>
      </c>
      <c r="F32" s="206">
        <f>Produtos!P32</f>
        <v>0</v>
      </c>
      <c r="G32" s="206">
        <f>Produtos!D32*Produtos!E32</f>
        <v>0</v>
      </c>
    </row>
    <row r="33" spans="1:7">
      <c r="A33" s="170">
        <f>Produtos!A33</f>
        <v>0</v>
      </c>
      <c r="B33" s="188" t="e">
        <f>Produtos!C33</f>
        <v>#N/A</v>
      </c>
      <c r="C33" s="221" t="e">
        <f>Produtos!B33</f>
        <v>#N/A</v>
      </c>
      <c r="D33" s="208">
        <f>Produtos!D33</f>
        <v>0</v>
      </c>
      <c r="E33" s="162" t="s">
        <v>102</v>
      </c>
      <c r="F33" s="206">
        <f>Produtos!P33</f>
        <v>0</v>
      </c>
      <c r="G33" s="206">
        <f>Produtos!D33*Produtos!E33</f>
        <v>0</v>
      </c>
    </row>
    <row r="34" spans="1:7">
      <c r="A34" s="170">
        <f>Produtos!A34</f>
        <v>0</v>
      </c>
      <c r="B34" s="188" t="e">
        <f>Produtos!C34</f>
        <v>#N/A</v>
      </c>
      <c r="C34" s="221" t="e">
        <f>Produtos!B34</f>
        <v>#N/A</v>
      </c>
      <c r="D34" s="208">
        <f>Produtos!D34</f>
        <v>0</v>
      </c>
      <c r="E34" s="162" t="s">
        <v>102</v>
      </c>
      <c r="F34" s="206">
        <f>Produtos!P34</f>
        <v>0</v>
      </c>
      <c r="G34" s="206">
        <f>Produtos!D34*Produtos!E34</f>
        <v>0</v>
      </c>
    </row>
    <row r="35" spans="1:7">
      <c r="A35" s="170">
        <f>Produtos!A35</f>
        <v>0</v>
      </c>
      <c r="B35" s="188" t="e">
        <f>Produtos!C35</f>
        <v>#N/A</v>
      </c>
      <c r="C35" s="221" t="e">
        <f>Produtos!B35</f>
        <v>#N/A</v>
      </c>
      <c r="D35" s="208">
        <f>Produtos!D35</f>
        <v>0</v>
      </c>
      <c r="E35" s="162" t="s">
        <v>102</v>
      </c>
      <c r="F35" s="206">
        <f>Produtos!P35</f>
        <v>0</v>
      </c>
      <c r="G35" s="206">
        <f>Produtos!D35*Produtos!E35</f>
        <v>0</v>
      </c>
    </row>
    <row r="36" spans="1:7">
      <c r="A36" s="170">
        <f>Produtos!A36</f>
        <v>0</v>
      </c>
      <c r="B36" s="188" t="e">
        <f>Produtos!C36</f>
        <v>#N/A</v>
      </c>
      <c r="C36" s="221" t="e">
        <f>Produtos!B36</f>
        <v>#N/A</v>
      </c>
      <c r="D36" s="208">
        <f>Produtos!D36</f>
        <v>0</v>
      </c>
      <c r="E36" s="162" t="s">
        <v>102</v>
      </c>
      <c r="F36" s="206">
        <f>Produtos!P36</f>
        <v>0</v>
      </c>
      <c r="G36" s="206">
        <f>Produtos!D36*Produtos!E36</f>
        <v>0</v>
      </c>
    </row>
    <row r="37" spans="1:7">
      <c r="A37" s="170">
        <f>Produtos!A37</f>
        <v>0</v>
      </c>
      <c r="B37" s="188" t="e">
        <f>Produtos!C37</f>
        <v>#N/A</v>
      </c>
      <c r="C37" s="221" t="e">
        <f>Produtos!B37</f>
        <v>#N/A</v>
      </c>
      <c r="D37" s="208">
        <f>Produtos!D37</f>
        <v>0</v>
      </c>
      <c r="E37" s="162" t="s">
        <v>102</v>
      </c>
      <c r="F37" s="206">
        <f>Produtos!P37</f>
        <v>0</v>
      </c>
      <c r="G37" s="206">
        <f>Produtos!D37*Produtos!E37</f>
        <v>0</v>
      </c>
    </row>
    <row r="38" spans="1:7">
      <c r="A38" s="170">
        <f>Produtos!A38</f>
        <v>0</v>
      </c>
      <c r="B38" s="188" t="e">
        <f>Produtos!C38</f>
        <v>#N/A</v>
      </c>
      <c r="C38" s="221" t="e">
        <f>Produtos!B38</f>
        <v>#N/A</v>
      </c>
      <c r="D38" s="208">
        <f>Produtos!D38</f>
        <v>0</v>
      </c>
      <c r="E38" s="162" t="s">
        <v>102</v>
      </c>
      <c r="F38" s="206">
        <f>Produtos!P38</f>
        <v>0</v>
      </c>
      <c r="G38" s="206">
        <f>Produtos!D38*Produtos!E38</f>
        <v>0</v>
      </c>
    </row>
    <row r="39" spans="1:7">
      <c r="A39" s="170">
        <f>Produtos!A39</f>
        <v>0</v>
      </c>
      <c r="B39" s="188" t="e">
        <f>Produtos!C39</f>
        <v>#N/A</v>
      </c>
      <c r="C39" s="221" t="e">
        <f>Produtos!B39</f>
        <v>#N/A</v>
      </c>
      <c r="D39" s="208">
        <f>Produtos!D39</f>
        <v>0</v>
      </c>
      <c r="E39" s="162" t="s">
        <v>102</v>
      </c>
      <c r="F39" s="206">
        <f>Produtos!P39</f>
        <v>0</v>
      </c>
      <c r="G39" s="206">
        <f>Produtos!D39*Produtos!E39</f>
        <v>0</v>
      </c>
    </row>
    <row r="40" spans="1:7">
      <c r="A40" s="170">
        <f>Produtos!A40</f>
        <v>0</v>
      </c>
      <c r="B40" s="188" t="e">
        <f>Produtos!C40</f>
        <v>#N/A</v>
      </c>
      <c r="C40" s="221" t="e">
        <f>Produtos!B40</f>
        <v>#N/A</v>
      </c>
      <c r="D40" s="208">
        <f>Produtos!D40</f>
        <v>0</v>
      </c>
      <c r="E40" s="162" t="s">
        <v>102</v>
      </c>
      <c r="F40" s="206">
        <f>Produtos!P40</f>
        <v>0</v>
      </c>
      <c r="G40" s="206">
        <f>Produtos!D40*Produtos!E40</f>
        <v>0</v>
      </c>
    </row>
    <row r="41" spans="1:7">
      <c r="A41" s="170">
        <f>Produtos!A41</f>
        <v>0</v>
      </c>
      <c r="B41" s="188" t="e">
        <f>Produtos!C41</f>
        <v>#N/A</v>
      </c>
      <c r="C41" s="221" t="e">
        <f>Produtos!B41</f>
        <v>#N/A</v>
      </c>
      <c r="D41" s="208">
        <f>Produtos!D41</f>
        <v>0</v>
      </c>
      <c r="E41" s="162" t="s">
        <v>102</v>
      </c>
      <c r="F41" s="206">
        <f>Produtos!P41</f>
        <v>0</v>
      </c>
      <c r="G41" s="206">
        <f>Produtos!D41*Produtos!E41</f>
        <v>0</v>
      </c>
    </row>
    <row r="42" spans="1:7">
      <c r="A42" s="170">
        <f>Produtos!A42</f>
        <v>0</v>
      </c>
      <c r="B42" s="188" t="e">
        <f>Produtos!C42</f>
        <v>#N/A</v>
      </c>
      <c r="C42" s="221" t="e">
        <f>Produtos!B42</f>
        <v>#N/A</v>
      </c>
      <c r="D42" s="208">
        <f>Produtos!D42</f>
        <v>0</v>
      </c>
      <c r="E42" s="162" t="s">
        <v>102</v>
      </c>
      <c r="F42" s="206">
        <f>Produtos!P42</f>
        <v>0</v>
      </c>
      <c r="G42" s="206">
        <f>Produtos!D42*Produtos!E42</f>
        <v>0</v>
      </c>
    </row>
  </sheetData>
  <pageMargins left="0.511811024" right="0.511811024" top="0.78740157499999996" bottom="0.78740157499999996" header="0.31496062000000002" footer="0.3149606200000000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2</vt:i4>
      </vt:variant>
    </vt:vector>
  </HeadingPairs>
  <TitlesOfParts>
    <vt:vector size="7" baseType="lpstr">
      <vt:lpstr>Master Modelo</vt:lpstr>
      <vt:lpstr>Produtos</vt:lpstr>
      <vt:lpstr>Entrada e Saida</vt:lpstr>
      <vt:lpstr>Custo Resumido</vt:lpstr>
      <vt:lpstr>Siscex</vt:lpstr>
      <vt:lpstr>'Custo Resumido'!Area_de_impressao</vt:lpstr>
      <vt:lpstr>'Entrada e Saida'!Area_de_impressao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</dc:creator>
  <cp:lastModifiedBy>Th Paulista</cp:lastModifiedBy>
  <cp:lastPrinted>2026-03-10T20:21:19Z</cp:lastPrinted>
  <dcterms:created xsi:type="dcterms:W3CDTF">2019-02-25T18:10:21Z</dcterms:created>
  <dcterms:modified xsi:type="dcterms:W3CDTF">2026-04-13T13:38:13Z</dcterms:modified>
</cp:coreProperties>
</file>